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8.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3" activeTab="4"/>
  </bookViews>
  <sheets>
    <sheet name="NN_Topology" sheetId="35" r:id="rId1"/>
    <sheet name="MSE" sheetId="1" r:id="rId2"/>
    <sheet name="Run_TRS" sheetId="27" r:id="rId3"/>
    <sheet name="Run_TR" sheetId="28" r:id="rId4"/>
    <sheet name="Run_BASE" sheetId="29" r:id="rId5"/>
    <sheet name="RunErrVsMSER" sheetId="32" r:id="rId6"/>
    <sheet name="TradeError" sheetId="23" r:id="rId7"/>
    <sheet name="TestEnvironment" sheetId="15" r:id="rId8"/>
    <sheet name="ClientInfo" sheetId="6" r:id="rId9"/>
    <sheet name="Config" sheetId="34" r:id="rId10"/>
    <sheet name="vXMLconfigs" sheetId="30" r:id="rId11"/>
    <sheet name="Overview" sheetId="20" r:id="rId12"/>
    <sheet name="Overview2" sheetId="31" r:id="rId13"/>
    <sheet name="Fix_Engine_Scripts" sheetId="22" r:id="rId14"/>
    <sheet name="Internals-SCGD" sheetId="17" r:id="rId15"/>
    <sheet name="MSE_vs_Err" sheetId="13" r:id="rId16"/>
    <sheet name="MSE-Err_Chart" sheetId="14" r:id="rId17"/>
    <sheet name="Engine" sheetId="8" r:id="rId18"/>
  </sheets>
  <definedNames>
    <definedName name="ExternalData_1" localSheetId="9" hidden="1">Config!$A$3:$E$92</definedName>
    <definedName name="ExternalData_2" localSheetId="9" hidden="1">Config!#REF!</definedName>
    <definedName name="Query_from_Algo" localSheetId="8" hidden="1">ClientInfo!$A$1:$J$188</definedName>
    <definedName name="Query_from_Algo" localSheetId="17" hidden="1">Engine!$A$1:$F$21</definedName>
    <definedName name="Query_from_Algo" localSheetId="10" hidden="1">vXMLconfigs!$A$1:$O$41</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19"/>
    <pivotCache cacheId="1" r:id="rId20"/>
    <pivotCache cacheId="2" r:id="rId21"/>
    <pivotCache cacheId="3" r:id="rId22"/>
    <pivotCache cacheId="4" r:id="rId23"/>
    <pivotCache cacheId="5" r:id="rId24"/>
    <pivotCache cacheId="20"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E1" i="23"/>
  <c r="D1" i="23"/>
  <c r="C1" i="23"/>
  <c r="B1" i="23"/>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4" name="Q_XMLConfig21" type="1" refreshedVersion="5" savePassword="1" background="1" saveData="1">
    <dbPr connection="DSN=Algo;UID=LogUser;PWD=LogPwd;DBQ=ALGO;DBA=W;APA=T;EXC=F;FEN=T;QTO=T;FRC=10;FDL=10;LOB=T;RST=T;BTD=F;BNF=F;BAM=IfAllSuccessful;NUM=NLS;DPM=F;MTS=T;MDI=F;CSR=F;FWC=F;FBS=64000;TLO=O;MLD=0;ODA=F;STE=F;TSZ=8192;AST=FLOAT;"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5"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<sst xmlns="http://schemas.openxmlformats.org/spreadsheetml/2006/main" count="3063" uniqueCount="439">
  <si>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</si>
  <si>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</si>
  <si>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</si>
  <si>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</si>
  <si>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</si>
  <si>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</si>
  <si>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</si>
  <si>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</si>
  <si>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</si>
  <si>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</si>
  <si>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</si>
  <si>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</si>
  <si>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</si>
  <si>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</si>
  <si>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</si>
  <si>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</si>
  <si>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</si>
  <si>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</si>
  <si>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</si>
  <si>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</si>
  <si>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</si>
  <si>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</si>
  <si>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</si>
  <si>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</si>
  <si>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</si>
  <si>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</si>
  <si>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</si>
  <si>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</si>
  <si>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</si>
  <si>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</si>
  <si>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</si>
  <si>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</si>
  <si>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</si>
  <si>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</si>
  <si>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</si>
  <si>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</si>
  <si>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</si>
  <si>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</si>
  <si>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</si>
  <si>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</si>
  <si>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</si>
  <si>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</si>
  <si>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</si>
  <si>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</si>
  <si>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</si>
  <si>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</si>
  <si>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</si>
  <si>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</si>
  <si>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</si>
  <si>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</si>
  <si>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</si>
  <si>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</si>
  <si>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</si>
  <si>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</si>
  <si>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</si>
  <si>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</si>
  <si>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</si>
  <si>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</si>
  <si>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</si>
  <si>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</si>
  <si>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</si>
  <si>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</si>
  <si>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</si>
  <si>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</si>
  <si>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</si>
  <si>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</si>
  <si>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</si>
  <si>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</si>
  <si>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</si>
  <si>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</si>
  <si>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</si>
  <si>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</si>
  <si>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</si>
  <si>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</si>
  <si>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</si>
  <si>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</si>
  <si>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</si>
  <si>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</si>
  <si>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</si>
  <si>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</si>
  <si>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</si>
  <si>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</si>
  <si>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</si>
  <si>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</si>
  <si>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</si>
  <si>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</si>
  <si>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</si>
  <si>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</si>
  <si>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</si>
  <si>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</si>
  <si>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</si>
  <si>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</si>
  <si>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</si>
  <si>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</si>
  <si>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</si>
  <si>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</si>
  <si>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</si>
  <si>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</si>
  <si>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</si>
  <si>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</si>
  <si>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</si>
  <si>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errorH</t>
  </si>
  <si>
    <t>errorL</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</si>
  <si>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</si>
  <si>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</si>
  <si>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</si>
  <si>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</si>
  <si>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</si>
  <si>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</si>
  <si>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</si>
  <si>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</si>
  <si>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</si>
  <si>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</si>
  <si>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</si>
  <si>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</si>
  <si>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</si>
  <si>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</si>
  <si>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</si>
  <si>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</si>
  <si>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</si>
  <si>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</si>
  <si>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</si>
  <si>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</si>
  <si>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</si>
  <si>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</si>
  <si>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</si>
  <si>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</si>
  <si>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</si>
  <si>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</si>
  <si>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</si>
  <si>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</si>
  <si>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</si>
  <si>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</si>
  <si>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</si>
  <si>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</si>
  <si>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</si>
  <si>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</si>
  <si>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</si>
  <si>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</si>
  <si>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</si>
  <si>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</si>
  <si>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</si>
  <si>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</si>
  <si>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</si>
  <si>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</si>
  <si>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</si>
  <si>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</si>
  <si>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</si>
  <si>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</si>
  <si>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</si>
  <si>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</si>
  <si>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</si>
  <si>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</si>
  <si>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</si>
  <si>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</si>
  <si>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</si>
  <si>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</si>
  <si>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</si>
  <si>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</si>
  <si>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</si>
  <si>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</si>
  <si>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</si>
  <si>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</si>
  <si>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</si>
  <si>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</si>
  <si>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</si>
  <si>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</si>
  <si>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</si>
  <si>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</si>
  <si>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</si>
  <si>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</si>
  <si>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</si>
  <si>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</si>
  <si>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</si>
  <si>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</si>
  <si>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</si>
  <si>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</si>
  <si>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</si>
  <si>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</si>
  <si>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</si>
  <si>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</si>
  <si>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</si>
  <si>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</si>
  <si>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</si>
  <si>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</si>
  <si>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</si>
  <si>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</si>
  <si>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</si>
  <si>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</si>
  <si>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</si>
  <si>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</si>
  <si>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</si>
  <si>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</si>
  <si>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</si>
  <si>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</si>
  <si>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</si>
  <si>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</si>
  <si>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</si>
  <si>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</si>
  <si>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</si>
  <si>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</si>
  <si>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</si>
  <si>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</si>
  <si>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</si>
  <si>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</si>
  <si>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</si>
  <si>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</si>
  <si>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</si>
  <si>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</si>
  <si>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</si>
  <si>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</si>
  <si>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</si>
  <si>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</si>
  <si>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</si>
  <si>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</si>
  <si>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</si>
  <si>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</si>
  <si>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</si>
  <si>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</si>
  <si>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</si>
  <si>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</si>
  <si>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</si>
  <si>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</si>
  <si>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</si>
  <si>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</si>
  <si>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</si>
  <si>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</si>
  <si>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</si>
  <si>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</si>
  <si>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</si>
  <si>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</si>
  <si>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</si>
  <si>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</si>
  <si>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</si>
  <si>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</si>
  <si>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</si>
  <si>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</si>
  <si>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</si>
  <si>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</si>
  <si>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</si>
  <si>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</si>
  <si>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</si>
  <si>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</si>
  <si>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</si>
  <si>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</si>
  <si>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</si>
  <si>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</si>
  <si>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</si>
  <si>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</si>
  <si>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</si>
  <si>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</si>
  <si>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</si>
  <si>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</si>
  <si>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</si>
  <si>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</si>
  <si>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</si>
  <si>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</si>
  <si>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</si>
  <si>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</si>
  <si>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</si>
  <si>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</si>
  <si>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</si>
  <si>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</si>
  <si>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</si>
  <si>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</si>
  <si>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</si>
  <si>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</si>
  <si>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</si>
  <si>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</si>
  <si>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</si>
  <si>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</si>
  <si>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</si>
  <si>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</si>
  <si>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</si>
  <si>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</si>
  <si>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</si>
  <si>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</si>
  <si>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</si>
  <si>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</si>
  <si>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</si>
  <si>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</si>
  <si>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</si>
  <si>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</si>
  <si>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</si>
  <si>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</si>
  <si>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</si>
  <si>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</si>
  <si>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</si>
  <si>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</si>
  <si>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</si>
  <si>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</si>
  <si>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</si>
  <si>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</si>
  <si>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</si>
  <si>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</si>
  <si>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</si>
  <si>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</si>
  <si>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</si>
  <si>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</si>
  <si>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</si>
  <si>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</si>
  <si>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</si>
  <si>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</si>
  <si>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</si>
  <si>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</si>
  <si>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</si>
  <si>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</si>
  <si>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</si>
  <si>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</si>
  <si>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</si>
  <si>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</si>
  <si>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</si>
  <si>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</si>
  <si>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</si>
  <si>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</si>
  <si>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</si>
  <si>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</si>
  <si>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9999-99-99-99:99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</si>
  <si>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</si>
  <si>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</si>
  <si>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</si>
  <si>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</si>
  <si>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</si>
  <si>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</si>
  <si>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</si>
  <si>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</si>
  <si>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</si>
  <si>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</si>
  <si>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</si>
  <si>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</si>
  <si>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</si>
  <si>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</si>
  <si>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</si>
  <si>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</si>
  <si>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</si>
  <si>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</si>
  <si>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</si>
  <si>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</si>
  <si>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</si>
  <si>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</si>
  <si>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</si>
  <si>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</si>
  <si>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</si>
  <si>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</si>
  <si>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</si>
  <si>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</si>
  <si>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</si>
  <si>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</si>
  <si>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</si>
  <si>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2018-07-25-02:00</t>
  </si>
  <si>
    <t>2018-07-25-03:00</t>
  </si>
  <si>
    <t>2018-07-25-05:00</t>
  </si>
  <si>
    <t>2018-07-25-06:00</t>
  </si>
  <si>
    <t>2018-07-25-07:00</t>
  </si>
  <si>
    <t>2018-07-25-08:00</t>
  </si>
  <si>
    <t>2018-07-25-09:00</t>
  </si>
  <si>
    <t>2018-07-25-10:00</t>
  </si>
  <si>
    <t>2018-07-25-12:00</t>
  </si>
  <si>
    <t>2018-07-25-13:00</t>
  </si>
  <si>
    <t>2018-07-25-15:00</t>
  </si>
  <si>
    <t>2018-07-25-16:00</t>
  </si>
  <si>
    <t>2018-07-25-17:00</t>
  </si>
  <si>
    <t>2018-07-25-18:00</t>
  </si>
  <si>
    <t>2018-07-25-19:00</t>
  </si>
  <si>
    <t>2018-07-25-20:00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</si>
  <si>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</si>
  <si>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</si>
  <si>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</si>
  <si>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</si>
  <si>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</si>
  <si>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</si>
  <si>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</si>
  <si>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</si>
  <si>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</si>
  <si>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</si>
  <si>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</si>
  <si>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</si>
  <si>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</si>
  <si>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</si>
  <si>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</si>
  <si>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</si>
  <si>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</si>
  <si>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</si>
  <si>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</si>
  <si>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</si>
  <si>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</si>
  <si>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</si>
  <si>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</si>
  <si>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</si>
  <si>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</si>
  <si>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</si>
  <si>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</si>
  <si>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</si>
  <si>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</si>
  <si>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</si>
  <si>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</si>
  <si>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</si>
  <si>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</si>
  <si>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</si>
  <si>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</si>
  <si>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</si>
  <si>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</si>
  <si>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</si>
  <si>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</si>
  <si>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</si>
  <si>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</si>
  <si>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</si>
  <si>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</si>
  <si>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2018-07-27-17:00</t>
  </si>
  <si>
    <t>2018-07-27-18:00</t>
  </si>
  <si>
    <t>2018-07-27-19:00</t>
  </si>
  <si>
    <t>2018-07-27-20:00</t>
  </si>
  <si>
    <t>2018-07-27-21:00</t>
  </si>
  <si>
    <t>2018-07-27-22:00</t>
  </si>
  <si>
    <t>2018-07-27-23:00</t>
  </si>
  <si>
    <t>2018-07-30-00:00</t>
  </si>
  <si>
    <t>2018-07-30-01:00</t>
  </si>
  <si>
    <t>2018-07-30-02:00</t>
  </si>
  <si>
    <t>2018-07-30-03:00</t>
  </si>
  <si>
    <t>2018-07-30-04:00</t>
  </si>
  <si>
    <t>2018-07-30-05:00</t>
  </si>
  <si>
    <t>2018-07-30-06:00</t>
  </si>
  <si>
    <t>2018-07-30-07:00</t>
  </si>
  <si>
    <t>2018-07-30-08:00</t>
  </si>
  <si>
    <t>2018-07-30-09:00</t>
  </si>
  <si>
    <t>2018-07-30-10:00</t>
  </si>
  <si>
    <t>2018-07-30-11:00</t>
  </si>
  <si>
    <t>2018-07-30-12:00</t>
  </si>
  <si>
    <t>2018-07-30-13:00</t>
  </si>
  <si>
    <t>2018-07-30-14:00</t>
  </si>
  <si>
    <t>2018-07-30-15:00</t>
  </si>
  <si>
    <t>2018-07-30-16:00</t>
  </si>
  <si>
    <t>2018-07-30-17:00</t>
  </si>
  <si>
    <t>2018-07-30-18:00</t>
  </si>
  <si>
    <t>2018-07-30-19:00</t>
  </si>
  <si>
    <t>2018-07-30-20:00</t>
  </si>
  <si>
    <t>2018-07-30-21:00</t>
  </si>
  <si>
    <t>2018-07-30-22:00</t>
  </si>
  <si>
    <t>SEQUENCEID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</si>
</sst>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8">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xf numFmtId="166" fontId="2" fillId="0" borderId="0" xfId="0" applyNumberFormat="1" applyFont="1"/>
    <xf numFmtId="3" fontId="0" fillId="0" borderId="0" xfId="0" applyNumberFormat="1"/>
    <xf numFmtId="0" fontId="0" fillId="4" borderId="0" xfId="0" applyFill="1"/>
    <xf numFmtId="3" fontId="1" fillId="0" borderId="0" xfId="0" applyNumberFormat="1" applyFont="1"/>
    <xf numFmtId="0" fontId="0" fillId="0" borderId="0" xfId="0" applyAlignment="1">
      <alignment horizontal="left" indent="1"/>
    </xf>
  </cellXfs>
  <cellStyles count="2">
    <cellStyle name="Hyperlink" xfId="1" builtinId="8"/>
    <cellStyle name="Normal" xfId="0" builtinId="0"/>
  </cellStyles>
  <dxfs count="35">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3.xml"/><Relationship Id="rId42" Type="http://schemas.microsoft.com/office/2007/relationships/slicerCache" Target="slicerCaches/slicerCache17.xml"/><Relationship Id="rId47" Type="http://schemas.microsoft.com/office/2007/relationships/slicerCache" Target="slicerCaches/slicerCache22.xml"/><Relationship Id="rId63" Type="http://schemas.microsoft.com/office/2007/relationships/slicerCache" Target="slicerCaches/slicerCache38.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microsoft.com/office/2007/relationships/slicerCache" Target="slicerCaches/slicerCache28.xml"/><Relationship Id="rId58" Type="http://schemas.microsoft.com/office/2007/relationships/slicerCache" Target="slicerCaches/slicerCache3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36.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microsoft.com/office/2007/relationships/slicerCache" Target="slicerCaches/slicerCache31.xml"/><Relationship Id="rId64" Type="http://schemas.microsoft.com/office/2007/relationships/slicerCache" Target="slicerCaches/slicerCache39.xml"/><Relationship Id="rId69"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7.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7/relationships/slicerCache" Target="slicerCaches/slicerCache34.xml"/><Relationship Id="rId67" Type="http://schemas.openxmlformats.org/officeDocument/2006/relationships/styles" Target="styles.xml"/><Relationship Id="rId20" Type="http://schemas.openxmlformats.org/officeDocument/2006/relationships/pivotCacheDefinition" Target="pivotCache/pivotCacheDefinition2.xml"/><Relationship Id="rId41" Type="http://schemas.microsoft.com/office/2007/relationships/slicerCache" Target="slicerCaches/slicerCache16.xml"/><Relationship Id="rId54" Type="http://schemas.microsoft.com/office/2007/relationships/slicerCache" Target="slicerCaches/slicerCache29.xml"/><Relationship Id="rId62" Type="http://schemas.microsoft.com/office/2007/relationships/slicerCache" Target="slicerCaches/slicerCache37.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microsoft.com/office/2007/relationships/slicerCache" Target="slicerCaches/slicerCache3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microsoft.com/office/2007/relationships/slicerCache" Target="slicerCaches/slicerCache27.xml"/><Relationship Id="rId60" Type="http://schemas.microsoft.com/office/2007/relationships/slicerCache" Target="slicerCaches/slicerCache35.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7.xml"/><Relationship Id="rId39" Type="http://schemas.microsoft.com/office/2007/relationships/slicerCache" Target="slicerCaches/slicerCache14.xml"/><Relationship Id="rId34" Type="http://schemas.microsoft.com/office/2007/relationships/slicerCache" Target="slicerCaches/slicerCache9.xml"/><Relationship Id="rId50" Type="http://schemas.microsoft.com/office/2007/relationships/slicerCache" Target="slicerCaches/slicerCache25.xml"/><Relationship Id="rId55" Type="http://schemas.microsoft.com/office/2007/relationships/slicerCache" Target="slicerCaches/slicerCache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MSE!$B$2:$B$24</c:f>
              <c:numCache>
                <c:formatCode>0.00000</c:formatCode>
                <c:ptCount val="22"/>
                <c:pt idx="0">
                  <c:v>1.7526923911646E-3</c:v>
                </c:pt>
                <c:pt idx="1">
                  <c:v>1.2076594866812201E-3</c:v>
                </c:pt>
                <c:pt idx="2">
                  <c:v>9.3854742590338003E-4</c:v>
                </c:pt>
                <c:pt idx="3">
                  <c:v>7.7149580465629697E-4</c:v>
                </c:pt>
                <c:pt idx="4">
                  <c:v>6.6001620143651995E-4</c:v>
                </c:pt>
                <c:pt idx="5">
                  <c:v>5.80693653319031E-4</c:v>
                </c:pt>
                <c:pt idx="6">
                  <c:v>5.2116008009761604E-4</c:v>
                </c:pt>
                <c:pt idx="7">
                  <c:v>4.7453781007789102E-4</c:v>
                </c:pt>
                <c:pt idx="8">
                  <c:v>4.3682078830897803E-4</c:v>
                </c:pt>
                <c:pt idx="9">
                  <c:v>4.0557520696893302E-4</c:v>
                </c:pt>
                <c:pt idx="10">
                  <c:v>3.7924878415651598E-4</c:v>
                </c:pt>
                <c:pt idx="11">
                  <c:v>3.5678903805091999E-4</c:v>
                </c:pt>
                <c:pt idx="12">
                  <c:v>3.3743688254617198E-4</c:v>
                </c:pt>
                <c:pt idx="13">
                  <c:v>3.20616672979668E-4</c:v>
                </c:pt>
                <c:pt idx="14">
                  <c:v>3.0587715446017699E-4</c:v>
                </c:pt>
                <c:pt idx="15">
                  <c:v>2.9285805067047498E-4</c:v>
                </c:pt>
                <c:pt idx="16">
                  <c:v>2.81268876278773E-4</c:v>
                </c:pt>
                <c:pt idx="17">
                  <c:v>2.70875578280538E-4</c:v>
                </c:pt>
                <c:pt idx="18">
                  <c:v>2.6148819597437999E-4</c:v>
                </c:pt>
                <c:pt idx="19">
                  <c:v>2.5295355590060402E-4</c:v>
                </c:pt>
                <c:pt idx="20">
                  <c:v>2.45148286921903E-4</c:v>
                </c:pt>
                <c:pt idx="21">
                  <c:v>2.3797225730959299E-4</c:v>
                </c:pt>
              </c:numCache>
            </c:numRef>
          </c:val>
          <c:smooth val="0"/>
        </c:ser>
        <c:dLbls>
          <c:showLegendKey val="0"/>
          <c:showVal val="0"/>
          <c:showCatName val="0"/>
          <c:showSerName val="0"/>
          <c:showPercent val="0"/>
          <c:showBubbleSize val="0"/>
        </c:dLbls>
        <c:marker val="1"/>
        <c:smooth val="0"/>
        <c:axId val="-1391731696"/>
        <c:axId val="-1391722448"/>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MSE!$C$2:$C$24</c:f>
              <c:numCache>
                <c:formatCode>0</c:formatCode>
                <c:ptCount val="22"/>
                <c:pt idx="0">
                  <c:v>10629</c:v>
                </c:pt>
                <c:pt idx="1">
                  <c:v>10640</c:v>
                </c:pt>
                <c:pt idx="2">
                  <c:v>10645</c:v>
                </c:pt>
                <c:pt idx="3">
                  <c:v>10683</c:v>
                </c:pt>
                <c:pt idx="4">
                  <c:v>10689</c:v>
                </c:pt>
                <c:pt idx="5">
                  <c:v>10682</c:v>
                </c:pt>
                <c:pt idx="6">
                  <c:v>10699</c:v>
                </c:pt>
                <c:pt idx="7">
                  <c:v>10692</c:v>
                </c:pt>
                <c:pt idx="8">
                  <c:v>10685</c:v>
                </c:pt>
                <c:pt idx="9">
                  <c:v>10686</c:v>
                </c:pt>
                <c:pt idx="10">
                  <c:v>10686</c:v>
                </c:pt>
                <c:pt idx="11">
                  <c:v>10687</c:v>
                </c:pt>
                <c:pt idx="12">
                  <c:v>10695</c:v>
                </c:pt>
                <c:pt idx="13">
                  <c:v>10696</c:v>
                </c:pt>
                <c:pt idx="14">
                  <c:v>10762</c:v>
                </c:pt>
                <c:pt idx="15">
                  <c:v>10753</c:v>
                </c:pt>
                <c:pt idx="16">
                  <c:v>10755</c:v>
                </c:pt>
                <c:pt idx="17">
                  <c:v>10756</c:v>
                </c:pt>
                <c:pt idx="18">
                  <c:v>10752</c:v>
                </c:pt>
                <c:pt idx="19">
                  <c:v>10748</c:v>
                </c:pt>
                <c:pt idx="20">
                  <c:v>10748</c:v>
                </c:pt>
                <c:pt idx="21">
                  <c:v>10749</c:v>
                </c:pt>
              </c:numCache>
            </c:numRef>
          </c:val>
          <c:smooth val="0"/>
        </c:ser>
        <c:dLbls>
          <c:showLegendKey val="0"/>
          <c:showVal val="0"/>
          <c:showCatName val="0"/>
          <c:showSerName val="0"/>
          <c:showPercent val="0"/>
          <c:showBubbleSize val="0"/>
        </c:dLbls>
        <c:marker val="1"/>
        <c:smooth val="0"/>
        <c:axId val="-1391730064"/>
        <c:axId val="-1391726800"/>
      </c:lineChart>
      <c:catAx>
        <c:axId val="-139173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22448"/>
        <c:crosses val="autoZero"/>
        <c:auto val="1"/>
        <c:lblAlgn val="ctr"/>
        <c:lblOffset val="100"/>
        <c:noMultiLvlLbl val="0"/>
      </c:catAx>
      <c:valAx>
        <c:axId val="-13917224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31696"/>
        <c:crosses val="autoZero"/>
        <c:crossBetween val="between"/>
      </c:valAx>
      <c:valAx>
        <c:axId val="-139172680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30064"/>
        <c:crosses val="max"/>
        <c:crossBetween val="between"/>
      </c:valAx>
      <c:catAx>
        <c:axId val="-1391730064"/>
        <c:scaling>
          <c:orientation val="minMax"/>
        </c:scaling>
        <c:delete val="1"/>
        <c:axPos val="b"/>
        <c:numFmt formatCode="General" sourceLinked="1"/>
        <c:majorTickMark val="out"/>
        <c:minorTickMark val="none"/>
        <c:tickLblPos val="nextTo"/>
        <c:crossAx val="-1391726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Run_TRS!$B$4:$B$76</c:f>
              <c:numCache>
                <c:formatCode>General</c:formatCode>
                <c:ptCount val="72"/>
                <c:pt idx="0">
                  <c:v>4.646347703412175E-2</c:v>
                </c:pt>
                <c:pt idx="1">
                  <c:v>4.622309600934385E-2</c:v>
                </c:pt>
                <c:pt idx="2">
                  <c:v>4.5539927706122391E-2</c:v>
                </c:pt>
                <c:pt idx="3">
                  <c:v>4.4820592552423474E-2</c:v>
                </c:pt>
                <c:pt idx="4">
                  <c:v>4.6110559217631818E-2</c:v>
                </c:pt>
                <c:pt idx="5">
                  <c:v>4.6148929689079535E-2</c:v>
                </c:pt>
                <c:pt idx="6">
                  <c:v>4.6495366338640459E-2</c:v>
                </c:pt>
                <c:pt idx="7">
                  <c:v>4.5404060538858176E-2</c:v>
                </c:pt>
                <c:pt idx="8">
                  <c:v>4.3172463402152063E-2</c:v>
                </c:pt>
                <c:pt idx="9">
                  <c:v>4.1112079694867118E-2</c:v>
                </c:pt>
                <c:pt idx="10">
                  <c:v>4.0071532800793619E-2</c:v>
                </c:pt>
                <c:pt idx="11">
                  <c:v>3.8122794553637492E-2</c:v>
                </c:pt>
                <c:pt idx="12">
                  <c:v>3.8372725658118709E-2</c:v>
                </c:pt>
                <c:pt idx="13">
                  <c:v>3.7960034739226087E-2</c:v>
                </c:pt>
                <c:pt idx="14">
                  <c:v>3.3859543856233333E-2</c:v>
                </c:pt>
                <c:pt idx="15">
                  <c:v>2.8861979562789183E-2</c:v>
                </c:pt>
                <c:pt idx="16">
                  <c:v>2.9991579316556435E-2</c:v>
                </c:pt>
                <c:pt idx="17">
                  <c:v>3.235475866124031E-2</c:v>
                </c:pt>
                <c:pt idx="18">
                  <c:v>3.2034910563379496E-2</c:v>
                </c:pt>
                <c:pt idx="19">
                  <c:v>2.7570817116647932E-2</c:v>
                </c:pt>
                <c:pt idx="20">
                  <c:v>2.3795842584222519E-2</c:v>
                </c:pt>
                <c:pt idx="21">
                  <c:v>2.0533241648226945E-2</c:v>
                </c:pt>
                <c:pt idx="22">
                  <c:v>1.7728781718760699E-2</c:v>
                </c:pt>
                <c:pt idx="23">
                  <c:v>1.7953507099300596E-2</c:v>
                </c:pt>
                <c:pt idx="24">
                  <c:v>1.8120174687355738E-2</c:v>
                </c:pt>
                <c:pt idx="25">
                  <c:v>1.662515154108404E-2</c:v>
                </c:pt>
                <c:pt idx="26">
                  <c:v>1.6599459666758767E-2</c:v>
                </c:pt>
                <c:pt idx="27">
                  <c:v>1.7563037909567352E-2</c:v>
                </c:pt>
                <c:pt idx="28">
                  <c:v>1.8542313352227197E-2</c:v>
                </c:pt>
                <c:pt idx="29">
                  <c:v>1.8032647063955656E-2</c:v>
                </c:pt>
                <c:pt idx="30">
                  <c:v>1.7954120924696317E-2</c:v>
                </c:pt>
                <c:pt idx="31">
                  <c:v>1.7612842088565221E-2</c:v>
                </c:pt>
                <c:pt idx="32">
                  <c:v>1.8517440417781462E-2</c:v>
                </c:pt>
                <c:pt idx="33">
                  <c:v>1.6542151691392053E-2</c:v>
                </c:pt>
                <c:pt idx="34">
                  <c:v>1.6524476381018758E-2</c:v>
                </c:pt>
                <c:pt idx="35">
                  <c:v>1.805686318315565E-2</c:v>
                </c:pt>
                <c:pt idx="36">
                  <c:v>1.8007320826873178E-2</c:v>
                </c:pt>
                <c:pt idx="37">
                  <c:v>1.9246988249942653E-2</c:v>
                </c:pt>
                <c:pt idx="38">
                  <c:v>2.3310771184042088E-2</c:v>
                </c:pt>
                <c:pt idx="39">
                  <c:v>2.9058355810120697E-2</c:v>
                </c:pt>
                <c:pt idx="40">
                  <c:v>3.2932738559320565E-2</c:v>
                </c:pt>
                <c:pt idx="41">
                  <c:v>3.5293901236727827E-2</c:v>
                </c:pt>
                <c:pt idx="42">
                  <c:v>3.539519789628684E-2</c:v>
                </c:pt>
                <c:pt idx="43">
                  <c:v>3.5177587186917651E-2</c:v>
                </c:pt>
                <c:pt idx="44">
                  <c:v>3.753955683670937E-2</c:v>
                </c:pt>
                <c:pt idx="45">
                  <c:v>3.8365962291136375E-2</c:v>
                </c:pt>
                <c:pt idx="46">
                  <c:v>3.8278783736750463E-2</c:v>
                </c:pt>
                <c:pt idx="47">
                  <c:v>3.9211904099211083E-2</c:v>
                </c:pt>
                <c:pt idx="48">
                  <c:v>3.9512970400974137E-2</c:v>
                </c:pt>
                <c:pt idx="49">
                  <c:v>3.9239384187385422E-2</c:v>
                </c:pt>
                <c:pt idx="50">
                  <c:v>3.8662355085834835E-2</c:v>
                </c:pt>
                <c:pt idx="51">
                  <c:v>3.7907867180183498E-2</c:v>
                </c:pt>
                <c:pt idx="52">
                  <c:v>3.6544947801157808E-2</c:v>
                </c:pt>
                <c:pt idx="53">
                  <c:v>3.6309433905407765E-2</c:v>
                </c:pt>
                <c:pt idx="54">
                  <c:v>3.7768573537468882E-2</c:v>
                </c:pt>
                <c:pt idx="55">
                  <c:v>3.807293912395833E-2</c:v>
                </c:pt>
                <c:pt idx="56">
                  <c:v>3.8912696670740814E-2</c:v>
                </c:pt>
                <c:pt idx="57">
                  <c:v>4.0396607406437371E-2</c:v>
                </c:pt>
                <c:pt idx="58">
                  <c:v>4.5138328801840516E-2</c:v>
                </c:pt>
                <c:pt idx="59">
                  <c:v>4.6987219639122453E-2</c:v>
                </c:pt>
                <c:pt idx="60">
                  <c:v>4.6808293126523466E-2</c:v>
                </c:pt>
                <c:pt idx="61">
                  <c:v>4.8025425858795608E-2</c:v>
                </c:pt>
                <c:pt idx="62">
                  <c:v>4.9957140758633577E-2</c:v>
                </c:pt>
                <c:pt idx="63">
                  <c:v>4.8349588140845265E-2</c:v>
                </c:pt>
                <c:pt idx="64">
                  <c:v>4.764230884611604E-2</c:v>
                </c:pt>
                <c:pt idx="65">
                  <c:v>4.7944167330861064E-2</c:v>
                </c:pt>
                <c:pt idx="66">
                  <c:v>4.730267338454721E-2</c:v>
                </c:pt>
                <c:pt idx="67">
                  <c:v>4.6611322388052913E-2</c:v>
                </c:pt>
                <c:pt idx="68">
                  <c:v>4.5686545353382797E-2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Run_TRS!$C$4:$C$76</c:f>
              <c:numCache>
                <c:formatCode>General</c:formatCode>
                <c:ptCount val="72"/>
                <c:pt idx="50">
                  <c:v>3.8670029449276631E-2</c:v>
                </c:pt>
                <c:pt idx="51">
                  <c:v>3.6843250733800216E-2</c:v>
                </c:pt>
                <c:pt idx="52">
                  <c:v>3.7716155713424071E-2</c:v>
                </c:pt>
                <c:pt idx="53">
                  <c:v>3.5343008106574411E-2</c:v>
                </c:pt>
                <c:pt idx="54">
                  <c:v>3.8047449995647166E-2</c:v>
                </c:pt>
                <c:pt idx="55">
                  <c:v>3.8830558364279573E-2</c:v>
                </c:pt>
                <c:pt idx="56">
                  <c:v>3.8710695414338289E-2</c:v>
                </c:pt>
                <c:pt idx="57">
                  <c:v>4.1574596050195402E-2</c:v>
                </c:pt>
                <c:pt idx="58">
                  <c:v>4.5792562420247103E-2</c:v>
                </c:pt>
                <c:pt idx="59">
                  <c:v>4.7446382145863046E-2</c:v>
                </c:pt>
                <c:pt idx="60">
                  <c:v>4.757731758523729E-2</c:v>
                </c:pt>
                <c:pt idx="61">
                  <c:v>4.7012714282609537E-2</c:v>
                </c:pt>
                <c:pt idx="62">
                  <c:v>5.0518249209271733E-2</c:v>
                </c:pt>
                <c:pt idx="63">
                  <c:v>4.8214991670101882E-2</c:v>
                </c:pt>
                <c:pt idx="64">
                  <c:v>4.8207113650278167E-2</c:v>
                </c:pt>
                <c:pt idx="65">
                  <c:v>4.785416557919233E-2</c:v>
                </c:pt>
                <c:pt idx="66">
                  <c:v>4.5532308187102896E-2</c:v>
                </c:pt>
                <c:pt idx="67">
                  <c:v>4.7509568012319522E-2</c:v>
                </c:pt>
                <c:pt idx="68">
                  <c:v>4.2800158001482458E-2</c:v>
                </c:pt>
                <c:pt idx="69">
                  <c:v>3.4321795947616918E-2</c:v>
                </c:pt>
                <c:pt idx="70">
                  <c:v>4.1479168499354284E-2</c:v>
                </c:pt>
                <c:pt idx="71">
                  <c:v>4.1848098438349551E-2</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Run_TRS!$D$4:$D$76</c:f>
              <c:numCache>
                <c:formatCode>General</c:formatCode>
                <c:ptCount val="72"/>
                <c:pt idx="50">
                  <c:v>3.5659580444916948E-3</c:v>
                </c:pt>
                <c:pt idx="51">
                  <c:v>3.6986407404765438E-3</c:v>
                </c:pt>
                <c:pt idx="52">
                  <c:v>3.9235719665884792E-3</c:v>
                </c:pt>
                <c:pt idx="53">
                  <c:v>3.8149556331336532E-3</c:v>
                </c:pt>
                <c:pt idx="54">
                  <c:v>3.6523296701489022E-3</c:v>
                </c:pt>
                <c:pt idx="55">
                  <c:v>3.5648872563615736E-3</c:v>
                </c:pt>
                <c:pt idx="56">
                  <c:v>3.5194844123907559E-3</c:v>
                </c:pt>
                <c:pt idx="57">
                  <c:v>4.0315371146425584E-3</c:v>
                </c:pt>
                <c:pt idx="58">
                  <c:v>3.6100277712103248E-3</c:v>
                </c:pt>
                <c:pt idx="59">
                  <c:v>4.2886057379655325E-3</c:v>
                </c:pt>
                <c:pt idx="60">
                  <c:v>4.4263361068442439E-3</c:v>
                </c:pt>
                <c:pt idx="61">
                  <c:v>5.0997675443068147E-3</c:v>
                </c:pt>
                <c:pt idx="62">
                  <c:v>5.1119905442465405E-3</c:v>
                </c:pt>
                <c:pt idx="63">
                  <c:v>5.5648502521216713E-3</c:v>
                </c:pt>
                <c:pt idx="64">
                  <c:v>7.3479163466254474E-3</c:v>
                </c:pt>
                <c:pt idx="65">
                  <c:v>7.2395690763369181E-3</c:v>
                </c:pt>
                <c:pt idx="66">
                  <c:v>7.4869806680362798E-3</c:v>
                </c:pt>
                <c:pt idx="67">
                  <c:v>9.639819315634672E-3</c:v>
                </c:pt>
                <c:pt idx="68">
                  <c:v>1.3724879929795857E-2</c:v>
                </c:pt>
              </c:numCache>
            </c:numRef>
          </c:val>
          <c:smooth val="0"/>
        </c:ser>
        <c:dLbls>
          <c:showLegendKey val="0"/>
          <c:showVal val="0"/>
          <c:showCatName val="0"/>
          <c:showSerName val="0"/>
          <c:showPercent val="0"/>
          <c:showBubbleSize val="0"/>
        </c:dLbls>
        <c:smooth val="0"/>
        <c:axId val="-1391722992"/>
        <c:axId val="-1391717552"/>
      </c:lineChart>
      <c:catAx>
        <c:axId val="-139172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17552"/>
        <c:crosses val="autoZero"/>
        <c:auto val="1"/>
        <c:lblAlgn val="ctr"/>
        <c:lblOffset val="100"/>
        <c:noMultiLvlLbl val="0"/>
      </c:catAx>
      <c:valAx>
        <c:axId val="-1391717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22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multiLvlStrRef>
              <c:f>Run_TR!$A$2:$A$1802</c:f>
              <c:multiLvlStrCache>
                <c:ptCount val="1728"/>
                <c:lvl>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2018-07-25-20:00</c:v>
                  </c:pt>
                  <c:pt idx="18">
                    <c:v>2018-07-25-21:00</c:v>
                  </c:pt>
                  <c:pt idx="19">
                    <c:v>2018-07-25-22:00</c:v>
                  </c:pt>
                  <c:pt idx="20">
                    <c:v>2018-07-25-23:00</c:v>
                  </c:pt>
                  <c:pt idx="21">
                    <c:v>2018-07-26-00:00</c:v>
                  </c:pt>
                  <c:pt idx="22">
                    <c:v>2018-07-26-01:00</c:v>
                  </c:pt>
                  <c:pt idx="23">
                    <c:v>2018-07-26-02:00</c:v>
                  </c:pt>
                  <c:pt idx="24">
                    <c:v>2018-07-25-19:00</c:v>
                  </c:pt>
                  <c:pt idx="25">
                    <c:v>2018-07-25-03:00</c:v>
                  </c:pt>
                  <c:pt idx="26">
                    <c:v>2018-07-25-04:00</c:v>
                  </c:pt>
                  <c:pt idx="27">
                    <c:v>2018-07-25-05:00</c:v>
                  </c:pt>
                  <c:pt idx="28">
                    <c:v>2018-07-25-06:00</c:v>
                  </c:pt>
                  <c:pt idx="29">
                    <c:v>2018-07-25-07:00</c:v>
                  </c:pt>
                  <c:pt idx="30">
                    <c:v>2018-07-25-08:00</c:v>
                  </c:pt>
                  <c:pt idx="31">
                    <c:v>2018-07-25-09:00</c:v>
                  </c:pt>
                  <c:pt idx="32">
                    <c:v>2018-07-25-10:00</c:v>
                  </c:pt>
                  <c:pt idx="33">
                    <c:v>2018-07-25-11:00</c:v>
                  </c:pt>
                  <c:pt idx="34">
                    <c:v>2018-07-25-12:00</c:v>
                  </c:pt>
                  <c:pt idx="35">
                    <c:v>2018-07-25-13:00</c:v>
                  </c:pt>
                  <c:pt idx="36">
                    <c:v>2018-07-25-14:00</c:v>
                  </c:pt>
                  <c:pt idx="37">
                    <c:v>2018-07-25-15:00</c:v>
                  </c:pt>
                  <c:pt idx="38">
                    <c:v>2018-07-25-16:00</c:v>
                  </c:pt>
                  <c:pt idx="39">
                    <c:v>2018-07-25-17:00</c:v>
                  </c:pt>
                  <c:pt idx="40">
                    <c:v>2018-07-25-18:00</c:v>
                  </c:pt>
                  <c:pt idx="41">
                    <c:v>2018-07-25-20:00</c:v>
                  </c:pt>
                  <c:pt idx="42">
                    <c:v>2018-07-25-21:00</c:v>
                  </c:pt>
                  <c:pt idx="43">
                    <c:v>2018-07-25-22:00</c:v>
                  </c:pt>
                  <c:pt idx="44">
                    <c:v>2018-07-25-23:00</c:v>
                  </c:pt>
                  <c:pt idx="45">
                    <c:v>2018-07-26-00:00</c:v>
                  </c:pt>
                  <c:pt idx="46">
                    <c:v>2018-07-26-01:00</c:v>
                  </c:pt>
                  <c:pt idx="47">
                    <c:v>2018-07-26-02:00</c:v>
                  </c:pt>
                  <c:pt idx="48">
                    <c:v>2018-07-26-03:00</c:v>
                  </c:pt>
                  <c:pt idx="49">
                    <c:v>2018-07-25-19:00</c:v>
                  </c:pt>
                  <c:pt idx="50">
                    <c:v>2018-07-25-04:00</c:v>
                  </c:pt>
                  <c:pt idx="51">
                    <c:v>2018-07-25-05:00</c:v>
                  </c:pt>
                  <c:pt idx="52">
                    <c:v>2018-07-25-06:00</c:v>
                  </c:pt>
                  <c:pt idx="53">
                    <c:v>2018-07-25-07:00</c:v>
                  </c:pt>
                  <c:pt idx="54">
                    <c:v>2018-07-25-08:00</c:v>
                  </c:pt>
                  <c:pt idx="55">
                    <c:v>2018-07-25-09:00</c:v>
                  </c:pt>
                  <c:pt idx="56">
                    <c:v>2018-07-25-10:00</c:v>
                  </c:pt>
                  <c:pt idx="57">
                    <c:v>2018-07-25-11:00</c:v>
                  </c:pt>
                  <c:pt idx="58">
                    <c:v>2018-07-25-12:00</c:v>
                  </c:pt>
                  <c:pt idx="59">
                    <c:v>2018-07-25-13:00</c:v>
                  </c:pt>
                  <c:pt idx="60">
                    <c:v>2018-07-25-14:00</c:v>
                  </c:pt>
                  <c:pt idx="61">
                    <c:v>2018-07-25-15:00</c:v>
                  </c:pt>
                  <c:pt idx="62">
                    <c:v>2018-07-25-16:00</c:v>
                  </c:pt>
                  <c:pt idx="63">
                    <c:v>2018-07-25-17:00</c:v>
                  </c:pt>
                  <c:pt idx="64">
                    <c:v>2018-07-25-18:00</c:v>
                  </c:pt>
                  <c:pt idx="65">
                    <c:v>2018-07-25-20:00</c:v>
                  </c:pt>
                  <c:pt idx="66">
                    <c:v>2018-07-25-21:00</c:v>
                  </c:pt>
                  <c:pt idx="67">
                    <c:v>2018-07-25-22:00</c:v>
                  </c:pt>
                  <c:pt idx="68">
                    <c:v>2018-07-25-23:00</c:v>
                  </c:pt>
                  <c:pt idx="69">
                    <c:v>2018-07-26-00:00</c:v>
                  </c:pt>
                  <c:pt idx="70">
                    <c:v>2018-07-26-01:00</c:v>
                  </c:pt>
                  <c:pt idx="71">
                    <c:v>2018-07-26-02:00</c:v>
                  </c:pt>
                  <c:pt idx="72">
                    <c:v>2018-07-26-03:00</c:v>
                  </c:pt>
                  <c:pt idx="73">
                    <c:v>2018-07-26-04:00</c:v>
                  </c:pt>
                  <c:pt idx="74">
                    <c:v>2018-07-25-19:00</c:v>
                  </c:pt>
                  <c:pt idx="75">
                    <c:v>2018-07-25-05:00</c:v>
                  </c:pt>
                  <c:pt idx="76">
                    <c:v>2018-07-25-06:00</c:v>
                  </c:pt>
                  <c:pt idx="77">
                    <c:v>2018-07-25-07:00</c:v>
                  </c:pt>
                  <c:pt idx="78">
                    <c:v>2018-07-25-08:00</c:v>
                  </c:pt>
                  <c:pt idx="79">
                    <c:v>2018-07-25-09:00</c:v>
                  </c:pt>
                  <c:pt idx="80">
                    <c:v>2018-07-25-10:00</c:v>
                  </c:pt>
                  <c:pt idx="81">
                    <c:v>2018-07-25-11:00</c:v>
                  </c:pt>
                  <c:pt idx="82">
                    <c:v>2018-07-25-12:00</c:v>
                  </c:pt>
                  <c:pt idx="83">
                    <c:v>2018-07-25-13:00</c:v>
                  </c:pt>
                  <c:pt idx="84">
                    <c:v>2018-07-25-14:00</c:v>
                  </c:pt>
                  <c:pt idx="85">
                    <c:v>2018-07-25-15:00</c:v>
                  </c:pt>
                  <c:pt idx="86">
                    <c:v>2018-07-25-16:00</c:v>
                  </c:pt>
                  <c:pt idx="87">
                    <c:v>2018-07-25-17:00</c:v>
                  </c:pt>
                  <c:pt idx="88">
                    <c:v>2018-07-25-18:00</c:v>
                  </c:pt>
                  <c:pt idx="89">
                    <c:v>2018-07-25-20:00</c:v>
                  </c:pt>
                  <c:pt idx="90">
                    <c:v>2018-07-25-21:00</c:v>
                  </c:pt>
                  <c:pt idx="91">
                    <c:v>2018-07-25-22:00</c:v>
                  </c:pt>
                  <c:pt idx="92">
                    <c:v>2018-07-25-23:00</c:v>
                  </c:pt>
                  <c:pt idx="93">
                    <c:v>2018-07-26-00:00</c:v>
                  </c:pt>
                  <c:pt idx="94">
                    <c:v>2018-07-26-01:00</c:v>
                  </c:pt>
                  <c:pt idx="95">
                    <c:v>2018-07-26-02:00</c:v>
                  </c:pt>
                  <c:pt idx="96">
                    <c:v>2018-07-26-03:00</c:v>
                  </c:pt>
                  <c:pt idx="97">
                    <c:v>2018-07-26-04:00</c:v>
                  </c:pt>
                  <c:pt idx="98">
                    <c:v>2018-07-26-05:00</c:v>
                  </c:pt>
                  <c:pt idx="99">
                    <c:v>2018-07-25-19:00</c:v>
                  </c:pt>
                  <c:pt idx="100">
                    <c:v>2018-07-25-06:00</c:v>
                  </c:pt>
                  <c:pt idx="101">
                    <c:v>2018-07-25-07:00</c:v>
                  </c:pt>
                  <c:pt idx="102">
                    <c:v>2018-07-25-08:00</c:v>
                  </c:pt>
                  <c:pt idx="103">
                    <c:v>2018-07-25-09:00</c:v>
                  </c:pt>
                  <c:pt idx="104">
                    <c:v>2018-07-25-10:00</c:v>
                  </c:pt>
                  <c:pt idx="105">
                    <c:v>2018-07-25-11:00</c:v>
                  </c:pt>
                  <c:pt idx="106">
                    <c:v>2018-07-25-12:00</c:v>
                  </c:pt>
                  <c:pt idx="107">
                    <c:v>2018-07-25-13:00</c:v>
                  </c:pt>
                  <c:pt idx="108">
                    <c:v>2018-07-25-14:00</c:v>
                  </c:pt>
                  <c:pt idx="109">
                    <c:v>2018-07-25-15:00</c:v>
                  </c:pt>
                  <c:pt idx="110">
                    <c:v>2018-07-25-16:00</c:v>
                  </c:pt>
                  <c:pt idx="111">
                    <c:v>2018-07-25-17:00</c:v>
                  </c:pt>
                  <c:pt idx="112">
                    <c:v>2018-07-25-18:00</c:v>
                  </c:pt>
                  <c:pt idx="113">
                    <c:v>2018-07-25-20:00</c:v>
                  </c:pt>
                  <c:pt idx="114">
                    <c:v>2018-07-25-21:00</c:v>
                  </c:pt>
                  <c:pt idx="115">
                    <c:v>2018-07-25-22:00</c:v>
                  </c:pt>
                  <c:pt idx="116">
                    <c:v>2018-07-25-23:00</c:v>
                  </c:pt>
                  <c:pt idx="117">
                    <c:v>2018-07-26-00:00</c:v>
                  </c:pt>
                  <c:pt idx="118">
                    <c:v>2018-07-26-01:00</c:v>
                  </c:pt>
                  <c:pt idx="119">
                    <c:v>2018-07-26-02:00</c:v>
                  </c:pt>
                  <c:pt idx="120">
                    <c:v>2018-07-26-03:00</c:v>
                  </c:pt>
                  <c:pt idx="121">
                    <c:v>2018-07-26-04:00</c:v>
                  </c:pt>
                  <c:pt idx="122">
                    <c:v>2018-07-26-05:00</c:v>
                  </c:pt>
                  <c:pt idx="123">
                    <c:v>2018-07-26-06:00</c:v>
                  </c:pt>
                  <c:pt idx="124">
                    <c:v>2018-07-25-19:00</c:v>
                  </c:pt>
                  <c:pt idx="125">
                    <c:v>2018-07-25-07:00</c:v>
                  </c:pt>
                  <c:pt idx="126">
                    <c:v>2018-07-25-08:00</c:v>
                  </c:pt>
                  <c:pt idx="127">
                    <c:v>2018-07-25-09:00</c:v>
                  </c:pt>
                  <c:pt idx="128">
                    <c:v>2018-07-25-10:00</c:v>
                  </c:pt>
                  <c:pt idx="129">
                    <c:v>2018-07-25-11:00</c:v>
                  </c:pt>
                  <c:pt idx="130">
                    <c:v>2018-07-25-12:00</c:v>
                  </c:pt>
                  <c:pt idx="131">
                    <c:v>2018-07-25-13:00</c:v>
                  </c:pt>
                  <c:pt idx="132">
                    <c:v>2018-07-25-14:00</c:v>
                  </c:pt>
                  <c:pt idx="133">
                    <c:v>2018-07-25-15:00</c:v>
                  </c:pt>
                  <c:pt idx="134">
                    <c:v>2018-07-25-16:00</c:v>
                  </c:pt>
                  <c:pt idx="135">
                    <c:v>2018-07-25-17:00</c:v>
                  </c:pt>
                  <c:pt idx="136">
                    <c:v>2018-07-25-18:00</c:v>
                  </c:pt>
                  <c:pt idx="137">
                    <c:v>2018-07-25-20:00</c:v>
                  </c:pt>
                  <c:pt idx="138">
                    <c:v>2018-07-25-21:00</c:v>
                  </c:pt>
                  <c:pt idx="139">
                    <c:v>2018-07-25-22:00</c:v>
                  </c:pt>
                  <c:pt idx="140">
                    <c:v>2018-07-25-23:00</c:v>
                  </c:pt>
                  <c:pt idx="141">
                    <c:v>2018-07-26-00:00</c:v>
                  </c:pt>
                  <c:pt idx="142">
                    <c:v>2018-07-26-01:00</c:v>
                  </c:pt>
                  <c:pt idx="143">
                    <c:v>2018-07-26-02:00</c:v>
                  </c:pt>
                  <c:pt idx="144">
                    <c:v>2018-07-26-03:00</c:v>
                  </c:pt>
                  <c:pt idx="145">
                    <c:v>2018-07-26-04:00</c:v>
                  </c:pt>
                  <c:pt idx="146">
                    <c:v>2018-07-26-05:00</c:v>
                  </c:pt>
                  <c:pt idx="147">
                    <c:v>2018-07-26-06:00</c:v>
                  </c:pt>
                  <c:pt idx="148">
                    <c:v>2018-07-26-07:00</c:v>
                  </c:pt>
                  <c:pt idx="149">
                    <c:v>2018-07-25-19:00</c:v>
                  </c:pt>
                  <c:pt idx="150">
                    <c:v>2018-07-25-08:00</c:v>
                  </c:pt>
                  <c:pt idx="151">
                    <c:v>2018-07-25-09:00</c:v>
                  </c:pt>
                  <c:pt idx="152">
                    <c:v>2018-07-25-10:00</c:v>
                  </c:pt>
                  <c:pt idx="153">
                    <c:v>2018-07-25-11:00</c:v>
                  </c:pt>
                  <c:pt idx="154">
                    <c:v>2018-07-25-12:00</c:v>
                  </c:pt>
                  <c:pt idx="155">
                    <c:v>2018-07-25-13:00</c:v>
                  </c:pt>
                  <c:pt idx="156">
                    <c:v>2018-07-25-14:00</c:v>
                  </c:pt>
                  <c:pt idx="157">
                    <c:v>2018-07-25-15:00</c:v>
                  </c:pt>
                  <c:pt idx="158">
                    <c:v>2018-07-25-16:00</c:v>
                  </c:pt>
                  <c:pt idx="159">
                    <c:v>2018-07-25-17:00</c:v>
                  </c:pt>
                  <c:pt idx="160">
                    <c:v>2018-07-25-18:00</c:v>
                  </c:pt>
                  <c:pt idx="161">
                    <c:v>2018-07-25-20:00</c:v>
                  </c:pt>
                  <c:pt idx="162">
                    <c:v>2018-07-25-21:00</c:v>
                  </c:pt>
                  <c:pt idx="163">
                    <c:v>2018-07-25-22:00</c:v>
                  </c:pt>
                  <c:pt idx="164">
                    <c:v>2018-07-25-23:00</c:v>
                  </c:pt>
                  <c:pt idx="165">
                    <c:v>2018-07-26-00:00</c:v>
                  </c:pt>
                  <c:pt idx="166">
                    <c:v>2018-07-26-01:00</c:v>
                  </c:pt>
                  <c:pt idx="167">
                    <c:v>2018-07-26-02:00</c:v>
                  </c:pt>
                  <c:pt idx="168">
                    <c:v>2018-07-26-03:00</c:v>
                  </c:pt>
                  <c:pt idx="169">
                    <c:v>2018-07-26-04:00</c:v>
                  </c:pt>
                  <c:pt idx="170">
                    <c:v>2018-07-26-05:00</c:v>
                  </c:pt>
                  <c:pt idx="171">
                    <c:v>2018-07-26-06:00</c:v>
                  </c:pt>
                  <c:pt idx="172">
                    <c:v>2018-07-26-07:00</c:v>
                  </c:pt>
                  <c:pt idx="173">
                    <c:v>2018-07-26-08:00</c:v>
                  </c:pt>
                  <c:pt idx="174">
                    <c:v>2018-07-25-19:00</c:v>
                  </c:pt>
                  <c:pt idx="175">
                    <c:v>2018-07-25-09:00</c:v>
                  </c:pt>
                  <c:pt idx="176">
                    <c:v>2018-07-25-10:00</c:v>
                  </c:pt>
                  <c:pt idx="177">
                    <c:v>2018-07-25-11:00</c:v>
                  </c:pt>
                  <c:pt idx="178">
                    <c:v>2018-07-25-12:00</c:v>
                  </c:pt>
                  <c:pt idx="179">
                    <c:v>2018-07-25-13:00</c:v>
                  </c:pt>
                  <c:pt idx="180">
                    <c:v>2018-07-25-14:00</c:v>
                  </c:pt>
                  <c:pt idx="181">
                    <c:v>2018-07-25-15:00</c:v>
                  </c:pt>
                  <c:pt idx="182">
                    <c:v>2018-07-25-16:00</c:v>
                  </c:pt>
                  <c:pt idx="183">
                    <c:v>2018-07-25-17:00</c:v>
                  </c:pt>
                  <c:pt idx="184">
                    <c:v>2018-07-25-18:00</c:v>
                  </c:pt>
                  <c:pt idx="185">
                    <c:v>2018-07-25-20:00</c:v>
                  </c:pt>
                  <c:pt idx="186">
                    <c:v>2018-07-25-21:00</c:v>
                  </c:pt>
                  <c:pt idx="187">
                    <c:v>2018-07-25-22:00</c:v>
                  </c:pt>
                  <c:pt idx="188">
                    <c:v>2018-07-25-23:00</c:v>
                  </c:pt>
                  <c:pt idx="189">
                    <c:v>2018-07-26-00:00</c:v>
                  </c:pt>
                  <c:pt idx="190">
                    <c:v>2018-07-26-01:00</c:v>
                  </c:pt>
                  <c:pt idx="191">
                    <c:v>2018-07-26-02:00</c:v>
                  </c:pt>
                  <c:pt idx="192">
                    <c:v>2018-07-26-03:00</c:v>
                  </c:pt>
                  <c:pt idx="193">
                    <c:v>2018-07-26-04:00</c:v>
                  </c:pt>
                  <c:pt idx="194">
                    <c:v>2018-07-26-05:00</c:v>
                  </c:pt>
                  <c:pt idx="195">
                    <c:v>2018-07-26-06:00</c:v>
                  </c:pt>
                  <c:pt idx="196">
                    <c:v>2018-07-26-07:00</c:v>
                  </c:pt>
                  <c:pt idx="197">
                    <c:v>2018-07-26-08:00</c:v>
                  </c:pt>
                  <c:pt idx="198">
                    <c:v>2018-07-26-09:00</c:v>
                  </c:pt>
                  <c:pt idx="199">
                    <c:v>2018-07-25-19:00</c:v>
                  </c:pt>
                  <c:pt idx="200">
                    <c:v>2018-07-25-10:00</c:v>
                  </c:pt>
                  <c:pt idx="201">
                    <c:v>2018-07-25-11:00</c:v>
                  </c:pt>
                  <c:pt idx="202">
                    <c:v>2018-07-25-12:00</c:v>
                  </c:pt>
                  <c:pt idx="203">
                    <c:v>2018-07-25-13:00</c:v>
                  </c:pt>
                  <c:pt idx="204">
                    <c:v>2018-07-25-14:00</c:v>
                  </c:pt>
                  <c:pt idx="205">
                    <c:v>2018-07-25-15:00</c:v>
                  </c:pt>
                  <c:pt idx="206">
                    <c:v>2018-07-25-16:00</c:v>
                  </c:pt>
                  <c:pt idx="207">
                    <c:v>2018-07-25-17:00</c:v>
                  </c:pt>
                  <c:pt idx="208">
                    <c:v>2018-07-25-18:00</c:v>
                  </c:pt>
                  <c:pt idx="209">
                    <c:v>2018-07-25-20:00</c:v>
                  </c:pt>
                  <c:pt idx="210">
                    <c:v>2018-07-25-21:00</c:v>
                  </c:pt>
                  <c:pt idx="211">
                    <c:v>2018-07-25-22:00</c:v>
                  </c:pt>
                  <c:pt idx="212">
                    <c:v>2018-07-25-23:00</c:v>
                  </c:pt>
                  <c:pt idx="213">
                    <c:v>2018-07-26-00:00</c:v>
                  </c:pt>
                  <c:pt idx="214">
                    <c:v>2018-07-26-01:00</c:v>
                  </c:pt>
                  <c:pt idx="215">
                    <c:v>2018-07-26-02:00</c:v>
                  </c:pt>
                  <c:pt idx="216">
                    <c:v>2018-07-26-03:00</c:v>
                  </c:pt>
                  <c:pt idx="217">
                    <c:v>2018-07-26-04:00</c:v>
                  </c:pt>
                  <c:pt idx="218">
                    <c:v>2018-07-26-05:00</c:v>
                  </c:pt>
                  <c:pt idx="219">
                    <c:v>2018-07-26-06:00</c:v>
                  </c:pt>
                  <c:pt idx="220">
                    <c:v>2018-07-26-07:00</c:v>
                  </c:pt>
                  <c:pt idx="221">
                    <c:v>2018-07-26-08:00</c:v>
                  </c:pt>
                  <c:pt idx="222">
                    <c:v>2018-07-26-09:00</c:v>
                  </c:pt>
                  <c:pt idx="223">
                    <c:v>2018-07-26-10:00</c:v>
                  </c:pt>
                  <c:pt idx="224">
                    <c:v>2018-07-25-19:00</c:v>
                  </c:pt>
                  <c:pt idx="225">
                    <c:v>2018-07-25-11:00</c:v>
                  </c:pt>
                  <c:pt idx="226">
                    <c:v>2018-07-25-12:00</c:v>
                  </c:pt>
                  <c:pt idx="227">
                    <c:v>2018-07-25-13:00</c:v>
                  </c:pt>
                  <c:pt idx="228">
                    <c:v>2018-07-25-14:00</c:v>
                  </c:pt>
                  <c:pt idx="229">
                    <c:v>2018-07-25-15:00</c:v>
                  </c:pt>
                  <c:pt idx="230">
                    <c:v>2018-07-25-16:00</c:v>
                  </c:pt>
                  <c:pt idx="231">
                    <c:v>2018-07-25-17:00</c:v>
                  </c:pt>
                  <c:pt idx="232">
                    <c:v>2018-07-25-18:00</c:v>
                  </c:pt>
                  <c:pt idx="233">
                    <c:v>2018-07-25-20:00</c:v>
                  </c:pt>
                  <c:pt idx="234">
                    <c:v>2018-07-25-21:00</c:v>
                  </c:pt>
                  <c:pt idx="235">
                    <c:v>2018-07-25-22:00</c:v>
                  </c:pt>
                  <c:pt idx="236">
                    <c:v>2018-07-25-23:00</c:v>
                  </c:pt>
                  <c:pt idx="237">
                    <c:v>2018-07-26-00:00</c:v>
                  </c:pt>
                  <c:pt idx="238">
                    <c:v>2018-07-26-01:00</c:v>
                  </c:pt>
                  <c:pt idx="239">
                    <c:v>2018-07-26-02:00</c:v>
                  </c:pt>
                  <c:pt idx="240">
                    <c:v>2018-07-26-03:00</c:v>
                  </c:pt>
                  <c:pt idx="241">
                    <c:v>2018-07-26-04:00</c:v>
                  </c:pt>
                  <c:pt idx="242">
                    <c:v>2018-07-26-05:00</c:v>
                  </c:pt>
                  <c:pt idx="243">
                    <c:v>2018-07-26-06:00</c:v>
                  </c:pt>
                  <c:pt idx="244">
                    <c:v>2018-07-26-07:00</c:v>
                  </c:pt>
                  <c:pt idx="245">
                    <c:v>2018-07-26-08:00</c:v>
                  </c:pt>
                  <c:pt idx="246">
                    <c:v>2018-07-26-09:00</c:v>
                  </c:pt>
                  <c:pt idx="247">
                    <c:v>2018-07-26-10:00</c:v>
                  </c:pt>
                  <c:pt idx="248">
                    <c:v>2018-07-26-11:00</c:v>
                  </c:pt>
                  <c:pt idx="249">
                    <c:v>2018-07-25-19:00</c:v>
                  </c:pt>
                  <c:pt idx="250">
                    <c:v>2018-07-25-12:00</c:v>
                  </c:pt>
                  <c:pt idx="251">
                    <c:v>2018-07-25-13:00</c:v>
                  </c:pt>
                  <c:pt idx="252">
                    <c:v>2018-07-25-14:00</c:v>
                  </c:pt>
                  <c:pt idx="253">
                    <c:v>2018-07-25-15:00</c:v>
                  </c:pt>
                  <c:pt idx="254">
                    <c:v>2018-07-25-16:00</c:v>
                  </c:pt>
                  <c:pt idx="255">
                    <c:v>2018-07-25-17:00</c:v>
                  </c:pt>
                  <c:pt idx="256">
                    <c:v>2018-07-25-18:00</c:v>
                  </c:pt>
                  <c:pt idx="257">
                    <c:v>2018-07-25-20:00</c:v>
                  </c:pt>
                  <c:pt idx="258">
                    <c:v>2018-07-25-21:00</c:v>
                  </c:pt>
                  <c:pt idx="259">
                    <c:v>2018-07-25-22:00</c:v>
                  </c:pt>
                  <c:pt idx="260">
                    <c:v>2018-07-25-23:00</c:v>
                  </c:pt>
                  <c:pt idx="261">
                    <c:v>2018-07-26-00:00</c:v>
                  </c:pt>
                  <c:pt idx="262">
                    <c:v>2018-07-26-01:00</c:v>
                  </c:pt>
                  <c:pt idx="263">
                    <c:v>2018-07-26-02:00</c:v>
                  </c:pt>
                  <c:pt idx="264">
                    <c:v>2018-07-26-03:00</c:v>
                  </c:pt>
                  <c:pt idx="265">
                    <c:v>2018-07-26-04:00</c:v>
                  </c:pt>
                  <c:pt idx="266">
                    <c:v>2018-07-26-05:00</c:v>
                  </c:pt>
                  <c:pt idx="267">
                    <c:v>2018-07-26-06:00</c:v>
                  </c:pt>
                  <c:pt idx="268">
                    <c:v>2018-07-26-07:00</c:v>
                  </c:pt>
                  <c:pt idx="269">
                    <c:v>2018-07-26-08:00</c:v>
                  </c:pt>
                  <c:pt idx="270">
                    <c:v>2018-07-26-09:00</c:v>
                  </c:pt>
                  <c:pt idx="271">
                    <c:v>2018-07-26-10:00</c:v>
                  </c:pt>
                  <c:pt idx="272">
                    <c:v>2018-07-26-11:00</c:v>
                  </c:pt>
                  <c:pt idx="273">
                    <c:v>2018-07-26-12:00</c:v>
                  </c:pt>
                  <c:pt idx="274">
                    <c:v>2018-07-25-19:00</c:v>
                  </c:pt>
                  <c:pt idx="275">
                    <c:v>2018-07-25-13:00</c:v>
                  </c:pt>
                  <c:pt idx="276">
                    <c:v>2018-07-25-14:00</c:v>
                  </c:pt>
                  <c:pt idx="277">
                    <c:v>2018-07-25-15:00</c:v>
                  </c:pt>
                  <c:pt idx="278">
                    <c:v>2018-07-25-16:00</c:v>
                  </c:pt>
                  <c:pt idx="279">
                    <c:v>2018-07-25-17:00</c:v>
                  </c:pt>
                  <c:pt idx="280">
                    <c:v>2018-07-25-18:00</c:v>
                  </c:pt>
                  <c:pt idx="281">
                    <c:v>2018-07-25-20:00</c:v>
                  </c:pt>
                  <c:pt idx="282">
                    <c:v>2018-07-25-21:00</c:v>
                  </c:pt>
                  <c:pt idx="283">
                    <c:v>2018-07-25-22:00</c:v>
                  </c:pt>
                  <c:pt idx="284">
                    <c:v>2018-07-25-23:00</c:v>
                  </c:pt>
                  <c:pt idx="285">
                    <c:v>2018-07-26-00:00</c:v>
                  </c:pt>
                  <c:pt idx="286">
                    <c:v>2018-07-26-01:00</c:v>
                  </c:pt>
                  <c:pt idx="287">
                    <c:v>2018-07-26-02:00</c:v>
                  </c:pt>
                  <c:pt idx="288">
                    <c:v>2018-07-26-03:00</c:v>
                  </c:pt>
                  <c:pt idx="289">
                    <c:v>2018-07-26-04:00</c:v>
                  </c:pt>
                  <c:pt idx="290">
                    <c:v>2018-07-26-05:00</c:v>
                  </c:pt>
                  <c:pt idx="291">
                    <c:v>2018-07-26-06:00</c:v>
                  </c:pt>
                  <c:pt idx="292">
                    <c:v>2018-07-26-07:00</c:v>
                  </c:pt>
                  <c:pt idx="293">
                    <c:v>2018-07-26-08:00</c:v>
                  </c:pt>
                  <c:pt idx="294">
                    <c:v>2018-07-26-09:00</c:v>
                  </c:pt>
                  <c:pt idx="295">
                    <c:v>2018-07-26-10:00</c:v>
                  </c:pt>
                  <c:pt idx="296">
                    <c:v>2018-07-26-11:00</c:v>
                  </c:pt>
                  <c:pt idx="297">
                    <c:v>2018-07-26-12:00</c:v>
                  </c:pt>
                  <c:pt idx="298">
                    <c:v>2018-07-26-13:00</c:v>
                  </c:pt>
                  <c:pt idx="299">
                    <c:v>2018-07-25-19:00</c:v>
                  </c:pt>
                  <c:pt idx="300">
                    <c:v>2018-07-25-14:00</c:v>
                  </c:pt>
                  <c:pt idx="301">
                    <c:v>2018-07-25-15:00</c:v>
                  </c:pt>
                  <c:pt idx="302">
                    <c:v>2018-07-25-16:00</c:v>
                  </c:pt>
                  <c:pt idx="303">
                    <c:v>2018-07-25-17:00</c:v>
                  </c:pt>
                  <c:pt idx="304">
                    <c:v>2018-07-25-18:00</c:v>
                  </c:pt>
                  <c:pt idx="305">
                    <c:v>2018-07-25-20:00</c:v>
                  </c:pt>
                  <c:pt idx="306">
                    <c:v>2018-07-25-21:00</c:v>
                  </c:pt>
                  <c:pt idx="307">
                    <c:v>2018-07-25-22:00</c:v>
                  </c:pt>
                  <c:pt idx="308">
                    <c:v>2018-07-25-23:00</c:v>
                  </c:pt>
                  <c:pt idx="309">
                    <c:v>2018-07-26-00:00</c:v>
                  </c:pt>
                  <c:pt idx="310">
                    <c:v>2018-07-26-01:00</c:v>
                  </c:pt>
                  <c:pt idx="311">
                    <c:v>2018-07-26-02:00</c:v>
                  </c:pt>
                  <c:pt idx="312">
                    <c:v>2018-07-26-03:00</c:v>
                  </c:pt>
                  <c:pt idx="313">
                    <c:v>2018-07-26-04:00</c:v>
                  </c:pt>
                  <c:pt idx="314">
                    <c:v>2018-07-26-05:00</c:v>
                  </c:pt>
                  <c:pt idx="315">
                    <c:v>2018-07-26-06:00</c:v>
                  </c:pt>
                  <c:pt idx="316">
                    <c:v>2018-07-26-07:00</c:v>
                  </c:pt>
                  <c:pt idx="317">
                    <c:v>2018-07-26-08:00</c:v>
                  </c:pt>
                  <c:pt idx="318">
                    <c:v>2018-07-26-09:00</c:v>
                  </c:pt>
                  <c:pt idx="319">
                    <c:v>2018-07-26-10:00</c:v>
                  </c:pt>
                  <c:pt idx="320">
                    <c:v>2018-07-26-11:00</c:v>
                  </c:pt>
                  <c:pt idx="321">
                    <c:v>2018-07-26-12:00</c:v>
                  </c:pt>
                  <c:pt idx="322">
                    <c:v>2018-07-26-13:00</c:v>
                  </c:pt>
                  <c:pt idx="323">
                    <c:v>2018-07-26-14:00</c:v>
                  </c:pt>
                  <c:pt idx="324">
                    <c:v>2018-07-25-19:00</c:v>
                  </c:pt>
                  <c:pt idx="325">
                    <c:v>2018-07-25-15:00</c:v>
                  </c:pt>
                  <c:pt idx="326">
                    <c:v>2018-07-25-16:00</c:v>
                  </c:pt>
                  <c:pt idx="327">
                    <c:v>2018-07-25-17:00</c:v>
                  </c:pt>
                  <c:pt idx="328">
                    <c:v>2018-07-25-18:00</c:v>
                  </c:pt>
                  <c:pt idx="329">
                    <c:v>2018-07-25-20:00</c:v>
                  </c:pt>
                  <c:pt idx="330">
                    <c:v>2018-07-25-21:00</c:v>
                  </c:pt>
                  <c:pt idx="331">
                    <c:v>2018-07-25-22:00</c:v>
                  </c:pt>
                  <c:pt idx="332">
                    <c:v>2018-07-25-23:00</c:v>
                  </c:pt>
                  <c:pt idx="333">
                    <c:v>2018-07-26-00:00</c:v>
                  </c:pt>
                  <c:pt idx="334">
                    <c:v>2018-07-26-01:00</c:v>
                  </c:pt>
                  <c:pt idx="335">
                    <c:v>2018-07-26-02:00</c:v>
                  </c:pt>
                  <c:pt idx="336">
                    <c:v>2018-07-26-03:00</c:v>
                  </c:pt>
                  <c:pt idx="337">
                    <c:v>2018-07-26-04:00</c:v>
                  </c:pt>
                  <c:pt idx="338">
                    <c:v>2018-07-26-05:00</c:v>
                  </c:pt>
                  <c:pt idx="339">
                    <c:v>2018-07-26-06:00</c:v>
                  </c:pt>
                  <c:pt idx="340">
                    <c:v>2018-07-26-07:00</c:v>
                  </c:pt>
                  <c:pt idx="341">
                    <c:v>2018-07-26-08:00</c:v>
                  </c:pt>
                  <c:pt idx="342">
                    <c:v>2018-07-26-09:00</c:v>
                  </c:pt>
                  <c:pt idx="343">
                    <c:v>2018-07-26-10:00</c:v>
                  </c:pt>
                  <c:pt idx="344">
                    <c:v>2018-07-26-11:00</c:v>
                  </c:pt>
                  <c:pt idx="345">
                    <c:v>2018-07-26-12:00</c:v>
                  </c:pt>
                  <c:pt idx="346">
                    <c:v>2018-07-26-13:00</c:v>
                  </c:pt>
                  <c:pt idx="347">
                    <c:v>2018-07-26-14:00</c:v>
                  </c:pt>
                  <c:pt idx="348">
                    <c:v>2018-07-26-15:00</c:v>
                  </c:pt>
                  <c:pt idx="349">
                    <c:v>2018-07-25-19:00</c:v>
                  </c:pt>
                  <c:pt idx="350">
                    <c:v>2018-07-25-16:00</c:v>
                  </c:pt>
                  <c:pt idx="351">
                    <c:v>2018-07-25-17:00</c:v>
                  </c:pt>
                  <c:pt idx="352">
                    <c:v>2018-07-25-18:00</c:v>
                  </c:pt>
                  <c:pt idx="353">
                    <c:v>2018-07-25-20:00</c:v>
                  </c:pt>
                  <c:pt idx="354">
                    <c:v>2018-07-25-21:00</c:v>
                  </c:pt>
                  <c:pt idx="355">
                    <c:v>2018-07-25-22:00</c:v>
                  </c:pt>
                  <c:pt idx="356">
                    <c:v>2018-07-25-23:00</c:v>
                  </c:pt>
                  <c:pt idx="357">
                    <c:v>2018-07-26-00:00</c:v>
                  </c:pt>
                  <c:pt idx="358">
                    <c:v>2018-07-26-01:00</c:v>
                  </c:pt>
                  <c:pt idx="359">
                    <c:v>2018-07-26-02:00</c:v>
                  </c:pt>
                  <c:pt idx="360">
                    <c:v>2018-07-26-03:00</c:v>
                  </c:pt>
                  <c:pt idx="361">
                    <c:v>2018-07-26-04:00</c:v>
                  </c:pt>
                  <c:pt idx="362">
                    <c:v>2018-07-26-05:00</c:v>
                  </c:pt>
                  <c:pt idx="363">
                    <c:v>2018-07-26-06:00</c:v>
                  </c:pt>
                  <c:pt idx="364">
                    <c:v>2018-07-26-07:00</c:v>
                  </c:pt>
                  <c:pt idx="365">
                    <c:v>2018-07-26-08:00</c:v>
                  </c:pt>
                  <c:pt idx="366">
                    <c:v>2018-07-26-09:00</c:v>
                  </c:pt>
                  <c:pt idx="367">
                    <c:v>2018-07-26-10:00</c:v>
                  </c:pt>
                  <c:pt idx="368">
                    <c:v>2018-07-26-11:00</c:v>
                  </c:pt>
                  <c:pt idx="369">
                    <c:v>2018-07-26-12:00</c:v>
                  </c:pt>
                  <c:pt idx="370">
                    <c:v>2018-07-26-13:00</c:v>
                  </c:pt>
                  <c:pt idx="371">
                    <c:v>2018-07-26-14:00</c:v>
                  </c:pt>
                  <c:pt idx="372">
                    <c:v>2018-07-26-15:00</c:v>
                  </c:pt>
                  <c:pt idx="373">
                    <c:v>2018-07-26-16:00</c:v>
                  </c:pt>
                  <c:pt idx="374">
                    <c:v>2018-07-25-19:00</c:v>
                  </c:pt>
                  <c:pt idx="375">
                    <c:v>2018-07-25-17:00</c:v>
                  </c:pt>
                  <c:pt idx="376">
                    <c:v>2018-07-25-18:00</c:v>
                  </c:pt>
                  <c:pt idx="377">
                    <c:v>2018-07-25-20:00</c:v>
                  </c:pt>
                  <c:pt idx="378">
                    <c:v>2018-07-25-21:00</c:v>
                  </c:pt>
                  <c:pt idx="379">
                    <c:v>2018-07-25-22:00</c:v>
                  </c:pt>
                  <c:pt idx="380">
                    <c:v>2018-07-25-23:00</c:v>
                  </c:pt>
                  <c:pt idx="381">
                    <c:v>2018-07-26-00:00</c:v>
                  </c:pt>
                  <c:pt idx="382">
                    <c:v>2018-07-26-01:00</c:v>
                  </c:pt>
                  <c:pt idx="383">
                    <c:v>2018-07-26-02:00</c:v>
                  </c:pt>
                  <c:pt idx="384">
                    <c:v>2018-07-26-03:00</c:v>
                  </c:pt>
                  <c:pt idx="385">
                    <c:v>2018-07-26-04:00</c:v>
                  </c:pt>
                  <c:pt idx="386">
                    <c:v>2018-07-26-05:00</c:v>
                  </c:pt>
                  <c:pt idx="387">
                    <c:v>2018-07-26-06:00</c:v>
                  </c:pt>
                  <c:pt idx="388">
                    <c:v>2018-07-26-07:00</c:v>
                  </c:pt>
                  <c:pt idx="389">
                    <c:v>2018-07-26-08:00</c:v>
                  </c:pt>
                  <c:pt idx="390">
                    <c:v>2018-07-26-09:00</c:v>
                  </c:pt>
                  <c:pt idx="391">
                    <c:v>2018-07-26-10:00</c:v>
                  </c:pt>
                  <c:pt idx="392">
                    <c:v>2018-07-26-11:00</c:v>
                  </c:pt>
                  <c:pt idx="393">
                    <c:v>2018-07-26-12:00</c:v>
                  </c:pt>
                  <c:pt idx="394">
                    <c:v>2018-07-26-13:00</c:v>
                  </c:pt>
                  <c:pt idx="395">
                    <c:v>2018-07-26-14:00</c:v>
                  </c:pt>
                  <c:pt idx="396">
                    <c:v>2018-07-26-15:00</c:v>
                  </c:pt>
                  <c:pt idx="397">
                    <c:v>2018-07-26-16:00</c:v>
                  </c:pt>
                  <c:pt idx="398">
                    <c:v>2018-07-26-17:00</c:v>
                  </c:pt>
                  <c:pt idx="399">
                    <c:v>2018-07-25-19:00</c:v>
                  </c:pt>
                  <c:pt idx="400">
                    <c:v>2018-07-25-18:00</c:v>
                  </c:pt>
                  <c:pt idx="401">
                    <c:v>2018-07-25-20:00</c:v>
                  </c:pt>
                  <c:pt idx="402">
                    <c:v>2018-07-25-21:00</c:v>
                  </c:pt>
                  <c:pt idx="403">
                    <c:v>2018-07-25-22:00</c:v>
                  </c:pt>
                  <c:pt idx="404">
                    <c:v>2018-07-25-23:00</c:v>
                  </c:pt>
                  <c:pt idx="405">
                    <c:v>2018-07-26-00:00</c:v>
                  </c:pt>
                  <c:pt idx="406">
                    <c:v>2018-07-26-01:00</c:v>
                  </c:pt>
                  <c:pt idx="407">
                    <c:v>2018-07-26-02:00</c:v>
                  </c:pt>
                  <c:pt idx="408">
                    <c:v>2018-07-26-03:00</c:v>
                  </c:pt>
                  <c:pt idx="409">
                    <c:v>2018-07-26-04:00</c:v>
                  </c:pt>
                  <c:pt idx="410">
                    <c:v>2018-07-26-05:00</c:v>
                  </c:pt>
                  <c:pt idx="411">
                    <c:v>2018-07-26-06:00</c:v>
                  </c:pt>
                  <c:pt idx="412">
                    <c:v>2018-07-26-07:00</c:v>
                  </c:pt>
                  <c:pt idx="413">
                    <c:v>2018-07-26-08:00</c:v>
                  </c:pt>
                  <c:pt idx="414">
                    <c:v>2018-07-26-09:00</c:v>
                  </c:pt>
                  <c:pt idx="415">
                    <c:v>2018-07-26-10:00</c:v>
                  </c:pt>
                  <c:pt idx="416">
                    <c:v>2018-07-26-11:00</c:v>
                  </c:pt>
                  <c:pt idx="417">
                    <c:v>2018-07-26-12:00</c:v>
                  </c:pt>
                  <c:pt idx="418">
                    <c:v>2018-07-26-13:00</c:v>
                  </c:pt>
                  <c:pt idx="419">
                    <c:v>2018-07-26-14:00</c:v>
                  </c:pt>
                  <c:pt idx="420">
                    <c:v>2018-07-26-15:00</c:v>
                  </c:pt>
                  <c:pt idx="421">
                    <c:v>2018-07-26-16:00</c:v>
                  </c:pt>
                  <c:pt idx="422">
                    <c:v>2018-07-26-17:00</c:v>
                  </c:pt>
                  <c:pt idx="423">
                    <c:v>2018-07-26-18:00</c:v>
                  </c:pt>
                  <c:pt idx="424">
                    <c:v>2018-07-25-19:00</c:v>
                  </c:pt>
                  <c:pt idx="425">
                    <c:v>2018-07-25-20:00</c:v>
                  </c:pt>
                  <c:pt idx="426">
                    <c:v>2018-07-25-21:00</c:v>
                  </c:pt>
                  <c:pt idx="427">
                    <c:v>2018-07-25-22:00</c:v>
                  </c:pt>
                  <c:pt idx="428">
                    <c:v>2018-07-25-23:00</c:v>
                  </c:pt>
                  <c:pt idx="429">
                    <c:v>2018-07-26-00:00</c:v>
                  </c:pt>
                  <c:pt idx="430">
                    <c:v>2018-07-26-01:00</c:v>
                  </c:pt>
                  <c:pt idx="431">
                    <c:v>2018-07-26-02:00</c:v>
                  </c:pt>
                  <c:pt idx="432">
                    <c:v>2018-07-26-03:00</c:v>
                  </c:pt>
                  <c:pt idx="433">
                    <c:v>2018-07-26-04:00</c:v>
                  </c:pt>
                  <c:pt idx="434">
                    <c:v>2018-07-26-05:00</c:v>
                  </c:pt>
                  <c:pt idx="435">
                    <c:v>2018-07-26-06:00</c:v>
                  </c:pt>
                  <c:pt idx="436">
                    <c:v>2018-07-26-07:00</c:v>
                  </c:pt>
                  <c:pt idx="437">
                    <c:v>2018-07-26-08:00</c:v>
                  </c:pt>
                  <c:pt idx="438">
                    <c:v>2018-07-26-09:00</c:v>
                  </c:pt>
                  <c:pt idx="439">
                    <c:v>2018-07-26-10:00</c:v>
                  </c:pt>
                  <c:pt idx="440">
                    <c:v>2018-07-26-11:00</c:v>
                  </c:pt>
                  <c:pt idx="441">
                    <c:v>2018-07-26-12:00</c:v>
                  </c:pt>
                  <c:pt idx="442">
                    <c:v>2018-07-26-13:00</c:v>
                  </c:pt>
                  <c:pt idx="443">
                    <c:v>2018-07-26-14:00</c:v>
                  </c:pt>
                  <c:pt idx="444">
                    <c:v>2018-07-26-15:00</c:v>
                  </c:pt>
                  <c:pt idx="445">
                    <c:v>2018-07-26-16:00</c:v>
                  </c:pt>
                  <c:pt idx="446">
                    <c:v>2018-07-26-17:00</c:v>
                  </c:pt>
                  <c:pt idx="447">
                    <c:v>2018-07-26-18:00</c:v>
                  </c:pt>
                  <c:pt idx="448">
                    <c:v>2018-07-26-19:00</c:v>
                  </c:pt>
                  <c:pt idx="449">
                    <c:v>2018-07-25-19:00</c:v>
                  </c:pt>
                  <c:pt idx="450">
                    <c:v>2018-07-25-20:00</c:v>
                  </c:pt>
                  <c:pt idx="451">
                    <c:v>2018-07-25-21:00</c:v>
                  </c:pt>
                  <c:pt idx="452">
                    <c:v>2018-07-25-22:00</c:v>
                  </c:pt>
                  <c:pt idx="453">
                    <c:v>2018-07-25-23:00</c:v>
                  </c:pt>
                  <c:pt idx="454">
                    <c:v>2018-07-26-00:00</c:v>
                  </c:pt>
                  <c:pt idx="455">
                    <c:v>2018-07-26-01:00</c:v>
                  </c:pt>
                  <c:pt idx="456">
                    <c:v>2018-07-26-02:00</c:v>
                  </c:pt>
                  <c:pt idx="457">
                    <c:v>2018-07-26-03:00</c:v>
                  </c:pt>
                  <c:pt idx="458">
                    <c:v>2018-07-26-04:00</c:v>
                  </c:pt>
                  <c:pt idx="459">
                    <c:v>2018-07-26-05:00</c:v>
                  </c:pt>
                  <c:pt idx="460">
                    <c:v>2018-07-26-06:00</c:v>
                  </c:pt>
                  <c:pt idx="461">
                    <c:v>2018-07-26-07:00</c:v>
                  </c:pt>
                  <c:pt idx="462">
                    <c:v>2018-07-26-08:00</c:v>
                  </c:pt>
                  <c:pt idx="463">
                    <c:v>2018-07-26-09:00</c:v>
                  </c:pt>
                  <c:pt idx="464">
                    <c:v>2018-07-26-10:00</c:v>
                  </c:pt>
                  <c:pt idx="465">
                    <c:v>2018-07-26-11:00</c:v>
                  </c:pt>
                  <c:pt idx="466">
                    <c:v>2018-07-26-12:00</c:v>
                  </c:pt>
                  <c:pt idx="467">
                    <c:v>2018-07-26-13:00</c:v>
                  </c:pt>
                  <c:pt idx="468">
                    <c:v>2018-07-26-14:00</c:v>
                  </c:pt>
                  <c:pt idx="469">
                    <c:v>2018-07-26-15:00</c:v>
                  </c:pt>
                  <c:pt idx="470">
                    <c:v>2018-07-26-16:00</c:v>
                  </c:pt>
                  <c:pt idx="471">
                    <c:v>2018-07-26-17:00</c:v>
                  </c:pt>
                  <c:pt idx="472">
                    <c:v>2018-07-26-18:00</c:v>
                  </c:pt>
                  <c:pt idx="473">
                    <c:v>2018-07-26-19:00</c:v>
                  </c:pt>
                  <c:pt idx="474">
                    <c:v>2018-07-26-20:00</c:v>
                  </c:pt>
                  <c:pt idx="475">
                    <c:v>2018-07-25-21:00</c:v>
                  </c:pt>
                  <c:pt idx="476">
                    <c:v>2018-07-25-22:00</c:v>
                  </c:pt>
                  <c:pt idx="477">
                    <c:v>2018-07-25-23:00</c:v>
                  </c:pt>
                  <c:pt idx="478">
                    <c:v>2018-07-26-00:00</c:v>
                  </c:pt>
                  <c:pt idx="479">
                    <c:v>2018-07-26-01:00</c:v>
                  </c:pt>
                  <c:pt idx="480">
                    <c:v>2018-07-26-02:00</c:v>
                  </c:pt>
                  <c:pt idx="481">
                    <c:v>2018-07-26-03:00</c:v>
                  </c:pt>
                  <c:pt idx="482">
                    <c:v>2018-07-26-04:00</c:v>
                  </c:pt>
                  <c:pt idx="483">
                    <c:v>2018-07-26-05:00</c:v>
                  </c:pt>
                  <c:pt idx="484">
                    <c:v>2018-07-26-06:00</c:v>
                  </c:pt>
                  <c:pt idx="485">
                    <c:v>2018-07-26-07:00</c:v>
                  </c:pt>
                  <c:pt idx="486">
                    <c:v>2018-07-26-08:00</c:v>
                  </c:pt>
                  <c:pt idx="487">
                    <c:v>2018-07-26-09:00</c:v>
                  </c:pt>
                  <c:pt idx="488">
                    <c:v>2018-07-26-10:00</c:v>
                  </c:pt>
                  <c:pt idx="489">
                    <c:v>2018-07-26-11:00</c:v>
                  </c:pt>
                  <c:pt idx="490">
                    <c:v>2018-07-26-12:00</c:v>
                  </c:pt>
                  <c:pt idx="491">
                    <c:v>2018-07-26-13:00</c:v>
                  </c:pt>
                  <c:pt idx="492">
                    <c:v>2018-07-26-14:00</c:v>
                  </c:pt>
                  <c:pt idx="493">
                    <c:v>2018-07-26-15:00</c:v>
                  </c:pt>
                  <c:pt idx="494">
                    <c:v>2018-07-26-16:00</c:v>
                  </c:pt>
                  <c:pt idx="495">
                    <c:v>2018-07-26-17:00</c:v>
                  </c:pt>
                  <c:pt idx="496">
                    <c:v>2018-07-26-18:00</c:v>
                  </c:pt>
                  <c:pt idx="497">
                    <c:v>2018-07-26-19:00</c:v>
                  </c:pt>
                  <c:pt idx="498">
                    <c:v>2018-07-26-20:00</c:v>
                  </c:pt>
                  <c:pt idx="499">
                    <c:v>2018-07-26-21:00</c:v>
                  </c:pt>
                  <c:pt idx="500">
                    <c:v>2018-07-25-22:00</c:v>
                  </c:pt>
                  <c:pt idx="501">
                    <c:v>2018-07-25-23:00</c:v>
                  </c:pt>
                  <c:pt idx="502">
                    <c:v>2018-07-26-00:00</c:v>
                  </c:pt>
                  <c:pt idx="503">
                    <c:v>2018-07-26-01:00</c:v>
                  </c:pt>
                  <c:pt idx="504">
                    <c:v>2018-07-26-02:00</c:v>
                  </c:pt>
                  <c:pt idx="505">
                    <c:v>2018-07-26-03:00</c:v>
                  </c:pt>
                  <c:pt idx="506">
                    <c:v>2018-07-26-04:00</c:v>
                  </c:pt>
                  <c:pt idx="507">
                    <c:v>2018-07-26-05:00</c:v>
                  </c:pt>
                  <c:pt idx="508">
                    <c:v>2018-07-26-06:00</c:v>
                  </c:pt>
                  <c:pt idx="509">
                    <c:v>2018-07-26-07:00</c:v>
                  </c:pt>
                  <c:pt idx="510">
                    <c:v>2018-07-26-08:00</c:v>
                  </c:pt>
                  <c:pt idx="511">
                    <c:v>2018-07-26-09:00</c:v>
                  </c:pt>
                  <c:pt idx="512">
                    <c:v>2018-07-26-10:00</c:v>
                  </c:pt>
                  <c:pt idx="513">
                    <c:v>2018-07-26-11:00</c:v>
                  </c:pt>
                  <c:pt idx="514">
                    <c:v>2018-07-26-12:00</c:v>
                  </c:pt>
                  <c:pt idx="515">
                    <c:v>2018-07-26-13:00</c:v>
                  </c:pt>
                  <c:pt idx="516">
                    <c:v>2018-07-26-14:00</c:v>
                  </c:pt>
                  <c:pt idx="517">
                    <c:v>2018-07-26-15:00</c:v>
                  </c:pt>
                  <c:pt idx="518">
                    <c:v>2018-07-26-16:00</c:v>
                  </c:pt>
                  <c:pt idx="519">
                    <c:v>2018-07-26-17:00</c:v>
                  </c:pt>
                  <c:pt idx="520">
                    <c:v>2018-07-26-18:00</c:v>
                  </c:pt>
                  <c:pt idx="521">
                    <c:v>2018-07-26-19:00</c:v>
                  </c:pt>
                  <c:pt idx="522">
                    <c:v>2018-07-26-20:00</c:v>
                  </c:pt>
                  <c:pt idx="523">
                    <c:v>2018-07-26-21:00</c:v>
                  </c:pt>
                  <c:pt idx="524">
                    <c:v>2018-07-26-22:00</c:v>
                  </c:pt>
                  <c:pt idx="525">
                    <c:v>2018-07-25-23:00</c:v>
                  </c:pt>
                  <c:pt idx="526">
                    <c:v>2018-07-26-00:00</c:v>
                  </c:pt>
                  <c:pt idx="527">
                    <c:v>2018-07-26-01:00</c:v>
                  </c:pt>
                  <c:pt idx="528">
                    <c:v>2018-07-26-02:00</c:v>
                  </c:pt>
                  <c:pt idx="529">
                    <c:v>2018-07-26-03:00</c:v>
                  </c:pt>
                  <c:pt idx="530">
                    <c:v>2018-07-26-04:00</c:v>
                  </c:pt>
                  <c:pt idx="531">
                    <c:v>2018-07-26-05:00</c:v>
                  </c:pt>
                  <c:pt idx="532">
                    <c:v>2018-07-26-06:00</c:v>
                  </c:pt>
                  <c:pt idx="533">
                    <c:v>2018-07-26-07:00</c:v>
                  </c:pt>
                  <c:pt idx="534">
                    <c:v>2018-07-26-08:00</c:v>
                  </c:pt>
                  <c:pt idx="535">
                    <c:v>2018-07-26-09:00</c:v>
                  </c:pt>
                  <c:pt idx="536">
                    <c:v>2018-07-26-10:00</c:v>
                  </c:pt>
                  <c:pt idx="537">
                    <c:v>2018-07-26-11:00</c:v>
                  </c:pt>
                  <c:pt idx="538">
                    <c:v>2018-07-26-12:00</c:v>
                  </c:pt>
                  <c:pt idx="539">
                    <c:v>2018-07-26-13:00</c:v>
                  </c:pt>
                  <c:pt idx="540">
                    <c:v>2018-07-26-14:00</c:v>
                  </c:pt>
                  <c:pt idx="541">
                    <c:v>2018-07-26-15:00</c:v>
                  </c:pt>
                  <c:pt idx="542">
                    <c:v>2018-07-26-16:00</c:v>
                  </c:pt>
                  <c:pt idx="543">
                    <c:v>2018-07-26-17:00</c:v>
                  </c:pt>
                  <c:pt idx="544">
                    <c:v>2018-07-26-18:00</c:v>
                  </c:pt>
                  <c:pt idx="545">
                    <c:v>2018-07-26-19:00</c:v>
                  </c:pt>
                  <c:pt idx="546">
                    <c:v>2018-07-26-20:00</c:v>
                  </c:pt>
                  <c:pt idx="547">
                    <c:v>2018-07-26-21:00</c:v>
                  </c:pt>
                  <c:pt idx="548">
                    <c:v>2018-07-26-22:00</c:v>
                  </c:pt>
                  <c:pt idx="549">
                    <c:v>2018-07-26-23:00</c:v>
                  </c:pt>
                  <c:pt idx="550">
                    <c:v>2018-07-26-00:00</c:v>
                  </c:pt>
                  <c:pt idx="551">
                    <c:v>2018-07-26-01:00</c:v>
                  </c:pt>
                  <c:pt idx="552">
                    <c:v>2018-07-26-02:00</c:v>
                  </c:pt>
                  <c:pt idx="553">
                    <c:v>2018-07-26-03:00</c:v>
                  </c:pt>
                  <c:pt idx="554">
                    <c:v>2018-07-26-04:00</c:v>
                  </c:pt>
                  <c:pt idx="555">
                    <c:v>2018-07-26-05:00</c:v>
                  </c:pt>
                  <c:pt idx="556">
                    <c:v>2018-07-26-06:00</c:v>
                  </c:pt>
                  <c:pt idx="557">
                    <c:v>2018-07-26-07:00</c:v>
                  </c:pt>
                  <c:pt idx="558">
                    <c:v>2018-07-26-08:00</c:v>
                  </c:pt>
                  <c:pt idx="559">
                    <c:v>2018-07-26-09:00</c:v>
                  </c:pt>
                  <c:pt idx="560">
                    <c:v>2018-07-26-10:00</c:v>
                  </c:pt>
                  <c:pt idx="561">
                    <c:v>2018-07-26-11:00</c:v>
                  </c:pt>
                  <c:pt idx="562">
                    <c:v>2018-07-26-12:00</c:v>
                  </c:pt>
                  <c:pt idx="563">
                    <c:v>2018-07-26-13:00</c:v>
                  </c:pt>
                  <c:pt idx="564">
                    <c:v>2018-07-26-14:00</c:v>
                  </c:pt>
                  <c:pt idx="565">
                    <c:v>2018-07-26-15:00</c:v>
                  </c:pt>
                  <c:pt idx="566">
                    <c:v>2018-07-26-16:00</c:v>
                  </c:pt>
                  <c:pt idx="567">
                    <c:v>2018-07-26-17:00</c:v>
                  </c:pt>
                  <c:pt idx="568">
                    <c:v>2018-07-26-18:00</c:v>
                  </c:pt>
                  <c:pt idx="569">
                    <c:v>2018-07-26-19:00</c:v>
                  </c:pt>
                  <c:pt idx="570">
                    <c:v>2018-07-26-20:00</c:v>
                  </c:pt>
                  <c:pt idx="571">
                    <c:v>2018-07-26-21:00</c:v>
                  </c:pt>
                  <c:pt idx="572">
                    <c:v>2018-07-26-22:00</c:v>
                  </c:pt>
                  <c:pt idx="573">
                    <c:v>2018-07-26-23:00</c:v>
                  </c:pt>
                  <c:pt idx="574">
                    <c:v>2018-07-27-00:00</c:v>
                  </c:pt>
                  <c:pt idx="575">
                    <c:v>2018-07-26-01:00</c:v>
                  </c:pt>
                  <c:pt idx="576">
                    <c:v>2018-07-26-02:00</c:v>
                  </c:pt>
                  <c:pt idx="577">
                    <c:v>2018-07-26-03:00</c:v>
                  </c:pt>
                  <c:pt idx="578">
                    <c:v>2018-07-26-04:00</c:v>
                  </c:pt>
                  <c:pt idx="579">
                    <c:v>2018-07-26-05:00</c:v>
                  </c:pt>
                  <c:pt idx="580">
                    <c:v>2018-07-26-06:00</c:v>
                  </c:pt>
                  <c:pt idx="581">
                    <c:v>2018-07-26-07:00</c:v>
                  </c:pt>
                  <c:pt idx="582">
                    <c:v>2018-07-26-08:00</c:v>
                  </c:pt>
                  <c:pt idx="583">
                    <c:v>2018-07-26-09:00</c:v>
                  </c:pt>
                  <c:pt idx="584">
                    <c:v>2018-07-26-10:00</c:v>
                  </c:pt>
                  <c:pt idx="585">
                    <c:v>2018-07-26-11:00</c:v>
                  </c:pt>
                  <c:pt idx="586">
                    <c:v>2018-07-26-12:00</c:v>
                  </c:pt>
                  <c:pt idx="587">
                    <c:v>2018-07-26-13:00</c:v>
                  </c:pt>
                  <c:pt idx="588">
                    <c:v>2018-07-26-14:00</c:v>
                  </c:pt>
                  <c:pt idx="589">
                    <c:v>2018-07-26-15:00</c:v>
                  </c:pt>
                  <c:pt idx="590">
                    <c:v>2018-07-26-16:00</c:v>
                  </c:pt>
                  <c:pt idx="591">
                    <c:v>2018-07-26-17:00</c:v>
                  </c:pt>
                  <c:pt idx="592">
                    <c:v>2018-07-26-18:00</c:v>
                  </c:pt>
                  <c:pt idx="593">
                    <c:v>2018-07-26-19:00</c:v>
                  </c:pt>
                  <c:pt idx="594">
                    <c:v>2018-07-26-20:00</c:v>
                  </c:pt>
                  <c:pt idx="595">
                    <c:v>2018-07-26-21:00</c:v>
                  </c:pt>
                  <c:pt idx="596">
                    <c:v>2018-07-26-22:00</c:v>
                  </c:pt>
                  <c:pt idx="597">
                    <c:v>2018-07-26-23:00</c:v>
                  </c:pt>
                  <c:pt idx="598">
                    <c:v>2018-07-27-00:00</c:v>
                  </c:pt>
                  <c:pt idx="599">
                    <c:v>2018-07-27-01:00</c:v>
                  </c:pt>
                  <c:pt idx="600">
                    <c:v>2018-07-26-02:00</c:v>
                  </c:pt>
                  <c:pt idx="601">
                    <c:v>2018-07-26-03:00</c:v>
                  </c:pt>
                  <c:pt idx="602">
                    <c:v>2018-07-26-04:00</c:v>
                  </c:pt>
                  <c:pt idx="603">
                    <c:v>2018-07-26-05:00</c:v>
                  </c:pt>
                  <c:pt idx="604">
                    <c:v>2018-07-26-06:00</c:v>
                  </c:pt>
                  <c:pt idx="605">
                    <c:v>2018-07-26-07:00</c:v>
                  </c:pt>
                  <c:pt idx="606">
                    <c:v>2018-07-26-08:00</c:v>
                  </c:pt>
                  <c:pt idx="607">
                    <c:v>2018-07-26-09:00</c:v>
                  </c:pt>
                  <c:pt idx="608">
                    <c:v>2018-07-26-10:00</c:v>
                  </c:pt>
                  <c:pt idx="609">
                    <c:v>2018-07-26-11:00</c:v>
                  </c:pt>
                  <c:pt idx="610">
                    <c:v>2018-07-26-12:00</c:v>
                  </c:pt>
                  <c:pt idx="611">
                    <c:v>2018-07-26-13:00</c:v>
                  </c:pt>
                  <c:pt idx="612">
                    <c:v>2018-07-26-14:00</c:v>
                  </c:pt>
                  <c:pt idx="613">
                    <c:v>2018-07-26-15:00</c:v>
                  </c:pt>
                  <c:pt idx="614">
                    <c:v>2018-07-26-16:00</c:v>
                  </c:pt>
                  <c:pt idx="615">
                    <c:v>2018-07-26-17:00</c:v>
                  </c:pt>
                  <c:pt idx="616">
                    <c:v>2018-07-26-18:00</c:v>
                  </c:pt>
                  <c:pt idx="617">
                    <c:v>2018-07-26-19:00</c:v>
                  </c:pt>
                  <c:pt idx="618">
                    <c:v>2018-07-26-20:00</c:v>
                  </c:pt>
                  <c:pt idx="619">
                    <c:v>2018-07-26-21:00</c:v>
                  </c:pt>
                  <c:pt idx="620">
                    <c:v>2018-07-26-22:00</c:v>
                  </c:pt>
                  <c:pt idx="621">
                    <c:v>2018-07-26-23:00</c:v>
                  </c:pt>
                  <c:pt idx="622">
                    <c:v>2018-07-27-00:00</c:v>
                  </c:pt>
                  <c:pt idx="623">
                    <c:v>2018-07-27-01:00</c:v>
                  </c:pt>
                  <c:pt idx="624">
                    <c:v>2018-07-27-02:00</c:v>
                  </c:pt>
                  <c:pt idx="625">
                    <c:v>2018-07-26-03:00</c:v>
                  </c:pt>
                  <c:pt idx="626">
                    <c:v>2018-07-26-04:00</c:v>
                  </c:pt>
                  <c:pt idx="627">
                    <c:v>2018-07-26-05:00</c:v>
                  </c:pt>
                  <c:pt idx="628">
                    <c:v>2018-07-26-06:00</c:v>
                  </c:pt>
                  <c:pt idx="629">
                    <c:v>2018-07-26-07:00</c:v>
                  </c:pt>
                  <c:pt idx="630">
                    <c:v>2018-07-26-08:00</c:v>
                  </c:pt>
                  <c:pt idx="631">
                    <c:v>2018-07-26-09:00</c:v>
                  </c:pt>
                  <c:pt idx="632">
                    <c:v>2018-07-26-10:00</c:v>
                  </c:pt>
                  <c:pt idx="633">
                    <c:v>2018-07-26-11:00</c:v>
                  </c:pt>
                  <c:pt idx="634">
                    <c:v>2018-07-26-12:00</c:v>
                  </c:pt>
                  <c:pt idx="635">
                    <c:v>2018-07-26-13:00</c:v>
                  </c:pt>
                  <c:pt idx="636">
                    <c:v>2018-07-26-14:00</c:v>
                  </c:pt>
                  <c:pt idx="637">
                    <c:v>2018-07-26-15:00</c:v>
                  </c:pt>
                  <c:pt idx="638">
                    <c:v>2018-07-26-16:00</c:v>
                  </c:pt>
                  <c:pt idx="639">
                    <c:v>2018-07-26-17:00</c:v>
                  </c:pt>
                  <c:pt idx="640">
                    <c:v>2018-07-26-18:00</c:v>
                  </c:pt>
                  <c:pt idx="641">
                    <c:v>2018-07-26-19:00</c:v>
                  </c:pt>
                  <c:pt idx="642">
                    <c:v>2018-07-26-20:00</c:v>
                  </c:pt>
                  <c:pt idx="643">
                    <c:v>2018-07-26-21:00</c:v>
                  </c:pt>
                  <c:pt idx="644">
                    <c:v>2018-07-26-22:00</c:v>
                  </c:pt>
                  <c:pt idx="645">
                    <c:v>2018-07-26-23:00</c:v>
                  </c:pt>
                  <c:pt idx="646">
                    <c:v>2018-07-27-00:00</c:v>
                  </c:pt>
                  <c:pt idx="647">
                    <c:v>2018-07-27-01:00</c:v>
                  </c:pt>
                  <c:pt idx="648">
                    <c:v>2018-07-27-02:00</c:v>
                  </c:pt>
                  <c:pt idx="649">
                    <c:v>2018-07-27-03:00</c:v>
                  </c:pt>
                  <c:pt idx="650">
                    <c:v>2018-07-26-04:00</c:v>
                  </c:pt>
                  <c:pt idx="651">
                    <c:v>2018-07-26-05:00</c:v>
                  </c:pt>
                  <c:pt idx="652">
                    <c:v>2018-07-26-06:00</c:v>
                  </c:pt>
                  <c:pt idx="653">
                    <c:v>2018-07-26-07:00</c:v>
                  </c:pt>
                  <c:pt idx="654">
                    <c:v>2018-07-26-08:00</c:v>
                  </c:pt>
                  <c:pt idx="655">
                    <c:v>2018-07-26-09:00</c:v>
                  </c:pt>
                  <c:pt idx="656">
                    <c:v>2018-07-26-10:00</c:v>
                  </c:pt>
                  <c:pt idx="657">
                    <c:v>2018-07-26-11:00</c:v>
                  </c:pt>
                  <c:pt idx="658">
                    <c:v>2018-07-26-12:00</c:v>
                  </c:pt>
                  <c:pt idx="659">
                    <c:v>2018-07-26-13:00</c:v>
                  </c:pt>
                  <c:pt idx="660">
                    <c:v>2018-07-26-14:00</c:v>
                  </c:pt>
                  <c:pt idx="661">
                    <c:v>2018-07-26-15:00</c:v>
                  </c:pt>
                  <c:pt idx="662">
                    <c:v>2018-07-26-16:00</c:v>
                  </c:pt>
                  <c:pt idx="663">
                    <c:v>2018-07-26-17:00</c:v>
                  </c:pt>
                  <c:pt idx="664">
                    <c:v>2018-07-26-18:00</c:v>
                  </c:pt>
                  <c:pt idx="665">
                    <c:v>2018-07-26-19:00</c:v>
                  </c:pt>
                  <c:pt idx="666">
                    <c:v>2018-07-26-20:00</c:v>
                  </c:pt>
                  <c:pt idx="667">
                    <c:v>2018-07-26-21:00</c:v>
                  </c:pt>
                  <c:pt idx="668">
                    <c:v>2018-07-26-22:00</c:v>
                  </c:pt>
                  <c:pt idx="669">
                    <c:v>2018-07-26-23:00</c:v>
                  </c:pt>
                  <c:pt idx="670">
                    <c:v>2018-07-27-00:00</c:v>
                  </c:pt>
                  <c:pt idx="671">
                    <c:v>2018-07-27-01:00</c:v>
                  </c:pt>
                  <c:pt idx="672">
                    <c:v>2018-07-27-02:00</c:v>
                  </c:pt>
                  <c:pt idx="673">
                    <c:v>2018-07-27-03:00</c:v>
                  </c:pt>
                  <c:pt idx="674">
                    <c:v>2018-07-27-04:00</c:v>
                  </c:pt>
                  <c:pt idx="675">
                    <c:v>2018-07-26-05:00</c:v>
                  </c:pt>
                  <c:pt idx="676">
                    <c:v>2018-07-26-06:00</c:v>
                  </c:pt>
                  <c:pt idx="677">
                    <c:v>2018-07-26-07:00</c:v>
                  </c:pt>
                  <c:pt idx="678">
                    <c:v>2018-07-26-08:00</c:v>
                  </c:pt>
                  <c:pt idx="679">
                    <c:v>2018-07-26-09:00</c:v>
                  </c:pt>
                  <c:pt idx="680">
                    <c:v>2018-07-26-10:00</c:v>
                  </c:pt>
                  <c:pt idx="681">
                    <c:v>2018-07-26-11:00</c:v>
                  </c:pt>
                  <c:pt idx="682">
                    <c:v>2018-07-26-12:00</c:v>
                  </c:pt>
                  <c:pt idx="683">
                    <c:v>2018-07-26-13:00</c:v>
                  </c:pt>
                  <c:pt idx="684">
                    <c:v>2018-07-26-14:00</c:v>
                  </c:pt>
                  <c:pt idx="685">
                    <c:v>2018-07-26-15:00</c:v>
                  </c:pt>
                  <c:pt idx="686">
                    <c:v>2018-07-26-16:00</c:v>
                  </c:pt>
                  <c:pt idx="687">
                    <c:v>2018-07-26-17:00</c:v>
                  </c:pt>
                  <c:pt idx="688">
                    <c:v>2018-07-26-18:00</c:v>
                  </c:pt>
                  <c:pt idx="689">
                    <c:v>2018-07-26-19:00</c:v>
                  </c:pt>
                  <c:pt idx="690">
                    <c:v>2018-07-26-20:00</c:v>
                  </c:pt>
                  <c:pt idx="691">
                    <c:v>2018-07-26-21:00</c:v>
                  </c:pt>
                  <c:pt idx="692">
                    <c:v>2018-07-26-22:00</c:v>
                  </c:pt>
                  <c:pt idx="693">
                    <c:v>2018-07-26-23:00</c:v>
                  </c:pt>
                  <c:pt idx="694">
                    <c:v>2018-07-27-00:00</c:v>
                  </c:pt>
                  <c:pt idx="695">
                    <c:v>2018-07-27-01:00</c:v>
                  </c:pt>
                  <c:pt idx="696">
                    <c:v>2018-07-27-02:00</c:v>
                  </c:pt>
                  <c:pt idx="697">
                    <c:v>2018-07-27-03:00</c:v>
                  </c:pt>
                  <c:pt idx="698">
                    <c:v>2018-07-27-04:00</c:v>
                  </c:pt>
                  <c:pt idx="699">
                    <c:v>2018-07-27-05:00</c:v>
                  </c:pt>
                  <c:pt idx="700">
                    <c:v>2018-07-26-06:00</c:v>
                  </c:pt>
                  <c:pt idx="701">
                    <c:v>2018-07-26-07:00</c:v>
                  </c:pt>
                  <c:pt idx="702">
                    <c:v>2018-07-26-08:00</c:v>
                  </c:pt>
                  <c:pt idx="703">
                    <c:v>2018-07-26-09:00</c:v>
                  </c:pt>
                  <c:pt idx="704">
                    <c:v>2018-07-26-10:00</c:v>
                  </c:pt>
                  <c:pt idx="705">
                    <c:v>2018-07-26-11:00</c:v>
                  </c:pt>
                  <c:pt idx="706">
                    <c:v>2018-07-26-12:00</c:v>
                  </c:pt>
                  <c:pt idx="707">
                    <c:v>2018-07-26-13:00</c:v>
                  </c:pt>
                  <c:pt idx="708">
                    <c:v>2018-07-26-14:00</c:v>
                  </c:pt>
                  <c:pt idx="709">
                    <c:v>2018-07-26-15:00</c:v>
                  </c:pt>
                  <c:pt idx="710">
                    <c:v>2018-07-26-16:00</c:v>
                  </c:pt>
                  <c:pt idx="711">
                    <c:v>2018-07-26-17:00</c:v>
                  </c:pt>
                  <c:pt idx="712">
                    <c:v>2018-07-26-18:00</c:v>
                  </c:pt>
                  <c:pt idx="713">
                    <c:v>2018-07-26-19:00</c:v>
                  </c:pt>
                  <c:pt idx="714">
                    <c:v>2018-07-26-20:00</c:v>
                  </c:pt>
                  <c:pt idx="715">
                    <c:v>2018-07-26-21:00</c:v>
                  </c:pt>
                  <c:pt idx="716">
                    <c:v>2018-07-26-22:00</c:v>
                  </c:pt>
                  <c:pt idx="717">
                    <c:v>2018-07-26-23:00</c:v>
                  </c:pt>
                  <c:pt idx="718">
                    <c:v>2018-07-27-00:00</c:v>
                  </c:pt>
                  <c:pt idx="719">
                    <c:v>2018-07-27-01:00</c:v>
                  </c:pt>
                  <c:pt idx="720">
                    <c:v>2018-07-27-02:00</c:v>
                  </c:pt>
                  <c:pt idx="721">
                    <c:v>2018-07-27-03:00</c:v>
                  </c:pt>
                  <c:pt idx="722">
                    <c:v>2018-07-27-04:00</c:v>
                  </c:pt>
                  <c:pt idx="723">
                    <c:v>2018-07-27-05:00</c:v>
                  </c:pt>
                  <c:pt idx="724">
                    <c:v>2018-07-27-06:00</c:v>
                  </c:pt>
                  <c:pt idx="725">
                    <c:v>2018-07-26-07:00</c:v>
                  </c:pt>
                  <c:pt idx="726">
                    <c:v>2018-07-26-08:00</c:v>
                  </c:pt>
                  <c:pt idx="727">
                    <c:v>2018-07-26-09:00</c:v>
                  </c:pt>
                  <c:pt idx="728">
                    <c:v>2018-07-26-10:00</c:v>
                  </c:pt>
                  <c:pt idx="729">
                    <c:v>2018-07-26-11:00</c:v>
                  </c:pt>
                  <c:pt idx="730">
                    <c:v>2018-07-26-12:00</c:v>
                  </c:pt>
                  <c:pt idx="731">
                    <c:v>2018-07-26-13:00</c:v>
                  </c:pt>
                  <c:pt idx="732">
                    <c:v>2018-07-26-14:00</c:v>
                  </c:pt>
                  <c:pt idx="733">
                    <c:v>2018-07-26-15:00</c:v>
                  </c:pt>
                  <c:pt idx="734">
                    <c:v>2018-07-26-16:00</c:v>
                  </c:pt>
                  <c:pt idx="735">
                    <c:v>2018-07-26-17:00</c:v>
                  </c:pt>
                  <c:pt idx="736">
                    <c:v>2018-07-26-18:00</c:v>
                  </c:pt>
                  <c:pt idx="737">
                    <c:v>2018-07-26-19:00</c:v>
                  </c:pt>
                  <c:pt idx="738">
                    <c:v>2018-07-26-20:00</c:v>
                  </c:pt>
                  <c:pt idx="739">
                    <c:v>2018-07-26-21:00</c:v>
                  </c:pt>
                  <c:pt idx="740">
                    <c:v>2018-07-26-22:00</c:v>
                  </c:pt>
                  <c:pt idx="741">
                    <c:v>2018-07-26-23:00</c:v>
                  </c:pt>
                  <c:pt idx="742">
                    <c:v>2018-07-27-00:00</c:v>
                  </c:pt>
                  <c:pt idx="743">
                    <c:v>2018-07-27-01:00</c:v>
                  </c:pt>
                  <c:pt idx="744">
                    <c:v>2018-07-27-02:00</c:v>
                  </c:pt>
                  <c:pt idx="745">
                    <c:v>2018-07-27-03:00</c:v>
                  </c:pt>
                  <c:pt idx="746">
                    <c:v>2018-07-27-04:00</c:v>
                  </c:pt>
                  <c:pt idx="747">
                    <c:v>2018-07-27-05:00</c:v>
                  </c:pt>
                  <c:pt idx="748">
                    <c:v>2018-07-27-06:00</c:v>
                  </c:pt>
                  <c:pt idx="749">
                    <c:v>2018-07-27-07:00</c:v>
                  </c:pt>
                  <c:pt idx="750">
                    <c:v>2018-07-26-08:00</c:v>
                  </c:pt>
                  <c:pt idx="751">
                    <c:v>2018-07-26-09:00</c:v>
                  </c:pt>
                  <c:pt idx="752">
                    <c:v>2018-07-26-10:00</c:v>
                  </c:pt>
                  <c:pt idx="753">
                    <c:v>2018-07-26-11:00</c:v>
                  </c:pt>
                  <c:pt idx="754">
                    <c:v>2018-07-26-12:00</c:v>
                  </c:pt>
                  <c:pt idx="755">
                    <c:v>2018-07-26-13:00</c:v>
                  </c:pt>
                  <c:pt idx="756">
                    <c:v>2018-07-26-14:00</c:v>
                  </c:pt>
                  <c:pt idx="757">
                    <c:v>2018-07-26-15:00</c:v>
                  </c:pt>
                  <c:pt idx="758">
                    <c:v>2018-07-26-16:00</c:v>
                  </c:pt>
                  <c:pt idx="759">
                    <c:v>2018-07-26-17:00</c:v>
                  </c:pt>
                  <c:pt idx="760">
                    <c:v>2018-07-26-18:00</c:v>
                  </c:pt>
                  <c:pt idx="761">
                    <c:v>2018-07-26-19:00</c:v>
                  </c:pt>
                  <c:pt idx="762">
                    <c:v>2018-07-26-20:00</c:v>
                  </c:pt>
                  <c:pt idx="763">
                    <c:v>2018-07-26-21:00</c:v>
                  </c:pt>
                  <c:pt idx="764">
                    <c:v>2018-07-26-22:00</c:v>
                  </c:pt>
                  <c:pt idx="765">
                    <c:v>2018-07-26-23:00</c:v>
                  </c:pt>
                  <c:pt idx="766">
                    <c:v>2018-07-27-00:00</c:v>
                  </c:pt>
                  <c:pt idx="767">
                    <c:v>2018-07-27-01:00</c:v>
                  </c:pt>
                  <c:pt idx="768">
                    <c:v>2018-07-27-02:00</c:v>
                  </c:pt>
                  <c:pt idx="769">
                    <c:v>2018-07-27-03:00</c:v>
                  </c:pt>
                  <c:pt idx="770">
                    <c:v>2018-07-27-04:00</c:v>
                  </c:pt>
                  <c:pt idx="771">
                    <c:v>2018-07-27-05:00</c:v>
                  </c:pt>
                  <c:pt idx="772">
                    <c:v>2018-07-27-06:00</c:v>
                  </c:pt>
                  <c:pt idx="773">
                    <c:v>2018-07-27-07:00</c:v>
                  </c:pt>
                  <c:pt idx="774">
                    <c:v>2018-07-27-08:00</c:v>
                  </c:pt>
                  <c:pt idx="775">
                    <c:v>2018-07-26-09:00</c:v>
                  </c:pt>
                  <c:pt idx="776">
                    <c:v>2018-07-26-10:00</c:v>
                  </c:pt>
                  <c:pt idx="777">
                    <c:v>2018-07-26-11:00</c:v>
                  </c:pt>
                  <c:pt idx="778">
                    <c:v>2018-07-26-12:00</c:v>
                  </c:pt>
                  <c:pt idx="779">
                    <c:v>2018-07-26-13:00</c:v>
                  </c:pt>
                  <c:pt idx="780">
                    <c:v>2018-07-26-14:00</c:v>
                  </c:pt>
                  <c:pt idx="781">
                    <c:v>2018-07-26-15:00</c:v>
                  </c:pt>
                  <c:pt idx="782">
                    <c:v>2018-07-26-16:00</c:v>
                  </c:pt>
                  <c:pt idx="783">
                    <c:v>2018-07-26-17:00</c:v>
                  </c:pt>
                  <c:pt idx="784">
                    <c:v>2018-07-26-18:00</c:v>
                  </c:pt>
                  <c:pt idx="785">
                    <c:v>2018-07-26-19:00</c:v>
                  </c:pt>
                  <c:pt idx="786">
                    <c:v>2018-07-26-20:00</c:v>
                  </c:pt>
                  <c:pt idx="787">
                    <c:v>2018-07-26-21:00</c:v>
                  </c:pt>
                  <c:pt idx="788">
                    <c:v>2018-07-26-22:00</c:v>
                  </c:pt>
                  <c:pt idx="789">
                    <c:v>2018-07-26-23:00</c:v>
                  </c:pt>
                  <c:pt idx="790">
                    <c:v>2018-07-27-00:00</c:v>
                  </c:pt>
                  <c:pt idx="791">
                    <c:v>2018-07-27-01:00</c:v>
                  </c:pt>
                  <c:pt idx="792">
                    <c:v>2018-07-27-02:00</c:v>
                  </c:pt>
                  <c:pt idx="793">
                    <c:v>2018-07-27-03:00</c:v>
                  </c:pt>
                  <c:pt idx="794">
                    <c:v>2018-07-27-04:00</c:v>
                  </c:pt>
                  <c:pt idx="795">
                    <c:v>2018-07-27-05:00</c:v>
                  </c:pt>
                  <c:pt idx="796">
                    <c:v>2018-07-27-06:00</c:v>
                  </c:pt>
                  <c:pt idx="797">
                    <c:v>2018-07-27-07:00</c:v>
                  </c:pt>
                  <c:pt idx="798">
                    <c:v>2018-07-27-08:00</c:v>
                  </c:pt>
                  <c:pt idx="799">
                    <c:v>2018-07-27-09:00</c:v>
                  </c:pt>
                  <c:pt idx="800">
                    <c:v>2018-07-26-10:00</c:v>
                  </c:pt>
                  <c:pt idx="801">
                    <c:v>2018-07-26-11:00</c:v>
                  </c:pt>
                  <c:pt idx="802">
                    <c:v>2018-07-26-12:00</c:v>
                  </c:pt>
                  <c:pt idx="803">
                    <c:v>2018-07-26-13:00</c:v>
                  </c:pt>
                  <c:pt idx="804">
                    <c:v>2018-07-26-14:00</c:v>
                  </c:pt>
                  <c:pt idx="805">
                    <c:v>2018-07-26-15:00</c:v>
                  </c:pt>
                  <c:pt idx="806">
                    <c:v>2018-07-26-16:00</c:v>
                  </c:pt>
                  <c:pt idx="807">
                    <c:v>2018-07-26-17:00</c:v>
                  </c:pt>
                  <c:pt idx="808">
                    <c:v>2018-07-26-18:00</c:v>
                  </c:pt>
                  <c:pt idx="809">
                    <c:v>2018-07-26-19:00</c:v>
                  </c:pt>
                  <c:pt idx="810">
                    <c:v>2018-07-26-20:00</c:v>
                  </c:pt>
                  <c:pt idx="811">
                    <c:v>2018-07-26-21:00</c:v>
                  </c:pt>
                  <c:pt idx="812">
                    <c:v>2018-07-26-22:00</c:v>
                  </c:pt>
                  <c:pt idx="813">
                    <c:v>2018-07-26-23:00</c:v>
                  </c:pt>
                  <c:pt idx="814">
                    <c:v>2018-07-27-00:00</c:v>
                  </c:pt>
                  <c:pt idx="815">
                    <c:v>2018-07-27-01:00</c:v>
                  </c:pt>
                  <c:pt idx="816">
                    <c:v>2018-07-27-02:00</c:v>
                  </c:pt>
                  <c:pt idx="817">
                    <c:v>2018-07-27-03:00</c:v>
                  </c:pt>
                  <c:pt idx="818">
                    <c:v>2018-07-27-04:00</c:v>
                  </c:pt>
                  <c:pt idx="819">
                    <c:v>2018-07-27-05:00</c:v>
                  </c:pt>
                  <c:pt idx="820">
                    <c:v>2018-07-27-06:00</c:v>
                  </c:pt>
                  <c:pt idx="821">
                    <c:v>2018-07-27-07:00</c:v>
                  </c:pt>
                  <c:pt idx="822">
                    <c:v>2018-07-27-08:00</c:v>
                  </c:pt>
                  <c:pt idx="823">
                    <c:v>2018-07-27-09:00</c:v>
                  </c:pt>
                  <c:pt idx="824">
                    <c:v>2018-07-27-10:00</c:v>
                  </c:pt>
                  <c:pt idx="825">
                    <c:v>2018-07-26-11:00</c:v>
                  </c:pt>
                  <c:pt idx="826">
                    <c:v>2018-07-26-12:00</c:v>
                  </c:pt>
                  <c:pt idx="827">
                    <c:v>2018-07-26-13:00</c:v>
                  </c:pt>
                  <c:pt idx="828">
                    <c:v>2018-07-26-14:00</c:v>
                  </c:pt>
                  <c:pt idx="829">
                    <c:v>2018-07-26-15:00</c:v>
                  </c:pt>
                  <c:pt idx="830">
                    <c:v>2018-07-26-16:00</c:v>
                  </c:pt>
                  <c:pt idx="831">
                    <c:v>2018-07-26-17:00</c:v>
                  </c:pt>
                  <c:pt idx="832">
                    <c:v>2018-07-26-18:00</c:v>
                  </c:pt>
                  <c:pt idx="833">
                    <c:v>2018-07-26-19:00</c:v>
                  </c:pt>
                  <c:pt idx="834">
                    <c:v>2018-07-26-20:00</c:v>
                  </c:pt>
                  <c:pt idx="835">
                    <c:v>2018-07-26-21:00</c:v>
                  </c:pt>
                  <c:pt idx="836">
                    <c:v>2018-07-26-22:00</c:v>
                  </c:pt>
                  <c:pt idx="837">
                    <c:v>2018-07-26-23:00</c:v>
                  </c:pt>
                  <c:pt idx="838">
                    <c:v>2018-07-27-00:00</c:v>
                  </c:pt>
                  <c:pt idx="839">
                    <c:v>2018-07-27-01:00</c:v>
                  </c:pt>
                  <c:pt idx="840">
                    <c:v>2018-07-27-02:00</c:v>
                  </c:pt>
                  <c:pt idx="841">
                    <c:v>2018-07-27-03:00</c:v>
                  </c:pt>
                  <c:pt idx="842">
                    <c:v>2018-07-27-04:00</c:v>
                  </c:pt>
                  <c:pt idx="843">
                    <c:v>2018-07-27-05:00</c:v>
                  </c:pt>
                  <c:pt idx="844">
                    <c:v>2018-07-27-06:00</c:v>
                  </c:pt>
                  <c:pt idx="845">
                    <c:v>2018-07-27-07:00</c:v>
                  </c:pt>
                  <c:pt idx="846">
                    <c:v>2018-07-27-08:00</c:v>
                  </c:pt>
                  <c:pt idx="847">
                    <c:v>2018-07-27-09:00</c:v>
                  </c:pt>
                  <c:pt idx="848">
                    <c:v>2018-07-27-10:00</c:v>
                  </c:pt>
                  <c:pt idx="849">
                    <c:v>2018-07-27-11:00</c:v>
                  </c:pt>
                  <c:pt idx="850">
                    <c:v>2018-07-26-12:00</c:v>
                  </c:pt>
                  <c:pt idx="851">
                    <c:v>2018-07-26-13:00</c:v>
                  </c:pt>
                  <c:pt idx="852">
                    <c:v>2018-07-26-14:00</c:v>
                  </c:pt>
                  <c:pt idx="853">
                    <c:v>2018-07-26-15:00</c:v>
                  </c:pt>
                  <c:pt idx="854">
                    <c:v>2018-07-26-16:00</c:v>
                  </c:pt>
                  <c:pt idx="855">
                    <c:v>2018-07-26-17:00</c:v>
                  </c:pt>
                  <c:pt idx="856">
                    <c:v>2018-07-26-18:00</c:v>
                  </c:pt>
                  <c:pt idx="857">
                    <c:v>2018-07-26-19:00</c:v>
                  </c:pt>
                  <c:pt idx="858">
                    <c:v>2018-07-26-20:00</c:v>
                  </c:pt>
                  <c:pt idx="859">
                    <c:v>2018-07-26-21:00</c:v>
                  </c:pt>
                  <c:pt idx="860">
                    <c:v>2018-07-26-22:00</c:v>
                  </c:pt>
                  <c:pt idx="861">
                    <c:v>2018-07-26-23:00</c:v>
                  </c:pt>
                  <c:pt idx="862">
                    <c:v>2018-07-27-00:00</c:v>
                  </c:pt>
                  <c:pt idx="863">
                    <c:v>2018-07-27-01:00</c:v>
                  </c:pt>
                  <c:pt idx="864">
                    <c:v>2018-07-27-02:00</c:v>
                  </c:pt>
                  <c:pt idx="865">
                    <c:v>2018-07-27-03:00</c:v>
                  </c:pt>
                  <c:pt idx="866">
                    <c:v>2018-07-27-04:00</c:v>
                  </c:pt>
                  <c:pt idx="867">
                    <c:v>2018-07-27-05:00</c:v>
                  </c:pt>
                  <c:pt idx="868">
                    <c:v>2018-07-27-06:00</c:v>
                  </c:pt>
                  <c:pt idx="869">
                    <c:v>2018-07-27-07:00</c:v>
                  </c:pt>
                  <c:pt idx="870">
                    <c:v>2018-07-27-08:00</c:v>
                  </c:pt>
                  <c:pt idx="871">
                    <c:v>2018-07-27-09:00</c:v>
                  </c:pt>
                  <c:pt idx="872">
                    <c:v>2018-07-27-10:00</c:v>
                  </c:pt>
                  <c:pt idx="873">
                    <c:v>2018-07-27-11:00</c:v>
                  </c:pt>
                  <c:pt idx="874">
                    <c:v>2018-07-27-12:00</c:v>
                  </c:pt>
                  <c:pt idx="875">
                    <c:v>2018-07-26-13:00</c:v>
                  </c:pt>
                  <c:pt idx="876">
                    <c:v>2018-07-26-14:00</c:v>
                  </c:pt>
                  <c:pt idx="877">
                    <c:v>2018-07-26-15:00</c:v>
                  </c:pt>
                  <c:pt idx="878">
                    <c:v>2018-07-26-16:00</c:v>
                  </c:pt>
                  <c:pt idx="879">
                    <c:v>2018-07-26-17:00</c:v>
                  </c:pt>
                  <c:pt idx="880">
                    <c:v>2018-07-26-18:00</c:v>
                  </c:pt>
                  <c:pt idx="881">
                    <c:v>2018-07-26-19:00</c:v>
                  </c:pt>
                  <c:pt idx="882">
                    <c:v>2018-07-26-20:00</c:v>
                  </c:pt>
                  <c:pt idx="883">
                    <c:v>2018-07-26-21:00</c:v>
                  </c:pt>
                  <c:pt idx="884">
                    <c:v>2018-07-26-22:00</c:v>
                  </c:pt>
                  <c:pt idx="885">
                    <c:v>2018-07-26-23:00</c:v>
                  </c:pt>
                  <c:pt idx="886">
                    <c:v>2018-07-27-00:00</c:v>
                  </c:pt>
                  <c:pt idx="887">
                    <c:v>2018-07-27-01:00</c:v>
                  </c:pt>
                  <c:pt idx="888">
                    <c:v>2018-07-27-02:00</c:v>
                  </c:pt>
                  <c:pt idx="889">
                    <c:v>2018-07-27-03:00</c:v>
                  </c:pt>
                  <c:pt idx="890">
                    <c:v>2018-07-27-04:00</c:v>
                  </c:pt>
                  <c:pt idx="891">
                    <c:v>2018-07-27-05:00</c:v>
                  </c:pt>
                  <c:pt idx="892">
                    <c:v>2018-07-27-06:00</c:v>
                  </c:pt>
                  <c:pt idx="893">
                    <c:v>2018-07-27-07:00</c:v>
                  </c:pt>
                  <c:pt idx="894">
                    <c:v>2018-07-27-08:00</c:v>
                  </c:pt>
                  <c:pt idx="895">
                    <c:v>2018-07-27-09:00</c:v>
                  </c:pt>
                  <c:pt idx="896">
                    <c:v>2018-07-27-10:00</c:v>
                  </c:pt>
                  <c:pt idx="897">
                    <c:v>2018-07-27-11:00</c:v>
                  </c:pt>
                  <c:pt idx="898">
                    <c:v>2018-07-27-12:00</c:v>
                  </c:pt>
                  <c:pt idx="899">
                    <c:v>2018-07-27-13:00</c:v>
                  </c:pt>
                  <c:pt idx="900">
                    <c:v>2018-07-26-14:00</c:v>
                  </c:pt>
                  <c:pt idx="901">
                    <c:v>2018-07-26-15:00</c:v>
                  </c:pt>
                  <c:pt idx="902">
                    <c:v>2018-07-26-16:00</c:v>
                  </c:pt>
                  <c:pt idx="903">
                    <c:v>2018-07-26-17:00</c:v>
                  </c:pt>
                  <c:pt idx="904">
                    <c:v>2018-07-26-18:00</c:v>
                  </c:pt>
                  <c:pt idx="905">
                    <c:v>2018-07-26-19:00</c:v>
                  </c:pt>
                  <c:pt idx="906">
                    <c:v>2018-07-26-20:00</c:v>
                  </c:pt>
                  <c:pt idx="907">
                    <c:v>2018-07-26-21:00</c:v>
                  </c:pt>
                  <c:pt idx="908">
                    <c:v>2018-07-26-22:00</c:v>
                  </c:pt>
                  <c:pt idx="909">
                    <c:v>2018-07-26-23:00</c:v>
                  </c:pt>
                  <c:pt idx="910">
                    <c:v>2018-07-27-00:00</c:v>
                  </c:pt>
                  <c:pt idx="911">
                    <c:v>2018-07-27-01:00</c:v>
                  </c:pt>
                  <c:pt idx="912">
                    <c:v>2018-07-27-02:00</c:v>
                  </c:pt>
                  <c:pt idx="913">
                    <c:v>2018-07-27-03:00</c:v>
                  </c:pt>
                  <c:pt idx="914">
                    <c:v>2018-07-27-04:00</c:v>
                  </c:pt>
                  <c:pt idx="915">
                    <c:v>2018-07-27-05:00</c:v>
                  </c:pt>
                  <c:pt idx="916">
                    <c:v>2018-07-27-06:00</c:v>
                  </c:pt>
                  <c:pt idx="917">
                    <c:v>2018-07-27-07:00</c:v>
                  </c:pt>
                  <c:pt idx="918">
                    <c:v>2018-07-27-08:00</c:v>
                  </c:pt>
                  <c:pt idx="919">
                    <c:v>2018-07-27-09:00</c:v>
                  </c:pt>
                  <c:pt idx="920">
                    <c:v>2018-07-27-10:00</c:v>
                  </c:pt>
                  <c:pt idx="921">
                    <c:v>2018-07-27-11:00</c:v>
                  </c:pt>
                  <c:pt idx="922">
                    <c:v>2018-07-27-12:00</c:v>
                  </c:pt>
                  <c:pt idx="923">
                    <c:v>2018-07-27-13:00</c:v>
                  </c:pt>
                  <c:pt idx="924">
                    <c:v>2018-07-27-14:00</c:v>
                  </c:pt>
                  <c:pt idx="925">
                    <c:v>2018-07-26-15:00</c:v>
                  </c:pt>
                  <c:pt idx="926">
                    <c:v>2018-07-26-16:00</c:v>
                  </c:pt>
                  <c:pt idx="927">
                    <c:v>2018-07-26-17:00</c:v>
                  </c:pt>
                  <c:pt idx="928">
                    <c:v>2018-07-26-18:00</c:v>
                  </c:pt>
                  <c:pt idx="929">
                    <c:v>2018-07-26-19:00</c:v>
                  </c:pt>
                  <c:pt idx="930">
                    <c:v>2018-07-26-20:00</c:v>
                  </c:pt>
                  <c:pt idx="931">
                    <c:v>2018-07-26-21:00</c:v>
                  </c:pt>
                  <c:pt idx="932">
                    <c:v>2018-07-26-22:00</c:v>
                  </c:pt>
                  <c:pt idx="933">
                    <c:v>2018-07-26-23:00</c:v>
                  </c:pt>
                  <c:pt idx="934">
                    <c:v>2018-07-27-00:00</c:v>
                  </c:pt>
                  <c:pt idx="935">
                    <c:v>2018-07-27-01:00</c:v>
                  </c:pt>
                  <c:pt idx="936">
                    <c:v>2018-07-27-02:00</c:v>
                  </c:pt>
                  <c:pt idx="937">
                    <c:v>2018-07-27-03:00</c:v>
                  </c:pt>
                  <c:pt idx="938">
                    <c:v>2018-07-27-04:00</c:v>
                  </c:pt>
                  <c:pt idx="939">
                    <c:v>2018-07-27-05:00</c:v>
                  </c:pt>
                  <c:pt idx="940">
                    <c:v>2018-07-27-06:00</c:v>
                  </c:pt>
                  <c:pt idx="941">
                    <c:v>2018-07-27-07:00</c:v>
                  </c:pt>
                  <c:pt idx="942">
                    <c:v>2018-07-27-08:00</c:v>
                  </c:pt>
                  <c:pt idx="943">
                    <c:v>2018-07-27-09:00</c:v>
                  </c:pt>
                  <c:pt idx="944">
                    <c:v>2018-07-27-10:00</c:v>
                  </c:pt>
                  <c:pt idx="945">
                    <c:v>2018-07-27-11:00</c:v>
                  </c:pt>
                  <c:pt idx="946">
                    <c:v>2018-07-27-12:00</c:v>
                  </c:pt>
                  <c:pt idx="947">
                    <c:v>2018-07-27-13:00</c:v>
                  </c:pt>
                  <c:pt idx="948">
                    <c:v>2018-07-27-14:00</c:v>
                  </c:pt>
                  <c:pt idx="949">
                    <c:v>2018-07-27-15:00</c:v>
                  </c:pt>
                  <c:pt idx="950">
                    <c:v>2018-07-26-16:00</c:v>
                  </c:pt>
                  <c:pt idx="951">
                    <c:v>2018-07-26-17:00</c:v>
                  </c:pt>
                  <c:pt idx="952">
                    <c:v>2018-07-26-18:00</c:v>
                  </c:pt>
                  <c:pt idx="953">
                    <c:v>2018-07-26-19:00</c:v>
                  </c:pt>
                  <c:pt idx="954">
                    <c:v>2018-07-26-20:00</c:v>
                  </c:pt>
                  <c:pt idx="955">
                    <c:v>2018-07-26-21:00</c:v>
                  </c:pt>
                  <c:pt idx="956">
                    <c:v>2018-07-26-22:00</c:v>
                  </c:pt>
                  <c:pt idx="957">
                    <c:v>2018-07-26-23:00</c:v>
                  </c:pt>
                  <c:pt idx="958">
                    <c:v>2018-07-27-00:00</c:v>
                  </c:pt>
                  <c:pt idx="959">
                    <c:v>2018-07-27-01:00</c:v>
                  </c:pt>
                  <c:pt idx="960">
                    <c:v>2018-07-27-02:00</c:v>
                  </c:pt>
                  <c:pt idx="961">
                    <c:v>2018-07-27-03:00</c:v>
                  </c:pt>
                  <c:pt idx="962">
                    <c:v>2018-07-27-04:00</c:v>
                  </c:pt>
                  <c:pt idx="963">
                    <c:v>2018-07-27-05:00</c:v>
                  </c:pt>
                  <c:pt idx="964">
                    <c:v>2018-07-27-06:00</c:v>
                  </c:pt>
                  <c:pt idx="965">
                    <c:v>2018-07-27-07:00</c:v>
                  </c:pt>
                  <c:pt idx="966">
                    <c:v>2018-07-27-08:00</c:v>
                  </c:pt>
                  <c:pt idx="967">
                    <c:v>2018-07-27-09:00</c:v>
                  </c:pt>
                  <c:pt idx="968">
                    <c:v>2018-07-27-10:00</c:v>
                  </c:pt>
                  <c:pt idx="969">
                    <c:v>2018-07-27-11:00</c:v>
                  </c:pt>
                  <c:pt idx="970">
                    <c:v>2018-07-27-12:00</c:v>
                  </c:pt>
                  <c:pt idx="971">
                    <c:v>2018-07-27-13:00</c:v>
                  </c:pt>
                  <c:pt idx="972">
                    <c:v>2018-07-27-14:00</c:v>
                  </c:pt>
                  <c:pt idx="973">
                    <c:v>2018-07-27-15:00</c:v>
                  </c:pt>
                  <c:pt idx="974">
                    <c:v>2018-07-27-16:00</c:v>
                  </c:pt>
                  <c:pt idx="975">
                    <c:v>2018-07-26-17:00</c:v>
                  </c:pt>
                  <c:pt idx="976">
                    <c:v>2018-07-26-18:00</c:v>
                  </c:pt>
                  <c:pt idx="977">
                    <c:v>2018-07-26-19:00</c:v>
                  </c:pt>
                  <c:pt idx="978">
                    <c:v>2018-07-26-20:00</c:v>
                  </c:pt>
                  <c:pt idx="979">
                    <c:v>2018-07-26-21:00</c:v>
                  </c:pt>
                  <c:pt idx="980">
                    <c:v>2018-07-26-22:00</c:v>
                  </c:pt>
                  <c:pt idx="981">
                    <c:v>2018-07-26-23:00</c:v>
                  </c:pt>
                  <c:pt idx="982">
                    <c:v>2018-07-27-00:00</c:v>
                  </c:pt>
                  <c:pt idx="983">
                    <c:v>2018-07-27-01:00</c:v>
                  </c:pt>
                  <c:pt idx="984">
                    <c:v>2018-07-27-02:00</c:v>
                  </c:pt>
                  <c:pt idx="985">
                    <c:v>2018-07-27-03:00</c:v>
                  </c:pt>
                  <c:pt idx="986">
                    <c:v>2018-07-27-04:00</c:v>
                  </c:pt>
                  <c:pt idx="987">
                    <c:v>2018-07-27-05:00</c:v>
                  </c:pt>
                  <c:pt idx="988">
                    <c:v>2018-07-27-06:00</c:v>
                  </c:pt>
                  <c:pt idx="989">
                    <c:v>2018-07-27-07:00</c:v>
                  </c:pt>
                  <c:pt idx="990">
                    <c:v>2018-07-27-08:00</c:v>
                  </c:pt>
                  <c:pt idx="991">
                    <c:v>2018-07-27-09:00</c:v>
                  </c:pt>
                  <c:pt idx="992">
                    <c:v>2018-07-27-10:00</c:v>
                  </c:pt>
                  <c:pt idx="993">
                    <c:v>2018-07-27-11:00</c:v>
                  </c:pt>
                  <c:pt idx="994">
                    <c:v>2018-07-27-12:00</c:v>
                  </c:pt>
                  <c:pt idx="995">
                    <c:v>2018-07-27-13:00</c:v>
                  </c:pt>
                  <c:pt idx="996">
                    <c:v>2018-07-27-14:00</c:v>
                  </c:pt>
                  <c:pt idx="997">
                    <c:v>2018-07-27-15:00</c:v>
                  </c:pt>
                  <c:pt idx="998">
                    <c:v>2018-07-27-16:00</c:v>
                  </c:pt>
                  <c:pt idx="999">
                    <c:v>2018-07-27-17:00</c:v>
                  </c:pt>
                  <c:pt idx="1000">
                    <c:v>2018-07-26-18:00</c:v>
                  </c:pt>
                  <c:pt idx="1001">
                    <c:v>2018-07-26-19:00</c:v>
                  </c:pt>
                  <c:pt idx="1002">
                    <c:v>2018-07-26-20:00</c:v>
                  </c:pt>
                  <c:pt idx="1003">
                    <c:v>2018-07-26-21:00</c:v>
                  </c:pt>
                  <c:pt idx="1004">
                    <c:v>2018-07-26-22:00</c:v>
                  </c:pt>
                  <c:pt idx="1005">
                    <c:v>2018-07-26-23:00</c:v>
                  </c:pt>
                  <c:pt idx="1006">
                    <c:v>2018-07-27-00:00</c:v>
                  </c:pt>
                  <c:pt idx="1007">
                    <c:v>2018-07-27-01:00</c:v>
                  </c:pt>
                  <c:pt idx="1008">
                    <c:v>2018-07-27-02:00</c:v>
                  </c:pt>
                  <c:pt idx="1009">
                    <c:v>2018-07-27-03:00</c:v>
                  </c:pt>
                  <c:pt idx="1010">
                    <c:v>2018-07-27-04:00</c:v>
                  </c:pt>
                  <c:pt idx="1011">
                    <c:v>2018-07-27-05:00</c:v>
                  </c:pt>
                  <c:pt idx="1012">
                    <c:v>2018-07-27-06:00</c:v>
                  </c:pt>
                  <c:pt idx="1013">
                    <c:v>2018-07-27-07:00</c:v>
                  </c:pt>
                  <c:pt idx="1014">
                    <c:v>2018-07-27-08:00</c:v>
                  </c:pt>
                  <c:pt idx="1015">
                    <c:v>2018-07-27-09:00</c:v>
                  </c:pt>
                  <c:pt idx="1016">
                    <c:v>2018-07-27-10:00</c:v>
                  </c:pt>
                  <c:pt idx="1017">
                    <c:v>2018-07-27-11:00</c:v>
                  </c:pt>
                  <c:pt idx="1018">
                    <c:v>2018-07-27-12:00</c:v>
                  </c:pt>
                  <c:pt idx="1019">
                    <c:v>2018-07-27-13:00</c:v>
                  </c:pt>
                  <c:pt idx="1020">
                    <c:v>2018-07-27-14:00</c:v>
                  </c:pt>
                  <c:pt idx="1021">
                    <c:v>2018-07-27-15:00</c:v>
                  </c:pt>
                  <c:pt idx="1022">
                    <c:v>2018-07-27-16:00</c:v>
                  </c:pt>
                  <c:pt idx="1023">
                    <c:v>2018-07-27-17:00</c:v>
                  </c:pt>
                  <c:pt idx="1024">
                    <c:v>2018-07-27-18:00</c:v>
                  </c:pt>
                  <c:pt idx="1025">
                    <c:v>2018-07-26-19:00</c:v>
                  </c:pt>
                  <c:pt idx="1026">
                    <c:v>2018-07-26-20:00</c:v>
                  </c:pt>
                  <c:pt idx="1027">
                    <c:v>2018-07-26-21:00</c:v>
                  </c:pt>
                  <c:pt idx="1028">
                    <c:v>2018-07-26-22:00</c:v>
                  </c:pt>
                  <c:pt idx="1029">
                    <c:v>2018-07-26-23:00</c:v>
                  </c:pt>
                  <c:pt idx="1030">
                    <c:v>2018-07-27-00:00</c:v>
                  </c:pt>
                  <c:pt idx="1031">
                    <c:v>2018-07-27-01:00</c:v>
                  </c:pt>
                  <c:pt idx="1032">
                    <c:v>2018-07-27-02:00</c:v>
                  </c:pt>
                  <c:pt idx="1033">
                    <c:v>2018-07-27-03:00</c:v>
                  </c:pt>
                  <c:pt idx="1034">
                    <c:v>2018-07-27-04:00</c:v>
                  </c:pt>
                  <c:pt idx="1035">
                    <c:v>2018-07-27-05:00</c:v>
                  </c:pt>
                  <c:pt idx="1036">
                    <c:v>2018-07-27-06:00</c:v>
                  </c:pt>
                  <c:pt idx="1037">
                    <c:v>2018-07-27-07:00</c:v>
                  </c:pt>
                  <c:pt idx="1038">
                    <c:v>2018-07-27-08:00</c:v>
                  </c:pt>
                  <c:pt idx="1039">
                    <c:v>2018-07-27-09:00</c:v>
                  </c:pt>
                  <c:pt idx="1040">
                    <c:v>2018-07-27-10:00</c:v>
                  </c:pt>
                  <c:pt idx="1041">
                    <c:v>2018-07-27-11:00</c:v>
                  </c:pt>
                  <c:pt idx="1042">
                    <c:v>2018-07-27-12:00</c:v>
                  </c:pt>
                  <c:pt idx="1043">
                    <c:v>2018-07-27-13:00</c:v>
                  </c:pt>
                  <c:pt idx="1044">
                    <c:v>2018-07-27-14:00</c:v>
                  </c:pt>
                  <c:pt idx="1045">
                    <c:v>2018-07-27-15:00</c:v>
                  </c:pt>
                  <c:pt idx="1046">
                    <c:v>2018-07-27-16:00</c:v>
                  </c:pt>
                  <c:pt idx="1047">
                    <c:v>2018-07-27-17:00</c:v>
                  </c:pt>
                  <c:pt idx="1048">
                    <c:v>2018-07-27-18:00</c:v>
                  </c:pt>
                  <c:pt idx="1049">
                    <c:v>2018-07-27-19:00</c:v>
                  </c:pt>
                  <c:pt idx="1050">
                    <c:v>2018-07-26-20:00</c:v>
                  </c:pt>
                  <c:pt idx="1051">
                    <c:v>2018-07-26-21:00</c:v>
                  </c:pt>
                  <c:pt idx="1052">
                    <c:v>2018-07-26-22:00</c:v>
                  </c:pt>
                  <c:pt idx="1053">
                    <c:v>2018-07-26-23:00</c:v>
                  </c:pt>
                  <c:pt idx="1054">
                    <c:v>2018-07-27-00:00</c:v>
                  </c:pt>
                  <c:pt idx="1055">
                    <c:v>2018-07-27-01:00</c:v>
                  </c:pt>
                  <c:pt idx="1056">
                    <c:v>2018-07-27-02:00</c:v>
                  </c:pt>
                  <c:pt idx="1057">
                    <c:v>2018-07-27-03:00</c:v>
                  </c:pt>
                  <c:pt idx="1058">
                    <c:v>2018-07-27-04:00</c:v>
                  </c:pt>
                  <c:pt idx="1059">
                    <c:v>2018-07-27-05:00</c:v>
                  </c:pt>
                  <c:pt idx="1060">
                    <c:v>2018-07-27-06:00</c:v>
                  </c:pt>
                  <c:pt idx="1061">
                    <c:v>2018-07-27-07:00</c:v>
                  </c:pt>
                  <c:pt idx="1062">
                    <c:v>2018-07-27-08:00</c:v>
                  </c:pt>
                  <c:pt idx="1063">
                    <c:v>2018-07-27-09:00</c:v>
                  </c:pt>
                  <c:pt idx="1064">
                    <c:v>2018-07-27-10:00</c:v>
                  </c:pt>
                  <c:pt idx="1065">
                    <c:v>2018-07-27-11:00</c:v>
                  </c:pt>
                  <c:pt idx="1066">
                    <c:v>2018-07-27-12:00</c:v>
                  </c:pt>
                  <c:pt idx="1067">
                    <c:v>2018-07-27-13:00</c:v>
                  </c:pt>
                  <c:pt idx="1068">
                    <c:v>2018-07-27-14:00</c:v>
                  </c:pt>
                  <c:pt idx="1069">
                    <c:v>2018-07-27-15:00</c:v>
                  </c:pt>
                  <c:pt idx="1070">
                    <c:v>2018-07-27-16:00</c:v>
                  </c:pt>
                  <c:pt idx="1071">
                    <c:v>2018-07-27-17:00</c:v>
                  </c:pt>
                  <c:pt idx="1072">
                    <c:v>2018-07-27-18:00</c:v>
                  </c:pt>
                  <c:pt idx="1073">
                    <c:v>2018-07-27-19:00</c:v>
                  </c:pt>
                  <c:pt idx="1074">
                    <c:v>2018-07-27-20:00</c:v>
                  </c:pt>
                  <c:pt idx="1075">
                    <c:v>2018-07-26-21:00</c:v>
                  </c:pt>
                  <c:pt idx="1076">
                    <c:v>2018-07-26-22:00</c:v>
                  </c:pt>
                  <c:pt idx="1077">
                    <c:v>2018-07-26-23:00</c:v>
                  </c:pt>
                  <c:pt idx="1078">
                    <c:v>2018-07-27-00:00</c:v>
                  </c:pt>
                  <c:pt idx="1079">
                    <c:v>2018-07-27-01:00</c:v>
                  </c:pt>
                  <c:pt idx="1080">
                    <c:v>2018-07-27-02:00</c:v>
                  </c:pt>
                  <c:pt idx="1081">
                    <c:v>2018-07-27-03:00</c:v>
                  </c:pt>
                  <c:pt idx="1082">
                    <c:v>2018-07-27-04:00</c:v>
                  </c:pt>
                  <c:pt idx="1083">
                    <c:v>2018-07-27-05:00</c:v>
                  </c:pt>
                  <c:pt idx="1084">
                    <c:v>2018-07-27-06:00</c:v>
                  </c:pt>
                  <c:pt idx="1085">
                    <c:v>2018-07-27-07:00</c:v>
                  </c:pt>
                  <c:pt idx="1086">
                    <c:v>2018-07-27-08:00</c:v>
                  </c:pt>
                  <c:pt idx="1087">
                    <c:v>2018-07-27-09:00</c:v>
                  </c:pt>
                  <c:pt idx="1088">
                    <c:v>2018-07-27-10:00</c:v>
                  </c:pt>
                  <c:pt idx="1089">
                    <c:v>2018-07-27-11:00</c:v>
                  </c:pt>
                  <c:pt idx="1090">
                    <c:v>2018-07-27-12:00</c:v>
                  </c:pt>
                  <c:pt idx="1091">
                    <c:v>2018-07-27-13:00</c:v>
                  </c:pt>
                  <c:pt idx="1092">
                    <c:v>2018-07-27-14:00</c:v>
                  </c:pt>
                  <c:pt idx="1093">
                    <c:v>2018-07-27-15:00</c:v>
                  </c:pt>
                  <c:pt idx="1094">
                    <c:v>2018-07-27-16:00</c:v>
                  </c:pt>
                  <c:pt idx="1095">
                    <c:v>2018-07-27-17:00</c:v>
                  </c:pt>
                  <c:pt idx="1096">
                    <c:v>2018-07-27-18:00</c:v>
                  </c:pt>
                  <c:pt idx="1097">
                    <c:v>2018-07-27-19:00</c:v>
                  </c:pt>
                  <c:pt idx="1098">
                    <c:v>2018-07-27-20:00</c:v>
                  </c:pt>
                  <c:pt idx="1099">
                    <c:v>2018-07-27-21:00</c:v>
                  </c:pt>
                  <c:pt idx="1100">
                    <c:v>2018-07-26-22:00</c:v>
                  </c:pt>
                  <c:pt idx="1101">
                    <c:v>2018-07-26-23:00</c:v>
                  </c:pt>
                  <c:pt idx="1102">
                    <c:v>2018-07-27-00:00</c:v>
                  </c:pt>
                  <c:pt idx="1103">
                    <c:v>2018-07-27-01:00</c:v>
                  </c:pt>
                  <c:pt idx="1104">
                    <c:v>2018-07-27-02:00</c:v>
                  </c:pt>
                  <c:pt idx="1105">
                    <c:v>2018-07-27-03:00</c:v>
                  </c:pt>
                  <c:pt idx="1106">
                    <c:v>2018-07-27-04:00</c:v>
                  </c:pt>
                  <c:pt idx="1107">
                    <c:v>2018-07-27-05:00</c:v>
                  </c:pt>
                  <c:pt idx="1108">
                    <c:v>2018-07-27-06:00</c:v>
                  </c:pt>
                  <c:pt idx="1109">
                    <c:v>2018-07-27-07:00</c:v>
                  </c:pt>
                  <c:pt idx="1110">
                    <c:v>2018-07-27-08:00</c:v>
                  </c:pt>
                  <c:pt idx="1111">
                    <c:v>2018-07-27-09:00</c:v>
                  </c:pt>
                  <c:pt idx="1112">
                    <c:v>2018-07-27-10:00</c:v>
                  </c:pt>
                  <c:pt idx="1113">
                    <c:v>2018-07-27-11:00</c:v>
                  </c:pt>
                  <c:pt idx="1114">
                    <c:v>2018-07-27-12:00</c:v>
                  </c:pt>
                  <c:pt idx="1115">
                    <c:v>2018-07-27-13:00</c:v>
                  </c:pt>
                  <c:pt idx="1116">
                    <c:v>2018-07-27-14:00</c:v>
                  </c:pt>
                  <c:pt idx="1117">
                    <c:v>2018-07-27-15:00</c:v>
                  </c:pt>
                  <c:pt idx="1118">
                    <c:v>2018-07-27-16:00</c:v>
                  </c:pt>
                  <c:pt idx="1119">
                    <c:v>2018-07-27-17:00</c:v>
                  </c:pt>
                  <c:pt idx="1120">
                    <c:v>2018-07-27-18:00</c:v>
                  </c:pt>
                  <c:pt idx="1121">
                    <c:v>2018-07-27-19:00</c:v>
                  </c:pt>
                  <c:pt idx="1122">
                    <c:v>2018-07-27-20:00</c:v>
                  </c:pt>
                  <c:pt idx="1123">
                    <c:v>2018-07-27-21:00</c:v>
                  </c:pt>
                  <c:pt idx="1124">
                    <c:v>2018-07-27-22:00</c:v>
                  </c:pt>
                  <c:pt idx="1125">
                    <c:v>2018-07-26-23:00</c:v>
                  </c:pt>
                  <c:pt idx="1126">
                    <c:v>2018-07-27-00:00</c:v>
                  </c:pt>
                  <c:pt idx="1127">
                    <c:v>2018-07-27-01:00</c:v>
                  </c:pt>
                  <c:pt idx="1128">
                    <c:v>2018-07-27-02:00</c:v>
                  </c:pt>
                  <c:pt idx="1129">
                    <c:v>2018-07-27-03:00</c:v>
                  </c:pt>
                  <c:pt idx="1130">
                    <c:v>2018-07-27-04:00</c:v>
                  </c:pt>
                  <c:pt idx="1131">
                    <c:v>2018-07-27-05:00</c:v>
                  </c:pt>
                  <c:pt idx="1132">
                    <c:v>2018-07-27-06:00</c:v>
                  </c:pt>
                  <c:pt idx="1133">
                    <c:v>2018-07-27-07:00</c:v>
                  </c:pt>
                  <c:pt idx="1134">
                    <c:v>2018-07-27-08:00</c:v>
                  </c:pt>
                  <c:pt idx="1135">
                    <c:v>2018-07-27-09:00</c:v>
                  </c:pt>
                  <c:pt idx="1136">
                    <c:v>2018-07-27-10:00</c:v>
                  </c:pt>
                  <c:pt idx="1137">
                    <c:v>2018-07-27-11:00</c:v>
                  </c:pt>
                  <c:pt idx="1138">
                    <c:v>2018-07-27-12:00</c:v>
                  </c:pt>
                  <c:pt idx="1139">
                    <c:v>2018-07-27-13:00</c:v>
                  </c:pt>
                  <c:pt idx="1140">
                    <c:v>2018-07-27-14:00</c:v>
                  </c:pt>
                  <c:pt idx="1141">
                    <c:v>2018-07-27-15:00</c:v>
                  </c:pt>
                  <c:pt idx="1142">
                    <c:v>2018-07-27-16:00</c:v>
                  </c:pt>
                  <c:pt idx="1143">
                    <c:v>2018-07-27-17:00</c:v>
                  </c:pt>
                  <c:pt idx="1144">
                    <c:v>2018-07-27-18:00</c:v>
                  </c:pt>
                  <c:pt idx="1145">
                    <c:v>2018-07-27-19:00</c:v>
                  </c:pt>
                  <c:pt idx="1146">
                    <c:v>2018-07-27-20:00</c:v>
                  </c:pt>
                  <c:pt idx="1147">
                    <c:v>2018-07-27-21:00</c:v>
                  </c:pt>
                  <c:pt idx="1148">
                    <c:v>2018-07-27-22:00</c:v>
                  </c:pt>
                  <c:pt idx="1149">
                    <c:v>2018-07-27-23:00</c:v>
                  </c:pt>
                  <c:pt idx="1150">
                    <c:v>2018-07-27-00:00</c:v>
                  </c:pt>
                  <c:pt idx="1151">
                    <c:v>2018-07-27-01:00</c:v>
                  </c:pt>
                  <c:pt idx="1152">
                    <c:v>2018-07-27-02:00</c:v>
                  </c:pt>
                  <c:pt idx="1153">
                    <c:v>2018-07-27-03:00</c:v>
                  </c:pt>
                  <c:pt idx="1154">
                    <c:v>2018-07-27-04:00</c:v>
                  </c:pt>
                  <c:pt idx="1155">
                    <c:v>2018-07-27-05:00</c:v>
                  </c:pt>
                  <c:pt idx="1156">
                    <c:v>2018-07-27-06:00</c:v>
                  </c:pt>
                  <c:pt idx="1157">
                    <c:v>2018-07-27-07:00</c:v>
                  </c:pt>
                  <c:pt idx="1158">
                    <c:v>2018-07-27-08:00</c:v>
                  </c:pt>
                  <c:pt idx="1159">
                    <c:v>2018-07-27-09:00</c:v>
                  </c:pt>
                  <c:pt idx="1160">
                    <c:v>2018-07-27-10:00</c:v>
                  </c:pt>
                  <c:pt idx="1161">
                    <c:v>2018-07-27-11:00</c:v>
                  </c:pt>
                  <c:pt idx="1162">
                    <c:v>2018-07-27-12:00</c:v>
                  </c:pt>
                  <c:pt idx="1163">
                    <c:v>2018-07-27-13:00</c:v>
                  </c:pt>
                  <c:pt idx="1164">
                    <c:v>2018-07-27-14:00</c:v>
                  </c:pt>
                  <c:pt idx="1165">
                    <c:v>2018-07-27-15:00</c:v>
                  </c:pt>
                  <c:pt idx="1166">
                    <c:v>2018-07-27-16:00</c:v>
                  </c:pt>
                  <c:pt idx="1167">
                    <c:v>2018-07-27-17:00</c:v>
                  </c:pt>
                  <c:pt idx="1168">
                    <c:v>2018-07-27-18:00</c:v>
                  </c:pt>
                  <c:pt idx="1169">
                    <c:v>2018-07-27-19:00</c:v>
                  </c:pt>
                  <c:pt idx="1170">
                    <c:v>2018-07-27-20:00</c:v>
                  </c:pt>
                  <c:pt idx="1171">
                    <c:v>2018-07-27-21:00</c:v>
                  </c:pt>
                  <c:pt idx="1172">
                    <c:v>2018-07-27-22:00</c:v>
                  </c:pt>
                  <c:pt idx="1173">
                    <c:v>2018-07-27-23:00</c:v>
                  </c:pt>
                  <c:pt idx="1174">
                    <c:v>2018-07-30-00:00</c:v>
                  </c:pt>
                  <c:pt idx="1175">
                    <c:v>2018-07-27-01:00</c:v>
                  </c:pt>
                  <c:pt idx="1176">
                    <c:v>2018-07-27-02:00</c:v>
                  </c:pt>
                  <c:pt idx="1177">
                    <c:v>2018-07-27-03:00</c:v>
                  </c:pt>
                  <c:pt idx="1178">
                    <c:v>2018-07-27-04:00</c:v>
                  </c:pt>
                  <c:pt idx="1179">
                    <c:v>2018-07-27-05:00</c:v>
                  </c:pt>
                  <c:pt idx="1180">
                    <c:v>2018-07-27-06:00</c:v>
                  </c:pt>
                  <c:pt idx="1181">
                    <c:v>2018-07-27-07:00</c:v>
                  </c:pt>
                  <c:pt idx="1182">
                    <c:v>2018-07-27-08:00</c:v>
                  </c:pt>
                  <c:pt idx="1183">
                    <c:v>2018-07-27-09:00</c:v>
                  </c:pt>
                  <c:pt idx="1184">
                    <c:v>2018-07-27-10:00</c:v>
                  </c:pt>
                  <c:pt idx="1185">
                    <c:v>2018-07-27-11:00</c:v>
                  </c:pt>
                  <c:pt idx="1186">
                    <c:v>2018-07-27-12:00</c:v>
                  </c:pt>
                  <c:pt idx="1187">
                    <c:v>2018-07-27-13:00</c:v>
                  </c:pt>
                  <c:pt idx="1188">
                    <c:v>2018-07-27-14:00</c:v>
                  </c:pt>
                  <c:pt idx="1189">
                    <c:v>2018-07-27-15:00</c:v>
                  </c:pt>
                  <c:pt idx="1190">
                    <c:v>2018-07-27-16:00</c:v>
                  </c:pt>
                  <c:pt idx="1191">
                    <c:v>2018-07-27-17:00</c:v>
                  </c:pt>
                  <c:pt idx="1192">
                    <c:v>2018-07-27-18:00</c:v>
                  </c:pt>
                  <c:pt idx="1193">
                    <c:v>2018-07-27-19:00</c:v>
                  </c:pt>
                  <c:pt idx="1194">
                    <c:v>2018-07-27-20:00</c:v>
                  </c:pt>
                  <c:pt idx="1195">
                    <c:v>2018-07-27-21:00</c:v>
                  </c:pt>
                  <c:pt idx="1196">
                    <c:v>2018-07-27-22:00</c:v>
                  </c:pt>
                  <c:pt idx="1197">
                    <c:v>2018-07-27-23:00</c:v>
                  </c:pt>
                  <c:pt idx="1198">
                    <c:v>2018-07-30-00:00</c:v>
                  </c:pt>
                  <c:pt idx="1199">
                    <c:v>2018-07-30-01:00</c:v>
                  </c:pt>
                  <c:pt idx="1200">
                    <c:v>2018-07-27-02:00</c:v>
                  </c:pt>
                  <c:pt idx="1201">
                    <c:v>2018-07-27-03:00</c:v>
                  </c:pt>
                  <c:pt idx="1202">
                    <c:v>2018-07-27-04:00</c:v>
                  </c:pt>
                  <c:pt idx="1203">
                    <c:v>2018-07-27-05:00</c:v>
                  </c:pt>
                  <c:pt idx="1204">
                    <c:v>2018-07-27-06:00</c:v>
                  </c:pt>
                  <c:pt idx="1205">
                    <c:v>2018-07-27-07:00</c:v>
                  </c:pt>
                  <c:pt idx="1206">
                    <c:v>2018-07-27-08:00</c:v>
                  </c:pt>
                  <c:pt idx="1207">
                    <c:v>2018-07-27-09:00</c:v>
                  </c:pt>
                  <c:pt idx="1208">
                    <c:v>2018-07-27-10:00</c:v>
                  </c:pt>
                  <c:pt idx="1209">
                    <c:v>2018-07-27-11:00</c:v>
                  </c:pt>
                  <c:pt idx="1210">
                    <c:v>2018-07-27-12:00</c:v>
                  </c:pt>
                  <c:pt idx="1211">
                    <c:v>2018-07-27-13:00</c:v>
                  </c:pt>
                  <c:pt idx="1212">
                    <c:v>2018-07-27-14:00</c:v>
                  </c:pt>
                  <c:pt idx="1213">
                    <c:v>2018-07-27-15:00</c:v>
                  </c:pt>
                  <c:pt idx="1214">
                    <c:v>2018-07-27-16:00</c:v>
                  </c:pt>
                  <c:pt idx="1215">
                    <c:v>2018-07-27-17:00</c:v>
                  </c:pt>
                  <c:pt idx="1216">
                    <c:v>2018-07-27-18:00</c:v>
                  </c:pt>
                  <c:pt idx="1217">
                    <c:v>2018-07-27-19:00</c:v>
                  </c:pt>
                  <c:pt idx="1218">
                    <c:v>2018-07-27-20:00</c:v>
                  </c:pt>
                  <c:pt idx="1219">
                    <c:v>2018-07-27-21:00</c:v>
                  </c:pt>
                  <c:pt idx="1220">
                    <c:v>2018-07-27-22:00</c:v>
                  </c:pt>
                  <c:pt idx="1221">
                    <c:v>2018-07-27-23:00</c:v>
                  </c:pt>
                  <c:pt idx="1222">
                    <c:v>2018-07-30-00:00</c:v>
                  </c:pt>
                  <c:pt idx="1223">
                    <c:v>2018-07-30-01:00</c:v>
                  </c:pt>
                  <c:pt idx="1224">
                    <c:v>2018-07-30-02:00</c:v>
                  </c:pt>
                  <c:pt idx="1225">
                    <c:v>2018-07-27-03:00</c:v>
                  </c:pt>
                  <c:pt idx="1226">
                    <c:v>2018-07-27-04:00</c:v>
                  </c:pt>
                  <c:pt idx="1227">
                    <c:v>2018-07-27-05:00</c:v>
                  </c:pt>
                  <c:pt idx="1228">
                    <c:v>2018-07-27-06:00</c:v>
                  </c:pt>
                  <c:pt idx="1229">
                    <c:v>2018-07-27-07:00</c:v>
                  </c:pt>
                  <c:pt idx="1230">
                    <c:v>2018-07-27-08:00</c:v>
                  </c:pt>
                  <c:pt idx="1231">
                    <c:v>2018-07-27-09:00</c:v>
                  </c:pt>
                  <c:pt idx="1232">
                    <c:v>2018-07-27-10:00</c:v>
                  </c:pt>
                  <c:pt idx="1233">
                    <c:v>2018-07-27-11:00</c:v>
                  </c:pt>
                  <c:pt idx="1234">
                    <c:v>2018-07-27-12:00</c:v>
                  </c:pt>
                  <c:pt idx="1235">
                    <c:v>2018-07-27-13:00</c:v>
                  </c:pt>
                  <c:pt idx="1236">
                    <c:v>2018-07-27-14:00</c:v>
                  </c:pt>
                  <c:pt idx="1237">
                    <c:v>2018-07-27-15:00</c:v>
                  </c:pt>
                  <c:pt idx="1238">
                    <c:v>2018-07-27-16:00</c:v>
                  </c:pt>
                  <c:pt idx="1239">
                    <c:v>2018-07-27-17:00</c:v>
                  </c:pt>
                  <c:pt idx="1240">
                    <c:v>2018-07-27-18:00</c:v>
                  </c:pt>
                  <c:pt idx="1241">
                    <c:v>2018-07-27-19:00</c:v>
                  </c:pt>
                  <c:pt idx="1242">
                    <c:v>2018-07-27-20:00</c:v>
                  </c:pt>
                  <c:pt idx="1243">
                    <c:v>2018-07-27-21:00</c:v>
                  </c:pt>
                  <c:pt idx="1244">
                    <c:v>2018-07-27-22:00</c:v>
                  </c:pt>
                  <c:pt idx="1245">
                    <c:v>2018-07-27-23:00</c:v>
                  </c:pt>
                  <c:pt idx="1246">
                    <c:v>2018-07-30-00:00</c:v>
                  </c:pt>
                  <c:pt idx="1247">
                    <c:v>2018-07-30-01:00</c:v>
                  </c:pt>
                  <c:pt idx="1248">
                    <c:v>2018-07-30-02:00</c:v>
                  </c:pt>
                  <c:pt idx="1249">
                    <c:v>2018-07-30-03:00</c:v>
                  </c:pt>
                  <c:pt idx="1250">
                    <c:v>2018-07-27-04:00</c:v>
                  </c:pt>
                  <c:pt idx="1251">
                    <c:v>2018-07-27-05:00</c:v>
                  </c:pt>
                  <c:pt idx="1252">
                    <c:v>2018-07-27-06:00</c:v>
                  </c:pt>
                  <c:pt idx="1253">
                    <c:v>2018-07-27-07:00</c:v>
                  </c:pt>
                  <c:pt idx="1254">
                    <c:v>2018-07-27-08:00</c:v>
                  </c:pt>
                  <c:pt idx="1255">
                    <c:v>2018-07-27-09:00</c:v>
                  </c:pt>
                  <c:pt idx="1256">
                    <c:v>2018-07-27-10:00</c:v>
                  </c:pt>
                  <c:pt idx="1257">
                    <c:v>2018-07-27-11:00</c:v>
                  </c:pt>
                  <c:pt idx="1258">
                    <c:v>2018-07-27-12:00</c:v>
                  </c:pt>
                  <c:pt idx="1259">
                    <c:v>2018-07-27-13:00</c:v>
                  </c:pt>
                  <c:pt idx="1260">
                    <c:v>2018-07-27-14:00</c:v>
                  </c:pt>
                  <c:pt idx="1261">
                    <c:v>2018-07-27-15:00</c:v>
                  </c:pt>
                  <c:pt idx="1262">
                    <c:v>2018-07-27-16:00</c:v>
                  </c:pt>
                  <c:pt idx="1263">
                    <c:v>2018-07-27-17:00</c:v>
                  </c:pt>
                  <c:pt idx="1264">
                    <c:v>2018-07-27-18:00</c:v>
                  </c:pt>
                  <c:pt idx="1265">
                    <c:v>2018-07-27-19:00</c:v>
                  </c:pt>
                  <c:pt idx="1266">
                    <c:v>2018-07-27-20:00</c:v>
                  </c:pt>
                  <c:pt idx="1267">
                    <c:v>2018-07-27-21:00</c:v>
                  </c:pt>
                  <c:pt idx="1268">
                    <c:v>2018-07-27-22:00</c:v>
                  </c:pt>
                  <c:pt idx="1269">
                    <c:v>2018-07-27-23:00</c:v>
                  </c:pt>
                  <c:pt idx="1270">
                    <c:v>2018-07-30-00:00</c:v>
                  </c:pt>
                  <c:pt idx="1271">
                    <c:v>2018-07-30-01:00</c:v>
                  </c:pt>
                  <c:pt idx="1272">
                    <c:v>2018-07-30-02:00</c:v>
                  </c:pt>
                  <c:pt idx="1273">
                    <c:v>2018-07-30-03:00</c:v>
                  </c:pt>
                  <c:pt idx="1274">
                    <c:v>2018-07-30-04:00</c:v>
                  </c:pt>
                  <c:pt idx="1275">
                    <c:v>2018-07-27-05:00</c:v>
                  </c:pt>
                  <c:pt idx="1276">
                    <c:v>2018-07-27-06:00</c:v>
                  </c:pt>
                  <c:pt idx="1277">
                    <c:v>2018-07-27-07:00</c:v>
                  </c:pt>
                  <c:pt idx="1278">
                    <c:v>2018-07-27-08:00</c:v>
                  </c:pt>
                  <c:pt idx="1279">
                    <c:v>2018-07-27-09:00</c:v>
                  </c:pt>
                  <c:pt idx="1280">
                    <c:v>2018-07-27-10:00</c:v>
                  </c:pt>
                  <c:pt idx="1281">
                    <c:v>2018-07-27-11:00</c:v>
                  </c:pt>
                  <c:pt idx="1282">
                    <c:v>2018-07-27-12:00</c:v>
                  </c:pt>
                  <c:pt idx="1283">
                    <c:v>2018-07-27-13:00</c:v>
                  </c:pt>
                  <c:pt idx="1284">
                    <c:v>2018-07-27-14:00</c:v>
                  </c:pt>
                  <c:pt idx="1285">
                    <c:v>2018-07-27-15:00</c:v>
                  </c:pt>
                  <c:pt idx="1286">
                    <c:v>2018-07-27-16:00</c:v>
                  </c:pt>
                  <c:pt idx="1287">
                    <c:v>2018-07-27-17:00</c:v>
                  </c:pt>
                  <c:pt idx="1288">
                    <c:v>2018-07-27-18:00</c:v>
                  </c:pt>
                  <c:pt idx="1289">
                    <c:v>2018-07-27-19:00</c:v>
                  </c:pt>
                  <c:pt idx="1290">
                    <c:v>2018-07-27-20:00</c:v>
                  </c:pt>
                  <c:pt idx="1291">
                    <c:v>2018-07-27-21:00</c:v>
                  </c:pt>
                  <c:pt idx="1292">
                    <c:v>2018-07-27-22:00</c:v>
                  </c:pt>
                  <c:pt idx="1293">
                    <c:v>2018-07-27-23:00</c:v>
                  </c:pt>
                  <c:pt idx="1294">
                    <c:v>2018-07-30-00:00</c:v>
                  </c:pt>
                  <c:pt idx="1295">
                    <c:v>2018-07-30-01:00</c:v>
                  </c:pt>
                  <c:pt idx="1296">
                    <c:v>2018-07-30-02:00</c:v>
                  </c:pt>
                  <c:pt idx="1297">
                    <c:v>2018-07-30-03:00</c:v>
                  </c:pt>
                  <c:pt idx="1298">
                    <c:v>2018-07-30-04:00</c:v>
                  </c:pt>
                  <c:pt idx="1299">
                    <c:v>2018-07-30-05:00</c:v>
                  </c:pt>
                  <c:pt idx="1300">
                    <c:v>2018-07-27-06:00</c:v>
                  </c:pt>
                  <c:pt idx="1301">
                    <c:v>2018-07-27-07:00</c:v>
                  </c:pt>
                  <c:pt idx="1302">
                    <c:v>2018-07-27-08:00</c:v>
                  </c:pt>
                  <c:pt idx="1303">
                    <c:v>2018-07-27-09:00</c:v>
                  </c:pt>
                  <c:pt idx="1304">
                    <c:v>2018-07-27-10:00</c:v>
                  </c:pt>
                  <c:pt idx="1305">
                    <c:v>2018-07-27-11:00</c:v>
                  </c:pt>
                  <c:pt idx="1306">
                    <c:v>2018-07-27-12:00</c:v>
                  </c:pt>
                  <c:pt idx="1307">
                    <c:v>2018-07-27-13:00</c:v>
                  </c:pt>
                  <c:pt idx="1308">
                    <c:v>2018-07-27-14:00</c:v>
                  </c:pt>
                  <c:pt idx="1309">
                    <c:v>2018-07-27-15:00</c:v>
                  </c:pt>
                  <c:pt idx="1310">
                    <c:v>2018-07-27-16:00</c:v>
                  </c:pt>
                  <c:pt idx="1311">
                    <c:v>2018-07-27-17:00</c:v>
                  </c:pt>
                  <c:pt idx="1312">
                    <c:v>2018-07-27-18:00</c:v>
                  </c:pt>
                  <c:pt idx="1313">
                    <c:v>2018-07-27-19:00</c:v>
                  </c:pt>
                  <c:pt idx="1314">
                    <c:v>2018-07-27-20:00</c:v>
                  </c:pt>
                  <c:pt idx="1315">
                    <c:v>2018-07-27-21:00</c:v>
                  </c:pt>
                  <c:pt idx="1316">
                    <c:v>2018-07-27-22:00</c:v>
                  </c:pt>
                  <c:pt idx="1317">
                    <c:v>2018-07-27-23:00</c:v>
                  </c:pt>
                  <c:pt idx="1318">
                    <c:v>2018-07-30-00:00</c:v>
                  </c:pt>
                  <c:pt idx="1319">
                    <c:v>2018-07-30-01:00</c:v>
                  </c:pt>
                  <c:pt idx="1320">
                    <c:v>2018-07-30-02:00</c:v>
                  </c:pt>
                  <c:pt idx="1321">
                    <c:v>2018-07-30-03:00</c:v>
                  </c:pt>
                  <c:pt idx="1322">
                    <c:v>2018-07-30-04:00</c:v>
                  </c:pt>
                  <c:pt idx="1323">
                    <c:v>2018-07-30-05:00</c:v>
                  </c:pt>
                  <c:pt idx="1324">
                    <c:v>2018-07-30-06:00</c:v>
                  </c:pt>
                  <c:pt idx="1325">
                    <c:v>2018-07-27-07:00</c:v>
                  </c:pt>
                  <c:pt idx="1326">
                    <c:v>2018-07-27-08:00</c:v>
                  </c:pt>
                  <c:pt idx="1327">
                    <c:v>2018-07-27-09:00</c:v>
                  </c:pt>
                  <c:pt idx="1328">
                    <c:v>2018-07-27-10:00</c:v>
                  </c:pt>
                  <c:pt idx="1329">
                    <c:v>2018-07-27-11:00</c:v>
                  </c:pt>
                  <c:pt idx="1330">
                    <c:v>2018-07-27-12:00</c:v>
                  </c:pt>
                  <c:pt idx="1331">
                    <c:v>2018-07-27-13:00</c:v>
                  </c:pt>
                  <c:pt idx="1332">
                    <c:v>2018-07-27-14:00</c:v>
                  </c:pt>
                  <c:pt idx="1333">
                    <c:v>2018-07-27-15:00</c:v>
                  </c:pt>
                  <c:pt idx="1334">
                    <c:v>2018-07-27-16:00</c:v>
                  </c:pt>
                  <c:pt idx="1335">
                    <c:v>2018-07-27-17:00</c:v>
                  </c:pt>
                  <c:pt idx="1336">
                    <c:v>2018-07-27-18:00</c:v>
                  </c:pt>
                  <c:pt idx="1337">
                    <c:v>2018-07-27-19:00</c:v>
                  </c:pt>
                  <c:pt idx="1338">
                    <c:v>2018-07-27-20:00</c:v>
                  </c:pt>
                  <c:pt idx="1339">
                    <c:v>2018-07-27-21:00</c:v>
                  </c:pt>
                  <c:pt idx="1340">
                    <c:v>2018-07-27-22:00</c:v>
                  </c:pt>
                  <c:pt idx="1341">
                    <c:v>2018-07-27-23:00</c:v>
                  </c:pt>
                  <c:pt idx="1342">
                    <c:v>2018-07-30-00:00</c:v>
                  </c:pt>
                  <c:pt idx="1343">
                    <c:v>2018-07-30-01:00</c:v>
                  </c:pt>
                  <c:pt idx="1344">
                    <c:v>2018-07-30-02:00</c:v>
                  </c:pt>
                  <c:pt idx="1345">
                    <c:v>2018-07-30-03:00</c:v>
                  </c:pt>
                  <c:pt idx="1346">
                    <c:v>2018-07-30-04:00</c:v>
                  </c:pt>
                  <c:pt idx="1347">
                    <c:v>2018-07-30-05:00</c:v>
                  </c:pt>
                  <c:pt idx="1348">
                    <c:v>2018-07-30-06:00</c:v>
                  </c:pt>
                  <c:pt idx="1349">
                    <c:v>2018-07-30-07:00</c:v>
                  </c:pt>
                  <c:pt idx="1350">
                    <c:v>2018-07-27-08:00</c:v>
                  </c:pt>
                  <c:pt idx="1351">
                    <c:v>2018-07-27-09:00</c:v>
                  </c:pt>
                  <c:pt idx="1352">
                    <c:v>2018-07-27-10:00</c:v>
                  </c:pt>
                  <c:pt idx="1353">
                    <c:v>2018-07-27-11:00</c:v>
                  </c:pt>
                  <c:pt idx="1354">
                    <c:v>2018-07-27-12:00</c:v>
                  </c:pt>
                  <c:pt idx="1355">
                    <c:v>2018-07-27-13:00</c:v>
                  </c:pt>
                  <c:pt idx="1356">
                    <c:v>2018-07-27-14:00</c:v>
                  </c:pt>
                  <c:pt idx="1357">
                    <c:v>2018-07-27-15:00</c:v>
                  </c:pt>
                  <c:pt idx="1358">
                    <c:v>2018-07-27-16:00</c:v>
                  </c:pt>
                  <c:pt idx="1359">
                    <c:v>2018-07-27-17:00</c:v>
                  </c:pt>
                  <c:pt idx="1360">
                    <c:v>2018-07-27-18:00</c:v>
                  </c:pt>
                  <c:pt idx="1361">
                    <c:v>2018-07-27-19:00</c:v>
                  </c:pt>
                  <c:pt idx="1362">
                    <c:v>2018-07-27-20:00</c:v>
                  </c:pt>
                  <c:pt idx="1363">
                    <c:v>2018-07-27-21:00</c:v>
                  </c:pt>
                  <c:pt idx="1364">
                    <c:v>2018-07-27-22:00</c:v>
                  </c:pt>
                  <c:pt idx="1365">
                    <c:v>2018-07-27-23:00</c:v>
                  </c:pt>
                  <c:pt idx="1366">
                    <c:v>2018-07-30-00:00</c:v>
                  </c:pt>
                  <c:pt idx="1367">
                    <c:v>2018-07-30-01:00</c:v>
                  </c:pt>
                  <c:pt idx="1368">
                    <c:v>2018-07-30-02:00</c:v>
                  </c:pt>
                  <c:pt idx="1369">
                    <c:v>2018-07-30-03:00</c:v>
                  </c:pt>
                  <c:pt idx="1370">
                    <c:v>2018-07-30-04:00</c:v>
                  </c:pt>
                  <c:pt idx="1371">
                    <c:v>2018-07-30-05:00</c:v>
                  </c:pt>
                  <c:pt idx="1372">
                    <c:v>2018-07-30-06:00</c:v>
                  </c:pt>
                  <c:pt idx="1373">
                    <c:v>2018-07-30-07:00</c:v>
                  </c:pt>
                  <c:pt idx="1374">
                    <c:v>2018-07-30-08:00</c:v>
                  </c:pt>
                  <c:pt idx="1375">
                    <c:v>2018-07-27-09:00</c:v>
                  </c:pt>
                  <c:pt idx="1376">
                    <c:v>2018-07-27-10:00</c:v>
                  </c:pt>
                  <c:pt idx="1377">
                    <c:v>2018-07-27-11:00</c:v>
                  </c:pt>
                  <c:pt idx="1378">
                    <c:v>2018-07-27-12:00</c:v>
                  </c:pt>
                  <c:pt idx="1379">
                    <c:v>2018-07-27-13:00</c:v>
                  </c:pt>
                  <c:pt idx="1380">
                    <c:v>2018-07-27-14:00</c:v>
                  </c:pt>
                  <c:pt idx="1381">
                    <c:v>2018-07-27-15:00</c:v>
                  </c:pt>
                  <c:pt idx="1382">
                    <c:v>2018-07-27-16:00</c:v>
                  </c:pt>
                  <c:pt idx="1383">
                    <c:v>2018-07-27-17:00</c:v>
                  </c:pt>
                  <c:pt idx="1384">
                    <c:v>2018-07-27-18:00</c:v>
                  </c:pt>
                  <c:pt idx="1385">
                    <c:v>2018-07-27-19:00</c:v>
                  </c:pt>
                  <c:pt idx="1386">
                    <c:v>2018-07-27-20:00</c:v>
                  </c:pt>
                  <c:pt idx="1387">
                    <c:v>2018-07-27-21:00</c:v>
                  </c:pt>
                  <c:pt idx="1388">
                    <c:v>2018-07-27-22:00</c:v>
                  </c:pt>
                  <c:pt idx="1389">
                    <c:v>2018-07-27-23:00</c:v>
                  </c:pt>
                  <c:pt idx="1390">
                    <c:v>2018-07-30-00:00</c:v>
                  </c:pt>
                  <c:pt idx="1391">
                    <c:v>2018-07-30-01:00</c:v>
                  </c:pt>
                  <c:pt idx="1392">
                    <c:v>2018-07-30-02:00</c:v>
                  </c:pt>
                  <c:pt idx="1393">
                    <c:v>2018-07-30-03:00</c:v>
                  </c:pt>
                  <c:pt idx="1394">
                    <c:v>2018-07-30-04:00</c:v>
                  </c:pt>
                  <c:pt idx="1395">
                    <c:v>2018-07-30-05:00</c:v>
                  </c:pt>
                  <c:pt idx="1396">
                    <c:v>2018-07-30-06:00</c:v>
                  </c:pt>
                  <c:pt idx="1397">
                    <c:v>2018-07-30-07:00</c:v>
                  </c:pt>
                  <c:pt idx="1398">
                    <c:v>2018-07-30-08:00</c:v>
                  </c:pt>
                  <c:pt idx="1399">
                    <c:v>2018-07-30-09:00</c:v>
                  </c:pt>
                  <c:pt idx="1400">
                    <c:v>2018-07-27-10:00</c:v>
                  </c:pt>
                  <c:pt idx="1401">
                    <c:v>2018-07-27-11:00</c:v>
                  </c:pt>
                  <c:pt idx="1402">
                    <c:v>2018-07-27-12:00</c:v>
                  </c:pt>
                  <c:pt idx="1403">
                    <c:v>2018-07-27-13:00</c:v>
                  </c:pt>
                  <c:pt idx="1404">
                    <c:v>2018-07-27-14:00</c:v>
                  </c:pt>
                  <c:pt idx="1405">
                    <c:v>2018-07-27-15:00</c:v>
                  </c:pt>
                  <c:pt idx="1406">
                    <c:v>2018-07-27-16:00</c:v>
                  </c:pt>
                  <c:pt idx="1407">
                    <c:v>2018-07-27-17:00</c:v>
                  </c:pt>
                  <c:pt idx="1408">
                    <c:v>2018-07-27-18:00</c:v>
                  </c:pt>
                  <c:pt idx="1409">
                    <c:v>2018-07-27-19:00</c:v>
                  </c:pt>
                  <c:pt idx="1410">
                    <c:v>2018-07-27-20:00</c:v>
                  </c:pt>
                  <c:pt idx="1411">
                    <c:v>2018-07-27-21:00</c:v>
                  </c:pt>
                  <c:pt idx="1412">
                    <c:v>2018-07-27-22:00</c:v>
                  </c:pt>
                  <c:pt idx="1413">
                    <c:v>2018-07-27-23:00</c:v>
                  </c:pt>
                  <c:pt idx="1414">
                    <c:v>2018-07-30-00:00</c:v>
                  </c:pt>
                  <c:pt idx="1415">
                    <c:v>2018-07-30-01:00</c:v>
                  </c:pt>
                  <c:pt idx="1416">
                    <c:v>2018-07-30-02:00</c:v>
                  </c:pt>
                  <c:pt idx="1417">
                    <c:v>2018-07-30-03:00</c:v>
                  </c:pt>
                  <c:pt idx="1418">
                    <c:v>2018-07-30-04:00</c:v>
                  </c:pt>
                  <c:pt idx="1419">
                    <c:v>2018-07-30-05:00</c:v>
                  </c:pt>
                  <c:pt idx="1420">
                    <c:v>2018-07-30-06:00</c:v>
                  </c:pt>
                  <c:pt idx="1421">
                    <c:v>2018-07-30-07:00</c:v>
                  </c:pt>
                  <c:pt idx="1422">
                    <c:v>2018-07-30-08:00</c:v>
                  </c:pt>
                  <c:pt idx="1423">
                    <c:v>2018-07-30-09:00</c:v>
                  </c:pt>
                  <c:pt idx="1424">
                    <c:v>2018-07-30-10:00</c:v>
                  </c:pt>
                  <c:pt idx="1425">
                    <c:v>2018-07-27-11:00</c:v>
                  </c:pt>
                  <c:pt idx="1426">
                    <c:v>2018-07-27-12:00</c:v>
                  </c:pt>
                  <c:pt idx="1427">
                    <c:v>2018-07-27-13:00</c:v>
                  </c:pt>
                  <c:pt idx="1428">
                    <c:v>2018-07-27-14:00</c:v>
                  </c:pt>
                  <c:pt idx="1429">
                    <c:v>2018-07-27-15:00</c:v>
                  </c:pt>
                  <c:pt idx="1430">
                    <c:v>2018-07-27-16:00</c:v>
                  </c:pt>
                  <c:pt idx="1431">
                    <c:v>2018-07-27-17:00</c:v>
                  </c:pt>
                  <c:pt idx="1432">
                    <c:v>2018-07-27-18:00</c:v>
                  </c:pt>
                  <c:pt idx="1433">
                    <c:v>2018-07-27-19:00</c:v>
                  </c:pt>
                  <c:pt idx="1434">
                    <c:v>2018-07-27-20:00</c:v>
                  </c:pt>
                  <c:pt idx="1435">
                    <c:v>2018-07-27-21:00</c:v>
                  </c:pt>
                  <c:pt idx="1436">
                    <c:v>2018-07-27-22:00</c:v>
                  </c:pt>
                  <c:pt idx="1437">
                    <c:v>2018-07-27-23:00</c:v>
                  </c:pt>
                  <c:pt idx="1438">
                    <c:v>2018-07-30-00:00</c:v>
                  </c:pt>
                  <c:pt idx="1439">
                    <c:v>2018-07-30-01:00</c:v>
                  </c:pt>
                  <c:pt idx="1440">
                    <c:v>2018-07-30-02:00</c:v>
                  </c:pt>
                  <c:pt idx="1441">
                    <c:v>2018-07-30-03:00</c:v>
                  </c:pt>
                  <c:pt idx="1442">
                    <c:v>2018-07-30-04:00</c:v>
                  </c:pt>
                  <c:pt idx="1443">
                    <c:v>2018-07-30-05:00</c:v>
                  </c:pt>
                  <c:pt idx="1444">
                    <c:v>2018-07-30-06:00</c:v>
                  </c:pt>
                  <c:pt idx="1445">
                    <c:v>2018-07-30-07:00</c:v>
                  </c:pt>
                  <c:pt idx="1446">
                    <c:v>2018-07-30-08:00</c:v>
                  </c:pt>
                  <c:pt idx="1447">
                    <c:v>2018-07-30-09:00</c:v>
                  </c:pt>
                  <c:pt idx="1448">
                    <c:v>2018-07-30-10:00</c:v>
                  </c:pt>
                  <c:pt idx="1449">
                    <c:v>2018-07-30-11:00</c:v>
                  </c:pt>
                  <c:pt idx="1450">
                    <c:v>2018-07-27-12:00</c:v>
                  </c:pt>
                  <c:pt idx="1451">
                    <c:v>2018-07-27-13:00</c:v>
                  </c:pt>
                  <c:pt idx="1452">
                    <c:v>2018-07-27-14:00</c:v>
                  </c:pt>
                  <c:pt idx="1453">
                    <c:v>2018-07-27-15:00</c:v>
                  </c:pt>
                  <c:pt idx="1454">
                    <c:v>2018-07-27-16:00</c:v>
                  </c:pt>
                  <c:pt idx="1455">
                    <c:v>2018-07-27-17:00</c:v>
                  </c:pt>
                  <c:pt idx="1456">
                    <c:v>2018-07-27-18:00</c:v>
                  </c:pt>
                  <c:pt idx="1457">
                    <c:v>2018-07-27-19:00</c:v>
                  </c:pt>
                  <c:pt idx="1458">
                    <c:v>2018-07-27-20:00</c:v>
                  </c:pt>
                  <c:pt idx="1459">
                    <c:v>2018-07-27-21:00</c:v>
                  </c:pt>
                  <c:pt idx="1460">
                    <c:v>2018-07-27-22:00</c:v>
                  </c:pt>
                  <c:pt idx="1461">
                    <c:v>2018-07-27-23:00</c:v>
                  </c:pt>
                  <c:pt idx="1462">
                    <c:v>2018-07-30-00:00</c:v>
                  </c:pt>
                  <c:pt idx="1463">
                    <c:v>2018-07-30-01:00</c:v>
                  </c:pt>
                  <c:pt idx="1464">
                    <c:v>2018-07-30-02:00</c:v>
                  </c:pt>
                  <c:pt idx="1465">
                    <c:v>2018-07-30-03:00</c:v>
                  </c:pt>
                  <c:pt idx="1466">
                    <c:v>2018-07-30-04:00</c:v>
                  </c:pt>
                  <c:pt idx="1467">
                    <c:v>2018-07-30-05:00</c:v>
                  </c:pt>
                  <c:pt idx="1468">
                    <c:v>2018-07-30-06:00</c:v>
                  </c:pt>
                  <c:pt idx="1469">
                    <c:v>2018-07-30-07:00</c:v>
                  </c:pt>
                  <c:pt idx="1470">
                    <c:v>2018-07-30-08:00</c:v>
                  </c:pt>
                  <c:pt idx="1471">
                    <c:v>2018-07-30-09:00</c:v>
                  </c:pt>
                  <c:pt idx="1472">
                    <c:v>2018-07-30-10:00</c:v>
                  </c:pt>
                  <c:pt idx="1473">
                    <c:v>2018-07-30-11:00</c:v>
                  </c:pt>
                  <c:pt idx="1474">
                    <c:v>2018-07-30-12:00</c:v>
                  </c:pt>
                  <c:pt idx="1475">
                    <c:v>2018-07-27-13:00</c:v>
                  </c:pt>
                  <c:pt idx="1476">
                    <c:v>2018-07-27-14:00</c:v>
                  </c:pt>
                  <c:pt idx="1477">
                    <c:v>2018-07-27-15:00</c:v>
                  </c:pt>
                  <c:pt idx="1478">
                    <c:v>2018-07-27-16:00</c:v>
                  </c:pt>
                  <c:pt idx="1479">
                    <c:v>2018-07-27-17:00</c:v>
                  </c:pt>
                  <c:pt idx="1480">
                    <c:v>2018-07-27-18:00</c:v>
                  </c:pt>
                  <c:pt idx="1481">
                    <c:v>2018-07-27-19:00</c:v>
                  </c:pt>
                  <c:pt idx="1482">
                    <c:v>2018-07-27-20:00</c:v>
                  </c:pt>
                  <c:pt idx="1483">
                    <c:v>2018-07-27-21:00</c:v>
                  </c:pt>
                  <c:pt idx="1484">
                    <c:v>2018-07-27-22:00</c:v>
                  </c:pt>
                  <c:pt idx="1485">
                    <c:v>2018-07-27-23:00</c:v>
                  </c:pt>
                  <c:pt idx="1486">
                    <c:v>2018-07-30-00:00</c:v>
                  </c:pt>
                  <c:pt idx="1487">
                    <c:v>2018-07-30-01:00</c:v>
                  </c:pt>
                  <c:pt idx="1488">
                    <c:v>2018-07-30-02:00</c:v>
                  </c:pt>
                  <c:pt idx="1489">
                    <c:v>2018-07-30-03:00</c:v>
                  </c:pt>
                  <c:pt idx="1490">
                    <c:v>2018-07-30-04:00</c:v>
                  </c:pt>
                  <c:pt idx="1491">
                    <c:v>2018-07-30-05:00</c:v>
                  </c:pt>
                  <c:pt idx="1492">
                    <c:v>2018-07-30-06:00</c:v>
                  </c:pt>
                  <c:pt idx="1493">
                    <c:v>2018-07-30-07:00</c:v>
                  </c:pt>
                  <c:pt idx="1494">
                    <c:v>2018-07-30-08:00</c:v>
                  </c:pt>
                  <c:pt idx="1495">
                    <c:v>2018-07-30-09:00</c:v>
                  </c:pt>
                  <c:pt idx="1496">
                    <c:v>2018-07-30-10:00</c:v>
                  </c:pt>
                  <c:pt idx="1497">
                    <c:v>2018-07-30-11:00</c:v>
                  </c:pt>
                  <c:pt idx="1498">
                    <c:v>2018-07-30-12:00</c:v>
                  </c:pt>
                  <c:pt idx="1499">
                    <c:v>2018-07-30-13:00</c:v>
                  </c:pt>
                  <c:pt idx="1500">
                    <c:v>2018-07-27-14:00</c:v>
                  </c:pt>
                  <c:pt idx="1501">
                    <c:v>2018-07-27-15:00</c:v>
                  </c:pt>
                  <c:pt idx="1502">
                    <c:v>2018-07-27-16:00</c:v>
                  </c:pt>
                  <c:pt idx="1503">
                    <c:v>2018-07-27-17:00</c:v>
                  </c:pt>
                  <c:pt idx="1504">
                    <c:v>2018-07-27-18:00</c:v>
                  </c:pt>
                  <c:pt idx="1505">
                    <c:v>2018-07-27-19:00</c:v>
                  </c:pt>
                  <c:pt idx="1506">
                    <c:v>2018-07-27-20:00</c:v>
                  </c:pt>
                  <c:pt idx="1507">
                    <c:v>2018-07-27-21:00</c:v>
                  </c:pt>
                  <c:pt idx="1508">
                    <c:v>2018-07-27-22:00</c:v>
                  </c:pt>
                  <c:pt idx="1509">
                    <c:v>2018-07-27-23:00</c:v>
                  </c:pt>
                  <c:pt idx="1510">
                    <c:v>2018-07-30-00:00</c:v>
                  </c:pt>
                  <c:pt idx="1511">
                    <c:v>2018-07-30-01:00</c:v>
                  </c:pt>
                  <c:pt idx="1512">
                    <c:v>2018-07-30-02:00</c:v>
                  </c:pt>
                  <c:pt idx="1513">
                    <c:v>2018-07-30-03:00</c:v>
                  </c:pt>
                  <c:pt idx="1514">
                    <c:v>2018-07-30-04:00</c:v>
                  </c:pt>
                  <c:pt idx="1515">
                    <c:v>2018-07-30-05:00</c:v>
                  </c:pt>
                  <c:pt idx="1516">
                    <c:v>2018-07-30-06:00</c:v>
                  </c:pt>
                  <c:pt idx="1517">
                    <c:v>2018-07-30-07:00</c:v>
                  </c:pt>
                  <c:pt idx="1518">
                    <c:v>2018-07-30-08:00</c:v>
                  </c:pt>
                  <c:pt idx="1519">
                    <c:v>2018-07-30-09:00</c:v>
                  </c:pt>
                  <c:pt idx="1520">
                    <c:v>2018-07-30-10:00</c:v>
                  </c:pt>
                  <c:pt idx="1521">
                    <c:v>2018-07-30-11:00</c:v>
                  </c:pt>
                  <c:pt idx="1522">
                    <c:v>2018-07-30-12:00</c:v>
                  </c:pt>
                  <c:pt idx="1523">
                    <c:v>2018-07-30-13:00</c:v>
                  </c:pt>
                  <c:pt idx="1524">
                    <c:v>2018-07-30-14:00</c:v>
                  </c:pt>
                  <c:pt idx="1525">
                    <c:v>2018-07-27-15:00</c:v>
                  </c:pt>
                  <c:pt idx="1526">
                    <c:v>2018-07-27-16:00</c:v>
                  </c:pt>
                  <c:pt idx="1527">
                    <c:v>2018-07-27-17:00</c:v>
                  </c:pt>
                  <c:pt idx="1528">
                    <c:v>2018-07-27-18:00</c:v>
                  </c:pt>
                  <c:pt idx="1529">
                    <c:v>2018-07-27-19:00</c:v>
                  </c:pt>
                  <c:pt idx="1530">
                    <c:v>2018-07-27-20:00</c:v>
                  </c:pt>
                  <c:pt idx="1531">
                    <c:v>2018-07-27-21:00</c:v>
                  </c:pt>
                  <c:pt idx="1532">
                    <c:v>2018-07-27-22:00</c:v>
                  </c:pt>
                  <c:pt idx="1533">
                    <c:v>2018-07-27-23:00</c:v>
                  </c:pt>
                  <c:pt idx="1534">
                    <c:v>2018-07-30-00:00</c:v>
                  </c:pt>
                  <c:pt idx="1535">
                    <c:v>2018-07-30-01:00</c:v>
                  </c:pt>
                  <c:pt idx="1536">
                    <c:v>2018-07-30-02:00</c:v>
                  </c:pt>
                  <c:pt idx="1537">
                    <c:v>2018-07-30-03:00</c:v>
                  </c:pt>
                  <c:pt idx="1538">
                    <c:v>2018-07-30-04:00</c:v>
                  </c:pt>
                  <c:pt idx="1539">
                    <c:v>2018-07-30-05:00</c:v>
                  </c:pt>
                  <c:pt idx="1540">
                    <c:v>2018-07-30-06:00</c:v>
                  </c:pt>
                  <c:pt idx="1541">
                    <c:v>2018-07-30-07:00</c:v>
                  </c:pt>
                  <c:pt idx="1542">
                    <c:v>2018-07-30-08:00</c:v>
                  </c:pt>
                  <c:pt idx="1543">
                    <c:v>2018-07-30-09:00</c:v>
                  </c:pt>
                  <c:pt idx="1544">
                    <c:v>2018-07-30-10:00</c:v>
                  </c:pt>
                  <c:pt idx="1545">
                    <c:v>2018-07-30-11:00</c:v>
                  </c:pt>
                  <c:pt idx="1546">
                    <c:v>2018-07-30-12:00</c:v>
                  </c:pt>
                  <c:pt idx="1547">
                    <c:v>2018-07-30-13:00</c:v>
                  </c:pt>
                  <c:pt idx="1548">
                    <c:v>2018-07-30-14:00</c:v>
                  </c:pt>
                  <c:pt idx="1549">
                    <c:v>2018-07-30-15:00</c:v>
                  </c:pt>
                  <c:pt idx="1550">
                    <c:v>2018-07-27-16:00</c:v>
                  </c:pt>
                  <c:pt idx="1551">
                    <c:v>2018-07-27-17:00</c:v>
                  </c:pt>
                  <c:pt idx="1552">
                    <c:v>2018-07-27-18:00</c:v>
                  </c:pt>
                  <c:pt idx="1553">
                    <c:v>2018-07-27-19:00</c:v>
                  </c:pt>
                  <c:pt idx="1554">
                    <c:v>2018-07-27-20:00</c:v>
                  </c:pt>
                  <c:pt idx="1555">
                    <c:v>2018-07-27-21:00</c:v>
                  </c:pt>
                  <c:pt idx="1556">
                    <c:v>2018-07-27-22:00</c:v>
                  </c:pt>
                  <c:pt idx="1557">
                    <c:v>2018-07-27-23:00</c:v>
                  </c:pt>
                  <c:pt idx="1558">
                    <c:v>2018-07-30-00:00</c:v>
                  </c:pt>
                  <c:pt idx="1559">
                    <c:v>2018-07-30-01:00</c:v>
                  </c:pt>
                  <c:pt idx="1560">
                    <c:v>2018-07-30-02:00</c:v>
                  </c:pt>
                  <c:pt idx="1561">
                    <c:v>2018-07-30-03:00</c:v>
                  </c:pt>
                  <c:pt idx="1562">
                    <c:v>2018-07-30-04:00</c:v>
                  </c:pt>
                  <c:pt idx="1563">
                    <c:v>2018-07-30-05:00</c:v>
                  </c:pt>
                  <c:pt idx="1564">
                    <c:v>2018-07-30-06:00</c:v>
                  </c:pt>
                  <c:pt idx="1565">
                    <c:v>2018-07-30-07:00</c:v>
                  </c:pt>
                  <c:pt idx="1566">
                    <c:v>2018-07-30-08:00</c:v>
                  </c:pt>
                  <c:pt idx="1567">
                    <c:v>2018-07-30-09:00</c:v>
                  </c:pt>
                  <c:pt idx="1568">
                    <c:v>2018-07-30-10:00</c:v>
                  </c:pt>
                  <c:pt idx="1569">
                    <c:v>2018-07-30-11:00</c:v>
                  </c:pt>
                  <c:pt idx="1570">
                    <c:v>2018-07-30-12:00</c:v>
                  </c:pt>
                  <c:pt idx="1571">
                    <c:v>2018-07-30-13:00</c:v>
                  </c:pt>
                  <c:pt idx="1572">
                    <c:v>2018-07-30-14:00</c:v>
                  </c:pt>
                  <c:pt idx="1573">
                    <c:v>2018-07-30-15:00</c:v>
                  </c:pt>
                  <c:pt idx="1574">
                    <c:v>2018-07-30-16:00</c:v>
                  </c:pt>
                  <c:pt idx="1575">
                    <c:v>2018-07-27-17:00</c:v>
                  </c:pt>
                  <c:pt idx="1576">
                    <c:v>2018-07-27-18:00</c:v>
                  </c:pt>
                  <c:pt idx="1577">
                    <c:v>2018-07-27-19:00</c:v>
                  </c:pt>
                  <c:pt idx="1578">
                    <c:v>2018-07-27-20:00</c:v>
                  </c:pt>
                  <c:pt idx="1579">
                    <c:v>2018-07-27-21:00</c:v>
                  </c:pt>
                  <c:pt idx="1580">
                    <c:v>2018-07-27-22:00</c:v>
                  </c:pt>
                  <c:pt idx="1581">
                    <c:v>2018-07-27-23:00</c:v>
                  </c:pt>
                  <c:pt idx="1582">
                    <c:v>2018-07-30-00:00</c:v>
                  </c:pt>
                  <c:pt idx="1583">
                    <c:v>2018-07-30-01:00</c:v>
                  </c:pt>
                  <c:pt idx="1584">
                    <c:v>2018-07-30-02:00</c:v>
                  </c:pt>
                  <c:pt idx="1585">
                    <c:v>2018-07-30-03:00</c:v>
                  </c:pt>
                  <c:pt idx="1586">
                    <c:v>2018-07-30-04:00</c:v>
                  </c:pt>
                  <c:pt idx="1587">
                    <c:v>2018-07-30-05:00</c:v>
                  </c:pt>
                  <c:pt idx="1588">
                    <c:v>2018-07-30-06:00</c:v>
                  </c:pt>
                  <c:pt idx="1589">
                    <c:v>2018-07-30-07:00</c:v>
                  </c:pt>
                  <c:pt idx="1590">
                    <c:v>2018-07-30-08:00</c:v>
                  </c:pt>
                  <c:pt idx="1591">
                    <c:v>2018-07-30-09:00</c:v>
                  </c:pt>
                  <c:pt idx="1592">
                    <c:v>2018-07-30-10:00</c:v>
                  </c:pt>
                  <c:pt idx="1593">
                    <c:v>2018-07-30-11:00</c:v>
                  </c:pt>
                  <c:pt idx="1594">
                    <c:v>2018-07-30-12:00</c:v>
                  </c:pt>
                  <c:pt idx="1595">
                    <c:v>2018-07-30-13:00</c:v>
                  </c:pt>
                  <c:pt idx="1596">
                    <c:v>2018-07-30-14:00</c:v>
                  </c:pt>
                  <c:pt idx="1597">
                    <c:v>2018-07-30-15:00</c:v>
                  </c:pt>
                  <c:pt idx="1598">
                    <c:v>2018-07-30-16:00</c:v>
                  </c:pt>
                  <c:pt idx="1599">
                    <c:v>2018-07-30-17:00</c:v>
                  </c:pt>
                  <c:pt idx="1600">
                    <c:v>2018-07-27-18:00</c:v>
                  </c:pt>
                  <c:pt idx="1601">
                    <c:v>2018-07-27-19:00</c:v>
                  </c:pt>
                  <c:pt idx="1602">
                    <c:v>2018-07-27-20:00</c:v>
                  </c:pt>
                  <c:pt idx="1603">
                    <c:v>2018-07-27-21:00</c:v>
                  </c:pt>
                  <c:pt idx="1604">
                    <c:v>2018-07-27-22:00</c:v>
                  </c:pt>
                  <c:pt idx="1605">
                    <c:v>2018-07-27-23:00</c:v>
                  </c:pt>
                  <c:pt idx="1606">
                    <c:v>2018-07-30-00:00</c:v>
                  </c:pt>
                  <c:pt idx="1607">
                    <c:v>2018-07-30-01:00</c:v>
                  </c:pt>
                  <c:pt idx="1608">
                    <c:v>2018-07-30-02:00</c:v>
                  </c:pt>
                  <c:pt idx="1609">
                    <c:v>2018-07-30-03:00</c:v>
                  </c:pt>
                  <c:pt idx="1610">
                    <c:v>2018-07-30-04:00</c:v>
                  </c:pt>
                  <c:pt idx="1611">
                    <c:v>2018-07-30-05:00</c:v>
                  </c:pt>
                  <c:pt idx="1612">
                    <c:v>2018-07-30-06:00</c:v>
                  </c:pt>
                  <c:pt idx="1613">
                    <c:v>2018-07-30-07:00</c:v>
                  </c:pt>
                  <c:pt idx="1614">
                    <c:v>2018-07-30-08:00</c:v>
                  </c:pt>
                  <c:pt idx="1615">
                    <c:v>2018-07-30-09:00</c:v>
                  </c:pt>
                  <c:pt idx="1616">
                    <c:v>2018-07-30-10:00</c:v>
                  </c:pt>
                  <c:pt idx="1617">
                    <c:v>2018-07-30-11:00</c:v>
                  </c:pt>
                  <c:pt idx="1618">
                    <c:v>2018-07-30-12:00</c:v>
                  </c:pt>
                  <c:pt idx="1619">
                    <c:v>2018-07-30-13:00</c:v>
                  </c:pt>
                  <c:pt idx="1620">
                    <c:v>2018-07-30-14:00</c:v>
                  </c:pt>
                  <c:pt idx="1621">
                    <c:v>2018-07-30-15:00</c:v>
                  </c:pt>
                  <c:pt idx="1622">
                    <c:v>2018-07-30-16:00</c:v>
                  </c:pt>
                  <c:pt idx="1623">
                    <c:v>2018-07-30-18:00</c:v>
                  </c:pt>
                  <c:pt idx="1624">
                    <c:v>2018-07-30-17:00</c:v>
                  </c:pt>
                  <c:pt idx="1625">
                    <c:v>2018-07-27-19:00</c:v>
                  </c:pt>
                  <c:pt idx="1626">
                    <c:v>2018-07-27-20:00</c:v>
                  </c:pt>
                  <c:pt idx="1627">
                    <c:v>2018-07-27-21:00</c:v>
                  </c:pt>
                  <c:pt idx="1628">
                    <c:v>2018-07-27-22:00</c:v>
                  </c:pt>
                  <c:pt idx="1629">
                    <c:v>2018-07-27-23:00</c:v>
                  </c:pt>
                  <c:pt idx="1630">
                    <c:v>2018-07-30-00:00</c:v>
                  </c:pt>
                  <c:pt idx="1631">
                    <c:v>2018-07-30-01:00</c:v>
                  </c:pt>
                  <c:pt idx="1632">
                    <c:v>2018-07-30-02:00</c:v>
                  </c:pt>
                  <c:pt idx="1633">
                    <c:v>2018-07-30-03:00</c:v>
                  </c:pt>
                  <c:pt idx="1634">
                    <c:v>2018-07-30-04:00</c:v>
                  </c:pt>
                  <c:pt idx="1635">
                    <c:v>2018-07-30-05:00</c:v>
                  </c:pt>
                  <c:pt idx="1636">
                    <c:v>2018-07-30-06:00</c:v>
                  </c:pt>
                  <c:pt idx="1637">
                    <c:v>2018-07-30-07:00</c:v>
                  </c:pt>
                  <c:pt idx="1638">
                    <c:v>2018-07-30-08:00</c:v>
                  </c:pt>
                  <c:pt idx="1639">
                    <c:v>2018-07-30-09:00</c:v>
                  </c:pt>
                  <c:pt idx="1640">
                    <c:v>2018-07-30-10:00</c:v>
                  </c:pt>
                  <c:pt idx="1641">
                    <c:v>2018-07-30-11:00</c:v>
                  </c:pt>
                  <c:pt idx="1642">
                    <c:v>2018-07-30-12:00</c:v>
                  </c:pt>
                  <c:pt idx="1643">
                    <c:v>2018-07-30-13:00</c:v>
                  </c:pt>
                  <c:pt idx="1644">
                    <c:v>2018-07-30-14:00</c:v>
                  </c:pt>
                  <c:pt idx="1645">
                    <c:v>2018-07-30-15:00</c:v>
                  </c:pt>
                  <c:pt idx="1646">
                    <c:v>2018-07-30-16:00</c:v>
                  </c:pt>
                  <c:pt idx="1647">
                    <c:v>2018-07-30-18:00</c:v>
                  </c:pt>
                  <c:pt idx="1648">
                    <c:v>2018-07-30-19:00</c:v>
                  </c:pt>
                  <c:pt idx="1649">
                    <c:v>2018-07-30-17:00</c:v>
                  </c:pt>
                  <c:pt idx="1650">
                    <c:v>2018-07-27-20:00</c:v>
                  </c:pt>
                  <c:pt idx="1651">
                    <c:v>2018-07-27-21:00</c:v>
                  </c:pt>
                  <c:pt idx="1652">
                    <c:v>2018-07-27-22:00</c:v>
                  </c:pt>
                  <c:pt idx="1653">
                    <c:v>2018-07-27-23:00</c:v>
                  </c:pt>
                  <c:pt idx="1654">
                    <c:v>2018-07-30-00:00</c:v>
                  </c:pt>
                  <c:pt idx="1655">
                    <c:v>2018-07-30-01:00</c:v>
                  </c:pt>
                  <c:pt idx="1656">
                    <c:v>2018-07-30-02:00</c:v>
                  </c:pt>
                  <c:pt idx="1657">
                    <c:v>2018-07-30-03:00</c:v>
                  </c:pt>
                  <c:pt idx="1658">
                    <c:v>2018-07-30-04:00</c:v>
                  </c:pt>
                  <c:pt idx="1659">
                    <c:v>2018-07-30-05:00</c:v>
                  </c:pt>
                  <c:pt idx="1660">
                    <c:v>2018-07-30-06:00</c:v>
                  </c:pt>
                  <c:pt idx="1661">
                    <c:v>2018-07-30-07:00</c:v>
                  </c:pt>
                  <c:pt idx="1662">
                    <c:v>2018-07-30-08:00</c:v>
                  </c:pt>
                  <c:pt idx="1663">
                    <c:v>2018-07-30-09:00</c:v>
                  </c:pt>
                  <c:pt idx="1664">
                    <c:v>2018-07-30-10:00</c:v>
                  </c:pt>
                  <c:pt idx="1665">
                    <c:v>2018-07-30-11:00</c:v>
                  </c:pt>
                  <c:pt idx="1666">
                    <c:v>2018-07-30-12:00</c:v>
                  </c:pt>
                  <c:pt idx="1667">
                    <c:v>2018-07-30-13:00</c:v>
                  </c:pt>
                  <c:pt idx="1668">
                    <c:v>2018-07-30-14:00</c:v>
                  </c:pt>
                  <c:pt idx="1669">
                    <c:v>2018-07-30-15:00</c:v>
                  </c:pt>
                  <c:pt idx="1670">
                    <c:v>2018-07-30-16:00</c:v>
                  </c:pt>
                  <c:pt idx="1671">
                    <c:v>2018-07-30-18:00</c:v>
                  </c:pt>
                  <c:pt idx="1672">
                    <c:v>2018-07-30-19:00</c:v>
                  </c:pt>
                  <c:pt idx="1673">
                    <c:v>2018-07-30-20:00</c:v>
                  </c:pt>
                  <c:pt idx="1674">
                    <c:v>2018-07-30-17:00</c:v>
                  </c:pt>
                  <c:pt idx="1675">
                    <c:v>2018-07-27-21:00</c:v>
                  </c:pt>
                  <c:pt idx="1676">
                    <c:v>2018-07-27-22:00</c:v>
                  </c:pt>
                  <c:pt idx="1677">
                    <c:v>2018-07-27-23:00</c:v>
                  </c:pt>
                  <c:pt idx="1678">
                    <c:v>2018-07-30-00:00</c:v>
                  </c:pt>
                  <c:pt idx="1679">
                    <c:v>2018-07-30-01:00</c:v>
                  </c:pt>
                  <c:pt idx="1680">
                    <c:v>2018-07-30-02:00</c:v>
                  </c:pt>
                  <c:pt idx="1681">
                    <c:v>2018-07-30-03:00</c:v>
                  </c:pt>
                  <c:pt idx="1682">
                    <c:v>2018-07-30-04:00</c:v>
                  </c:pt>
                  <c:pt idx="1683">
                    <c:v>2018-07-30-05:00</c:v>
                  </c:pt>
                  <c:pt idx="1684">
                    <c:v>2018-07-30-06:00</c:v>
                  </c:pt>
                  <c:pt idx="1685">
                    <c:v>2018-07-30-07:00</c:v>
                  </c:pt>
                  <c:pt idx="1686">
                    <c:v>2018-07-30-08:00</c:v>
                  </c:pt>
                  <c:pt idx="1687">
                    <c:v>2018-07-30-09:00</c:v>
                  </c:pt>
                  <c:pt idx="1688">
                    <c:v>2018-07-30-10:00</c:v>
                  </c:pt>
                  <c:pt idx="1689">
                    <c:v>2018-07-30-11:00</c:v>
                  </c:pt>
                  <c:pt idx="1690">
                    <c:v>2018-07-30-12:00</c:v>
                  </c:pt>
                  <c:pt idx="1691">
                    <c:v>2018-07-30-13:00</c:v>
                  </c:pt>
                  <c:pt idx="1692">
                    <c:v>2018-07-30-14:00</c:v>
                  </c:pt>
                  <c:pt idx="1693">
                    <c:v>2018-07-30-15:00</c:v>
                  </c:pt>
                  <c:pt idx="1694">
                    <c:v>2018-07-30-16:00</c:v>
                  </c:pt>
                  <c:pt idx="1695">
                    <c:v>2018-07-30-18:00</c:v>
                  </c:pt>
                  <c:pt idx="1696">
                    <c:v>2018-07-30-19:00</c:v>
                  </c:pt>
                  <c:pt idx="1697">
                    <c:v>2018-07-30-20:00</c:v>
                  </c:pt>
                  <c:pt idx="1698">
                    <c:v>2018-07-30-21:00</c:v>
                  </c:pt>
                  <c:pt idx="1699">
                    <c:v>2018-07-30-17:00</c:v>
                  </c:pt>
                  <c:pt idx="1700">
                    <c:v>2018-07-27-22:00</c:v>
                  </c:pt>
                  <c:pt idx="1701">
                    <c:v>2018-07-27-23:00</c:v>
                  </c:pt>
                  <c:pt idx="1702">
                    <c:v>2018-07-30-00:00</c:v>
                  </c:pt>
                  <c:pt idx="1703">
                    <c:v>2018-07-30-01:00</c:v>
                  </c:pt>
                  <c:pt idx="1704">
                    <c:v>2018-07-30-02:00</c:v>
                  </c:pt>
                  <c:pt idx="1705">
                    <c:v>2018-07-30-03:00</c:v>
                  </c:pt>
                  <c:pt idx="1706">
                    <c:v>2018-07-30-04:00</c:v>
                  </c:pt>
                  <c:pt idx="1707">
                    <c:v>2018-07-30-05:00</c:v>
                  </c:pt>
                  <c:pt idx="1708">
                    <c:v>2018-07-30-06:00</c:v>
                  </c:pt>
                  <c:pt idx="1709">
                    <c:v>2018-07-30-07:00</c:v>
                  </c:pt>
                  <c:pt idx="1710">
                    <c:v>2018-07-30-08:00</c:v>
                  </c:pt>
                  <c:pt idx="1711">
                    <c:v>2018-07-30-09:00</c:v>
                  </c:pt>
                  <c:pt idx="1712">
                    <c:v>2018-07-30-10:00</c:v>
                  </c:pt>
                  <c:pt idx="1713">
                    <c:v>2018-07-30-11:00</c:v>
                  </c:pt>
                  <c:pt idx="1714">
                    <c:v>2018-07-30-12:00</c:v>
                  </c:pt>
                  <c:pt idx="1715">
                    <c:v>2018-07-30-13:00</c:v>
                  </c:pt>
                  <c:pt idx="1716">
                    <c:v>2018-07-30-14:00</c:v>
                  </c:pt>
                  <c:pt idx="1717">
                    <c:v>2018-07-30-15:00</c:v>
                  </c:pt>
                  <c:pt idx="1718">
                    <c:v>2018-07-30-16:00</c:v>
                  </c:pt>
                  <c:pt idx="1719">
                    <c:v>2018-07-30-18:00</c:v>
                  </c:pt>
                  <c:pt idx="1720">
                    <c:v>2018-07-30-19:00</c:v>
                  </c:pt>
                  <c:pt idx="1721">
                    <c:v>2018-07-30-20:00</c:v>
                  </c:pt>
                  <c:pt idx="1722">
                    <c:v>2018-07-30-21:00</c:v>
                  </c:pt>
                  <c:pt idx="1723">
                    <c:v>2018-07-30-22:00</c:v>
                  </c:pt>
                  <c:pt idx="1724">
                    <c:v>2018-07-30-17:00</c:v>
                  </c:pt>
                  <c:pt idx="1725">
                    <c:v>9999-99-99-99:99</c:v>
                  </c:pt>
                  <c:pt idx="1726">
                    <c:v>9999-99-99-99:99</c:v>
                  </c:pt>
                  <c:pt idx="1727">
                    <c:v>9999-99-99-99:99</c:v>
                  </c:pt>
                </c:lvl>
                <c:lvl>
                  <c:pt idx="0">
                    <c:v>0</c:v>
                  </c:pt>
                  <c:pt idx="25">
                    <c:v>1</c:v>
                  </c:pt>
                  <c:pt idx="50">
                    <c:v>2</c:v>
                  </c:pt>
                  <c:pt idx="75">
                    <c:v>3</c:v>
                  </c:pt>
                  <c:pt idx="100">
                    <c:v>4</c:v>
                  </c:pt>
                  <c:pt idx="125">
                    <c:v>5</c:v>
                  </c:pt>
                  <c:pt idx="150">
                    <c:v>6</c:v>
                  </c:pt>
                  <c:pt idx="175">
                    <c:v>7</c:v>
                  </c:pt>
                  <c:pt idx="200">
                    <c:v>8</c:v>
                  </c:pt>
                  <c:pt idx="225">
                    <c:v>9</c:v>
                  </c:pt>
                  <c:pt idx="250">
                    <c:v>10</c:v>
                  </c:pt>
                  <c:pt idx="275">
                    <c:v>11</c:v>
                  </c:pt>
                  <c:pt idx="300">
                    <c:v>12</c:v>
                  </c:pt>
                  <c:pt idx="325">
                    <c:v>13</c:v>
                  </c:pt>
                  <c:pt idx="350">
                    <c:v>14</c:v>
                  </c:pt>
                  <c:pt idx="375">
                    <c:v>15</c:v>
                  </c:pt>
                  <c:pt idx="400">
                    <c:v>16</c:v>
                  </c:pt>
                  <c:pt idx="425">
                    <c:v>17</c:v>
                  </c:pt>
                  <c:pt idx="450">
                    <c:v>18</c:v>
                  </c:pt>
                  <c:pt idx="475">
                    <c:v>19</c:v>
                  </c:pt>
                  <c:pt idx="500">
                    <c:v>20</c:v>
                  </c:pt>
                  <c:pt idx="525">
                    <c:v>21</c:v>
                  </c:pt>
                  <c:pt idx="550">
                    <c:v>22</c:v>
                  </c:pt>
                  <c:pt idx="575">
                    <c:v>23</c:v>
                  </c:pt>
                  <c:pt idx="600">
                    <c:v>24</c:v>
                  </c:pt>
                  <c:pt idx="625">
                    <c:v>25</c:v>
                  </c:pt>
                  <c:pt idx="650">
                    <c:v>26</c:v>
                  </c:pt>
                  <c:pt idx="675">
                    <c:v>27</c:v>
                  </c:pt>
                  <c:pt idx="700">
                    <c:v>28</c:v>
                  </c:pt>
                  <c:pt idx="725">
                    <c:v>29</c:v>
                  </c:pt>
                  <c:pt idx="750">
                    <c:v>30</c:v>
                  </c:pt>
                  <c:pt idx="775">
                    <c:v>31</c:v>
                  </c:pt>
                  <c:pt idx="800">
                    <c:v>32</c:v>
                  </c:pt>
                  <c:pt idx="825">
                    <c:v>33</c:v>
                  </c:pt>
                  <c:pt idx="850">
                    <c:v>34</c:v>
                  </c:pt>
                  <c:pt idx="875">
                    <c:v>35</c:v>
                  </c:pt>
                  <c:pt idx="900">
                    <c:v>36</c:v>
                  </c:pt>
                  <c:pt idx="925">
                    <c:v>37</c:v>
                  </c:pt>
                  <c:pt idx="950">
                    <c:v>38</c:v>
                  </c:pt>
                  <c:pt idx="975">
                    <c:v>39</c:v>
                  </c:pt>
                  <c:pt idx="1000">
                    <c:v>40</c:v>
                  </c:pt>
                  <c:pt idx="1025">
                    <c:v>41</c:v>
                  </c:pt>
                  <c:pt idx="1050">
                    <c:v>42</c:v>
                  </c:pt>
                  <c:pt idx="1075">
                    <c:v>43</c:v>
                  </c:pt>
                  <c:pt idx="1100">
                    <c:v>44</c:v>
                  </c:pt>
                  <c:pt idx="1125">
                    <c:v>45</c:v>
                  </c:pt>
                  <c:pt idx="1150">
                    <c:v>46</c:v>
                  </c:pt>
                  <c:pt idx="1175">
                    <c:v>47</c:v>
                  </c:pt>
                  <c:pt idx="1200">
                    <c:v>48</c:v>
                  </c:pt>
                  <c:pt idx="1225">
                    <c:v>49</c:v>
                  </c:pt>
                  <c:pt idx="1250">
                    <c:v>50</c:v>
                  </c:pt>
                  <c:pt idx="1275">
                    <c:v>51</c:v>
                  </c:pt>
                  <c:pt idx="1300">
                    <c:v>52</c:v>
                  </c:pt>
                  <c:pt idx="1325">
                    <c:v>53</c:v>
                  </c:pt>
                  <c:pt idx="1350">
                    <c:v>54</c:v>
                  </c:pt>
                  <c:pt idx="1375">
                    <c:v>55</c:v>
                  </c:pt>
                  <c:pt idx="1400">
                    <c:v>56</c:v>
                  </c:pt>
                  <c:pt idx="1425">
                    <c:v>57</c:v>
                  </c:pt>
                  <c:pt idx="1450">
                    <c:v>58</c:v>
                  </c:pt>
                  <c:pt idx="1475">
                    <c:v>59</c:v>
                  </c:pt>
                  <c:pt idx="1500">
                    <c:v>60</c:v>
                  </c:pt>
                  <c:pt idx="1525">
                    <c:v>61</c:v>
                  </c:pt>
                  <c:pt idx="1550">
                    <c:v>62</c:v>
                  </c:pt>
                  <c:pt idx="1575">
                    <c:v>63</c:v>
                  </c:pt>
                  <c:pt idx="1600">
                    <c:v>64</c:v>
                  </c:pt>
                  <c:pt idx="1625">
                    <c:v>65</c:v>
                  </c:pt>
                  <c:pt idx="1650">
                    <c:v>66</c:v>
                  </c:pt>
                  <c:pt idx="1675">
                    <c:v>67</c:v>
                  </c:pt>
                  <c:pt idx="1700">
                    <c:v>68</c:v>
                  </c:pt>
                  <c:pt idx="1725">
                    <c:v>69</c:v>
                  </c:pt>
                  <c:pt idx="1726">
                    <c:v>70</c:v>
                  </c:pt>
                  <c:pt idx="1727">
                    <c:v>71</c:v>
                  </c:pt>
                </c:lvl>
              </c:multiLvlStrCache>
            </c:multiLvlStrRef>
          </c:cat>
          <c:val>
            <c:numRef>
              <c:f>Run_TR!$B$2:$B$1802</c:f>
              <c:numCache>
                <c:formatCode>General</c:formatCode>
                <c:ptCount val="1728"/>
                <c:pt idx="0">
                  <c:v>1.6251205488515549E-4</c:v>
                </c:pt>
                <c:pt idx="1">
                  <c:v>3.8498637513839629E-4</c:v>
                </c:pt>
                <c:pt idx="2">
                  <c:v>1.8751623792923045E-4</c:v>
                </c:pt>
                <c:pt idx="3">
                  <c:v>-6.2748789423494578E-4</c:v>
                </c:pt>
                <c:pt idx="4">
                  <c:v>-2.0751359625137403E-4</c:v>
                </c:pt>
                <c:pt idx="5">
                  <c:v>-1.5503169925068489E-4</c:v>
                </c:pt>
                <c:pt idx="6">
                  <c:v>3.9756294427206729E-4</c:v>
                </c:pt>
                <c:pt idx="7">
                  <c:v>8.2248451508348721E-4</c:v>
                </c:pt>
                <c:pt idx="8">
                  <c:v>1.3750789548794214E-4</c:v>
                </c:pt>
                <c:pt idx="9">
                  <c:v>-1.9255278675700549E-4</c:v>
                </c:pt>
                <c:pt idx="10">
                  <c:v>9.0003010700456766E-4</c:v>
                </c:pt>
                <c:pt idx="11">
                  <c:v>-2.2000069384375825E-4</c:v>
                </c:pt>
                <c:pt idx="12">
                  <c:v>-3.2249088690150551E-4</c:v>
                </c:pt>
                <c:pt idx="13">
                  <c:v>5.9962257182633283E-5</c:v>
                </c:pt>
                <c:pt idx="14">
                  <c:v>5.4252150584943603E-4</c:v>
                </c:pt>
                <c:pt idx="15">
                  <c:v>-1.52251124382019E-3</c:v>
                </c:pt>
                <c:pt idx="16">
                  <c:v>-1.1375248759577516E-3</c:v>
                </c:pt>
                <c:pt idx="17">
                  <c:v>1.1675059722620058E-3</c:v>
                </c:pt>
                <c:pt idx="18">
                  <c:v>1.3024806612520466E-3</c:v>
                </c:pt>
                <c:pt idx="19">
                  <c:v>1.5850067102292074E-3</c:v>
                </c:pt>
                <c:pt idx="20">
                  <c:v>1.117497646191622E-3</c:v>
                </c:pt>
                <c:pt idx="21">
                  <c:v>-2.1499398280866425E-4</c:v>
                </c:pt>
                <c:pt idx="22">
                  <c:v>7.2479238951927874E-5</c:v>
                </c:pt>
                <c:pt idx="23">
                  <c:v>7.8251963714137673E-4</c:v>
                </c:pt>
                <c:pt idx="24">
                  <c:v>2.7754900656873377E-4</c:v>
                </c:pt>
                <c:pt idx="25">
                  <c:v>3.8498637513839629E-4</c:v>
                </c:pt>
                <c:pt idx="26">
                  <c:v>1.8751623792923045E-4</c:v>
                </c:pt>
                <c:pt idx="27">
                  <c:v>-6.2748789423494578E-4</c:v>
                </c:pt>
                <c:pt idx="28">
                  <c:v>-2.0751359625137403E-4</c:v>
                </c:pt>
                <c:pt idx="29">
                  <c:v>-1.5503169925068489E-4</c:v>
                </c:pt>
                <c:pt idx="30">
                  <c:v>3.9756294427206729E-4</c:v>
                </c:pt>
                <c:pt idx="31">
                  <c:v>8.2248451508348721E-4</c:v>
                </c:pt>
                <c:pt idx="32">
                  <c:v>1.3750789548794214E-4</c:v>
                </c:pt>
                <c:pt idx="33">
                  <c:v>-1.9255278675700549E-4</c:v>
                </c:pt>
                <c:pt idx="34">
                  <c:v>9.0003010700456766E-4</c:v>
                </c:pt>
                <c:pt idx="35">
                  <c:v>-2.2000069384375825E-4</c:v>
                </c:pt>
                <c:pt idx="36">
                  <c:v>-3.2249088690150551E-4</c:v>
                </c:pt>
                <c:pt idx="37">
                  <c:v>5.9962257182633283E-5</c:v>
                </c:pt>
                <c:pt idx="38">
                  <c:v>5.4252150584943603E-4</c:v>
                </c:pt>
                <c:pt idx="39">
                  <c:v>-1.52251124382019E-3</c:v>
                </c:pt>
                <c:pt idx="40">
                  <c:v>-1.1375248759577516E-3</c:v>
                </c:pt>
                <c:pt idx="41">
                  <c:v>1.1675059722620058E-3</c:v>
                </c:pt>
                <c:pt idx="42">
                  <c:v>1.3024806612520466E-3</c:v>
                </c:pt>
                <c:pt idx="43">
                  <c:v>1.5850067102292074E-3</c:v>
                </c:pt>
                <c:pt idx="44">
                  <c:v>1.117497646191622E-3</c:v>
                </c:pt>
                <c:pt idx="45">
                  <c:v>-2.1499398280866425E-4</c:v>
                </c:pt>
                <c:pt idx="46">
                  <c:v>7.2479238951927874E-5</c:v>
                </c:pt>
                <c:pt idx="47">
                  <c:v>7.8251963714137673E-4</c:v>
                </c:pt>
                <c:pt idx="48">
                  <c:v>7.2479288974136648E-5</c:v>
                </c:pt>
                <c:pt idx="49">
                  <c:v>2.7754900656873377E-4</c:v>
                </c:pt>
                <c:pt idx="50">
                  <c:v>1.8751623792923045E-4</c:v>
                </c:pt>
                <c:pt idx="51">
                  <c:v>-6.2748789423494578E-4</c:v>
                </c:pt>
                <c:pt idx="52">
                  <c:v>-2.0751359625137403E-4</c:v>
                </c:pt>
                <c:pt idx="53">
                  <c:v>-1.5503169925068489E-4</c:v>
                </c:pt>
                <c:pt idx="54">
                  <c:v>3.9756294427206729E-4</c:v>
                </c:pt>
                <c:pt idx="55">
                  <c:v>8.2248451508348721E-4</c:v>
                </c:pt>
                <c:pt idx="56">
                  <c:v>1.3750789548794214E-4</c:v>
                </c:pt>
                <c:pt idx="57">
                  <c:v>-1.9255278675700549E-4</c:v>
                </c:pt>
                <c:pt idx="58">
                  <c:v>9.0003010700456766E-4</c:v>
                </c:pt>
                <c:pt idx="59">
                  <c:v>-2.2000069384375825E-4</c:v>
                </c:pt>
                <c:pt idx="60">
                  <c:v>-3.2249088690150551E-4</c:v>
                </c:pt>
                <c:pt idx="61">
                  <c:v>5.9962257182633283E-5</c:v>
                </c:pt>
                <c:pt idx="62">
                  <c:v>5.4252150584943603E-4</c:v>
                </c:pt>
                <c:pt idx="63">
                  <c:v>-1.52251124382019E-3</c:v>
                </c:pt>
                <c:pt idx="64">
                  <c:v>-1.1375248759577516E-3</c:v>
                </c:pt>
                <c:pt idx="65">
                  <c:v>1.1675059722620058E-3</c:v>
                </c:pt>
                <c:pt idx="66">
                  <c:v>1.3024806612520466E-3</c:v>
                </c:pt>
                <c:pt idx="67">
                  <c:v>1.5850067102292074E-3</c:v>
                </c:pt>
                <c:pt idx="68">
                  <c:v>1.117497646191622E-3</c:v>
                </c:pt>
                <c:pt idx="69">
                  <c:v>-2.1499398280866425E-4</c:v>
                </c:pt>
                <c:pt idx="70">
                  <c:v>7.2479238951927874E-5</c:v>
                </c:pt>
                <c:pt idx="71">
                  <c:v>7.8251963714137673E-4</c:v>
                </c:pt>
                <c:pt idx="72">
                  <c:v>7.2479288974136648E-5</c:v>
                </c:pt>
                <c:pt idx="73">
                  <c:v>3.4987962635568665E-5</c:v>
                </c:pt>
                <c:pt idx="74">
                  <c:v>2.7754900656873377E-4</c:v>
                </c:pt>
                <c:pt idx="75">
                  <c:v>-6.2748789423494578E-4</c:v>
                </c:pt>
                <c:pt idx="76">
                  <c:v>-2.0751359625137403E-4</c:v>
                </c:pt>
                <c:pt idx="77">
                  <c:v>-1.5503169925068489E-4</c:v>
                </c:pt>
                <c:pt idx="78">
                  <c:v>3.9756294427206729E-4</c:v>
                </c:pt>
                <c:pt idx="79">
                  <c:v>8.2248451508348721E-4</c:v>
                </c:pt>
                <c:pt idx="80">
                  <c:v>1.3750789548794214E-4</c:v>
                </c:pt>
                <c:pt idx="81">
                  <c:v>-1.9255278675700549E-4</c:v>
                </c:pt>
                <c:pt idx="82">
                  <c:v>9.0003010700456766E-4</c:v>
                </c:pt>
                <c:pt idx="83">
                  <c:v>-2.2000069384375825E-4</c:v>
                </c:pt>
                <c:pt idx="84">
                  <c:v>-3.2249088690150551E-4</c:v>
                </c:pt>
                <c:pt idx="85">
                  <c:v>5.9962257182633283E-5</c:v>
                </c:pt>
                <c:pt idx="86">
                  <c:v>5.4252150584943603E-4</c:v>
                </c:pt>
                <c:pt idx="87">
                  <c:v>-1.52251124382019E-3</c:v>
                </c:pt>
                <c:pt idx="88">
                  <c:v>-1.1375248759577516E-3</c:v>
                </c:pt>
                <c:pt idx="89">
                  <c:v>1.1675059722620058E-3</c:v>
                </c:pt>
                <c:pt idx="90">
                  <c:v>1.3024806612520466E-3</c:v>
                </c:pt>
                <c:pt idx="91">
                  <c:v>1.5850067102292074E-3</c:v>
                </c:pt>
                <c:pt idx="92">
                  <c:v>1.117497646191622E-3</c:v>
                </c:pt>
                <c:pt idx="93">
                  <c:v>-2.1499398280866425E-4</c:v>
                </c:pt>
                <c:pt idx="94">
                  <c:v>7.2479238951927874E-5</c:v>
                </c:pt>
                <c:pt idx="95">
                  <c:v>7.8251963714137673E-4</c:v>
                </c:pt>
                <c:pt idx="96">
                  <c:v>7.2479288974136648E-5</c:v>
                </c:pt>
                <c:pt idx="97">
                  <c:v>3.4987962635568665E-5</c:v>
                </c:pt>
                <c:pt idx="98">
                  <c:v>-1.6248226529569376E-4</c:v>
                </c:pt>
                <c:pt idx="99">
                  <c:v>2.7754900656873377E-4</c:v>
                </c:pt>
                <c:pt idx="100">
                  <c:v>-2.0751359625137403E-4</c:v>
                </c:pt>
                <c:pt idx="101">
                  <c:v>-1.5503169925068489E-4</c:v>
                </c:pt>
                <c:pt idx="102">
                  <c:v>3.9756294427206729E-4</c:v>
                </c:pt>
                <c:pt idx="103">
                  <c:v>8.2248451508348721E-4</c:v>
                </c:pt>
                <c:pt idx="104">
                  <c:v>1.3750789548794214E-4</c:v>
                </c:pt>
                <c:pt idx="105">
                  <c:v>-1.9255278675700549E-4</c:v>
                </c:pt>
                <c:pt idx="106">
                  <c:v>9.0003010700456766E-4</c:v>
                </c:pt>
                <c:pt idx="107">
                  <c:v>-2.2000069384375825E-4</c:v>
                </c:pt>
                <c:pt idx="108">
                  <c:v>-3.2249088690150551E-4</c:v>
                </c:pt>
                <c:pt idx="109">
                  <c:v>5.9962257182633283E-5</c:v>
                </c:pt>
                <c:pt idx="110">
                  <c:v>5.4252150584943603E-4</c:v>
                </c:pt>
                <c:pt idx="111">
                  <c:v>-1.52251124382019E-3</c:v>
                </c:pt>
                <c:pt idx="112">
                  <c:v>-1.1375248759577516E-3</c:v>
                </c:pt>
                <c:pt idx="113">
                  <c:v>1.1675059722620058E-3</c:v>
                </c:pt>
                <c:pt idx="114">
                  <c:v>1.3024806612520466E-3</c:v>
                </c:pt>
                <c:pt idx="115">
                  <c:v>1.5850067102292074E-3</c:v>
                </c:pt>
                <c:pt idx="116">
                  <c:v>1.117497646191622E-3</c:v>
                </c:pt>
                <c:pt idx="117">
                  <c:v>-2.1499398280866425E-4</c:v>
                </c:pt>
                <c:pt idx="118">
                  <c:v>7.2479238951927874E-5</c:v>
                </c:pt>
                <c:pt idx="119">
                  <c:v>7.8251963714137673E-4</c:v>
                </c:pt>
                <c:pt idx="120">
                  <c:v>7.2479288974136648E-5</c:v>
                </c:pt>
                <c:pt idx="121">
                  <c:v>3.4987962635568665E-5</c:v>
                </c:pt>
                <c:pt idx="122">
                  <c:v>-1.6248226529569376E-4</c:v>
                </c:pt>
                <c:pt idx="123">
                  <c:v>-1.7493964151072053E-5</c:v>
                </c:pt>
                <c:pt idx="124">
                  <c:v>2.7754900656873377E-4</c:v>
                </c:pt>
                <c:pt idx="125">
                  <c:v>-1.5503169925068489E-4</c:v>
                </c:pt>
                <c:pt idx="126">
                  <c:v>3.9756294427206729E-4</c:v>
                </c:pt>
                <c:pt idx="127">
                  <c:v>8.2248451508348721E-4</c:v>
                </c:pt>
                <c:pt idx="128">
                  <c:v>1.3750789548794214E-4</c:v>
                </c:pt>
                <c:pt idx="129">
                  <c:v>-1.9255278675700549E-4</c:v>
                </c:pt>
                <c:pt idx="130">
                  <c:v>9.0003010700456766E-4</c:v>
                </c:pt>
                <c:pt idx="131">
                  <c:v>-2.2000069384375825E-4</c:v>
                </c:pt>
                <c:pt idx="132">
                  <c:v>-3.2249088690150551E-4</c:v>
                </c:pt>
                <c:pt idx="133">
                  <c:v>5.9962257182633283E-5</c:v>
                </c:pt>
                <c:pt idx="134">
                  <c:v>5.4252150584943603E-4</c:v>
                </c:pt>
                <c:pt idx="135">
                  <c:v>-1.52251124382019E-3</c:v>
                </c:pt>
                <c:pt idx="136">
                  <c:v>-1.1375248759577516E-3</c:v>
                </c:pt>
                <c:pt idx="137">
                  <c:v>1.1675059722620058E-3</c:v>
                </c:pt>
                <c:pt idx="138">
                  <c:v>1.3024806612520466E-3</c:v>
                </c:pt>
                <c:pt idx="139">
                  <c:v>1.5850067102292074E-3</c:v>
                </c:pt>
                <c:pt idx="140">
                  <c:v>1.117497646191622E-3</c:v>
                </c:pt>
                <c:pt idx="141">
                  <c:v>-2.1499398280866425E-4</c:v>
                </c:pt>
                <c:pt idx="142">
                  <c:v>7.2479238951927874E-5</c:v>
                </c:pt>
                <c:pt idx="143">
                  <c:v>7.8251963714137673E-4</c:v>
                </c:pt>
                <c:pt idx="144">
                  <c:v>7.2479288974136648E-5</c:v>
                </c:pt>
                <c:pt idx="145">
                  <c:v>3.4987962635568665E-5</c:v>
                </c:pt>
                <c:pt idx="146">
                  <c:v>-1.6248226529569376E-4</c:v>
                </c:pt>
                <c:pt idx="147">
                  <c:v>-1.7493964151072053E-5</c:v>
                </c:pt>
                <c:pt idx="148">
                  <c:v>-1.9750002525142907E-4</c:v>
                </c:pt>
                <c:pt idx="149">
                  <c:v>2.7754900656873377E-4</c:v>
                </c:pt>
                <c:pt idx="150">
                  <c:v>3.9756294427206729E-4</c:v>
                </c:pt>
                <c:pt idx="151">
                  <c:v>8.2248451508348721E-4</c:v>
                </c:pt>
                <c:pt idx="152">
                  <c:v>1.3750789548794214E-4</c:v>
                </c:pt>
                <c:pt idx="153">
                  <c:v>-1.9255278675700549E-4</c:v>
                </c:pt>
                <c:pt idx="154">
                  <c:v>9.0003010700456766E-4</c:v>
                </c:pt>
                <c:pt idx="155">
                  <c:v>-2.2000069384375825E-4</c:v>
                </c:pt>
                <c:pt idx="156">
                  <c:v>-3.2249088690150551E-4</c:v>
                </c:pt>
                <c:pt idx="157">
                  <c:v>5.9962257182633283E-5</c:v>
                </c:pt>
                <c:pt idx="158">
                  <c:v>5.4252150584943603E-4</c:v>
                </c:pt>
                <c:pt idx="159">
                  <c:v>-1.52251124382019E-3</c:v>
                </c:pt>
                <c:pt idx="160">
                  <c:v>-1.1375248759577516E-3</c:v>
                </c:pt>
                <c:pt idx="161">
                  <c:v>1.1675059722620058E-3</c:v>
                </c:pt>
                <c:pt idx="162">
                  <c:v>1.3024806612520466E-3</c:v>
                </c:pt>
                <c:pt idx="163">
                  <c:v>1.5850067102292074E-3</c:v>
                </c:pt>
                <c:pt idx="164">
                  <c:v>1.117497646191622E-3</c:v>
                </c:pt>
                <c:pt idx="165">
                  <c:v>-2.1499398280866425E-4</c:v>
                </c:pt>
                <c:pt idx="166">
                  <c:v>7.2479238951927874E-5</c:v>
                </c:pt>
                <c:pt idx="167">
                  <c:v>7.8251963714137673E-4</c:v>
                </c:pt>
                <c:pt idx="168">
                  <c:v>7.2479288974136648E-5</c:v>
                </c:pt>
                <c:pt idx="169">
                  <c:v>3.4987962635568665E-5</c:v>
                </c:pt>
                <c:pt idx="170">
                  <c:v>-1.6248226529569376E-4</c:v>
                </c:pt>
                <c:pt idx="171">
                  <c:v>-1.7493964151072053E-5</c:v>
                </c:pt>
                <c:pt idx="172">
                  <c:v>-1.9750002525142907E-4</c:v>
                </c:pt>
                <c:pt idx="173">
                  <c:v>3.7491317925741998E-5</c:v>
                </c:pt>
                <c:pt idx="174">
                  <c:v>2.7754900656873377E-4</c:v>
                </c:pt>
                <c:pt idx="175">
                  <c:v>8.2248451508348721E-4</c:v>
                </c:pt>
                <c:pt idx="176">
                  <c:v>1.3750789548794214E-4</c:v>
                </c:pt>
                <c:pt idx="177">
                  <c:v>-1.9255278675700549E-4</c:v>
                </c:pt>
                <c:pt idx="178">
                  <c:v>9.0003010700456766E-4</c:v>
                </c:pt>
                <c:pt idx="179">
                  <c:v>-2.2000069384375825E-4</c:v>
                </c:pt>
                <c:pt idx="180">
                  <c:v>-3.2249088690150551E-4</c:v>
                </c:pt>
                <c:pt idx="181">
                  <c:v>5.9962257182633283E-5</c:v>
                </c:pt>
                <c:pt idx="182">
                  <c:v>5.4252150584943603E-4</c:v>
                </c:pt>
                <c:pt idx="183">
                  <c:v>-1.52251124382019E-3</c:v>
                </c:pt>
                <c:pt idx="184">
                  <c:v>-1.1375248759577516E-3</c:v>
                </c:pt>
                <c:pt idx="185">
                  <c:v>1.1675059722620058E-3</c:v>
                </c:pt>
                <c:pt idx="186">
                  <c:v>1.3024806612520466E-3</c:v>
                </c:pt>
                <c:pt idx="187">
                  <c:v>1.5850067102292074E-3</c:v>
                </c:pt>
                <c:pt idx="188">
                  <c:v>1.117497646191622E-3</c:v>
                </c:pt>
                <c:pt idx="189">
                  <c:v>-2.1499398280866425E-4</c:v>
                </c:pt>
                <c:pt idx="190">
                  <c:v>7.2479238951927874E-5</c:v>
                </c:pt>
                <c:pt idx="191">
                  <c:v>7.8251963714137673E-4</c:v>
                </c:pt>
                <c:pt idx="192">
                  <c:v>7.2479288974136648E-5</c:v>
                </c:pt>
                <c:pt idx="193">
                  <c:v>3.4987962635568665E-5</c:v>
                </c:pt>
                <c:pt idx="194">
                  <c:v>-1.6248226529569376E-4</c:v>
                </c:pt>
                <c:pt idx="195">
                  <c:v>-1.7493964151072053E-5</c:v>
                </c:pt>
                <c:pt idx="196">
                  <c:v>-1.9750002525142907E-4</c:v>
                </c:pt>
                <c:pt idx="197">
                  <c:v>3.7491317925741998E-5</c:v>
                </c:pt>
                <c:pt idx="198">
                  <c:v>-1.1250373790971924E-4</c:v>
                </c:pt>
                <c:pt idx="199">
                  <c:v>2.7754900656873377E-4</c:v>
                </c:pt>
                <c:pt idx="200">
                  <c:v>1.3750789548794214E-4</c:v>
                </c:pt>
                <c:pt idx="201">
                  <c:v>-1.9255278675700549E-4</c:v>
                </c:pt>
                <c:pt idx="202">
                  <c:v>9.0003010700456766E-4</c:v>
                </c:pt>
                <c:pt idx="203">
                  <c:v>-2.2000069384375825E-4</c:v>
                </c:pt>
                <c:pt idx="204">
                  <c:v>-3.2249088690150551E-4</c:v>
                </c:pt>
                <c:pt idx="205">
                  <c:v>5.9962257182633283E-5</c:v>
                </c:pt>
                <c:pt idx="206">
                  <c:v>5.4252150584943603E-4</c:v>
                </c:pt>
                <c:pt idx="207">
                  <c:v>-1.52251124382019E-3</c:v>
                </c:pt>
                <c:pt idx="208">
                  <c:v>-1.1375248759577516E-3</c:v>
                </c:pt>
                <c:pt idx="209">
                  <c:v>1.1675059722620058E-3</c:v>
                </c:pt>
                <c:pt idx="210">
                  <c:v>1.3024806612520466E-3</c:v>
                </c:pt>
                <c:pt idx="211">
                  <c:v>1.5850067102292074E-3</c:v>
                </c:pt>
                <c:pt idx="212">
                  <c:v>1.117497646191622E-3</c:v>
                </c:pt>
                <c:pt idx="213">
                  <c:v>-2.1499398280866425E-4</c:v>
                </c:pt>
                <c:pt idx="214">
                  <c:v>7.2479238951927874E-5</c:v>
                </c:pt>
                <c:pt idx="215">
                  <c:v>7.8251963714137673E-4</c:v>
                </c:pt>
                <c:pt idx="216">
                  <c:v>7.2479288974136648E-5</c:v>
                </c:pt>
                <c:pt idx="217">
                  <c:v>3.4987962635568665E-5</c:v>
                </c:pt>
                <c:pt idx="218">
                  <c:v>-1.6248226529569376E-4</c:v>
                </c:pt>
                <c:pt idx="219">
                  <c:v>-1.7493964151072053E-5</c:v>
                </c:pt>
                <c:pt idx="220">
                  <c:v>-1.9750002525142907E-4</c:v>
                </c:pt>
                <c:pt idx="221">
                  <c:v>3.7491317925741998E-5</c:v>
                </c:pt>
                <c:pt idx="222">
                  <c:v>-1.1250373790971924E-4</c:v>
                </c:pt>
                <c:pt idx="223">
                  <c:v>-3.1244753699866123E-4</c:v>
                </c:pt>
                <c:pt idx="224">
                  <c:v>2.7754900656873377E-4</c:v>
                </c:pt>
                <c:pt idx="225">
                  <c:v>-1.9255278675700549E-4</c:v>
                </c:pt>
                <c:pt idx="226">
                  <c:v>9.0003010700456766E-4</c:v>
                </c:pt>
                <c:pt idx="227">
                  <c:v>-2.2000069384375825E-4</c:v>
                </c:pt>
                <c:pt idx="228">
                  <c:v>-3.2249088690150551E-4</c:v>
                </c:pt>
                <c:pt idx="229">
                  <c:v>5.9962257182633283E-5</c:v>
                </c:pt>
                <c:pt idx="230">
                  <c:v>5.4252150584943603E-4</c:v>
                </c:pt>
                <c:pt idx="231">
                  <c:v>-1.52251124382019E-3</c:v>
                </c:pt>
                <c:pt idx="232">
                  <c:v>-1.1375248759577516E-3</c:v>
                </c:pt>
                <c:pt idx="233">
                  <c:v>1.1675059722620058E-3</c:v>
                </c:pt>
                <c:pt idx="234">
                  <c:v>1.3024806612520466E-3</c:v>
                </c:pt>
                <c:pt idx="235">
                  <c:v>1.5850067102292074E-3</c:v>
                </c:pt>
                <c:pt idx="236">
                  <c:v>1.117497646191622E-3</c:v>
                </c:pt>
                <c:pt idx="237">
                  <c:v>-2.1499398280866425E-4</c:v>
                </c:pt>
                <c:pt idx="238">
                  <c:v>7.2479238951927874E-5</c:v>
                </c:pt>
                <c:pt idx="239">
                  <c:v>7.8251963714137673E-4</c:v>
                </c:pt>
                <c:pt idx="240">
                  <c:v>7.2479288974136648E-5</c:v>
                </c:pt>
                <c:pt idx="241">
                  <c:v>3.4987962635568665E-5</c:v>
                </c:pt>
                <c:pt idx="242">
                  <c:v>-1.6248226529569376E-4</c:v>
                </c:pt>
                <c:pt idx="243">
                  <c:v>-1.7493964151072053E-5</c:v>
                </c:pt>
                <c:pt idx="244">
                  <c:v>-1.9750002525142907E-4</c:v>
                </c:pt>
                <c:pt idx="245">
                  <c:v>3.7491317925741998E-5</c:v>
                </c:pt>
                <c:pt idx="246">
                  <c:v>-1.1250373790971924E-4</c:v>
                </c:pt>
                <c:pt idx="247">
                  <c:v>-3.1244753699866123E-4</c:v>
                </c:pt>
                <c:pt idx="248">
                  <c:v>-8.3503127825679236E-4</c:v>
                </c:pt>
                <c:pt idx="249">
                  <c:v>2.7754900656873377E-4</c:v>
                </c:pt>
                <c:pt idx="250">
                  <c:v>9.0003010700456766E-4</c:v>
                </c:pt>
                <c:pt idx="251">
                  <c:v>-2.2000069384375825E-4</c:v>
                </c:pt>
                <c:pt idx="252">
                  <c:v>-3.2249088690150551E-4</c:v>
                </c:pt>
                <c:pt idx="253">
                  <c:v>5.9962257182633283E-5</c:v>
                </c:pt>
                <c:pt idx="254">
                  <c:v>5.4252150584943603E-4</c:v>
                </c:pt>
                <c:pt idx="255">
                  <c:v>-1.52251124382019E-3</c:v>
                </c:pt>
                <c:pt idx="256">
                  <c:v>-1.1375248759577516E-3</c:v>
                </c:pt>
                <c:pt idx="257">
                  <c:v>1.1675059722620058E-3</c:v>
                </c:pt>
                <c:pt idx="258">
                  <c:v>1.3024806612520466E-3</c:v>
                </c:pt>
                <c:pt idx="259">
                  <c:v>1.5850067102292074E-3</c:v>
                </c:pt>
                <c:pt idx="260">
                  <c:v>1.117497646191622E-3</c:v>
                </c:pt>
                <c:pt idx="261">
                  <c:v>-2.1499398280866425E-4</c:v>
                </c:pt>
                <c:pt idx="262">
                  <c:v>7.2479238951927874E-5</c:v>
                </c:pt>
                <c:pt idx="263">
                  <c:v>7.8251963714137673E-4</c:v>
                </c:pt>
                <c:pt idx="264">
                  <c:v>7.2479288974136648E-5</c:v>
                </c:pt>
                <c:pt idx="265">
                  <c:v>3.4987962635568665E-5</c:v>
                </c:pt>
                <c:pt idx="266">
                  <c:v>-1.6248226529569376E-4</c:v>
                </c:pt>
                <c:pt idx="267">
                  <c:v>-1.7493964151072053E-5</c:v>
                </c:pt>
                <c:pt idx="268">
                  <c:v>-1.9750002525142907E-4</c:v>
                </c:pt>
                <c:pt idx="269">
                  <c:v>3.7491317925741998E-5</c:v>
                </c:pt>
                <c:pt idx="270">
                  <c:v>-1.1250373790971924E-4</c:v>
                </c:pt>
                <c:pt idx="271">
                  <c:v>-3.1244753699866123E-4</c:v>
                </c:pt>
                <c:pt idx="272">
                  <c:v>-8.3503127825679236E-4</c:v>
                </c:pt>
                <c:pt idx="273">
                  <c:v>-7.1749093694961792E-4</c:v>
                </c:pt>
                <c:pt idx="274">
                  <c:v>2.7754900656873377E-4</c:v>
                </c:pt>
                <c:pt idx="275">
                  <c:v>-2.2000069384375825E-4</c:v>
                </c:pt>
                <c:pt idx="276">
                  <c:v>-3.2249088690150551E-4</c:v>
                </c:pt>
                <c:pt idx="277">
                  <c:v>5.9962257182633283E-5</c:v>
                </c:pt>
                <c:pt idx="278">
                  <c:v>5.4252150584943603E-4</c:v>
                </c:pt>
                <c:pt idx="279">
                  <c:v>-1.52251124382019E-3</c:v>
                </c:pt>
                <c:pt idx="280">
                  <c:v>-1.1375248759577516E-3</c:v>
                </c:pt>
                <c:pt idx="281">
                  <c:v>1.1675059722620058E-3</c:v>
                </c:pt>
                <c:pt idx="282">
                  <c:v>1.3024806612520466E-3</c:v>
                </c:pt>
                <c:pt idx="283">
                  <c:v>1.5850067102292074E-3</c:v>
                </c:pt>
                <c:pt idx="284">
                  <c:v>1.117497646191622E-3</c:v>
                </c:pt>
                <c:pt idx="285">
                  <c:v>-2.1499398280866425E-4</c:v>
                </c:pt>
                <c:pt idx="286">
                  <c:v>7.2479238951927874E-5</c:v>
                </c:pt>
                <c:pt idx="287">
                  <c:v>7.8251963714137673E-4</c:v>
                </c:pt>
                <c:pt idx="288">
                  <c:v>7.2479288974136648E-5</c:v>
                </c:pt>
                <c:pt idx="289">
                  <c:v>3.4987962635568665E-5</c:v>
                </c:pt>
                <c:pt idx="290">
                  <c:v>-1.6248226529569376E-4</c:v>
                </c:pt>
                <c:pt idx="291">
                  <c:v>-1.7493964151072053E-5</c:v>
                </c:pt>
                <c:pt idx="292">
                  <c:v>-1.9750002525142907E-4</c:v>
                </c:pt>
                <c:pt idx="293">
                  <c:v>3.7491317925741998E-5</c:v>
                </c:pt>
                <c:pt idx="294">
                  <c:v>-1.1250373790971924E-4</c:v>
                </c:pt>
                <c:pt idx="295">
                  <c:v>-3.1244753699866123E-4</c:v>
                </c:pt>
                <c:pt idx="296">
                  <c:v>-8.3503127825679236E-4</c:v>
                </c:pt>
                <c:pt idx="297">
                  <c:v>-7.1749093694961792E-4</c:v>
                </c:pt>
                <c:pt idx="298">
                  <c:v>-2.4974347979878008E-5</c:v>
                </c:pt>
                <c:pt idx="299">
                  <c:v>2.7754900656873377E-4</c:v>
                </c:pt>
                <c:pt idx="300">
                  <c:v>-3.2249088690150551E-4</c:v>
                </c:pt>
                <c:pt idx="301">
                  <c:v>5.9962257182633283E-5</c:v>
                </c:pt>
                <c:pt idx="302">
                  <c:v>5.4252150584943603E-4</c:v>
                </c:pt>
                <c:pt idx="303">
                  <c:v>-1.52251124382019E-3</c:v>
                </c:pt>
                <c:pt idx="304">
                  <c:v>-1.1375248759577516E-3</c:v>
                </c:pt>
                <c:pt idx="305">
                  <c:v>1.1675059722620058E-3</c:v>
                </c:pt>
                <c:pt idx="306">
                  <c:v>1.3024806612520466E-3</c:v>
                </c:pt>
                <c:pt idx="307">
                  <c:v>1.5850067102292074E-3</c:v>
                </c:pt>
                <c:pt idx="308">
                  <c:v>1.117497646191622E-3</c:v>
                </c:pt>
                <c:pt idx="309">
                  <c:v>-2.1499398280866425E-4</c:v>
                </c:pt>
                <c:pt idx="310">
                  <c:v>7.2479238951927874E-5</c:v>
                </c:pt>
                <c:pt idx="311">
                  <c:v>7.8251963714137673E-4</c:v>
                </c:pt>
                <c:pt idx="312">
                  <c:v>7.2479288974136648E-5</c:v>
                </c:pt>
                <c:pt idx="313">
                  <c:v>3.4987962635568665E-5</c:v>
                </c:pt>
                <c:pt idx="314">
                  <c:v>-1.6248226529569376E-4</c:v>
                </c:pt>
                <c:pt idx="315">
                  <c:v>-1.7493964151072053E-5</c:v>
                </c:pt>
                <c:pt idx="316">
                  <c:v>-1.9750002525142907E-4</c:v>
                </c:pt>
                <c:pt idx="317">
                  <c:v>3.7491317925741998E-5</c:v>
                </c:pt>
                <c:pt idx="318">
                  <c:v>-1.1250373790971924E-4</c:v>
                </c:pt>
                <c:pt idx="319">
                  <c:v>-3.1244753699866123E-4</c:v>
                </c:pt>
                <c:pt idx="320">
                  <c:v>-8.3503127825679236E-4</c:v>
                </c:pt>
                <c:pt idx="321">
                  <c:v>-7.1749093694961792E-4</c:v>
                </c:pt>
                <c:pt idx="322">
                  <c:v>-2.4974347979878008E-5</c:v>
                </c:pt>
                <c:pt idx="323">
                  <c:v>-1.4001132967678113E-4</c:v>
                </c:pt>
                <c:pt idx="324">
                  <c:v>2.7754900656873377E-4</c:v>
                </c:pt>
                <c:pt idx="325">
                  <c:v>5.9962257182633283E-5</c:v>
                </c:pt>
                <c:pt idx="326">
                  <c:v>5.4252150584943603E-4</c:v>
                </c:pt>
                <c:pt idx="327">
                  <c:v>-1.52251124382019E-3</c:v>
                </c:pt>
                <c:pt idx="328">
                  <c:v>-1.1375248759577516E-3</c:v>
                </c:pt>
                <c:pt idx="329">
                  <c:v>1.1675059722620058E-3</c:v>
                </c:pt>
                <c:pt idx="330">
                  <c:v>1.3024806612520466E-3</c:v>
                </c:pt>
                <c:pt idx="331">
                  <c:v>1.5850067102292074E-3</c:v>
                </c:pt>
                <c:pt idx="332">
                  <c:v>1.117497646191622E-3</c:v>
                </c:pt>
                <c:pt idx="333">
                  <c:v>-2.1499398280866425E-4</c:v>
                </c:pt>
                <c:pt idx="334">
                  <c:v>7.2479238951927874E-5</c:v>
                </c:pt>
                <c:pt idx="335">
                  <c:v>7.8251963714137673E-4</c:v>
                </c:pt>
                <c:pt idx="336">
                  <c:v>7.2479288974136648E-5</c:v>
                </c:pt>
                <c:pt idx="337">
                  <c:v>3.4987962635568665E-5</c:v>
                </c:pt>
                <c:pt idx="338">
                  <c:v>-1.6248226529569376E-4</c:v>
                </c:pt>
                <c:pt idx="339">
                  <c:v>-1.7493964151072053E-5</c:v>
                </c:pt>
                <c:pt idx="340">
                  <c:v>-1.9750002525142907E-4</c:v>
                </c:pt>
                <c:pt idx="341">
                  <c:v>3.7491317925741998E-5</c:v>
                </c:pt>
                <c:pt idx="342">
                  <c:v>-1.1250373790971924E-4</c:v>
                </c:pt>
                <c:pt idx="343">
                  <c:v>-3.1244753699866123E-4</c:v>
                </c:pt>
                <c:pt idx="344">
                  <c:v>-8.3503127825679236E-4</c:v>
                </c:pt>
                <c:pt idx="345">
                  <c:v>-7.1749093694961792E-4</c:v>
                </c:pt>
                <c:pt idx="346">
                  <c:v>-2.4974347979878008E-5</c:v>
                </c:pt>
                <c:pt idx="347">
                  <c:v>-1.4001132967678113E-4</c:v>
                </c:pt>
                <c:pt idx="348">
                  <c:v>-4.4253471060073978E-4</c:v>
                </c:pt>
                <c:pt idx="349">
                  <c:v>2.7754900656873377E-4</c:v>
                </c:pt>
                <c:pt idx="350">
                  <c:v>5.4252150584943603E-4</c:v>
                </c:pt>
                <c:pt idx="351">
                  <c:v>-1.52251124382019E-3</c:v>
                </c:pt>
                <c:pt idx="352">
                  <c:v>-1.1375248759577516E-3</c:v>
                </c:pt>
                <c:pt idx="353">
                  <c:v>1.1675059722620058E-3</c:v>
                </c:pt>
                <c:pt idx="354">
                  <c:v>1.3024806612520466E-3</c:v>
                </c:pt>
                <c:pt idx="355">
                  <c:v>1.5850067102292074E-3</c:v>
                </c:pt>
                <c:pt idx="356">
                  <c:v>1.117497646191622E-3</c:v>
                </c:pt>
                <c:pt idx="357">
                  <c:v>-2.1499398280866425E-4</c:v>
                </c:pt>
                <c:pt idx="358">
                  <c:v>7.2479238951927874E-5</c:v>
                </c:pt>
                <c:pt idx="359">
                  <c:v>7.8251963714137673E-4</c:v>
                </c:pt>
                <c:pt idx="360">
                  <c:v>7.2479288974136648E-5</c:v>
                </c:pt>
                <c:pt idx="361">
                  <c:v>3.4987962635568665E-5</c:v>
                </c:pt>
                <c:pt idx="362">
                  <c:v>-1.6248226529569376E-4</c:v>
                </c:pt>
                <c:pt idx="363">
                  <c:v>-1.7493964151072053E-5</c:v>
                </c:pt>
                <c:pt idx="364">
                  <c:v>-1.9750002525142907E-4</c:v>
                </c:pt>
                <c:pt idx="365">
                  <c:v>3.7491317925741998E-5</c:v>
                </c:pt>
                <c:pt idx="366">
                  <c:v>-1.1250373790971924E-4</c:v>
                </c:pt>
                <c:pt idx="367">
                  <c:v>-3.1244753699866123E-4</c:v>
                </c:pt>
                <c:pt idx="368">
                  <c:v>-8.3503127825679236E-4</c:v>
                </c:pt>
                <c:pt idx="369">
                  <c:v>-7.1749093694961792E-4</c:v>
                </c:pt>
                <c:pt idx="370">
                  <c:v>-2.4974347979878008E-5</c:v>
                </c:pt>
                <c:pt idx="371">
                  <c:v>-1.4001132967678113E-4</c:v>
                </c:pt>
                <c:pt idx="372">
                  <c:v>-4.4253471060073978E-4</c:v>
                </c:pt>
                <c:pt idx="373">
                  <c:v>-1.9575059704948199E-3</c:v>
                </c:pt>
                <c:pt idx="374">
                  <c:v>2.7754900656873377E-4</c:v>
                </c:pt>
                <c:pt idx="375">
                  <c:v>-1.52251124382019E-3</c:v>
                </c:pt>
                <c:pt idx="376">
                  <c:v>-1.1375248759577516E-3</c:v>
                </c:pt>
                <c:pt idx="377">
                  <c:v>1.1675059722620058E-3</c:v>
                </c:pt>
                <c:pt idx="378">
                  <c:v>1.3024806612520466E-3</c:v>
                </c:pt>
                <c:pt idx="379">
                  <c:v>1.5850067102292074E-3</c:v>
                </c:pt>
                <c:pt idx="380">
                  <c:v>1.117497646191622E-3</c:v>
                </c:pt>
                <c:pt idx="381">
                  <c:v>-2.1499398280866425E-4</c:v>
                </c:pt>
                <c:pt idx="382">
                  <c:v>7.2479238951927874E-5</c:v>
                </c:pt>
                <c:pt idx="383">
                  <c:v>7.8251963714137673E-4</c:v>
                </c:pt>
                <c:pt idx="384">
                  <c:v>7.2479288974136648E-5</c:v>
                </c:pt>
                <c:pt idx="385">
                  <c:v>3.4987962635568665E-5</c:v>
                </c:pt>
                <c:pt idx="386">
                  <c:v>-1.6248226529569376E-4</c:v>
                </c:pt>
                <c:pt idx="387">
                  <c:v>-1.7493964151072053E-5</c:v>
                </c:pt>
                <c:pt idx="388">
                  <c:v>-1.9750002525142907E-4</c:v>
                </c:pt>
                <c:pt idx="389">
                  <c:v>3.7491317925741998E-5</c:v>
                </c:pt>
                <c:pt idx="390">
                  <c:v>-1.1250373790971924E-4</c:v>
                </c:pt>
                <c:pt idx="391">
                  <c:v>-3.1244753699866123E-4</c:v>
                </c:pt>
                <c:pt idx="392">
                  <c:v>-8.3503127825679236E-4</c:v>
                </c:pt>
                <c:pt idx="393">
                  <c:v>-7.1749093694961792E-4</c:v>
                </c:pt>
                <c:pt idx="394">
                  <c:v>-2.4974347979878008E-5</c:v>
                </c:pt>
                <c:pt idx="395">
                  <c:v>-1.4001132967678113E-4</c:v>
                </c:pt>
                <c:pt idx="396">
                  <c:v>-4.4253471060073978E-4</c:v>
                </c:pt>
                <c:pt idx="397">
                  <c:v>-1.9575059704948199E-3</c:v>
                </c:pt>
                <c:pt idx="398">
                  <c:v>-1.8424689769744847E-3</c:v>
                </c:pt>
                <c:pt idx="399">
                  <c:v>2.7754900656873377E-4</c:v>
                </c:pt>
                <c:pt idx="400">
                  <c:v>-1.1375248759577516E-3</c:v>
                </c:pt>
                <c:pt idx="401">
                  <c:v>1.1675059722620058E-3</c:v>
                </c:pt>
                <c:pt idx="402">
                  <c:v>1.3024806612520466E-3</c:v>
                </c:pt>
                <c:pt idx="403">
                  <c:v>1.5850067102292074E-3</c:v>
                </c:pt>
                <c:pt idx="404">
                  <c:v>1.117497646191622E-3</c:v>
                </c:pt>
                <c:pt idx="405">
                  <c:v>-2.1499398280866425E-4</c:v>
                </c:pt>
                <c:pt idx="406">
                  <c:v>7.2479238951927874E-5</c:v>
                </c:pt>
                <c:pt idx="407">
                  <c:v>7.8251963714137673E-4</c:v>
                </c:pt>
                <c:pt idx="408">
                  <c:v>7.2479288974136648E-5</c:v>
                </c:pt>
                <c:pt idx="409">
                  <c:v>3.4987962635568665E-5</c:v>
                </c:pt>
                <c:pt idx="410">
                  <c:v>-1.6248226529569376E-4</c:v>
                </c:pt>
                <c:pt idx="411">
                  <c:v>-1.7493964151072053E-5</c:v>
                </c:pt>
                <c:pt idx="412">
                  <c:v>-1.9750002525142907E-4</c:v>
                </c:pt>
                <c:pt idx="413">
                  <c:v>3.7491317925741998E-5</c:v>
                </c:pt>
                <c:pt idx="414">
                  <c:v>-1.1250373790971924E-4</c:v>
                </c:pt>
                <c:pt idx="415">
                  <c:v>-3.1244753699866123E-4</c:v>
                </c:pt>
                <c:pt idx="416">
                  <c:v>-8.3503127825679236E-4</c:v>
                </c:pt>
                <c:pt idx="417">
                  <c:v>-7.1749093694961792E-4</c:v>
                </c:pt>
                <c:pt idx="418">
                  <c:v>-2.4974347979878008E-5</c:v>
                </c:pt>
                <c:pt idx="419">
                  <c:v>-1.4001132967678113E-4</c:v>
                </c:pt>
                <c:pt idx="420">
                  <c:v>-4.4253471060073978E-4</c:v>
                </c:pt>
                <c:pt idx="421">
                  <c:v>-1.9575059704948199E-3</c:v>
                </c:pt>
                <c:pt idx="422">
                  <c:v>-1.8424689769744847E-3</c:v>
                </c:pt>
                <c:pt idx="423">
                  <c:v>-1.1025070707546536E-3</c:v>
                </c:pt>
                <c:pt idx="424">
                  <c:v>2.7754900656873377E-4</c:v>
                </c:pt>
                <c:pt idx="425">
                  <c:v>1.1675059722620058E-3</c:v>
                </c:pt>
                <c:pt idx="426">
                  <c:v>1.3024806612520466E-3</c:v>
                </c:pt>
                <c:pt idx="427">
                  <c:v>1.5850067102292074E-3</c:v>
                </c:pt>
                <c:pt idx="428">
                  <c:v>1.117497646191622E-3</c:v>
                </c:pt>
                <c:pt idx="429">
                  <c:v>-2.1499398280866425E-4</c:v>
                </c:pt>
                <c:pt idx="430">
                  <c:v>7.2479238951927874E-5</c:v>
                </c:pt>
                <c:pt idx="431">
                  <c:v>7.8251963714137673E-4</c:v>
                </c:pt>
                <c:pt idx="432">
                  <c:v>7.2479288974136648E-5</c:v>
                </c:pt>
                <c:pt idx="433">
                  <c:v>3.4987962635568665E-5</c:v>
                </c:pt>
                <c:pt idx="434">
                  <c:v>-1.6248226529569376E-4</c:v>
                </c:pt>
                <c:pt idx="435">
                  <c:v>-1.7493964151072053E-5</c:v>
                </c:pt>
                <c:pt idx="436">
                  <c:v>-1.9750002525142907E-4</c:v>
                </c:pt>
                <c:pt idx="437">
                  <c:v>3.7491317925741998E-5</c:v>
                </c:pt>
                <c:pt idx="438">
                  <c:v>-1.1250373790971924E-4</c:v>
                </c:pt>
                <c:pt idx="439">
                  <c:v>-3.1244753699866123E-4</c:v>
                </c:pt>
                <c:pt idx="440">
                  <c:v>-8.3503127825679236E-4</c:v>
                </c:pt>
                <c:pt idx="441">
                  <c:v>-7.1749093694961792E-4</c:v>
                </c:pt>
                <c:pt idx="442">
                  <c:v>-2.4974347979878008E-5</c:v>
                </c:pt>
                <c:pt idx="443">
                  <c:v>-1.4001132967678113E-4</c:v>
                </c:pt>
                <c:pt idx="444">
                  <c:v>-4.4253471060073978E-4</c:v>
                </c:pt>
                <c:pt idx="445">
                  <c:v>-1.9575059704948199E-3</c:v>
                </c:pt>
                <c:pt idx="446">
                  <c:v>-1.8424689769744847E-3</c:v>
                </c:pt>
                <c:pt idx="447">
                  <c:v>-1.1025070707546536E-3</c:v>
                </c:pt>
                <c:pt idx="448">
                  <c:v>4.4971726310905015E-5</c:v>
                </c:pt>
                <c:pt idx="449">
                  <c:v>2.7754900656873377E-4</c:v>
                </c:pt>
                <c:pt idx="450">
                  <c:v>1.1675059722620058E-3</c:v>
                </c:pt>
                <c:pt idx="451">
                  <c:v>1.3024806612520466E-3</c:v>
                </c:pt>
                <c:pt idx="452">
                  <c:v>1.5850067102292074E-3</c:v>
                </c:pt>
                <c:pt idx="453">
                  <c:v>1.117497646191622E-3</c:v>
                </c:pt>
                <c:pt idx="454">
                  <c:v>-2.1499398280866425E-4</c:v>
                </c:pt>
                <c:pt idx="455">
                  <c:v>7.2479238951927874E-5</c:v>
                </c:pt>
                <c:pt idx="456">
                  <c:v>7.8251963714137673E-4</c:v>
                </c:pt>
                <c:pt idx="457">
                  <c:v>7.2479288974136648E-5</c:v>
                </c:pt>
                <c:pt idx="458">
                  <c:v>3.4987962635568665E-5</c:v>
                </c:pt>
                <c:pt idx="459">
                  <c:v>-1.6248226529569376E-4</c:v>
                </c:pt>
                <c:pt idx="460">
                  <c:v>-1.7493964151072053E-5</c:v>
                </c:pt>
                <c:pt idx="461">
                  <c:v>-1.9750002525142907E-4</c:v>
                </c:pt>
                <c:pt idx="462">
                  <c:v>3.7491317925741998E-5</c:v>
                </c:pt>
                <c:pt idx="463">
                  <c:v>-1.1250373790971924E-4</c:v>
                </c:pt>
                <c:pt idx="464">
                  <c:v>-3.1244753699866123E-4</c:v>
                </c:pt>
                <c:pt idx="465">
                  <c:v>-8.3503127825679236E-4</c:v>
                </c:pt>
                <c:pt idx="466">
                  <c:v>-7.1749093694961792E-4</c:v>
                </c:pt>
                <c:pt idx="467">
                  <c:v>-2.4974347979878008E-5</c:v>
                </c:pt>
                <c:pt idx="468">
                  <c:v>-1.4001132967678113E-4</c:v>
                </c:pt>
                <c:pt idx="469">
                  <c:v>-4.4253471060073978E-4</c:v>
                </c:pt>
                <c:pt idx="470">
                  <c:v>-1.9575059704948199E-3</c:v>
                </c:pt>
                <c:pt idx="471">
                  <c:v>-1.8424689769744847E-3</c:v>
                </c:pt>
                <c:pt idx="472">
                  <c:v>-1.1025070707546536E-3</c:v>
                </c:pt>
                <c:pt idx="473">
                  <c:v>4.4971726310905015E-5</c:v>
                </c:pt>
                <c:pt idx="474">
                  <c:v>1.3253092765808076E-4</c:v>
                </c:pt>
                <c:pt idx="475">
                  <c:v>1.3024806612520466E-3</c:v>
                </c:pt>
                <c:pt idx="476">
                  <c:v>1.5850067102292074E-3</c:v>
                </c:pt>
                <c:pt idx="477">
                  <c:v>1.117497646191622E-3</c:v>
                </c:pt>
                <c:pt idx="478">
                  <c:v>-2.1499398280866425E-4</c:v>
                </c:pt>
                <c:pt idx="479">
                  <c:v>7.2479238951927874E-5</c:v>
                </c:pt>
                <c:pt idx="480">
                  <c:v>7.8251963714137673E-4</c:v>
                </c:pt>
                <c:pt idx="481">
                  <c:v>7.2479288974136648E-5</c:v>
                </c:pt>
                <c:pt idx="482">
                  <c:v>3.4987962635568665E-5</c:v>
                </c:pt>
                <c:pt idx="483">
                  <c:v>-1.6248226529569376E-4</c:v>
                </c:pt>
                <c:pt idx="484">
                  <c:v>-1.7493964151072053E-5</c:v>
                </c:pt>
                <c:pt idx="485">
                  <c:v>-1.9750002525142907E-4</c:v>
                </c:pt>
                <c:pt idx="486">
                  <c:v>3.7491317925741998E-5</c:v>
                </c:pt>
                <c:pt idx="487">
                  <c:v>-1.1250373790971924E-4</c:v>
                </c:pt>
                <c:pt idx="488">
                  <c:v>-3.1244753699866123E-4</c:v>
                </c:pt>
                <c:pt idx="489">
                  <c:v>-8.3503127825679236E-4</c:v>
                </c:pt>
                <c:pt idx="490">
                  <c:v>-7.1749093694961792E-4</c:v>
                </c:pt>
                <c:pt idx="491">
                  <c:v>-2.4974347979878008E-5</c:v>
                </c:pt>
                <c:pt idx="492">
                  <c:v>-1.4001132967678113E-4</c:v>
                </c:pt>
                <c:pt idx="493">
                  <c:v>-4.4253471060073978E-4</c:v>
                </c:pt>
                <c:pt idx="494">
                  <c:v>-1.9575059704948199E-3</c:v>
                </c:pt>
                <c:pt idx="495">
                  <c:v>-1.8424689769744847E-3</c:v>
                </c:pt>
                <c:pt idx="496">
                  <c:v>-1.1025070707546536E-3</c:v>
                </c:pt>
                <c:pt idx="497">
                  <c:v>4.4971726310905015E-5</c:v>
                </c:pt>
                <c:pt idx="498">
                  <c:v>1.3253092765808076E-4</c:v>
                </c:pt>
                <c:pt idx="499">
                  <c:v>-9.7501277923584114E-4</c:v>
                </c:pt>
                <c:pt idx="500">
                  <c:v>1.5850067102292074E-3</c:v>
                </c:pt>
                <c:pt idx="501">
                  <c:v>1.117497646191622E-3</c:v>
                </c:pt>
                <c:pt idx="502">
                  <c:v>-2.1499398280866425E-4</c:v>
                </c:pt>
                <c:pt idx="503">
                  <c:v>7.2479238951927874E-5</c:v>
                </c:pt>
                <c:pt idx="504">
                  <c:v>7.8251963714137673E-4</c:v>
                </c:pt>
                <c:pt idx="505">
                  <c:v>7.2479288974136648E-5</c:v>
                </c:pt>
                <c:pt idx="506">
                  <c:v>3.4987962635568665E-5</c:v>
                </c:pt>
                <c:pt idx="507">
                  <c:v>-1.6248226529569376E-4</c:v>
                </c:pt>
                <c:pt idx="508">
                  <c:v>-1.7493964151072053E-5</c:v>
                </c:pt>
                <c:pt idx="509">
                  <c:v>-1.9750002525142907E-4</c:v>
                </c:pt>
                <c:pt idx="510">
                  <c:v>3.7491317925741998E-5</c:v>
                </c:pt>
                <c:pt idx="511">
                  <c:v>-1.1250373790971924E-4</c:v>
                </c:pt>
                <c:pt idx="512">
                  <c:v>-3.1244753699866123E-4</c:v>
                </c:pt>
                <c:pt idx="513">
                  <c:v>-8.3503127825679236E-4</c:v>
                </c:pt>
                <c:pt idx="514">
                  <c:v>-7.1749093694961792E-4</c:v>
                </c:pt>
                <c:pt idx="515">
                  <c:v>-2.4974347979878008E-5</c:v>
                </c:pt>
                <c:pt idx="516">
                  <c:v>-1.4001132967678113E-4</c:v>
                </c:pt>
                <c:pt idx="517">
                  <c:v>-4.4253471060073978E-4</c:v>
                </c:pt>
                <c:pt idx="518">
                  <c:v>-1.9575059704948199E-3</c:v>
                </c:pt>
                <c:pt idx="519">
                  <c:v>-1.8424689769744847E-3</c:v>
                </c:pt>
                <c:pt idx="520">
                  <c:v>-1.1025070707546536E-3</c:v>
                </c:pt>
                <c:pt idx="521">
                  <c:v>4.4971726310905015E-5</c:v>
                </c:pt>
                <c:pt idx="522">
                  <c:v>1.3253092765808076E-4</c:v>
                </c:pt>
                <c:pt idx="523">
                  <c:v>-9.7501277923584114E-4</c:v>
                </c:pt>
                <c:pt idx="524">
                  <c:v>-5.6999919161171354E-4</c:v>
                </c:pt>
                <c:pt idx="525">
                  <c:v>1.117497646191622E-3</c:v>
                </c:pt>
                <c:pt idx="526">
                  <c:v>-2.1499398280866425E-4</c:v>
                </c:pt>
                <c:pt idx="527">
                  <c:v>7.2479238951927874E-5</c:v>
                </c:pt>
                <c:pt idx="528">
                  <c:v>7.8251963714137673E-4</c:v>
                </c:pt>
                <c:pt idx="529">
                  <c:v>7.2479288974136648E-5</c:v>
                </c:pt>
                <c:pt idx="530">
                  <c:v>3.4987962635568665E-5</c:v>
                </c:pt>
                <c:pt idx="531">
                  <c:v>-1.6248226529569376E-4</c:v>
                </c:pt>
                <c:pt idx="532">
                  <c:v>-1.7493964151072053E-5</c:v>
                </c:pt>
                <c:pt idx="533">
                  <c:v>-1.9750002525142907E-4</c:v>
                </c:pt>
                <c:pt idx="534">
                  <c:v>3.7491317925741998E-5</c:v>
                </c:pt>
                <c:pt idx="535">
                  <c:v>-1.1250373790971924E-4</c:v>
                </c:pt>
                <c:pt idx="536">
                  <c:v>-3.1244753699866123E-4</c:v>
                </c:pt>
                <c:pt idx="537">
                  <c:v>-8.3503127825679236E-4</c:v>
                </c:pt>
                <c:pt idx="538">
                  <c:v>-7.1749093694961792E-4</c:v>
                </c:pt>
                <c:pt idx="539">
                  <c:v>-2.4974347979878008E-5</c:v>
                </c:pt>
                <c:pt idx="540">
                  <c:v>-1.4001132967678113E-4</c:v>
                </c:pt>
                <c:pt idx="541">
                  <c:v>-4.4253471060073978E-4</c:v>
                </c:pt>
                <c:pt idx="542">
                  <c:v>-1.9575059704948199E-3</c:v>
                </c:pt>
                <c:pt idx="543">
                  <c:v>-1.8424689769744847E-3</c:v>
                </c:pt>
                <c:pt idx="544">
                  <c:v>-1.1025070707546536E-3</c:v>
                </c:pt>
                <c:pt idx="545">
                  <c:v>4.4971726310905015E-5</c:v>
                </c:pt>
                <c:pt idx="546">
                  <c:v>1.3253092765808076E-4</c:v>
                </c:pt>
                <c:pt idx="547">
                  <c:v>-9.7501277923584114E-4</c:v>
                </c:pt>
                <c:pt idx="548">
                  <c:v>-5.6999919161171354E-4</c:v>
                </c:pt>
                <c:pt idx="549">
                  <c:v>-3.4987870549230124E-5</c:v>
                </c:pt>
                <c:pt idx="550">
                  <c:v>-2.1499398280866425E-4</c:v>
                </c:pt>
                <c:pt idx="551">
                  <c:v>7.2479238951927874E-5</c:v>
                </c:pt>
                <c:pt idx="552">
                  <c:v>7.8251963714137673E-4</c:v>
                </c:pt>
                <c:pt idx="553">
                  <c:v>7.2479288974136648E-5</c:v>
                </c:pt>
                <c:pt idx="554">
                  <c:v>3.4987962635568665E-5</c:v>
                </c:pt>
                <c:pt idx="555">
                  <c:v>-1.6248226529569376E-4</c:v>
                </c:pt>
                <c:pt idx="556">
                  <c:v>-1.7493964151072053E-5</c:v>
                </c:pt>
                <c:pt idx="557">
                  <c:v>-1.9750002525142907E-4</c:v>
                </c:pt>
                <c:pt idx="558">
                  <c:v>3.7491317925741998E-5</c:v>
                </c:pt>
                <c:pt idx="559">
                  <c:v>-1.1250373790971924E-4</c:v>
                </c:pt>
                <c:pt idx="560">
                  <c:v>-3.1244753699866123E-4</c:v>
                </c:pt>
                <c:pt idx="561">
                  <c:v>-8.3503127825679236E-4</c:v>
                </c:pt>
                <c:pt idx="562">
                  <c:v>-7.1749093694961792E-4</c:v>
                </c:pt>
                <c:pt idx="563">
                  <c:v>-2.4974347979878008E-5</c:v>
                </c:pt>
                <c:pt idx="564">
                  <c:v>-1.4001132967678113E-4</c:v>
                </c:pt>
                <c:pt idx="565">
                  <c:v>-4.4253471060073978E-4</c:v>
                </c:pt>
                <c:pt idx="566">
                  <c:v>-1.9575059704948199E-3</c:v>
                </c:pt>
                <c:pt idx="567">
                  <c:v>-1.8424689769744847E-3</c:v>
                </c:pt>
                <c:pt idx="568">
                  <c:v>-1.1025070707546536E-3</c:v>
                </c:pt>
                <c:pt idx="569">
                  <c:v>4.4971726310905015E-5</c:v>
                </c:pt>
                <c:pt idx="570">
                  <c:v>1.3253092765808076E-4</c:v>
                </c:pt>
                <c:pt idx="571">
                  <c:v>-9.7501277923584114E-4</c:v>
                </c:pt>
                <c:pt idx="572">
                  <c:v>-5.6999919161171354E-4</c:v>
                </c:pt>
                <c:pt idx="573">
                  <c:v>-3.4987870549230124E-5</c:v>
                </c:pt>
                <c:pt idx="574">
                  <c:v>-2.4747847942307983E-4</c:v>
                </c:pt>
                <c:pt idx="575">
                  <c:v>7.2479238951927874E-5</c:v>
                </c:pt>
                <c:pt idx="576">
                  <c:v>7.8251963714137673E-4</c:v>
                </c:pt>
                <c:pt idx="577">
                  <c:v>7.2479288974136648E-5</c:v>
                </c:pt>
                <c:pt idx="578">
                  <c:v>3.4987962635568665E-5</c:v>
                </c:pt>
                <c:pt idx="579">
                  <c:v>-1.6248226529569376E-4</c:v>
                </c:pt>
                <c:pt idx="580">
                  <c:v>-1.7493964151072053E-5</c:v>
                </c:pt>
                <c:pt idx="581">
                  <c:v>-1.9750002525142907E-4</c:v>
                </c:pt>
                <c:pt idx="582">
                  <c:v>3.7491317925741998E-5</c:v>
                </c:pt>
                <c:pt idx="583">
                  <c:v>-1.1250373790971924E-4</c:v>
                </c:pt>
                <c:pt idx="584">
                  <c:v>-3.1244753699866123E-4</c:v>
                </c:pt>
                <c:pt idx="585">
                  <c:v>-8.3503127825679236E-4</c:v>
                </c:pt>
                <c:pt idx="586">
                  <c:v>-7.1749093694961792E-4</c:v>
                </c:pt>
                <c:pt idx="587">
                  <c:v>-2.4974347979878008E-5</c:v>
                </c:pt>
                <c:pt idx="588">
                  <c:v>-1.4001132967678113E-4</c:v>
                </c:pt>
                <c:pt idx="589">
                  <c:v>-4.4253471060073978E-4</c:v>
                </c:pt>
                <c:pt idx="590">
                  <c:v>-1.9575059704948199E-3</c:v>
                </c:pt>
                <c:pt idx="591">
                  <c:v>-1.8424689769744847E-3</c:v>
                </c:pt>
                <c:pt idx="592">
                  <c:v>-1.1025070707546536E-3</c:v>
                </c:pt>
                <c:pt idx="593">
                  <c:v>4.4971726310905015E-5</c:v>
                </c:pt>
                <c:pt idx="594">
                  <c:v>1.3253092765808076E-4</c:v>
                </c:pt>
                <c:pt idx="595">
                  <c:v>-9.7501277923584114E-4</c:v>
                </c:pt>
                <c:pt idx="596">
                  <c:v>-5.6999919161171354E-4</c:v>
                </c:pt>
                <c:pt idx="597">
                  <c:v>-3.4987870549230124E-5</c:v>
                </c:pt>
                <c:pt idx="598">
                  <c:v>-2.4747847942307983E-4</c:v>
                </c:pt>
                <c:pt idx="599">
                  <c:v>-8.7529421307408484E-5</c:v>
                </c:pt>
                <c:pt idx="600">
                  <c:v>7.8251963714137673E-4</c:v>
                </c:pt>
                <c:pt idx="601">
                  <c:v>7.2479288974136648E-5</c:v>
                </c:pt>
                <c:pt idx="602">
                  <c:v>3.4987962635568665E-5</c:v>
                </c:pt>
                <c:pt idx="603">
                  <c:v>-1.6248226529569376E-4</c:v>
                </c:pt>
                <c:pt idx="604">
                  <c:v>-1.7493964151072053E-5</c:v>
                </c:pt>
                <c:pt idx="605">
                  <c:v>-1.9750002525142907E-4</c:v>
                </c:pt>
                <c:pt idx="606">
                  <c:v>3.7491317925741998E-5</c:v>
                </c:pt>
                <c:pt idx="607">
                  <c:v>-1.1250373790971924E-4</c:v>
                </c:pt>
                <c:pt idx="608">
                  <c:v>-3.1244753699866123E-4</c:v>
                </c:pt>
                <c:pt idx="609">
                  <c:v>-8.3503127825679236E-4</c:v>
                </c:pt>
                <c:pt idx="610">
                  <c:v>-7.1749093694961792E-4</c:v>
                </c:pt>
                <c:pt idx="611">
                  <c:v>-2.4974347979878008E-5</c:v>
                </c:pt>
                <c:pt idx="612">
                  <c:v>-1.4001132967678113E-4</c:v>
                </c:pt>
                <c:pt idx="613">
                  <c:v>-4.4253471060073978E-4</c:v>
                </c:pt>
                <c:pt idx="614">
                  <c:v>-1.9575059704948199E-3</c:v>
                </c:pt>
                <c:pt idx="615">
                  <c:v>-1.8424689769744847E-3</c:v>
                </c:pt>
                <c:pt idx="616">
                  <c:v>-1.1025070707546536E-3</c:v>
                </c:pt>
                <c:pt idx="617">
                  <c:v>4.4971726310905015E-5</c:v>
                </c:pt>
                <c:pt idx="618">
                  <c:v>1.3253092765808076E-4</c:v>
                </c:pt>
                <c:pt idx="619">
                  <c:v>-9.7501277923584114E-4</c:v>
                </c:pt>
                <c:pt idx="620">
                  <c:v>-5.6999919161171354E-4</c:v>
                </c:pt>
                <c:pt idx="621">
                  <c:v>-3.4987870549230124E-5</c:v>
                </c:pt>
                <c:pt idx="622">
                  <c:v>-2.4747847942307983E-4</c:v>
                </c:pt>
                <c:pt idx="623">
                  <c:v>-8.7529421307408484E-5</c:v>
                </c:pt>
                <c:pt idx="624">
                  <c:v>1.7499924115327298E-4</c:v>
                </c:pt>
                <c:pt idx="625">
                  <c:v>7.2479288974136648E-5</c:v>
                </c:pt>
                <c:pt idx="626">
                  <c:v>3.4987962635568665E-5</c:v>
                </c:pt>
                <c:pt idx="627">
                  <c:v>-1.6248226529569376E-4</c:v>
                </c:pt>
                <c:pt idx="628">
                  <c:v>-1.7493964151072053E-5</c:v>
                </c:pt>
                <c:pt idx="629">
                  <c:v>-1.9750002525142907E-4</c:v>
                </c:pt>
                <c:pt idx="630">
                  <c:v>3.7491317925741998E-5</c:v>
                </c:pt>
                <c:pt idx="631">
                  <c:v>-1.1250373790971924E-4</c:v>
                </c:pt>
                <c:pt idx="632">
                  <c:v>-3.1244753699866123E-4</c:v>
                </c:pt>
                <c:pt idx="633">
                  <c:v>-8.3503127825679236E-4</c:v>
                </c:pt>
                <c:pt idx="634">
                  <c:v>-7.1749093694961792E-4</c:v>
                </c:pt>
                <c:pt idx="635">
                  <c:v>-2.4974347979878008E-5</c:v>
                </c:pt>
                <c:pt idx="636">
                  <c:v>-1.4001132967678113E-4</c:v>
                </c:pt>
                <c:pt idx="637">
                  <c:v>-4.4253471060073978E-4</c:v>
                </c:pt>
                <c:pt idx="638">
                  <c:v>-1.9575059704948199E-3</c:v>
                </c:pt>
                <c:pt idx="639">
                  <c:v>-1.8424689769744847E-3</c:v>
                </c:pt>
                <c:pt idx="640">
                  <c:v>-1.1025070707546536E-3</c:v>
                </c:pt>
                <c:pt idx="641">
                  <c:v>4.4971726310905015E-5</c:v>
                </c:pt>
                <c:pt idx="642">
                  <c:v>1.3253092765808076E-4</c:v>
                </c:pt>
                <c:pt idx="643">
                  <c:v>-9.7501277923584114E-4</c:v>
                </c:pt>
                <c:pt idx="644">
                  <c:v>-5.6999919161171354E-4</c:v>
                </c:pt>
                <c:pt idx="645">
                  <c:v>-3.4987870549230124E-5</c:v>
                </c:pt>
                <c:pt idx="646">
                  <c:v>-2.4747847942307983E-4</c:v>
                </c:pt>
                <c:pt idx="647">
                  <c:v>-8.7529421307408484E-5</c:v>
                </c:pt>
                <c:pt idx="648">
                  <c:v>1.7499924115327298E-4</c:v>
                </c:pt>
                <c:pt idx="649">
                  <c:v>5.74886944377795E-5</c:v>
                </c:pt>
                <c:pt idx="650">
                  <c:v>3.4987962635568665E-5</c:v>
                </c:pt>
                <c:pt idx="651">
                  <c:v>-1.6248226529569376E-4</c:v>
                </c:pt>
                <c:pt idx="652">
                  <c:v>-1.7493964151072053E-5</c:v>
                </c:pt>
                <c:pt idx="653">
                  <c:v>-1.9750002525142907E-4</c:v>
                </c:pt>
                <c:pt idx="654">
                  <c:v>3.7491317925741998E-5</c:v>
                </c:pt>
                <c:pt idx="655">
                  <c:v>-1.1250373790971924E-4</c:v>
                </c:pt>
                <c:pt idx="656">
                  <c:v>-3.1244753699866123E-4</c:v>
                </c:pt>
                <c:pt idx="657">
                  <c:v>-8.3503127825679236E-4</c:v>
                </c:pt>
                <c:pt idx="658">
                  <c:v>-7.1749093694961792E-4</c:v>
                </c:pt>
                <c:pt idx="659">
                  <c:v>-2.4974347979878008E-5</c:v>
                </c:pt>
                <c:pt idx="660">
                  <c:v>-1.4001132967678113E-4</c:v>
                </c:pt>
                <c:pt idx="661">
                  <c:v>-4.4253471060073978E-4</c:v>
                </c:pt>
                <c:pt idx="662">
                  <c:v>-1.9575059704948199E-3</c:v>
                </c:pt>
                <c:pt idx="663">
                  <c:v>-1.8424689769744847E-3</c:v>
                </c:pt>
                <c:pt idx="664">
                  <c:v>-1.1025070707546536E-3</c:v>
                </c:pt>
                <c:pt idx="665">
                  <c:v>4.4971726310905015E-5</c:v>
                </c:pt>
                <c:pt idx="666">
                  <c:v>1.3253092765808076E-4</c:v>
                </c:pt>
                <c:pt idx="667">
                  <c:v>-9.7501277923584114E-4</c:v>
                </c:pt>
                <c:pt idx="668">
                  <c:v>-5.6999919161171354E-4</c:v>
                </c:pt>
                <c:pt idx="669">
                  <c:v>-3.4987870549230124E-5</c:v>
                </c:pt>
                <c:pt idx="670">
                  <c:v>-2.4747847942307983E-4</c:v>
                </c:pt>
                <c:pt idx="671">
                  <c:v>-8.7529421307408484E-5</c:v>
                </c:pt>
                <c:pt idx="672">
                  <c:v>1.7499924115327298E-4</c:v>
                </c:pt>
                <c:pt idx="673">
                  <c:v>5.74886944377795E-5</c:v>
                </c:pt>
                <c:pt idx="674">
                  <c:v>4.7504850954283252E-5</c:v>
                </c:pt>
                <c:pt idx="675">
                  <c:v>-1.6248226529569376E-4</c:v>
                </c:pt>
                <c:pt idx="676">
                  <c:v>-1.7493964151072053E-5</c:v>
                </c:pt>
                <c:pt idx="677">
                  <c:v>-1.9750002525142907E-4</c:v>
                </c:pt>
                <c:pt idx="678">
                  <c:v>3.7491317925741998E-5</c:v>
                </c:pt>
                <c:pt idx="679">
                  <c:v>-1.1250373790971924E-4</c:v>
                </c:pt>
                <c:pt idx="680">
                  <c:v>-3.1244753699866123E-4</c:v>
                </c:pt>
                <c:pt idx="681">
                  <c:v>-8.3503127825679236E-4</c:v>
                </c:pt>
                <c:pt idx="682">
                  <c:v>-7.1749093694961792E-4</c:v>
                </c:pt>
                <c:pt idx="683">
                  <c:v>-2.4974347979878008E-5</c:v>
                </c:pt>
                <c:pt idx="684">
                  <c:v>-1.4001132967678113E-4</c:v>
                </c:pt>
                <c:pt idx="685">
                  <c:v>-4.4253471060073978E-4</c:v>
                </c:pt>
                <c:pt idx="686">
                  <c:v>-1.9575059704948199E-3</c:v>
                </c:pt>
                <c:pt idx="687">
                  <c:v>-1.8424689769744847E-3</c:v>
                </c:pt>
                <c:pt idx="688">
                  <c:v>-1.1025070707546536E-3</c:v>
                </c:pt>
                <c:pt idx="689">
                  <c:v>4.4971726310905015E-5</c:v>
                </c:pt>
                <c:pt idx="690">
                  <c:v>1.3253092765808076E-4</c:v>
                </c:pt>
                <c:pt idx="691">
                  <c:v>-9.7501277923584114E-4</c:v>
                </c:pt>
                <c:pt idx="692">
                  <c:v>-5.6999919161171354E-4</c:v>
                </c:pt>
                <c:pt idx="693">
                  <c:v>-3.4987870549230124E-5</c:v>
                </c:pt>
                <c:pt idx="694">
                  <c:v>-2.4747847942307983E-4</c:v>
                </c:pt>
                <c:pt idx="695">
                  <c:v>-8.7529421307408484E-5</c:v>
                </c:pt>
                <c:pt idx="696">
                  <c:v>1.7499924115327298E-4</c:v>
                </c:pt>
                <c:pt idx="697">
                  <c:v>5.74886944377795E-5</c:v>
                </c:pt>
                <c:pt idx="698">
                  <c:v>4.7504850954283252E-5</c:v>
                </c:pt>
                <c:pt idx="699">
                  <c:v>5.0747393106576044E-4</c:v>
                </c:pt>
                <c:pt idx="700">
                  <c:v>-1.7493964151072053E-5</c:v>
                </c:pt>
                <c:pt idx="701">
                  <c:v>-1.9750002525142907E-4</c:v>
                </c:pt>
                <c:pt idx="702">
                  <c:v>3.7491317925741998E-5</c:v>
                </c:pt>
                <c:pt idx="703">
                  <c:v>-1.1250373790971924E-4</c:v>
                </c:pt>
                <c:pt idx="704">
                  <c:v>-3.1244753699866123E-4</c:v>
                </c:pt>
                <c:pt idx="705">
                  <c:v>-8.3503127825679236E-4</c:v>
                </c:pt>
                <c:pt idx="706">
                  <c:v>-7.1749093694961792E-4</c:v>
                </c:pt>
                <c:pt idx="707">
                  <c:v>-2.4974347979878008E-5</c:v>
                </c:pt>
                <c:pt idx="708">
                  <c:v>-1.4001132967678113E-4</c:v>
                </c:pt>
                <c:pt idx="709">
                  <c:v>-4.4253471060073978E-4</c:v>
                </c:pt>
                <c:pt idx="710">
                  <c:v>-1.9575059704948199E-3</c:v>
                </c:pt>
                <c:pt idx="711">
                  <c:v>-1.8424689769744847E-3</c:v>
                </c:pt>
                <c:pt idx="712">
                  <c:v>-1.1025070707546536E-3</c:v>
                </c:pt>
                <c:pt idx="713">
                  <c:v>4.4971726310905015E-5</c:v>
                </c:pt>
                <c:pt idx="714">
                  <c:v>1.3253092765808076E-4</c:v>
                </c:pt>
                <c:pt idx="715">
                  <c:v>-9.7501277923584114E-4</c:v>
                </c:pt>
                <c:pt idx="716">
                  <c:v>-5.6999919161171354E-4</c:v>
                </c:pt>
                <c:pt idx="717">
                  <c:v>-3.4987870549230124E-5</c:v>
                </c:pt>
                <c:pt idx="718">
                  <c:v>-2.4747847942307983E-4</c:v>
                </c:pt>
                <c:pt idx="719">
                  <c:v>-8.7529421307408484E-5</c:v>
                </c:pt>
                <c:pt idx="720">
                  <c:v>1.7499924115327298E-4</c:v>
                </c:pt>
                <c:pt idx="721">
                  <c:v>5.74886944377795E-5</c:v>
                </c:pt>
                <c:pt idx="722">
                  <c:v>4.7504850954283252E-5</c:v>
                </c:pt>
                <c:pt idx="723">
                  <c:v>5.0747393106576044E-4</c:v>
                </c:pt>
                <c:pt idx="724">
                  <c:v>3.1250715983333099E-4</c:v>
                </c:pt>
                <c:pt idx="725">
                  <c:v>-1.9750002525142907E-4</c:v>
                </c:pt>
                <c:pt idx="726">
                  <c:v>3.7491317925741998E-5</c:v>
                </c:pt>
                <c:pt idx="727">
                  <c:v>-1.1250373790971924E-4</c:v>
                </c:pt>
                <c:pt idx="728">
                  <c:v>-3.1244753699866123E-4</c:v>
                </c:pt>
                <c:pt idx="729">
                  <c:v>-8.3503127825679236E-4</c:v>
                </c:pt>
                <c:pt idx="730">
                  <c:v>-7.1749093694961792E-4</c:v>
                </c:pt>
                <c:pt idx="731">
                  <c:v>-2.4974347979878008E-5</c:v>
                </c:pt>
                <c:pt idx="732">
                  <c:v>-1.4001132967678113E-4</c:v>
                </c:pt>
                <c:pt idx="733">
                  <c:v>-4.4253471060073978E-4</c:v>
                </c:pt>
                <c:pt idx="734">
                  <c:v>-1.9575059704948199E-3</c:v>
                </c:pt>
                <c:pt idx="735">
                  <c:v>-1.8424689769744847E-3</c:v>
                </c:pt>
                <c:pt idx="736">
                  <c:v>-1.1025070707546536E-3</c:v>
                </c:pt>
                <c:pt idx="737">
                  <c:v>4.4971726310905015E-5</c:v>
                </c:pt>
                <c:pt idx="738">
                  <c:v>1.3253092765808076E-4</c:v>
                </c:pt>
                <c:pt idx="739">
                  <c:v>-9.7501277923584114E-4</c:v>
                </c:pt>
                <c:pt idx="740">
                  <c:v>-5.6999919161171354E-4</c:v>
                </c:pt>
                <c:pt idx="741">
                  <c:v>-3.4987870549230124E-5</c:v>
                </c:pt>
                <c:pt idx="742">
                  <c:v>-2.4747847942307983E-4</c:v>
                </c:pt>
                <c:pt idx="743">
                  <c:v>-8.7529421307408484E-5</c:v>
                </c:pt>
                <c:pt idx="744">
                  <c:v>1.7499924115327298E-4</c:v>
                </c:pt>
                <c:pt idx="745">
                  <c:v>5.74886944377795E-5</c:v>
                </c:pt>
                <c:pt idx="746">
                  <c:v>4.7504850954283252E-5</c:v>
                </c:pt>
                <c:pt idx="747">
                  <c:v>5.0747393106576044E-4</c:v>
                </c:pt>
                <c:pt idx="748">
                  <c:v>3.1250715983333099E-4</c:v>
                </c:pt>
                <c:pt idx="749">
                  <c:v>-2.6747585070552277E-4</c:v>
                </c:pt>
                <c:pt idx="750">
                  <c:v>3.7491317925741998E-5</c:v>
                </c:pt>
                <c:pt idx="751">
                  <c:v>-1.1250373790971924E-4</c:v>
                </c:pt>
                <c:pt idx="752">
                  <c:v>-3.1244753699866123E-4</c:v>
                </c:pt>
                <c:pt idx="753">
                  <c:v>-8.3503127825679236E-4</c:v>
                </c:pt>
                <c:pt idx="754">
                  <c:v>-7.1749093694961792E-4</c:v>
                </c:pt>
                <c:pt idx="755">
                  <c:v>-2.4974347979878008E-5</c:v>
                </c:pt>
                <c:pt idx="756">
                  <c:v>-1.4001132967678113E-4</c:v>
                </c:pt>
                <c:pt idx="757">
                  <c:v>-4.4253471060073978E-4</c:v>
                </c:pt>
                <c:pt idx="758">
                  <c:v>-1.9575059704948199E-3</c:v>
                </c:pt>
                <c:pt idx="759">
                  <c:v>-1.8424689769744847E-3</c:v>
                </c:pt>
                <c:pt idx="760">
                  <c:v>-1.1025070707546536E-3</c:v>
                </c:pt>
                <c:pt idx="761">
                  <c:v>4.4971726310905015E-5</c:v>
                </c:pt>
                <c:pt idx="762">
                  <c:v>1.3253092765808076E-4</c:v>
                </c:pt>
                <c:pt idx="763">
                  <c:v>-9.7501277923584114E-4</c:v>
                </c:pt>
                <c:pt idx="764">
                  <c:v>-5.6999919161171354E-4</c:v>
                </c:pt>
                <c:pt idx="765">
                  <c:v>-3.4987870549230124E-5</c:v>
                </c:pt>
                <c:pt idx="766">
                  <c:v>-2.4747847942307983E-4</c:v>
                </c:pt>
                <c:pt idx="767">
                  <c:v>-8.7529421307408484E-5</c:v>
                </c:pt>
                <c:pt idx="768">
                  <c:v>1.7499924115327298E-4</c:v>
                </c:pt>
                <c:pt idx="769">
                  <c:v>5.74886944377795E-5</c:v>
                </c:pt>
                <c:pt idx="770">
                  <c:v>4.7504850954283252E-5</c:v>
                </c:pt>
                <c:pt idx="771">
                  <c:v>5.0747393106576044E-4</c:v>
                </c:pt>
                <c:pt idx="772">
                  <c:v>3.1250715983333099E-4</c:v>
                </c:pt>
                <c:pt idx="773">
                  <c:v>-2.6747585070552277E-4</c:v>
                </c:pt>
                <c:pt idx="774">
                  <c:v>-2.0751358533743769E-4</c:v>
                </c:pt>
                <c:pt idx="775">
                  <c:v>-1.1250373790971924E-4</c:v>
                </c:pt>
                <c:pt idx="776">
                  <c:v>-3.1244753699866123E-4</c:v>
                </c:pt>
                <c:pt idx="777">
                  <c:v>-8.3503127825679236E-4</c:v>
                </c:pt>
                <c:pt idx="778">
                  <c:v>-7.1749093694961792E-4</c:v>
                </c:pt>
                <c:pt idx="779">
                  <c:v>-2.4974347979878008E-5</c:v>
                </c:pt>
                <c:pt idx="780">
                  <c:v>-1.4001132967678113E-4</c:v>
                </c:pt>
                <c:pt idx="781">
                  <c:v>-4.4253471060073978E-4</c:v>
                </c:pt>
                <c:pt idx="782">
                  <c:v>-1.9575059704948199E-3</c:v>
                </c:pt>
                <c:pt idx="783">
                  <c:v>-1.8424689769744847E-3</c:v>
                </c:pt>
                <c:pt idx="784">
                  <c:v>-1.1025070707546536E-3</c:v>
                </c:pt>
                <c:pt idx="785">
                  <c:v>4.4971726310905015E-5</c:v>
                </c:pt>
                <c:pt idx="786">
                  <c:v>1.3253092765808076E-4</c:v>
                </c:pt>
                <c:pt idx="787">
                  <c:v>-9.7501277923584114E-4</c:v>
                </c:pt>
                <c:pt idx="788">
                  <c:v>-5.6999919161171354E-4</c:v>
                </c:pt>
                <c:pt idx="789">
                  <c:v>-3.4987870549230124E-5</c:v>
                </c:pt>
                <c:pt idx="790">
                  <c:v>-2.4747847942307983E-4</c:v>
                </c:pt>
                <c:pt idx="791">
                  <c:v>-8.7529421307408484E-5</c:v>
                </c:pt>
                <c:pt idx="792">
                  <c:v>1.7499924115327298E-4</c:v>
                </c:pt>
                <c:pt idx="793">
                  <c:v>5.74886944377795E-5</c:v>
                </c:pt>
                <c:pt idx="794">
                  <c:v>4.7504850954283252E-5</c:v>
                </c:pt>
                <c:pt idx="795">
                  <c:v>5.0747393106576044E-4</c:v>
                </c:pt>
                <c:pt idx="796">
                  <c:v>3.1250715983333099E-4</c:v>
                </c:pt>
                <c:pt idx="797">
                  <c:v>-2.6747585070552277E-4</c:v>
                </c:pt>
                <c:pt idx="798">
                  <c:v>-2.0751358533743769E-4</c:v>
                </c:pt>
                <c:pt idx="799">
                  <c:v>-1.2496114140958533E-4</c:v>
                </c:pt>
                <c:pt idx="800">
                  <c:v>-3.1244753699866123E-4</c:v>
                </c:pt>
                <c:pt idx="801">
                  <c:v>-8.3503127825679236E-4</c:v>
                </c:pt>
                <c:pt idx="802">
                  <c:v>-7.1749093694961792E-4</c:v>
                </c:pt>
                <c:pt idx="803">
                  <c:v>-2.4974347979878008E-5</c:v>
                </c:pt>
                <c:pt idx="804">
                  <c:v>-1.4001132967678113E-4</c:v>
                </c:pt>
                <c:pt idx="805">
                  <c:v>-4.4253471060073978E-4</c:v>
                </c:pt>
                <c:pt idx="806">
                  <c:v>-1.9575059704948199E-3</c:v>
                </c:pt>
                <c:pt idx="807">
                  <c:v>-1.8424689769744847E-3</c:v>
                </c:pt>
                <c:pt idx="808">
                  <c:v>-1.1025070707546536E-3</c:v>
                </c:pt>
                <c:pt idx="809">
                  <c:v>4.4971726310905015E-5</c:v>
                </c:pt>
                <c:pt idx="810">
                  <c:v>1.3253092765808076E-4</c:v>
                </c:pt>
                <c:pt idx="811">
                  <c:v>-9.7501277923584114E-4</c:v>
                </c:pt>
                <c:pt idx="812">
                  <c:v>-5.6999919161171354E-4</c:v>
                </c:pt>
                <c:pt idx="813">
                  <c:v>-3.4987870549230124E-5</c:v>
                </c:pt>
                <c:pt idx="814">
                  <c:v>-2.4747847942307983E-4</c:v>
                </c:pt>
                <c:pt idx="815">
                  <c:v>-8.7529421307408484E-5</c:v>
                </c:pt>
                <c:pt idx="816">
                  <c:v>1.7499924115327298E-4</c:v>
                </c:pt>
                <c:pt idx="817">
                  <c:v>5.74886944377795E-5</c:v>
                </c:pt>
                <c:pt idx="818">
                  <c:v>4.7504850954283252E-5</c:v>
                </c:pt>
                <c:pt idx="819">
                  <c:v>5.0747393106576044E-4</c:v>
                </c:pt>
                <c:pt idx="820">
                  <c:v>3.1250715983333099E-4</c:v>
                </c:pt>
                <c:pt idx="821">
                  <c:v>-2.6747585070552277E-4</c:v>
                </c:pt>
                <c:pt idx="822">
                  <c:v>-2.0751358533743769E-4</c:v>
                </c:pt>
                <c:pt idx="823">
                  <c:v>-1.2496114140958533E-4</c:v>
                </c:pt>
                <c:pt idx="824">
                  <c:v>2.8496979211922746E-4</c:v>
                </c:pt>
                <c:pt idx="825">
                  <c:v>-8.3503127825679236E-4</c:v>
                </c:pt>
                <c:pt idx="826">
                  <c:v>-7.1749093694961792E-4</c:v>
                </c:pt>
                <c:pt idx="827">
                  <c:v>-2.4974347979878008E-5</c:v>
                </c:pt>
                <c:pt idx="828">
                  <c:v>-1.4001132967678113E-4</c:v>
                </c:pt>
                <c:pt idx="829">
                  <c:v>-4.4253471060073978E-4</c:v>
                </c:pt>
                <c:pt idx="830">
                  <c:v>-1.9575059704948199E-3</c:v>
                </c:pt>
                <c:pt idx="831">
                  <c:v>-1.8424689769744847E-3</c:v>
                </c:pt>
                <c:pt idx="832">
                  <c:v>-1.1025070707546536E-3</c:v>
                </c:pt>
                <c:pt idx="833">
                  <c:v>4.4971726310905015E-5</c:v>
                </c:pt>
                <c:pt idx="834">
                  <c:v>1.3253092765808076E-4</c:v>
                </c:pt>
                <c:pt idx="835">
                  <c:v>-9.7501277923584114E-4</c:v>
                </c:pt>
                <c:pt idx="836">
                  <c:v>-5.6999919161171354E-4</c:v>
                </c:pt>
                <c:pt idx="837">
                  <c:v>-3.4987870549230124E-5</c:v>
                </c:pt>
                <c:pt idx="838">
                  <c:v>-2.4747847942307983E-4</c:v>
                </c:pt>
                <c:pt idx="839">
                  <c:v>-8.7529421307408484E-5</c:v>
                </c:pt>
                <c:pt idx="840">
                  <c:v>1.7499924115327298E-4</c:v>
                </c:pt>
                <c:pt idx="841">
                  <c:v>5.74886944377795E-5</c:v>
                </c:pt>
                <c:pt idx="842">
                  <c:v>4.7504850954283252E-5</c:v>
                </c:pt>
                <c:pt idx="843">
                  <c:v>5.0747393106576044E-4</c:v>
                </c:pt>
                <c:pt idx="844">
                  <c:v>3.1250715983333099E-4</c:v>
                </c:pt>
                <c:pt idx="845">
                  <c:v>-2.6747585070552277E-4</c:v>
                </c:pt>
                <c:pt idx="846">
                  <c:v>-2.0751358533743769E-4</c:v>
                </c:pt>
                <c:pt idx="847">
                  <c:v>-1.2496114140958533E-4</c:v>
                </c:pt>
                <c:pt idx="848">
                  <c:v>2.8496979211922746E-4</c:v>
                </c:pt>
                <c:pt idx="849">
                  <c:v>-1.2000203123534461E-3</c:v>
                </c:pt>
                <c:pt idx="850">
                  <c:v>-7.1749093694961792E-4</c:v>
                </c:pt>
                <c:pt idx="851">
                  <c:v>-2.4974347979878008E-5</c:v>
                </c:pt>
                <c:pt idx="852">
                  <c:v>-1.4001132967678113E-4</c:v>
                </c:pt>
                <c:pt idx="853">
                  <c:v>-4.4253471060073978E-4</c:v>
                </c:pt>
                <c:pt idx="854">
                  <c:v>-1.9575059704948199E-3</c:v>
                </c:pt>
                <c:pt idx="855">
                  <c:v>-1.8424689769744847E-3</c:v>
                </c:pt>
                <c:pt idx="856">
                  <c:v>-1.1025070707546536E-3</c:v>
                </c:pt>
                <c:pt idx="857">
                  <c:v>4.4971726310905015E-5</c:v>
                </c:pt>
                <c:pt idx="858">
                  <c:v>1.3253092765808076E-4</c:v>
                </c:pt>
                <c:pt idx="859">
                  <c:v>-9.7501277923584114E-4</c:v>
                </c:pt>
                <c:pt idx="860">
                  <c:v>-5.6999919161171354E-4</c:v>
                </c:pt>
                <c:pt idx="861">
                  <c:v>-3.4987870549230124E-5</c:v>
                </c:pt>
                <c:pt idx="862">
                  <c:v>-2.4747847942307983E-4</c:v>
                </c:pt>
                <c:pt idx="863">
                  <c:v>-8.7529421307408484E-5</c:v>
                </c:pt>
                <c:pt idx="864">
                  <c:v>1.7499924115327298E-4</c:v>
                </c:pt>
                <c:pt idx="865">
                  <c:v>5.74886944377795E-5</c:v>
                </c:pt>
                <c:pt idx="866">
                  <c:v>4.7504850954283252E-5</c:v>
                </c:pt>
                <c:pt idx="867">
                  <c:v>5.0747393106576044E-4</c:v>
                </c:pt>
                <c:pt idx="868">
                  <c:v>3.1250715983333099E-4</c:v>
                </c:pt>
                <c:pt idx="869">
                  <c:v>-2.6747585070552277E-4</c:v>
                </c:pt>
                <c:pt idx="870">
                  <c:v>-2.0751358533743769E-4</c:v>
                </c:pt>
                <c:pt idx="871">
                  <c:v>-1.2496114140958533E-4</c:v>
                </c:pt>
                <c:pt idx="872">
                  <c:v>2.8496979211922746E-4</c:v>
                </c:pt>
                <c:pt idx="873">
                  <c:v>-1.2000203123534461E-3</c:v>
                </c:pt>
                <c:pt idx="874">
                  <c:v>-9.3749161896994478E-4</c:v>
                </c:pt>
                <c:pt idx="875">
                  <c:v>-2.4974347979878008E-5</c:v>
                </c:pt>
                <c:pt idx="876">
                  <c:v>-1.4001132967678113E-4</c:v>
                </c:pt>
                <c:pt idx="877">
                  <c:v>-4.4253471060073978E-4</c:v>
                </c:pt>
                <c:pt idx="878">
                  <c:v>-1.9575059704948199E-3</c:v>
                </c:pt>
                <c:pt idx="879">
                  <c:v>-1.8424689769744847E-3</c:v>
                </c:pt>
                <c:pt idx="880">
                  <c:v>-1.1025070707546536E-3</c:v>
                </c:pt>
                <c:pt idx="881">
                  <c:v>4.4971726310905015E-5</c:v>
                </c:pt>
                <c:pt idx="882">
                  <c:v>1.3253092765808076E-4</c:v>
                </c:pt>
                <c:pt idx="883">
                  <c:v>-9.7501277923584114E-4</c:v>
                </c:pt>
                <c:pt idx="884">
                  <c:v>-5.6999919161171354E-4</c:v>
                </c:pt>
                <c:pt idx="885">
                  <c:v>-3.4987870549230124E-5</c:v>
                </c:pt>
                <c:pt idx="886">
                  <c:v>-2.4747847942307983E-4</c:v>
                </c:pt>
                <c:pt idx="887">
                  <c:v>-8.7529421307408484E-5</c:v>
                </c:pt>
                <c:pt idx="888">
                  <c:v>1.7499924115327298E-4</c:v>
                </c:pt>
                <c:pt idx="889">
                  <c:v>5.74886944377795E-5</c:v>
                </c:pt>
                <c:pt idx="890">
                  <c:v>4.7504850954283252E-5</c:v>
                </c:pt>
                <c:pt idx="891">
                  <c:v>5.0747393106576044E-4</c:v>
                </c:pt>
                <c:pt idx="892">
                  <c:v>3.1250715983333099E-4</c:v>
                </c:pt>
                <c:pt idx="893">
                  <c:v>-2.6747585070552277E-4</c:v>
                </c:pt>
                <c:pt idx="894">
                  <c:v>-2.0751358533743769E-4</c:v>
                </c:pt>
                <c:pt idx="895">
                  <c:v>-1.2496114140958533E-4</c:v>
                </c:pt>
                <c:pt idx="896">
                  <c:v>2.8496979211922746E-4</c:v>
                </c:pt>
                <c:pt idx="897">
                  <c:v>-1.2000203123534461E-3</c:v>
                </c:pt>
                <c:pt idx="898">
                  <c:v>-9.3749161896994478E-4</c:v>
                </c:pt>
                <c:pt idx="899">
                  <c:v>4.7504892791039277E-5</c:v>
                </c:pt>
                <c:pt idx="900">
                  <c:v>-1.4001132967678113E-4</c:v>
                </c:pt>
                <c:pt idx="901">
                  <c:v>-4.4253471060073978E-4</c:v>
                </c:pt>
                <c:pt idx="902">
                  <c:v>-1.9575059704948199E-3</c:v>
                </c:pt>
                <c:pt idx="903">
                  <c:v>-1.8424689769744847E-3</c:v>
                </c:pt>
                <c:pt idx="904">
                  <c:v>-1.1025070707546536E-3</c:v>
                </c:pt>
                <c:pt idx="905">
                  <c:v>4.4971726310905015E-5</c:v>
                </c:pt>
                <c:pt idx="906">
                  <c:v>1.3253092765808076E-4</c:v>
                </c:pt>
                <c:pt idx="907">
                  <c:v>-9.7501277923584114E-4</c:v>
                </c:pt>
                <c:pt idx="908">
                  <c:v>-5.6999919161171354E-4</c:v>
                </c:pt>
                <c:pt idx="909">
                  <c:v>-3.4987870549230124E-5</c:v>
                </c:pt>
                <c:pt idx="910">
                  <c:v>-2.4747847942307983E-4</c:v>
                </c:pt>
                <c:pt idx="911">
                  <c:v>-8.7529421307408484E-5</c:v>
                </c:pt>
                <c:pt idx="912">
                  <c:v>1.7499924115327298E-4</c:v>
                </c:pt>
                <c:pt idx="913">
                  <c:v>5.74886944377795E-5</c:v>
                </c:pt>
                <c:pt idx="914">
                  <c:v>4.7504850954283252E-5</c:v>
                </c:pt>
                <c:pt idx="915">
                  <c:v>5.0747393106576044E-4</c:v>
                </c:pt>
                <c:pt idx="916">
                  <c:v>3.1250715983333099E-4</c:v>
                </c:pt>
                <c:pt idx="917">
                  <c:v>-2.6747585070552277E-4</c:v>
                </c:pt>
                <c:pt idx="918">
                  <c:v>-2.0751358533743769E-4</c:v>
                </c:pt>
                <c:pt idx="919">
                  <c:v>-1.2496114140958533E-4</c:v>
                </c:pt>
                <c:pt idx="920">
                  <c:v>2.8496979211922746E-4</c:v>
                </c:pt>
                <c:pt idx="921">
                  <c:v>-1.2000203123534461E-3</c:v>
                </c:pt>
                <c:pt idx="922">
                  <c:v>-9.3749161896994478E-4</c:v>
                </c:pt>
                <c:pt idx="923">
                  <c:v>4.7504892791039277E-5</c:v>
                </c:pt>
                <c:pt idx="924">
                  <c:v>-4.2498108086874871E-5</c:v>
                </c:pt>
                <c:pt idx="925">
                  <c:v>-4.4253471060073978E-4</c:v>
                </c:pt>
                <c:pt idx="926">
                  <c:v>-1.9575059704948199E-3</c:v>
                </c:pt>
                <c:pt idx="927">
                  <c:v>-1.8424689769744847E-3</c:v>
                </c:pt>
                <c:pt idx="928">
                  <c:v>-1.1025070707546536E-3</c:v>
                </c:pt>
                <c:pt idx="929">
                  <c:v>4.4971726310905015E-5</c:v>
                </c:pt>
                <c:pt idx="930">
                  <c:v>1.3253092765808076E-4</c:v>
                </c:pt>
                <c:pt idx="931">
                  <c:v>-9.7501277923584114E-4</c:v>
                </c:pt>
                <c:pt idx="932">
                  <c:v>-5.6999919161171354E-4</c:v>
                </c:pt>
                <c:pt idx="933">
                  <c:v>-3.4987870549230124E-5</c:v>
                </c:pt>
                <c:pt idx="934">
                  <c:v>-2.4747847942307983E-4</c:v>
                </c:pt>
                <c:pt idx="935">
                  <c:v>-8.7529421307408484E-5</c:v>
                </c:pt>
                <c:pt idx="936">
                  <c:v>1.7499924115327298E-4</c:v>
                </c:pt>
                <c:pt idx="937">
                  <c:v>5.74886944377795E-5</c:v>
                </c:pt>
                <c:pt idx="938">
                  <c:v>4.7504850954283252E-5</c:v>
                </c:pt>
                <c:pt idx="939">
                  <c:v>5.0747393106576044E-4</c:v>
                </c:pt>
                <c:pt idx="940">
                  <c:v>3.1250715983333099E-4</c:v>
                </c:pt>
                <c:pt idx="941">
                  <c:v>-2.6747585070552277E-4</c:v>
                </c:pt>
                <c:pt idx="942">
                  <c:v>-2.0751358533743769E-4</c:v>
                </c:pt>
                <c:pt idx="943">
                  <c:v>-1.2496114140958533E-4</c:v>
                </c:pt>
                <c:pt idx="944">
                  <c:v>2.8496979211922746E-4</c:v>
                </c:pt>
                <c:pt idx="945">
                  <c:v>-1.2000203123534461E-3</c:v>
                </c:pt>
                <c:pt idx="946">
                  <c:v>-9.3749161896994478E-4</c:v>
                </c:pt>
                <c:pt idx="947">
                  <c:v>4.7504892791039277E-5</c:v>
                </c:pt>
                <c:pt idx="948">
                  <c:v>-4.2498108086874871E-5</c:v>
                </c:pt>
                <c:pt idx="949">
                  <c:v>4.9498671614855885E-4</c:v>
                </c:pt>
                <c:pt idx="950">
                  <c:v>-1.9575059704948199E-3</c:v>
                </c:pt>
                <c:pt idx="951">
                  <c:v>-1.8424689769744847E-3</c:v>
                </c:pt>
                <c:pt idx="952">
                  <c:v>-1.1025070707546536E-3</c:v>
                </c:pt>
                <c:pt idx="953">
                  <c:v>4.4971726310905015E-5</c:v>
                </c:pt>
                <c:pt idx="954">
                  <c:v>1.3253092765808076E-4</c:v>
                </c:pt>
                <c:pt idx="955">
                  <c:v>-9.7501277923584114E-4</c:v>
                </c:pt>
                <c:pt idx="956">
                  <c:v>-5.6999919161171354E-4</c:v>
                </c:pt>
                <c:pt idx="957">
                  <c:v>-3.4987870549230124E-5</c:v>
                </c:pt>
                <c:pt idx="958">
                  <c:v>-2.4747847942307983E-4</c:v>
                </c:pt>
                <c:pt idx="959">
                  <c:v>-8.7529421307408484E-5</c:v>
                </c:pt>
                <c:pt idx="960">
                  <c:v>1.7499924115327298E-4</c:v>
                </c:pt>
                <c:pt idx="961">
                  <c:v>5.74886944377795E-5</c:v>
                </c:pt>
                <c:pt idx="962">
                  <c:v>4.7504850954283252E-5</c:v>
                </c:pt>
                <c:pt idx="963">
                  <c:v>5.0747393106576044E-4</c:v>
                </c:pt>
                <c:pt idx="964">
                  <c:v>3.1250715983333099E-4</c:v>
                </c:pt>
                <c:pt idx="965">
                  <c:v>-2.6747585070552277E-4</c:v>
                </c:pt>
                <c:pt idx="966">
                  <c:v>-2.0751358533743769E-4</c:v>
                </c:pt>
                <c:pt idx="967">
                  <c:v>-1.2496114140958533E-4</c:v>
                </c:pt>
                <c:pt idx="968">
                  <c:v>2.8496979211922746E-4</c:v>
                </c:pt>
                <c:pt idx="969">
                  <c:v>-1.2000203123534461E-3</c:v>
                </c:pt>
                <c:pt idx="970">
                  <c:v>-9.3749161896994478E-4</c:v>
                </c:pt>
                <c:pt idx="971">
                  <c:v>4.7504892791039277E-5</c:v>
                </c:pt>
                <c:pt idx="972">
                  <c:v>-4.2498108086874871E-5</c:v>
                </c:pt>
                <c:pt idx="973">
                  <c:v>4.9498671614855885E-4</c:v>
                </c:pt>
                <c:pt idx="974">
                  <c:v>1.4799833297729499E-3</c:v>
                </c:pt>
                <c:pt idx="975">
                  <c:v>-1.8424689769744847E-3</c:v>
                </c:pt>
                <c:pt idx="976">
                  <c:v>-1.1025070707546536E-3</c:v>
                </c:pt>
                <c:pt idx="977">
                  <c:v>4.4971726310905015E-5</c:v>
                </c:pt>
                <c:pt idx="978">
                  <c:v>1.3253092765808076E-4</c:v>
                </c:pt>
                <c:pt idx="979">
                  <c:v>-9.7501277923584114E-4</c:v>
                </c:pt>
                <c:pt idx="980">
                  <c:v>-5.6999919161171354E-4</c:v>
                </c:pt>
                <c:pt idx="981">
                  <c:v>-3.4987870549230124E-5</c:v>
                </c:pt>
                <c:pt idx="982">
                  <c:v>-2.4747847942307983E-4</c:v>
                </c:pt>
                <c:pt idx="983">
                  <c:v>-8.7529421307408484E-5</c:v>
                </c:pt>
                <c:pt idx="984">
                  <c:v>1.7499924115327298E-4</c:v>
                </c:pt>
                <c:pt idx="985">
                  <c:v>5.74886944377795E-5</c:v>
                </c:pt>
                <c:pt idx="986">
                  <c:v>4.7504850954283252E-5</c:v>
                </c:pt>
                <c:pt idx="987">
                  <c:v>5.0747393106576044E-4</c:v>
                </c:pt>
                <c:pt idx="988">
                  <c:v>3.1250715983333099E-4</c:v>
                </c:pt>
                <c:pt idx="989">
                  <c:v>-2.6747585070552277E-4</c:v>
                </c:pt>
                <c:pt idx="990">
                  <c:v>-2.0751358533743769E-4</c:v>
                </c:pt>
                <c:pt idx="991">
                  <c:v>-1.2496114140958533E-4</c:v>
                </c:pt>
                <c:pt idx="992">
                  <c:v>2.8496979211922746E-4</c:v>
                </c:pt>
                <c:pt idx="993">
                  <c:v>-1.2000203123534461E-3</c:v>
                </c:pt>
                <c:pt idx="994">
                  <c:v>-9.3749161896994478E-4</c:v>
                </c:pt>
                <c:pt idx="995">
                  <c:v>4.7504892791039277E-5</c:v>
                </c:pt>
                <c:pt idx="996">
                  <c:v>-4.2498108086874871E-5</c:v>
                </c:pt>
                <c:pt idx="997">
                  <c:v>4.9498671614855885E-4</c:v>
                </c:pt>
                <c:pt idx="998">
                  <c:v>1.4799833297729499E-3</c:v>
                </c:pt>
                <c:pt idx="999">
                  <c:v>8.2501772340037817E-4</c:v>
                </c:pt>
                <c:pt idx="1000">
                  <c:v>-1.1025070707546536E-3</c:v>
                </c:pt>
                <c:pt idx="1001">
                  <c:v>4.4971726310905015E-5</c:v>
                </c:pt>
                <c:pt idx="1002">
                  <c:v>1.3253092765808076E-4</c:v>
                </c:pt>
                <c:pt idx="1003">
                  <c:v>-9.7501277923584114E-4</c:v>
                </c:pt>
                <c:pt idx="1004">
                  <c:v>-5.6999919161171354E-4</c:v>
                </c:pt>
                <c:pt idx="1005">
                  <c:v>-3.4987870549230124E-5</c:v>
                </c:pt>
                <c:pt idx="1006">
                  <c:v>-2.4747847942307983E-4</c:v>
                </c:pt>
                <c:pt idx="1007">
                  <c:v>-8.7529421307408484E-5</c:v>
                </c:pt>
                <c:pt idx="1008">
                  <c:v>1.7499924115327298E-4</c:v>
                </c:pt>
                <c:pt idx="1009">
                  <c:v>5.74886944377795E-5</c:v>
                </c:pt>
                <c:pt idx="1010">
                  <c:v>4.7504850954283252E-5</c:v>
                </c:pt>
                <c:pt idx="1011">
                  <c:v>5.0747393106576044E-4</c:v>
                </c:pt>
                <c:pt idx="1012">
                  <c:v>3.1250715983333099E-4</c:v>
                </c:pt>
                <c:pt idx="1013">
                  <c:v>-2.6747585070552277E-4</c:v>
                </c:pt>
                <c:pt idx="1014">
                  <c:v>-2.0751358533743769E-4</c:v>
                </c:pt>
                <c:pt idx="1015">
                  <c:v>-1.2496114140958533E-4</c:v>
                </c:pt>
                <c:pt idx="1016">
                  <c:v>2.8496979211922746E-4</c:v>
                </c:pt>
                <c:pt idx="1017">
                  <c:v>-1.2000203123534461E-3</c:v>
                </c:pt>
                <c:pt idx="1018">
                  <c:v>-9.3749161896994478E-4</c:v>
                </c:pt>
                <c:pt idx="1019">
                  <c:v>4.7504892791039277E-5</c:v>
                </c:pt>
                <c:pt idx="1020">
                  <c:v>-4.2498108086874871E-5</c:v>
                </c:pt>
                <c:pt idx="1021">
                  <c:v>4.9498671614855885E-4</c:v>
                </c:pt>
                <c:pt idx="1022">
                  <c:v>1.4799833297729499E-3</c:v>
                </c:pt>
                <c:pt idx="1023">
                  <c:v>8.2501772340037817E-4</c:v>
                </c:pt>
                <c:pt idx="1024">
                  <c:v>3.749128336494331E-5</c:v>
                </c:pt>
                <c:pt idx="1025">
                  <c:v>4.4971726310905015E-5</c:v>
                </c:pt>
                <c:pt idx="1026">
                  <c:v>1.3253092765808076E-4</c:v>
                </c:pt>
                <c:pt idx="1027">
                  <c:v>-9.7501277923584114E-4</c:v>
                </c:pt>
                <c:pt idx="1028">
                  <c:v>-5.6999919161171354E-4</c:v>
                </c:pt>
                <c:pt idx="1029">
                  <c:v>-3.4987870549230124E-5</c:v>
                </c:pt>
                <c:pt idx="1030">
                  <c:v>-2.4747847942307983E-4</c:v>
                </c:pt>
                <c:pt idx="1031">
                  <c:v>-8.7529421307408484E-5</c:v>
                </c:pt>
                <c:pt idx="1032">
                  <c:v>1.7499924115327298E-4</c:v>
                </c:pt>
                <c:pt idx="1033">
                  <c:v>5.74886944377795E-5</c:v>
                </c:pt>
                <c:pt idx="1034">
                  <c:v>4.7504850954283252E-5</c:v>
                </c:pt>
                <c:pt idx="1035">
                  <c:v>5.0747393106576044E-4</c:v>
                </c:pt>
                <c:pt idx="1036">
                  <c:v>3.1250715983333099E-4</c:v>
                </c:pt>
                <c:pt idx="1037">
                  <c:v>-2.6747585070552277E-4</c:v>
                </c:pt>
                <c:pt idx="1038">
                  <c:v>-2.0751358533743769E-4</c:v>
                </c:pt>
                <c:pt idx="1039">
                  <c:v>-1.2496114140958533E-4</c:v>
                </c:pt>
                <c:pt idx="1040">
                  <c:v>2.8496979211922746E-4</c:v>
                </c:pt>
                <c:pt idx="1041">
                  <c:v>-1.2000203123534461E-3</c:v>
                </c:pt>
                <c:pt idx="1042">
                  <c:v>-9.3749161896994478E-4</c:v>
                </c:pt>
                <c:pt idx="1043">
                  <c:v>4.7504892791039277E-5</c:v>
                </c:pt>
                <c:pt idx="1044">
                  <c:v>-4.2498108086874871E-5</c:v>
                </c:pt>
                <c:pt idx="1045">
                  <c:v>4.9498671614855885E-4</c:v>
                </c:pt>
                <c:pt idx="1046">
                  <c:v>1.4799833297729499E-3</c:v>
                </c:pt>
                <c:pt idx="1047">
                  <c:v>8.2501772340037817E-4</c:v>
                </c:pt>
                <c:pt idx="1048">
                  <c:v>3.749128336494331E-5</c:v>
                </c:pt>
                <c:pt idx="1049">
                  <c:v>1.2254716784809724E-4</c:v>
                </c:pt>
                <c:pt idx="1050">
                  <c:v>1.3253092765808076E-4</c:v>
                </c:pt>
                <c:pt idx="1051">
                  <c:v>-9.7501277923584114E-4</c:v>
                </c:pt>
                <c:pt idx="1052">
                  <c:v>-5.6999919161171354E-4</c:v>
                </c:pt>
                <c:pt idx="1053">
                  <c:v>-3.4987870549230124E-5</c:v>
                </c:pt>
                <c:pt idx="1054">
                  <c:v>-2.4747847942307983E-4</c:v>
                </c:pt>
                <c:pt idx="1055">
                  <c:v>-8.7529421307408484E-5</c:v>
                </c:pt>
                <c:pt idx="1056">
                  <c:v>1.7499924115327298E-4</c:v>
                </c:pt>
                <c:pt idx="1057">
                  <c:v>5.74886944377795E-5</c:v>
                </c:pt>
                <c:pt idx="1058">
                  <c:v>4.7504850954283252E-5</c:v>
                </c:pt>
                <c:pt idx="1059">
                  <c:v>5.0747393106576044E-4</c:v>
                </c:pt>
                <c:pt idx="1060">
                  <c:v>3.1250715983333099E-4</c:v>
                </c:pt>
                <c:pt idx="1061">
                  <c:v>-2.6747585070552277E-4</c:v>
                </c:pt>
                <c:pt idx="1062">
                  <c:v>-2.0751358533743769E-4</c:v>
                </c:pt>
                <c:pt idx="1063">
                  <c:v>-1.2496114140958533E-4</c:v>
                </c:pt>
                <c:pt idx="1064">
                  <c:v>2.8496979211922746E-4</c:v>
                </c:pt>
                <c:pt idx="1065">
                  <c:v>-1.2000203123534461E-3</c:v>
                </c:pt>
                <c:pt idx="1066">
                  <c:v>-9.3749161896994478E-4</c:v>
                </c:pt>
                <c:pt idx="1067">
                  <c:v>4.7504892791039277E-5</c:v>
                </c:pt>
                <c:pt idx="1068">
                  <c:v>-4.2498108086874871E-5</c:v>
                </c:pt>
                <c:pt idx="1069">
                  <c:v>4.9498671614855885E-4</c:v>
                </c:pt>
                <c:pt idx="1070">
                  <c:v>1.4799833297729499E-3</c:v>
                </c:pt>
                <c:pt idx="1071">
                  <c:v>8.2501772340037817E-4</c:v>
                </c:pt>
                <c:pt idx="1072">
                  <c:v>3.749128336494331E-5</c:v>
                </c:pt>
                <c:pt idx="1073">
                  <c:v>1.2254716784809724E-4</c:v>
                </c:pt>
                <c:pt idx="1074">
                  <c:v>7.7456268627428988E-5</c:v>
                </c:pt>
                <c:pt idx="1075">
                  <c:v>-9.7501277923584114E-4</c:v>
                </c:pt>
                <c:pt idx="1076">
                  <c:v>-5.6999919161171354E-4</c:v>
                </c:pt>
                <c:pt idx="1077">
                  <c:v>-3.4987870549230124E-5</c:v>
                </c:pt>
                <c:pt idx="1078">
                  <c:v>-2.4747847942307983E-4</c:v>
                </c:pt>
                <c:pt idx="1079">
                  <c:v>-8.7529421307408484E-5</c:v>
                </c:pt>
                <c:pt idx="1080">
                  <c:v>1.7499924115327298E-4</c:v>
                </c:pt>
                <c:pt idx="1081">
                  <c:v>5.74886944377795E-5</c:v>
                </c:pt>
                <c:pt idx="1082">
                  <c:v>4.7504850954283252E-5</c:v>
                </c:pt>
                <c:pt idx="1083">
                  <c:v>5.0747393106576044E-4</c:v>
                </c:pt>
                <c:pt idx="1084">
                  <c:v>3.1250715983333099E-4</c:v>
                </c:pt>
                <c:pt idx="1085">
                  <c:v>-2.6747585070552277E-4</c:v>
                </c:pt>
                <c:pt idx="1086">
                  <c:v>-2.0751358533743769E-4</c:v>
                </c:pt>
                <c:pt idx="1087">
                  <c:v>-1.2496114140958533E-4</c:v>
                </c:pt>
                <c:pt idx="1088">
                  <c:v>2.8496979211922746E-4</c:v>
                </c:pt>
                <c:pt idx="1089">
                  <c:v>-1.2000203123534461E-3</c:v>
                </c:pt>
                <c:pt idx="1090">
                  <c:v>-9.3749161896994478E-4</c:v>
                </c:pt>
                <c:pt idx="1091">
                  <c:v>4.7504892791039277E-5</c:v>
                </c:pt>
                <c:pt idx="1092">
                  <c:v>-4.2498108086874871E-5</c:v>
                </c:pt>
                <c:pt idx="1093">
                  <c:v>4.9498671614855885E-4</c:v>
                </c:pt>
                <c:pt idx="1094">
                  <c:v>1.4799833297729499E-3</c:v>
                </c:pt>
                <c:pt idx="1095">
                  <c:v>8.2501772340037817E-4</c:v>
                </c:pt>
                <c:pt idx="1096">
                  <c:v>3.749128336494331E-5</c:v>
                </c:pt>
                <c:pt idx="1097">
                  <c:v>1.2254716784809724E-4</c:v>
                </c:pt>
                <c:pt idx="1098">
                  <c:v>7.7456268627428988E-5</c:v>
                </c:pt>
                <c:pt idx="1099">
                  <c:v>5.0068101700162193E-6</c:v>
                </c:pt>
                <c:pt idx="1100">
                  <c:v>-5.6999919161171354E-4</c:v>
                </c:pt>
                <c:pt idx="1101">
                  <c:v>-3.4987870549230124E-5</c:v>
                </c:pt>
                <c:pt idx="1102">
                  <c:v>-2.4747847942307983E-4</c:v>
                </c:pt>
                <c:pt idx="1103">
                  <c:v>-8.7529421307408484E-5</c:v>
                </c:pt>
                <c:pt idx="1104">
                  <c:v>1.7499924115327298E-4</c:v>
                </c:pt>
                <c:pt idx="1105">
                  <c:v>5.74886944377795E-5</c:v>
                </c:pt>
                <c:pt idx="1106">
                  <c:v>4.7504850954283252E-5</c:v>
                </c:pt>
                <c:pt idx="1107">
                  <c:v>5.0747393106576044E-4</c:v>
                </c:pt>
                <c:pt idx="1108">
                  <c:v>3.1250715983333099E-4</c:v>
                </c:pt>
                <c:pt idx="1109">
                  <c:v>-2.6747585070552277E-4</c:v>
                </c:pt>
                <c:pt idx="1110">
                  <c:v>-2.0751358533743769E-4</c:v>
                </c:pt>
                <c:pt idx="1111">
                  <c:v>-1.2496114140958533E-4</c:v>
                </c:pt>
                <c:pt idx="1112">
                  <c:v>2.8496979211922746E-4</c:v>
                </c:pt>
                <c:pt idx="1113">
                  <c:v>-1.2000203123534461E-3</c:v>
                </c:pt>
                <c:pt idx="1114">
                  <c:v>-9.3749161896994478E-4</c:v>
                </c:pt>
                <c:pt idx="1115">
                  <c:v>4.7504892791039277E-5</c:v>
                </c:pt>
                <c:pt idx="1116">
                  <c:v>-4.2498108086874871E-5</c:v>
                </c:pt>
                <c:pt idx="1117">
                  <c:v>4.9498671614855885E-4</c:v>
                </c:pt>
                <c:pt idx="1118">
                  <c:v>1.4799833297729499E-3</c:v>
                </c:pt>
                <c:pt idx="1119">
                  <c:v>8.2501772340037817E-4</c:v>
                </c:pt>
                <c:pt idx="1120">
                  <c:v>3.749128336494331E-5</c:v>
                </c:pt>
                <c:pt idx="1121">
                  <c:v>1.2254716784809724E-4</c:v>
                </c:pt>
                <c:pt idx="1122">
                  <c:v>7.7456268627428988E-5</c:v>
                </c:pt>
                <c:pt idx="1123">
                  <c:v>5.0068101700162193E-6</c:v>
                </c:pt>
                <c:pt idx="1124">
                  <c:v>1.5252825141942608E-4</c:v>
                </c:pt>
                <c:pt idx="1125">
                  <c:v>-3.4987870549230124E-5</c:v>
                </c:pt>
                <c:pt idx="1126">
                  <c:v>-2.4747847942307983E-4</c:v>
                </c:pt>
                <c:pt idx="1127">
                  <c:v>-8.7529421307408484E-5</c:v>
                </c:pt>
                <c:pt idx="1128">
                  <c:v>1.7499924115327298E-4</c:v>
                </c:pt>
                <c:pt idx="1129">
                  <c:v>5.74886944377795E-5</c:v>
                </c:pt>
                <c:pt idx="1130">
                  <c:v>4.7504850954283252E-5</c:v>
                </c:pt>
                <c:pt idx="1131">
                  <c:v>5.0747393106576044E-4</c:v>
                </c:pt>
                <c:pt idx="1132">
                  <c:v>3.1250715983333099E-4</c:v>
                </c:pt>
                <c:pt idx="1133">
                  <c:v>-2.6747585070552277E-4</c:v>
                </c:pt>
                <c:pt idx="1134">
                  <c:v>-2.0751358533743769E-4</c:v>
                </c:pt>
                <c:pt idx="1135">
                  <c:v>-1.2496114140958533E-4</c:v>
                </c:pt>
                <c:pt idx="1136">
                  <c:v>2.8496979211922746E-4</c:v>
                </c:pt>
                <c:pt idx="1137">
                  <c:v>-1.2000203123534461E-3</c:v>
                </c:pt>
                <c:pt idx="1138">
                  <c:v>-9.3749161896994478E-4</c:v>
                </c:pt>
                <c:pt idx="1139">
                  <c:v>4.7504892791039277E-5</c:v>
                </c:pt>
                <c:pt idx="1140">
                  <c:v>-4.2498108086874871E-5</c:v>
                </c:pt>
                <c:pt idx="1141">
                  <c:v>4.9498671614855885E-4</c:v>
                </c:pt>
                <c:pt idx="1142">
                  <c:v>1.4799833297729499E-3</c:v>
                </c:pt>
                <c:pt idx="1143">
                  <c:v>8.2501772340037817E-4</c:v>
                </c:pt>
                <c:pt idx="1144">
                  <c:v>3.749128336494331E-5</c:v>
                </c:pt>
                <c:pt idx="1145">
                  <c:v>1.2254716784809724E-4</c:v>
                </c:pt>
                <c:pt idx="1146">
                  <c:v>7.7456268627428988E-5</c:v>
                </c:pt>
                <c:pt idx="1147">
                  <c:v>5.0068101700162193E-6</c:v>
                </c:pt>
                <c:pt idx="1148">
                  <c:v>1.5252825141942608E-4</c:v>
                </c:pt>
                <c:pt idx="1149">
                  <c:v>-1.2001394043181804E-4</c:v>
                </c:pt>
                <c:pt idx="1150">
                  <c:v>-2.4747847942307983E-4</c:v>
                </c:pt>
                <c:pt idx="1151">
                  <c:v>-8.7529421307408484E-5</c:v>
                </c:pt>
                <c:pt idx="1152">
                  <c:v>1.7499924115327298E-4</c:v>
                </c:pt>
                <c:pt idx="1153">
                  <c:v>5.74886944377795E-5</c:v>
                </c:pt>
                <c:pt idx="1154">
                  <c:v>4.7504850954283252E-5</c:v>
                </c:pt>
                <c:pt idx="1155">
                  <c:v>5.0747393106576044E-4</c:v>
                </c:pt>
                <c:pt idx="1156">
                  <c:v>3.1250715983333099E-4</c:v>
                </c:pt>
                <c:pt idx="1157">
                  <c:v>-2.6747585070552277E-4</c:v>
                </c:pt>
                <c:pt idx="1158">
                  <c:v>-2.0751358533743769E-4</c:v>
                </c:pt>
                <c:pt idx="1159">
                  <c:v>-1.2496114140958533E-4</c:v>
                </c:pt>
                <c:pt idx="1160">
                  <c:v>2.8496979211922746E-4</c:v>
                </c:pt>
                <c:pt idx="1161">
                  <c:v>-1.2000203123534461E-3</c:v>
                </c:pt>
                <c:pt idx="1162">
                  <c:v>-9.3749161896994478E-4</c:v>
                </c:pt>
                <c:pt idx="1163">
                  <c:v>4.7504892791039277E-5</c:v>
                </c:pt>
                <c:pt idx="1164">
                  <c:v>-4.2498108086874871E-5</c:v>
                </c:pt>
                <c:pt idx="1165">
                  <c:v>4.9498671614855885E-4</c:v>
                </c:pt>
                <c:pt idx="1166">
                  <c:v>1.4799833297729499E-3</c:v>
                </c:pt>
                <c:pt idx="1167">
                  <c:v>8.2501772340037817E-4</c:v>
                </c:pt>
                <c:pt idx="1168">
                  <c:v>3.749128336494331E-5</c:v>
                </c:pt>
                <c:pt idx="1169">
                  <c:v>1.2254716784809724E-4</c:v>
                </c:pt>
                <c:pt idx="1170">
                  <c:v>7.7456268627428988E-5</c:v>
                </c:pt>
                <c:pt idx="1171">
                  <c:v>5.0068101700162193E-6</c:v>
                </c:pt>
                <c:pt idx="1172">
                  <c:v>1.5252825141942608E-4</c:v>
                </c:pt>
                <c:pt idx="1173">
                  <c:v>-1.2001394043181804E-4</c:v>
                </c:pt>
                <c:pt idx="1174">
                  <c:v>-6.2495477322954752E-5</c:v>
                </c:pt>
                <c:pt idx="1175">
                  <c:v>-8.7529421307408484E-5</c:v>
                </c:pt>
                <c:pt idx="1176">
                  <c:v>1.7499924115327298E-4</c:v>
                </c:pt>
                <c:pt idx="1177">
                  <c:v>5.74886944377795E-5</c:v>
                </c:pt>
                <c:pt idx="1178">
                  <c:v>4.7504850954283252E-5</c:v>
                </c:pt>
                <c:pt idx="1179">
                  <c:v>5.0747393106576044E-4</c:v>
                </c:pt>
                <c:pt idx="1180">
                  <c:v>3.1250715983333099E-4</c:v>
                </c:pt>
                <c:pt idx="1181">
                  <c:v>-2.6747585070552277E-4</c:v>
                </c:pt>
                <c:pt idx="1182">
                  <c:v>-2.0751358533743769E-4</c:v>
                </c:pt>
                <c:pt idx="1183">
                  <c:v>-1.2496114140958533E-4</c:v>
                </c:pt>
                <c:pt idx="1184">
                  <c:v>2.8496979211922746E-4</c:v>
                </c:pt>
                <c:pt idx="1185">
                  <c:v>-1.2000203123534461E-3</c:v>
                </c:pt>
                <c:pt idx="1186">
                  <c:v>-9.3749161896994478E-4</c:v>
                </c:pt>
                <c:pt idx="1187">
                  <c:v>4.7504892791039277E-5</c:v>
                </c:pt>
                <c:pt idx="1188">
                  <c:v>-4.2498108086874871E-5</c:v>
                </c:pt>
                <c:pt idx="1189">
                  <c:v>4.9498671614855885E-4</c:v>
                </c:pt>
                <c:pt idx="1190">
                  <c:v>1.4799833297729499E-3</c:v>
                </c:pt>
                <c:pt idx="1191">
                  <c:v>8.2501772340037817E-4</c:v>
                </c:pt>
                <c:pt idx="1192">
                  <c:v>3.749128336494331E-5</c:v>
                </c:pt>
                <c:pt idx="1193">
                  <c:v>1.2254716784809724E-4</c:v>
                </c:pt>
                <c:pt idx="1194">
                  <c:v>7.7456268627428988E-5</c:v>
                </c:pt>
                <c:pt idx="1195">
                  <c:v>5.0068101700162193E-6</c:v>
                </c:pt>
                <c:pt idx="1196">
                  <c:v>1.5252825141942608E-4</c:v>
                </c:pt>
                <c:pt idx="1197">
                  <c:v>-1.2001394043181804E-4</c:v>
                </c:pt>
                <c:pt idx="1198">
                  <c:v>-6.2495477322954752E-5</c:v>
                </c:pt>
                <c:pt idx="1199">
                  <c:v>1.8498306599212802E-4</c:v>
                </c:pt>
                <c:pt idx="1200">
                  <c:v>1.7499924115327298E-4</c:v>
                </c:pt>
                <c:pt idx="1201">
                  <c:v>5.74886944377795E-5</c:v>
                </c:pt>
                <c:pt idx="1202">
                  <c:v>4.7504850954283252E-5</c:v>
                </c:pt>
                <c:pt idx="1203">
                  <c:v>5.0747393106576044E-4</c:v>
                </c:pt>
                <c:pt idx="1204">
                  <c:v>3.1250715983333099E-4</c:v>
                </c:pt>
                <c:pt idx="1205">
                  <c:v>-2.6747585070552277E-4</c:v>
                </c:pt>
                <c:pt idx="1206">
                  <c:v>-2.0751358533743769E-4</c:v>
                </c:pt>
                <c:pt idx="1207">
                  <c:v>-1.2496114140958533E-4</c:v>
                </c:pt>
                <c:pt idx="1208">
                  <c:v>2.8496979211922746E-4</c:v>
                </c:pt>
                <c:pt idx="1209">
                  <c:v>-1.2000203123534461E-3</c:v>
                </c:pt>
                <c:pt idx="1210">
                  <c:v>-9.3749161896994478E-4</c:v>
                </c:pt>
                <c:pt idx="1211">
                  <c:v>4.7504892791039277E-5</c:v>
                </c:pt>
                <c:pt idx="1212">
                  <c:v>-4.2498108086874871E-5</c:v>
                </c:pt>
                <c:pt idx="1213">
                  <c:v>4.9498671614855885E-4</c:v>
                </c:pt>
                <c:pt idx="1214">
                  <c:v>1.4799833297729499E-3</c:v>
                </c:pt>
                <c:pt idx="1215">
                  <c:v>8.2501772340037817E-4</c:v>
                </c:pt>
                <c:pt idx="1216">
                  <c:v>3.749128336494331E-5</c:v>
                </c:pt>
                <c:pt idx="1217">
                  <c:v>1.2254716784809724E-4</c:v>
                </c:pt>
                <c:pt idx="1218">
                  <c:v>7.7456268627428988E-5</c:v>
                </c:pt>
                <c:pt idx="1219">
                  <c:v>5.0068101700162193E-6</c:v>
                </c:pt>
                <c:pt idx="1220">
                  <c:v>1.5252825141942608E-4</c:v>
                </c:pt>
                <c:pt idx="1221">
                  <c:v>-1.2001394043181804E-4</c:v>
                </c:pt>
                <c:pt idx="1222">
                  <c:v>-6.2495477322954752E-5</c:v>
                </c:pt>
                <c:pt idx="1223">
                  <c:v>1.8498306599212802E-4</c:v>
                </c:pt>
                <c:pt idx="1224">
                  <c:v>7.0005644374759868E-5</c:v>
                </c:pt>
                <c:pt idx="1225">
                  <c:v>5.74886944377795E-5</c:v>
                </c:pt>
                <c:pt idx="1226">
                  <c:v>4.7504850954283252E-5</c:v>
                </c:pt>
                <c:pt idx="1227">
                  <c:v>5.0747393106576044E-4</c:v>
                </c:pt>
                <c:pt idx="1228">
                  <c:v>3.1250715983333099E-4</c:v>
                </c:pt>
                <c:pt idx="1229">
                  <c:v>-2.6747585070552277E-4</c:v>
                </c:pt>
                <c:pt idx="1230">
                  <c:v>-2.0751358533743769E-4</c:v>
                </c:pt>
                <c:pt idx="1231">
                  <c:v>-1.2496114140958533E-4</c:v>
                </c:pt>
                <c:pt idx="1232">
                  <c:v>2.8496979211922746E-4</c:v>
                </c:pt>
                <c:pt idx="1233">
                  <c:v>-1.2000203123534461E-3</c:v>
                </c:pt>
                <c:pt idx="1234">
                  <c:v>-9.3749161896994478E-4</c:v>
                </c:pt>
                <c:pt idx="1235">
                  <c:v>4.7504892791039277E-5</c:v>
                </c:pt>
                <c:pt idx="1236">
                  <c:v>-4.2498108086874871E-5</c:v>
                </c:pt>
                <c:pt idx="1237">
                  <c:v>4.9498671614855885E-4</c:v>
                </c:pt>
                <c:pt idx="1238">
                  <c:v>1.4799833297729499E-3</c:v>
                </c:pt>
                <c:pt idx="1239">
                  <c:v>8.2501772340037817E-4</c:v>
                </c:pt>
                <c:pt idx="1240">
                  <c:v>3.749128336494331E-5</c:v>
                </c:pt>
                <c:pt idx="1241">
                  <c:v>1.2254716784809724E-4</c:v>
                </c:pt>
                <c:pt idx="1242">
                  <c:v>7.7456268627428988E-5</c:v>
                </c:pt>
                <c:pt idx="1243">
                  <c:v>5.0068101700162193E-6</c:v>
                </c:pt>
                <c:pt idx="1244">
                  <c:v>1.5252825141942608E-4</c:v>
                </c:pt>
                <c:pt idx="1245">
                  <c:v>-1.2001394043181804E-4</c:v>
                </c:pt>
                <c:pt idx="1246">
                  <c:v>-6.2495477322954752E-5</c:v>
                </c:pt>
                <c:pt idx="1247">
                  <c:v>1.8498306599212802E-4</c:v>
                </c:pt>
                <c:pt idx="1248">
                  <c:v>7.0005644374759868E-5</c:v>
                </c:pt>
                <c:pt idx="1249">
                  <c:v>3.7491325201699551E-5</c:v>
                </c:pt>
                <c:pt idx="1250">
                  <c:v>4.7504850954283252E-5</c:v>
                </c:pt>
                <c:pt idx="1251">
                  <c:v>5.0747393106576044E-4</c:v>
                </c:pt>
                <c:pt idx="1252">
                  <c:v>3.1250715983333099E-4</c:v>
                </c:pt>
                <c:pt idx="1253">
                  <c:v>-2.6747585070552277E-4</c:v>
                </c:pt>
                <c:pt idx="1254">
                  <c:v>-2.0751358533743769E-4</c:v>
                </c:pt>
                <c:pt idx="1255">
                  <c:v>-1.2496114140958533E-4</c:v>
                </c:pt>
                <c:pt idx="1256">
                  <c:v>2.8496979211922746E-4</c:v>
                </c:pt>
                <c:pt idx="1257">
                  <c:v>-1.2000203123534461E-3</c:v>
                </c:pt>
                <c:pt idx="1258">
                  <c:v>-9.3749161896994478E-4</c:v>
                </c:pt>
                <c:pt idx="1259">
                  <c:v>4.7504892791039277E-5</c:v>
                </c:pt>
                <c:pt idx="1260">
                  <c:v>-4.2498108086874871E-5</c:v>
                </c:pt>
                <c:pt idx="1261">
                  <c:v>4.9498671614855885E-4</c:v>
                </c:pt>
                <c:pt idx="1262">
                  <c:v>1.4799833297729499E-3</c:v>
                </c:pt>
                <c:pt idx="1263">
                  <c:v>8.2501772340037817E-4</c:v>
                </c:pt>
                <c:pt idx="1264">
                  <c:v>3.749128336494331E-5</c:v>
                </c:pt>
                <c:pt idx="1265">
                  <c:v>1.2254716784809724E-4</c:v>
                </c:pt>
                <c:pt idx="1266">
                  <c:v>7.7456268627428988E-5</c:v>
                </c:pt>
                <c:pt idx="1267">
                  <c:v>5.0068101700162193E-6</c:v>
                </c:pt>
                <c:pt idx="1268">
                  <c:v>1.5252825141942608E-4</c:v>
                </c:pt>
                <c:pt idx="1269">
                  <c:v>-1.2001394043181804E-4</c:v>
                </c:pt>
                <c:pt idx="1270">
                  <c:v>-6.2495477322954752E-5</c:v>
                </c:pt>
                <c:pt idx="1271">
                  <c:v>1.8498306599212802E-4</c:v>
                </c:pt>
                <c:pt idx="1272">
                  <c:v>7.0005644374759868E-5</c:v>
                </c:pt>
                <c:pt idx="1273">
                  <c:v>3.7491325201699551E-5</c:v>
                </c:pt>
                <c:pt idx="1274">
                  <c:v>-1.99973594135372E-4</c:v>
                </c:pt>
                <c:pt idx="1275">
                  <c:v>5.0747393106576044E-4</c:v>
                </c:pt>
                <c:pt idx="1276">
                  <c:v>3.1250715983333099E-4</c:v>
                </c:pt>
                <c:pt idx="1277">
                  <c:v>-2.6747585070552277E-4</c:v>
                </c:pt>
                <c:pt idx="1278">
                  <c:v>-2.0751358533743769E-4</c:v>
                </c:pt>
                <c:pt idx="1279">
                  <c:v>-1.2496114140958533E-4</c:v>
                </c:pt>
                <c:pt idx="1280">
                  <c:v>2.8496979211922746E-4</c:v>
                </c:pt>
                <c:pt idx="1281">
                  <c:v>-1.2000203123534461E-3</c:v>
                </c:pt>
                <c:pt idx="1282">
                  <c:v>-9.3749161896994478E-4</c:v>
                </c:pt>
                <c:pt idx="1283">
                  <c:v>4.7504892791039277E-5</c:v>
                </c:pt>
                <c:pt idx="1284">
                  <c:v>-4.2498108086874871E-5</c:v>
                </c:pt>
                <c:pt idx="1285">
                  <c:v>4.9498671614855885E-4</c:v>
                </c:pt>
                <c:pt idx="1286">
                  <c:v>1.4799833297729499E-3</c:v>
                </c:pt>
                <c:pt idx="1287">
                  <c:v>8.2501772340037817E-4</c:v>
                </c:pt>
                <c:pt idx="1288">
                  <c:v>3.749128336494331E-5</c:v>
                </c:pt>
                <c:pt idx="1289">
                  <c:v>1.2254716784809724E-4</c:v>
                </c:pt>
                <c:pt idx="1290">
                  <c:v>7.7456268627428988E-5</c:v>
                </c:pt>
                <c:pt idx="1291">
                  <c:v>5.0068101700162193E-6</c:v>
                </c:pt>
                <c:pt idx="1292">
                  <c:v>1.5252825141942608E-4</c:v>
                </c:pt>
                <c:pt idx="1293">
                  <c:v>-1.2001394043181804E-4</c:v>
                </c:pt>
                <c:pt idx="1294">
                  <c:v>-6.2495477322954752E-5</c:v>
                </c:pt>
                <c:pt idx="1295">
                  <c:v>1.8498306599212802E-4</c:v>
                </c:pt>
                <c:pt idx="1296">
                  <c:v>7.0005644374759868E-5</c:v>
                </c:pt>
                <c:pt idx="1297">
                  <c:v>3.7491325201699551E-5</c:v>
                </c:pt>
                <c:pt idx="1298">
                  <c:v>-1.99973594135372E-4</c:v>
                </c:pt>
                <c:pt idx="1299">
                  <c:v>-3.325045508972838E-4</c:v>
                </c:pt>
                <c:pt idx="1300">
                  <c:v>3.1250715983333099E-4</c:v>
                </c:pt>
                <c:pt idx="1301">
                  <c:v>-2.6747585070552277E-4</c:v>
                </c:pt>
                <c:pt idx="1302">
                  <c:v>-2.0751358533743769E-4</c:v>
                </c:pt>
                <c:pt idx="1303">
                  <c:v>-1.2496114140958533E-4</c:v>
                </c:pt>
                <c:pt idx="1304">
                  <c:v>2.8496979211922746E-4</c:v>
                </c:pt>
                <c:pt idx="1305">
                  <c:v>-1.2000203123534461E-3</c:v>
                </c:pt>
                <c:pt idx="1306">
                  <c:v>-9.3749161896994478E-4</c:v>
                </c:pt>
                <c:pt idx="1307">
                  <c:v>4.7504892791039277E-5</c:v>
                </c:pt>
                <c:pt idx="1308">
                  <c:v>-4.2498108086874871E-5</c:v>
                </c:pt>
                <c:pt idx="1309">
                  <c:v>4.9498671614855885E-4</c:v>
                </c:pt>
                <c:pt idx="1310">
                  <c:v>1.4799833297729499E-3</c:v>
                </c:pt>
                <c:pt idx="1311">
                  <c:v>8.2501772340037817E-4</c:v>
                </c:pt>
                <c:pt idx="1312">
                  <c:v>3.749128336494331E-5</c:v>
                </c:pt>
                <c:pt idx="1313">
                  <c:v>1.2254716784809724E-4</c:v>
                </c:pt>
                <c:pt idx="1314">
                  <c:v>7.7456268627428988E-5</c:v>
                </c:pt>
                <c:pt idx="1315">
                  <c:v>5.0068101700162193E-6</c:v>
                </c:pt>
                <c:pt idx="1316">
                  <c:v>1.5252825141942608E-4</c:v>
                </c:pt>
                <c:pt idx="1317">
                  <c:v>-1.2001394043181804E-4</c:v>
                </c:pt>
                <c:pt idx="1318">
                  <c:v>-6.2495477322954752E-5</c:v>
                </c:pt>
                <c:pt idx="1319">
                  <c:v>1.8498306599212802E-4</c:v>
                </c:pt>
                <c:pt idx="1320">
                  <c:v>7.0005644374759868E-5</c:v>
                </c:pt>
                <c:pt idx="1321">
                  <c:v>3.7491325201699551E-5</c:v>
                </c:pt>
                <c:pt idx="1322">
                  <c:v>-1.99973594135372E-4</c:v>
                </c:pt>
                <c:pt idx="1323">
                  <c:v>-3.325045508972838E-4</c:v>
                </c:pt>
                <c:pt idx="1324">
                  <c:v>-1.7502904120192403E-4</c:v>
                </c:pt>
                <c:pt idx="1325">
                  <c:v>-2.6747585070552277E-4</c:v>
                </c:pt>
                <c:pt idx="1326">
                  <c:v>-2.0751358533743769E-4</c:v>
                </c:pt>
                <c:pt idx="1327">
                  <c:v>-1.2496114140958533E-4</c:v>
                </c:pt>
                <c:pt idx="1328">
                  <c:v>2.8496979211922746E-4</c:v>
                </c:pt>
                <c:pt idx="1329">
                  <c:v>-1.2000203123534461E-3</c:v>
                </c:pt>
                <c:pt idx="1330">
                  <c:v>-9.3749161896994478E-4</c:v>
                </c:pt>
                <c:pt idx="1331">
                  <c:v>4.7504892791039277E-5</c:v>
                </c:pt>
                <c:pt idx="1332">
                  <c:v>-4.2498108086874871E-5</c:v>
                </c:pt>
                <c:pt idx="1333">
                  <c:v>4.9498671614855885E-4</c:v>
                </c:pt>
                <c:pt idx="1334">
                  <c:v>1.4799833297729499E-3</c:v>
                </c:pt>
                <c:pt idx="1335">
                  <c:v>8.2501772340037817E-4</c:v>
                </c:pt>
                <c:pt idx="1336">
                  <c:v>3.749128336494331E-5</c:v>
                </c:pt>
                <c:pt idx="1337">
                  <c:v>1.2254716784809724E-4</c:v>
                </c:pt>
                <c:pt idx="1338">
                  <c:v>7.7456268627428988E-5</c:v>
                </c:pt>
                <c:pt idx="1339">
                  <c:v>5.0068101700162193E-6</c:v>
                </c:pt>
                <c:pt idx="1340">
                  <c:v>1.5252825141942608E-4</c:v>
                </c:pt>
                <c:pt idx="1341">
                  <c:v>-1.2001394043181804E-4</c:v>
                </c:pt>
                <c:pt idx="1342">
                  <c:v>-6.2495477322954752E-5</c:v>
                </c:pt>
                <c:pt idx="1343">
                  <c:v>1.8498306599212802E-4</c:v>
                </c:pt>
                <c:pt idx="1344">
                  <c:v>7.0005644374759868E-5</c:v>
                </c:pt>
                <c:pt idx="1345">
                  <c:v>3.7491325201699551E-5</c:v>
                </c:pt>
                <c:pt idx="1346">
                  <c:v>-1.99973594135372E-4</c:v>
                </c:pt>
                <c:pt idx="1347">
                  <c:v>-3.325045508972838E-4</c:v>
                </c:pt>
                <c:pt idx="1348">
                  <c:v>-1.7502904120192403E-4</c:v>
                </c:pt>
                <c:pt idx="1349">
                  <c:v>2.0000338008685511E-4</c:v>
                </c:pt>
                <c:pt idx="1350">
                  <c:v>-2.0751358533743769E-4</c:v>
                </c:pt>
                <c:pt idx="1351">
                  <c:v>-1.2496114140958533E-4</c:v>
                </c:pt>
                <c:pt idx="1352">
                  <c:v>2.8496979211922746E-4</c:v>
                </c:pt>
                <c:pt idx="1353">
                  <c:v>-1.2000203123534461E-3</c:v>
                </c:pt>
                <c:pt idx="1354">
                  <c:v>-9.3749161896994478E-4</c:v>
                </c:pt>
                <c:pt idx="1355">
                  <c:v>4.7504892791039277E-5</c:v>
                </c:pt>
                <c:pt idx="1356">
                  <c:v>-4.2498108086874871E-5</c:v>
                </c:pt>
                <c:pt idx="1357">
                  <c:v>4.9498671614855885E-4</c:v>
                </c:pt>
                <c:pt idx="1358">
                  <c:v>1.4799833297729499E-3</c:v>
                </c:pt>
                <c:pt idx="1359">
                  <c:v>8.2501772340037817E-4</c:v>
                </c:pt>
                <c:pt idx="1360">
                  <c:v>3.749128336494331E-5</c:v>
                </c:pt>
                <c:pt idx="1361">
                  <c:v>1.2254716784809724E-4</c:v>
                </c:pt>
                <c:pt idx="1362">
                  <c:v>7.7456268627428988E-5</c:v>
                </c:pt>
                <c:pt idx="1363">
                  <c:v>5.0068101700162193E-6</c:v>
                </c:pt>
                <c:pt idx="1364">
                  <c:v>1.5252825141942608E-4</c:v>
                </c:pt>
                <c:pt idx="1365">
                  <c:v>-1.2001394043181804E-4</c:v>
                </c:pt>
                <c:pt idx="1366">
                  <c:v>-6.2495477322954752E-5</c:v>
                </c:pt>
                <c:pt idx="1367">
                  <c:v>1.8498306599212802E-4</c:v>
                </c:pt>
                <c:pt idx="1368">
                  <c:v>7.0005644374759868E-5</c:v>
                </c:pt>
                <c:pt idx="1369">
                  <c:v>3.7491325201699551E-5</c:v>
                </c:pt>
                <c:pt idx="1370">
                  <c:v>-1.99973594135372E-4</c:v>
                </c:pt>
                <c:pt idx="1371">
                  <c:v>-3.325045508972838E-4</c:v>
                </c:pt>
                <c:pt idx="1372">
                  <c:v>-1.7502904120192403E-4</c:v>
                </c:pt>
                <c:pt idx="1373">
                  <c:v>2.0000338008685511E-4</c:v>
                </c:pt>
                <c:pt idx="1374">
                  <c:v>4.5502188913815189E-4</c:v>
                </c:pt>
                <c:pt idx="1375">
                  <c:v>-1.2496114140958533E-4</c:v>
                </c:pt>
                <c:pt idx="1376">
                  <c:v>2.8496979211922746E-4</c:v>
                </c:pt>
                <c:pt idx="1377">
                  <c:v>-1.2000203123534461E-3</c:v>
                </c:pt>
                <c:pt idx="1378">
                  <c:v>-9.3749161896994478E-4</c:v>
                </c:pt>
                <c:pt idx="1379">
                  <c:v>4.7504892791039277E-5</c:v>
                </c:pt>
                <c:pt idx="1380">
                  <c:v>-4.2498108086874871E-5</c:v>
                </c:pt>
                <c:pt idx="1381">
                  <c:v>4.9498671614855885E-4</c:v>
                </c:pt>
                <c:pt idx="1382">
                  <c:v>1.4799833297729499E-3</c:v>
                </c:pt>
                <c:pt idx="1383">
                  <c:v>8.2501772340037817E-4</c:v>
                </c:pt>
                <c:pt idx="1384">
                  <c:v>3.749128336494331E-5</c:v>
                </c:pt>
                <c:pt idx="1385">
                  <c:v>1.2254716784809724E-4</c:v>
                </c:pt>
                <c:pt idx="1386">
                  <c:v>7.7456268627428988E-5</c:v>
                </c:pt>
                <c:pt idx="1387">
                  <c:v>5.0068101700162193E-6</c:v>
                </c:pt>
                <c:pt idx="1388">
                  <c:v>1.5252825141942608E-4</c:v>
                </c:pt>
                <c:pt idx="1389">
                  <c:v>-1.2001394043181804E-4</c:v>
                </c:pt>
                <c:pt idx="1390">
                  <c:v>-6.2495477322954752E-5</c:v>
                </c:pt>
                <c:pt idx="1391">
                  <c:v>1.8498306599212802E-4</c:v>
                </c:pt>
                <c:pt idx="1392">
                  <c:v>7.0005644374759868E-5</c:v>
                </c:pt>
                <c:pt idx="1393">
                  <c:v>3.7491325201699551E-5</c:v>
                </c:pt>
                <c:pt idx="1394">
                  <c:v>-1.99973594135372E-4</c:v>
                </c:pt>
                <c:pt idx="1395">
                  <c:v>-3.325045508972838E-4</c:v>
                </c:pt>
                <c:pt idx="1396">
                  <c:v>-1.7502904120192403E-4</c:v>
                </c:pt>
                <c:pt idx="1397">
                  <c:v>2.0000338008685511E-4</c:v>
                </c:pt>
                <c:pt idx="1398">
                  <c:v>4.5502188913815189E-4</c:v>
                </c:pt>
                <c:pt idx="1399">
                  <c:v>-5.5015114412526275E-5</c:v>
                </c:pt>
                <c:pt idx="1400">
                  <c:v>2.8496979211922746E-4</c:v>
                </c:pt>
                <c:pt idx="1401">
                  <c:v>-1.2000203123534461E-3</c:v>
                </c:pt>
                <c:pt idx="1402">
                  <c:v>-9.3749161896994478E-4</c:v>
                </c:pt>
                <c:pt idx="1403">
                  <c:v>4.7504892791039277E-5</c:v>
                </c:pt>
                <c:pt idx="1404">
                  <c:v>-4.2498108086874871E-5</c:v>
                </c:pt>
                <c:pt idx="1405">
                  <c:v>4.9498671614855885E-4</c:v>
                </c:pt>
                <c:pt idx="1406">
                  <c:v>1.4799833297729499E-3</c:v>
                </c:pt>
                <c:pt idx="1407">
                  <c:v>8.2501772340037817E-4</c:v>
                </c:pt>
                <c:pt idx="1408">
                  <c:v>3.749128336494331E-5</c:v>
                </c:pt>
                <c:pt idx="1409">
                  <c:v>1.2254716784809724E-4</c:v>
                </c:pt>
                <c:pt idx="1410">
                  <c:v>7.7456268627428988E-5</c:v>
                </c:pt>
                <c:pt idx="1411">
                  <c:v>5.0068101700162193E-6</c:v>
                </c:pt>
                <c:pt idx="1412">
                  <c:v>1.5252825141942608E-4</c:v>
                </c:pt>
                <c:pt idx="1413">
                  <c:v>-1.2001394043181804E-4</c:v>
                </c:pt>
                <c:pt idx="1414">
                  <c:v>-6.2495477322954752E-5</c:v>
                </c:pt>
                <c:pt idx="1415">
                  <c:v>1.8498306599212802E-4</c:v>
                </c:pt>
                <c:pt idx="1416">
                  <c:v>7.0005644374759868E-5</c:v>
                </c:pt>
                <c:pt idx="1417">
                  <c:v>3.7491325201699551E-5</c:v>
                </c:pt>
                <c:pt idx="1418">
                  <c:v>-1.99973594135372E-4</c:v>
                </c:pt>
                <c:pt idx="1419">
                  <c:v>-3.325045508972838E-4</c:v>
                </c:pt>
                <c:pt idx="1420">
                  <c:v>-1.7502904120192403E-4</c:v>
                </c:pt>
                <c:pt idx="1421">
                  <c:v>2.0000338008685511E-4</c:v>
                </c:pt>
                <c:pt idx="1422">
                  <c:v>4.5502188913815189E-4</c:v>
                </c:pt>
                <c:pt idx="1423">
                  <c:v>-5.5015114412526275E-5</c:v>
                </c:pt>
                <c:pt idx="1424">
                  <c:v>2.7501580916578021E-4</c:v>
                </c:pt>
                <c:pt idx="1425">
                  <c:v>-1.2000203123534461E-3</c:v>
                </c:pt>
                <c:pt idx="1426">
                  <c:v>-9.3749161896994478E-4</c:v>
                </c:pt>
                <c:pt idx="1427">
                  <c:v>4.7504892791039277E-5</c:v>
                </c:pt>
                <c:pt idx="1428">
                  <c:v>-4.2498108086874871E-5</c:v>
                </c:pt>
                <c:pt idx="1429">
                  <c:v>4.9498671614855885E-4</c:v>
                </c:pt>
                <c:pt idx="1430">
                  <c:v>1.4799833297729499E-3</c:v>
                </c:pt>
                <c:pt idx="1431">
                  <c:v>8.2501772340037817E-4</c:v>
                </c:pt>
                <c:pt idx="1432">
                  <c:v>3.749128336494331E-5</c:v>
                </c:pt>
                <c:pt idx="1433">
                  <c:v>1.2254716784809724E-4</c:v>
                </c:pt>
                <c:pt idx="1434">
                  <c:v>7.7456268627428988E-5</c:v>
                </c:pt>
                <c:pt idx="1435">
                  <c:v>5.0068101700162193E-6</c:v>
                </c:pt>
                <c:pt idx="1436">
                  <c:v>1.5252825141942608E-4</c:v>
                </c:pt>
                <c:pt idx="1437">
                  <c:v>-1.2001394043181804E-4</c:v>
                </c:pt>
                <c:pt idx="1438">
                  <c:v>-6.2495477322954752E-5</c:v>
                </c:pt>
                <c:pt idx="1439">
                  <c:v>1.8498306599212802E-4</c:v>
                </c:pt>
                <c:pt idx="1440">
                  <c:v>7.0005644374759868E-5</c:v>
                </c:pt>
                <c:pt idx="1441">
                  <c:v>3.7491325201699551E-5</c:v>
                </c:pt>
                <c:pt idx="1442">
                  <c:v>-1.99973594135372E-4</c:v>
                </c:pt>
                <c:pt idx="1443">
                  <c:v>-3.325045508972838E-4</c:v>
                </c:pt>
                <c:pt idx="1444">
                  <c:v>-1.7502904120192403E-4</c:v>
                </c:pt>
                <c:pt idx="1445">
                  <c:v>2.0000338008685511E-4</c:v>
                </c:pt>
                <c:pt idx="1446">
                  <c:v>4.5502188913815189E-4</c:v>
                </c:pt>
                <c:pt idx="1447">
                  <c:v>-5.5015114412526275E-5</c:v>
                </c:pt>
                <c:pt idx="1448">
                  <c:v>2.7501580916578021E-4</c:v>
                </c:pt>
                <c:pt idx="1449">
                  <c:v>1.0175108618568638E-3</c:v>
                </c:pt>
                <c:pt idx="1450">
                  <c:v>-9.3749161896994478E-4</c:v>
                </c:pt>
                <c:pt idx="1451">
                  <c:v>4.7504892791039277E-5</c:v>
                </c:pt>
                <c:pt idx="1452">
                  <c:v>-4.2498108086874871E-5</c:v>
                </c:pt>
                <c:pt idx="1453">
                  <c:v>4.9498671614855885E-4</c:v>
                </c:pt>
                <c:pt idx="1454">
                  <c:v>1.4799833297729499E-3</c:v>
                </c:pt>
                <c:pt idx="1455">
                  <c:v>8.2501772340037817E-4</c:v>
                </c:pt>
                <c:pt idx="1456">
                  <c:v>3.749128336494331E-5</c:v>
                </c:pt>
                <c:pt idx="1457">
                  <c:v>1.2254716784809724E-4</c:v>
                </c:pt>
                <c:pt idx="1458">
                  <c:v>7.7456268627428988E-5</c:v>
                </c:pt>
                <c:pt idx="1459">
                  <c:v>5.0068101700162193E-6</c:v>
                </c:pt>
                <c:pt idx="1460">
                  <c:v>1.5252825141942608E-4</c:v>
                </c:pt>
                <c:pt idx="1461">
                  <c:v>-1.2001394043181804E-4</c:v>
                </c:pt>
                <c:pt idx="1462">
                  <c:v>-6.2495477322954752E-5</c:v>
                </c:pt>
                <c:pt idx="1463">
                  <c:v>1.8498306599212802E-4</c:v>
                </c:pt>
                <c:pt idx="1464">
                  <c:v>7.0005644374759868E-5</c:v>
                </c:pt>
                <c:pt idx="1465">
                  <c:v>3.7491325201699551E-5</c:v>
                </c:pt>
                <c:pt idx="1466">
                  <c:v>-1.99973594135372E-4</c:v>
                </c:pt>
                <c:pt idx="1467">
                  <c:v>-3.325045508972838E-4</c:v>
                </c:pt>
                <c:pt idx="1468">
                  <c:v>-1.7502904120192403E-4</c:v>
                </c:pt>
                <c:pt idx="1469">
                  <c:v>2.0000338008685511E-4</c:v>
                </c:pt>
                <c:pt idx="1470">
                  <c:v>4.5502188913815189E-4</c:v>
                </c:pt>
                <c:pt idx="1471">
                  <c:v>-5.5015114412526275E-5</c:v>
                </c:pt>
                <c:pt idx="1472">
                  <c:v>2.7501580916578021E-4</c:v>
                </c:pt>
                <c:pt idx="1473">
                  <c:v>1.0175108618568638E-3</c:v>
                </c:pt>
                <c:pt idx="1474">
                  <c:v>1.0499656491447242E-3</c:v>
                </c:pt>
                <c:pt idx="1475">
                  <c:v>4.7504892791039277E-5</c:v>
                </c:pt>
                <c:pt idx="1476">
                  <c:v>-4.2498108086874871E-5</c:v>
                </c:pt>
                <c:pt idx="1477">
                  <c:v>4.9498671614855885E-4</c:v>
                </c:pt>
                <c:pt idx="1478">
                  <c:v>1.4799833297729499E-3</c:v>
                </c:pt>
                <c:pt idx="1479">
                  <c:v>8.2501772340037817E-4</c:v>
                </c:pt>
                <c:pt idx="1480">
                  <c:v>3.749128336494331E-5</c:v>
                </c:pt>
                <c:pt idx="1481">
                  <c:v>1.2254716784809724E-4</c:v>
                </c:pt>
                <c:pt idx="1482">
                  <c:v>7.7456268627428988E-5</c:v>
                </c:pt>
                <c:pt idx="1483">
                  <c:v>5.0068101700162193E-6</c:v>
                </c:pt>
                <c:pt idx="1484">
                  <c:v>1.5252825141942608E-4</c:v>
                </c:pt>
                <c:pt idx="1485">
                  <c:v>-1.2001394043181804E-4</c:v>
                </c:pt>
                <c:pt idx="1486">
                  <c:v>-6.2495477322954752E-5</c:v>
                </c:pt>
                <c:pt idx="1487">
                  <c:v>1.8498306599212802E-4</c:v>
                </c:pt>
                <c:pt idx="1488">
                  <c:v>7.0005644374759868E-5</c:v>
                </c:pt>
                <c:pt idx="1489">
                  <c:v>3.7491325201699551E-5</c:v>
                </c:pt>
                <c:pt idx="1490">
                  <c:v>-1.99973594135372E-4</c:v>
                </c:pt>
                <c:pt idx="1491">
                  <c:v>-3.325045508972838E-4</c:v>
                </c:pt>
                <c:pt idx="1492">
                  <c:v>-1.7502904120192403E-4</c:v>
                </c:pt>
                <c:pt idx="1493">
                  <c:v>2.0000338008685511E-4</c:v>
                </c:pt>
                <c:pt idx="1494">
                  <c:v>4.5502188913815189E-4</c:v>
                </c:pt>
                <c:pt idx="1495">
                  <c:v>-5.5015114412526275E-5</c:v>
                </c:pt>
                <c:pt idx="1496">
                  <c:v>2.7501580916578021E-4</c:v>
                </c:pt>
                <c:pt idx="1497">
                  <c:v>1.0175108618568638E-3</c:v>
                </c:pt>
                <c:pt idx="1498">
                  <c:v>1.0499656491447242E-3</c:v>
                </c:pt>
                <c:pt idx="1499">
                  <c:v>2.5004148483276259E-5</c:v>
                </c:pt>
                <c:pt idx="1500">
                  <c:v>-4.2498108086874871E-5</c:v>
                </c:pt>
                <c:pt idx="1501">
                  <c:v>4.9498671614855885E-4</c:v>
                </c:pt>
                <c:pt idx="1502">
                  <c:v>1.4799833297729499E-3</c:v>
                </c:pt>
                <c:pt idx="1503">
                  <c:v>8.2501772340037817E-4</c:v>
                </c:pt>
                <c:pt idx="1504">
                  <c:v>3.749128336494331E-5</c:v>
                </c:pt>
                <c:pt idx="1505">
                  <c:v>1.2254716784809724E-4</c:v>
                </c:pt>
                <c:pt idx="1506">
                  <c:v>7.7456268627428988E-5</c:v>
                </c:pt>
                <c:pt idx="1507">
                  <c:v>5.0068101700162193E-6</c:v>
                </c:pt>
                <c:pt idx="1508">
                  <c:v>1.5252825141942608E-4</c:v>
                </c:pt>
                <c:pt idx="1509">
                  <c:v>-1.2001394043181804E-4</c:v>
                </c:pt>
                <c:pt idx="1510">
                  <c:v>-6.2495477322954752E-5</c:v>
                </c:pt>
                <c:pt idx="1511">
                  <c:v>1.8498306599212802E-4</c:v>
                </c:pt>
                <c:pt idx="1512">
                  <c:v>7.0005644374759868E-5</c:v>
                </c:pt>
                <c:pt idx="1513">
                  <c:v>3.7491325201699551E-5</c:v>
                </c:pt>
                <c:pt idx="1514">
                  <c:v>-1.99973594135372E-4</c:v>
                </c:pt>
                <c:pt idx="1515">
                  <c:v>-3.325045508972838E-4</c:v>
                </c:pt>
                <c:pt idx="1516">
                  <c:v>-1.7502904120192403E-4</c:v>
                </c:pt>
                <c:pt idx="1517">
                  <c:v>2.0000338008685511E-4</c:v>
                </c:pt>
                <c:pt idx="1518">
                  <c:v>4.5502188913815189E-4</c:v>
                </c:pt>
                <c:pt idx="1519">
                  <c:v>-5.5015114412526275E-5</c:v>
                </c:pt>
                <c:pt idx="1520">
                  <c:v>2.7501580916578021E-4</c:v>
                </c:pt>
                <c:pt idx="1521">
                  <c:v>1.0175108618568638E-3</c:v>
                </c:pt>
                <c:pt idx="1522">
                  <c:v>1.0499656491447242E-3</c:v>
                </c:pt>
                <c:pt idx="1523">
                  <c:v>2.5004148483276259E-5</c:v>
                </c:pt>
                <c:pt idx="1524">
                  <c:v>-5.2481911552604261E-5</c:v>
                </c:pt>
                <c:pt idx="1525">
                  <c:v>4.9498671614855885E-4</c:v>
                </c:pt>
                <c:pt idx="1526">
                  <c:v>1.4799833297729499E-3</c:v>
                </c:pt>
                <c:pt idx="1527">
                  <c:v>8.2501772340037817E-4</c:v>
                </c:pt>
                <c:pt idx="1528">
                  <c:v>3.749128336494331E-5</c:v>
                </c:pt>
                <c:pt idx="1529">
                  <c:v>1.2254716784809724E-4</c:v>
                </c:pt>
                <c:pt idx="1530">
                  <c:v>7.7456268627428988E-5</c:v>
                </c:pt>
                <c:pt idx="1531">
                  <c:v>5.0068101700162193E-6</c:v>
                </c:pt>
                <c:pt idx="1532">
                  <c:v>1.5252825141942608E-4</c:v>
                </c:pt>
                <c:pt idx="1533">
                  <c:v>-1.2001394043181804E-4</c:v>
                </c:pt>
                <c:pt idx="1534">
                  <c:v>-6.2495477322954752E-5</c:v>
                </c:pt>
                <c:pt idx="1535">
                  <c:v>1.8498306599212802E-4</c:v>
                </c:pt>
                <c:pt idx="1536">
                  <c:v>7.0005644374759868E-5</c:v>
                </c:pt>
                <c:pt idx="1537">
                  <c:v>3.7491325201699551E-5</c:v>
                </c:pt>
                <c:pt idx="1538">
                  <c:v>-1.99973594135372E-4</c:v>
                </c:pt>
                <c:pt idx="1539">
                  <c:v>-3.325045508972838E-4</c:v>
                </c:pt>
                <c:pt idx="1540">
                  <c:v>-1.7502904120192403E-4</c:v>
                </c:pt>
                <c:pt idx="1541">
                  <c:v>2.0000338008685511E-4</c:v>
                </c:pt>
                <c:pt idx="1542">
                  <c:v>4.5502188913815189E-4</c:v>
                </c:pt>
                <c:pt idx="1543">
                  <c:v>-5.5015114412526275E-5</c:v>
                </c:pt>
                <c:pt idx="1544">
                  <c:v>2.7501580916578021E-4</c:v>
                </c:pt>
                <c:pt idx="1545">
                  <c:v>1.0175108618568638E-3</c:v>
                </c:pt>
                <c:pt idx="1546">
                  <c:v>1.0499656491447242E-3</c:v>
                </c:pt>
                <c:pt idx="1547">
                  <c:v>2.5004148483276259E-5</c:v>
                </c:pt>
                <c:pt idx="1548">
                  <c:v>-5.2481911552604261E-5</c:v>
                </c:pt>
                <c:pt idx="1549">
                  <c:v>5.6251879595947739E-4</c:v>
                </c:pt>
                <c:pt idx="1550">
                  <c:v>1.4799833297729499E-3</c:v>
                </c:pt>
                <c:pt idx="1551">
                  <c:v>8.2501772340037817E-4</c:v>
                </c:pt>
                <c:pt idx="1552">
                  <c:v>3.749128336494331E-5</c:v>
                </c:pt>
                <c:pt idx="1553">
                  <c:v>1.2254716784809724E-4</c:v>
                </c:pt>
                <c:pt idx="1554">
                  <c:v>7.7456268627428988E-5</c:v>
                </c:pt>
                <c:pt idx="1555">
                  <c:v>5.0068101700162193E-6</c:v>
                </c:pt>
                <c:pt idx="1556">
                  <c:v>1.5252825141942608E-4</c:v>
                </c:pt>
                <c:pt idx="1557">
                  <c:v>-1.2001394043181804E-4</c:v>
                </c:pt>
                <c:pt idx="1558">
                  <c:v>-6.2495477322954752E-5</c:v>
                </c:pt>
                <c:pt idx="1559">
                  <c:v>1.8498306599212802E-4</c:v>
                </c:pt>
                <c:pt idx="1560">
                  <c:v>7.0005644374759868E-5</c:v>
                </c:pt>
                <c:pt idx="1561">
                  <c:v>3.7491325201699551E-5</c:v>
                </c:pt>
                <c:pt idx="1562">
                  <c:v>-1.99973594135372E-4</c:v>
                </c:pt>
                <c:pt idx="1563">
                  <c:v>-3.325045508972838E-4</c:v>
                </c:pt>
                <c:pt idx="1564">
                  <c:v>-1.7502904120192403E-4</c:v>
                </c:pt>
                <c:pt idx="1565">
                  <c:v>2.0000338008685511E-4</c:v>
                </c:pt>
                <c:pt idx="1566">
                  <c:v>4.5502188913815189E-4</c:v>
                </c:pt>
                <c:pt idx="1567">
                  <c:v>-5.5015114412526275E-5</c:v>
                </c:pt>
                <c:pt idx="1568">
                  <c:v>2.7501580916578021E-4</c:v>
                </c:pt>
                <c:pt idx="1569">
                  <c:v>1.0175108618568638E-3</c:v>
                </c:pt>
                <c:pt idx="1570">
                  <c:v>1.0499656491447242E-3</c:v>
                </c:pt>
                <c:pt idx="1571">
                  <c:v>2.5004148483276259E-5</c:v>
                </c:pt>
                <c:pt idx="1572">
                  <c:v>-5.2481911552604261E-5</c:v>
                </c:pt>
                <c:pt idx="1573">
                  <c:v>5.6251879595947739E-4</c:v>
                </c:pt>
                <c:pt idx="1574">
                  <c:v>1.4174878015182925E-3</c:v>
                </c:pt>
                <c:pt idx="1575">
                  <c:v>8.2501772340037817E-4</c:v>
                </c:pt>
                <c:pt idx="1576">
                  <c:v>3.749128336494331E-5</c:v>
                </c:pt>
                <c:pt idx="1577">
                  <c:v>1.2254716784809724E-4</c:v>
                </c:pt>
                <c:pt idx="1578">
                  <c:v>7.7456268627428988E-5</c:v>
                </c:pt>
                <c:pt idx="1579">
                  <c:v>5.0068101700162193E-6</c:v>
                </c:pt>
                <c:pt idx="1580">
                  <c:v>1.5252825141942608E-4</c:v>
                </c:pt>
                <c:pt idx="1581">
                  <c:v>-1.2001394043181804E-4</c:v>
                </c:pt>
                <c:pt idx="1582">
                  <c:v>-6.2495477322954752E-5</c:v>
                </c:pt>
                <c:pt idx="1583">
                  <c:v>1.8498306599212802E-4</c:v>
                </c:pt>
                <c:pt idx="1584">
                  <c:v>7.0005644374759868E-5</c:v>
                </c:pt>
                <c:pt idx="1585">
                  <c:v>3.7491325201699551E-5</c:v>
                </c:pt>
                <c:pt idx="1586">
                  <c:v>-1.99973594135372E-4</c:v>
                </c:pt>
                <c:pt idx="1587">
                  <c:v>-3.325045508972838E-4</c:v>
                </c:pt>
                <c:pt idx="1588">
                  <c:v>-1.7502904120192403E-4</c:v>
                </c:pt>
                <c:pt idx="1589">
                  <c:v>2.0000338008685511E-4</c:v>
                </c:pt>
                <c:pt idx="1590">
                  <c:v>4.5502188913815189E-4</c:v>
                </c:pt>
                <c:pt idx="1591">
                  <c:v>-5.5015114412526275E-5</c:v>
                </c:pt>
                <c:pt idx="1592">
                  <c:v>2.7501580916578021E-4</c:v>
                </c:pt>
                <c:pt idx="1593">
                  <c:v>1.0175108618568638E-3</c:v>
                </c:pt>
                <c:pt idx="1594">
                  <c:v>1.0499656491447242E-3</c:v>
                </c:pt>
                <c:pt idx="1595">
                  <c:v>2.5004148483276259E-5</c:v>
                </c:pt>
                <c:pt idx="1596">
                  <c:v>-5.2481911552604261E-5</c:v>
                </c:pt>
                <c:pt idx="1597">
                  <c:v>5.6251879595947739E-4</c:v>
                </c:pt>
                <c:pt idx="1598">
                  <c:v>1.4174878015182925E-3</c:v>
                </c:pt>
                <c:pt idx="1599">
                  <c:v>7.224977453006438E-4</c:v>
                </c:pt>
                <c:pt idx="1600">
                  <c:v>3.749128336494331E-5</c:v>
                </c:pt>
                <c:pt idx="1601">
                  <c:v>1.2254716784809724E-4</c:v>
                </c:pt>
                <c:pt idx="1602">
                  <c:v>7.7456268627428988E-5</c:v>
                </c:pt>
                <c:pt idx="1603">
                  <c:v>5.0068101700162193E-6</c:v>
                </c:pt>
                <c:pt idx="1604">
                  <c:v>1.5252825141942608E-4</c:v>
                </c:pt>
                <c:pt idx="1605">
                  <c:v>-1.2001394043181804E-4</c:v>
                </c:pt>
                <c:pt idx="1606">
                  <c:v>-6.2495477322954752E-5</c:v>
                </c:pt>
                <c:pt idx="1607">
                  <c:v>1.8498306599212802E-4</c:v>
                </c:pt>
                <c:pt idx="1608">
                  <c:v>7.0005644374759868E-5</c:v>
                </c:pt>
                <c:pt idx="1609">
                  <c:v>3.7491325201699551E-5</c:v>
                </c:pt>
                <c:pt idx="1610">
                  <c:v>-1.99973594135372E-4</c:v>
                </c:pt>
                <c:pt idx="1611">
                  <c:v>-3.325045508972838E-4</c:v>
                </c:pt>
                <c:pt idx="1612">
                  <c:v>-1.7502904120192403E-4</c:v>
                </c:pt>
                <c:pt idx="1613">
                  <c:v>2.0000338008685511E-4</c:v>
                </c:pt>
                <c:pt idx="1614">
                  <c:v>4.5502188913815189E-4</c:v>
                </c:pt>
                <c:pt idx="1615">
                  <c:v>-5.5015114412526275E-5</c:v>
                </c:pt>
                <c:pt idx="1616">
                  <c:v>2.7501580916578021E-4</c:v>
                </c:pt>
                <c:pt idx="1617">
                  <c:v>1.0175108618568638E-3</c:v>
                </c:pt>
                <c:pt idx="1618">
                  <c:v>1.0499656491447242E-3</c:v>
                </c:pt>
                <c:pt idx="1619">
                  <c:v>2.5004148483276259E-5</c:v>
                </c:pt>
                <c:pt idx="1620">
                  <c:v>-5.2481911552604261E-5</c:v>
                </c:pt>
                <c:pt idx="1621">
                  <c:v>5.6251879595947739E-4</c:v>
                </c:pt>
                <c:pt idx="1622">
                  <c:v>1.4174878015182925E-3</c:v>
                </c:pt>
                <c:pt idx="1623">
                  <c:v>4.6250223385868572E-4</c:v>
                </c:pt>
                <c:pt idx="1624">
                  <c:v>7.224977453006438E-4</c:v>
                </c:pt>
                <c:pt idx="1625">
                  <c:v>1.2254716784809724E-4</c:v>
                </c:pt>
                <c:pt idx="1626">
                  <c:v>7.7456268627428988E-5</c:v>
                </c:pt>
                <c:pt idx="1627">
                  <c:v>5.0068101700162193E-6</c:v>
                </c:pt>
                <c:pt idx="1628">
                  <c:v>1.5252825141942608E-4</c:v>
                </c:pt>
                <c:pt idx="1629">
                  <c:v>-1.2001394043181804E-4</c:v>
                </c:pt>
                <c:pt idx="1630">
                  <c:v>-6.2495477322954752E-5</c:v>
                </c:pt>
                <c:pt idx="1631">
                  <c:v>1.8498306599212802E-4</c:v>
                </c:pt>
                <c:pt idx="1632">
                  <c:v>7.0005644374759868E-5</c:v>
                </c:pt>
                <c:pt idx="1633">
                  <c:v>3.7491325201699551E-5</c:v>
                </c:pt>
                <c:pt idx="1634">
                  <c:v>-1.99973594135372E-4</c:v>
                </c:pt>
                <c:pt idx="1635">
                  <c:v>-3.325045508972838E-4</c:v>
                </c:pt>
                <c:pt idx="1636">
                  <c:v>-1.7502904120192403E-4</c:v>
                </c:pt>
                <c:pt idx="1637">
                  <c:v>2.0000338008685511E-4</c:v>
                </c:pt>
                <c:pt idx="1638">
                  <c:v>4.5502188913815189E-4</c:v>
                </c:pt>
                <c:pt idx="1639">
                  <c:v>-5.5015114412526275E-5</c:v>
                </c:pt>
                <c:pt idx="1640">
                  <c:v>2.7501580916578021E-4</c:v>
                </c:pt>
                <c:pt idx="1641">
                  <c:v>1.0175108618568638E-3</c:v>
                </c:pt>
                <c:pt idx="1642">
                  <c:v>1.0499656491447242E-3</c:v>
                </c:pt>
                <c:pt idx="1643">
                  <c:v>2.5004148483276259E-5</c:v>
                </c:pt>
                <c:pt idx="1644">
                  <c:v>-5.2481911552604261E-5</c:v>
                </c:pt>
                <c:pt idx="1645">
                  <c:v>5.6251879595947739E-4</c:v>
                </c:pt>
                <c:pt idx="1646">
                  <c:v>1.4174878015182925E-3</c:v>
                </c:pt>
                <c:pt idx="1647">
                  <c:v>4.6250223385868572E-4</c:v>
                </c:pt>
                <c:pt idx="1648">
                  <c:v>1.7249581105716039E-4</c:v>
                </c:pt>
                <c:pt idx="1649">
                  <c:v>7.224977453006438E-4</c:v>
                </c:pt>
                <c:pt idx="1650">
                  <c:v>7.7456268627428988E-5</c:v>
                </c:pt>
                <c:pt idx="1651">
                  <c:v>5.0068101700162193E-6</c:v>
                </c:pt>
                <c:pt idx="1652">
                  <c:v>1.5252825141942608E-4</c:v>
                </c:pt>
                <c:pt idx="1653">
                  <c:v>-1.2001394043181804E-4</c:v>
                </c:pt>
                <c:pt idx="1654">
                  <c:v>-6.2495477322954752E-5</c:v>
                </c:pt>
                <c:pt idx="1655">
                  <c:v>1.8498306599212802E-4</c:v>
                </c:pt>
                <c:pt idx="1656">
                  <c:v>7.0005644374759868E-5</c:v>
                </c:pt>
                <c:pt idx="1657">
                  <c:v>3.7491325201699551E-5</c:v>
                </c:pt>
                <c:pt idx="1658">
                  <c:v>-1.99973594135372E-4</c:v>
                </c:pt>
                <c:pt idx="1659">
                  <c:v>-3.325045508972838E-4</c:v>
                </c:pt>
                <c:pt idx="1660">
                  <c:v>-1.7502904120192403E-4</c:v>
                </c:pt>
                <c:pt idx="1661">
                  <c:v>2.0000338008685511E-4</c:v>
                </c:pt>
                <c:pt idx="1662">
                  <c:v>4.5502188913815189E-4</c:v>
                </c:pt>
                <c:pt idx="1663">
                  <c:v>-5.5015114412526275E-5</c:v>
                </c:pt>
                <c:pt idx="1664">
                  <c:v>2.7501580916578021E-4</c:v>
                </c:pt>
                <c:pt idx="1665">
                  <c:v>1.0175108618568638E-3</c:v>
                </c:pt>
                <c:pt idx="1666">
                  <c:v>1.0499656491447242E-3</c:v>
                </c:pt>
                <c:pt idx="1667">
                  <c:v>2.5004148483276259E-5</c:v>
                </c:pt>
                <c:pt idx="1668">
                  <c:v>-5.2481911552604261E-5</c:v>
                </c:pt>
                <c:pt idx="1669">
                  <c:v>5.6251879595947739E-4</c:v>
                </c:pt>
                <c:pt idx="1670">
                  <c:v>1.4174878015182925E-3</c:v>
                </c:pt>
                <c:pt idx="1671">
                  <c:v>4.6250223385868572E-4</c:v>
                </c:pt>
                <c:pt idx="1672">
                  <c:v>1.7249581105716039E-4</c:v>
                </c:pt>
                <c:pt idx="1673">
                  <c:v>-1.975297745957505E-4</c:v>
                </c:pt>
                <c:pt idx="1674">
                  <c:v>7.224977453006438E-4</c:v>
                </c:pt>
                <c:pt idx="1675">
                  <c:v>5.0068101700162193E-6</c:v>
                </c:pt>
                <c:pt idx="1676">
                  <c:v>1.5252825141942608E-4</c:v>
                </c:pt>
                <c:pt idx="1677">
                  <c:v>-1.2001394043181804E-4</c:v>
                </c:pt>
                <c:pt idx="1678">
                  <c:v>-6.2495477322954752E-5</c:v>
                </c:pt>
                <c:pt idx="1679">
                  <c:v>1.8498306599212802E-4</c:v>
                </c:pt>
                <c:pt idx="1680">
                  <c:v>7.0005644374759868E-5</c:v>
                </c:pt>
                <c:pt idx="1681">
                  <c:v>3.7491325201699551E-5</c:v>
                </c:pt>
                <c:pt idx="1682">
                  <c:v>-1.99973594135372E-4</c:v>
                </c:pt>
                <c:pt idx="1683">
                  <c:v>-3.325045508972838E-4</c:v>
                </c:pt>
                <c:pt idx="1684">
                  <c:v>-1.7502904120192403E-4</c:v>
                </c:pt>
                <c:pt idx="1685">
                  <c:v>2.0000338008685511E-4</c:v>
                </c:pt>
                <c:pt idx="1686">
                  <c:v>4.5502188913815189E-4</c:v>
                </c:pt>
                <c:pt idx="1687">
                  <c:v>-5.5015114412526275E-5</c:v>
                </c:pt>
                <c:pt idx="1688">
                  <c:v>2.7501580916578021E-4</c:v>
                </c:pt>
                <c:pt idx="1689">
                  <c:v>1.0175108618568638E-3</c:v>
                </c:pt>
                <c:pt idx="1690">
                  <c:v>1.0499656491447242E-3</c:v>
                </c:pt>
                <c:pt idx="1691">
                  <c:v>2.5004148483276259E-5</c:v>
                </c:pt>
                <c:pt idx="1692">
                  <c:v>-5.2481911552604261E-5</c:v>
                </c:pt>
                <c:pt idx="1693">
                  <c:v>5.6251879595947739E-4</c:v>
                </c:pt>
                <c:pt idx="1694">
                  <c:v>1.4174878015182925E-3</c:v>
                </c:pt>
                <c:pt idx="1695">
                  <c:v>4.6250223385868572E-4</c:v>
                </c:pt>
                <c:pt idx="1696">
                  <c:v>1.7249581105716039E-4</c:v>
                </c:pt>
                <c:pt idx="1697">
                  <c:v>-1.975297745957505E-4</c:v>
                </c:pt>
                <c:pt idx="1698">
                  <c:v>-2.5248530619137449E-4</c:v>
                </c:pt>
                <c:pt idx="1699">
                  <c:v>7.224977453006438E-4</c:v>
                </c:pt>
                <c:pt idx="1700">
                  <c:v>1.5252825141942608E-4</c:v>
                </c:pt>
                <c:pt idx="1701">
                  <c:v>-1.2001394043181804E-4</c:v>
                </c:pt>
                <c:pt idx="1702">
                  <c:v>-6.2495477322954752E-5</c:v>
                </c:pt>
                <c:pt idx="1703">
                  <c:v>1.8498306599212802E-4</c:v>
                </c:pt>
                <c:pt idx="1704">
                  <c:v>7.0005644374759868E-5</c:v>
                </c:pt>
                <c:pt idx="1705">
                  <c:v>3.7491325201699551E-5</c:v>
                </c:pt>
                <c:pt idx="1706">
                  <c:v>-1.99973594135372E-4</c:v>
                </c:pt>
                <c:pt idx="1707">
                  <c:v>-3.325045508972838E-4</c:v>
                </c:pt>
                <c:pt idx="1708">
                  <c:v>-1.7502904120192403E-4</c:v>
                </c:pt>
                <c:pt idx="1709">
                  <c:v>2.0000338008685511E-4</c:v>
                </c:pt>
                <c:pt idx="1710">
                  <c:v>4.5502188913815189E-4</c:v>
                </c:pt>
                <c:pt idx="1711">
                  <c:v>-5.5015114412526275E-5</c:v>
                </c:pt>
                <c:pt idx="1712">
                  <c:v>2.7501580916578021E-4</c:v>
                </c:pt>
                <c:pt idx="1713">
                  <c:v>1.0175108618568638E-3</c:v>
                </c:pt>
                <c:pt idx="1714">
                  <c:v>1.0499656491447242E-3</c:v>
                </c:pt>
                <c:pt idx="1715">
                  <c:v>2.5004148483276259E-5</c:v>
                </c:pt>
                <c:pt idx="1716">
                  <c:v>-5.2481911552604261E-5</c:v>
                </c:pt>
                <c:pt idx="1717">
                  <c:v>5.6251879595947739E-4</c:v>
                </c:pt>
                <c:pt idx="1718">
                  <c:v>1.4174878015182925E-3</c:v>
                </c:pt>
                <c:pt idx="1719">
                  <c:v>4.6250223385868572E-4</c:v>
                </c:pt>
                <c:pt idx="1720">
                  <c:v>1.7249581105716039E-4</c:v>
                </c:pt>
                <c:pt idx="1721">
                  <c:v>-1.975297745957505E-4</c:v>
                </c:pt>
                <c:pt idx="1722">
                  <c:v>-2.5248530619137449E-4</c:v>
                </c:pt>
                <c:pt idx="1723">
                  <c:v>-4.1499736107652996E-4</c:v>
                </c:pt>
                <c:pt idx="1724">
                  <c:v>7.224977453006438E-4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multiLvlStrRef>
              <c:f>Run_TR!$A$2:$A$1802</c:f>
              <c:multiLvlStrCache>
                <c:ptCount val="1728"/>
                <c:lvl>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2018-07-25-20:00</c:v>
                  </c:pt>
                  <c:pt idx="18">
                    <c:v>2018-07-25-21:00</c:v>
                  </c:pt>
                  <c:pt idx="19">
                    <c:v>2018-07-25-22:00</c:v>
                  </c:pt>
                  <c:pt idx="20">
                    <c:v>2018-07-25-23:00</c:v>
                  </c:pt>
                  <c:pt idx="21">
                    <c:v>2018-07-26-00:00</c:v>
                  </c:pt>
                  <c:pt idx="22">
                    <c:v>2018-07-26-01:00</c:v>
                  </c:pt>
                  <c:pt idx="23">
                    <c:v>2018-07-26-02:00</c:v>
                  </c:pt>
                  <c:pt idx="24">
                    <c:v>2018-07-25-19:00</c:v>
                  </c:pt>
                  <c:pt idx="25">
                    <c:v>2018-07-25-03:00</c:v>
                  </c:pt>
                  <c:pt idx="26">
                    <c:v>2018-07-25-04:00</c:v>
                  </c:pt>
                  <c:pt idx="27">
                    <c:v>2018-07-25-05:00</c:v>
                  </c:pt>
                  <c:pt idx="28">
                    <c:v>2018-07-25-06:00</c:v>
                  </c:pt>
                  <c:pt idx="29">
                    <c:v>2018-07-25-07:00</c:v>
                  </c:pt>
                  <c:pt idx="30">
                    <c:v>2018-07-25-08:00</c:v>
                  </c:pt>
                  <c:pt idx="31">
                    <c:v>2018-07-25-09:00</c:v>
                  </c:pt>
                  <c:pt idx="32">
                    <c:v>2018-07-25-10:00</c:v>
                  </c:pt>
                  <c:pt idx="33">
                    <c:v>2018-07-25-11:00</c:v>
                  </c:pt>
                  <c:pt idx="34">
                    <c:v>2018-07-25-12:00</c:v>
                  </c:pt>
                  <c:pt idx="35">
                    <c:v>2018-07-25-13:00</c:v>
                  </c:pt>
                  <c:pt idx="36">
                    <c:v>2018-07-25-14:00</c:v>
                  </c:pt>
                  <c:pt idx="37">
                    <c:v>2018-07-25-15:00</c:v>
                  </c:pt>
                  <c:pt idx="38">
                    <c:v>2018-07-25-16:00</c:v>
                  </c:pt>
                  <c:pt idx="39">
                    <c:v>2018-07-25-17:00</c:v>
                  </c:pt>
                  <c:pt idx="40">
                    <c:v>2018-07-25-18:00</c:v>
                  </c:pt>
                  <c:pt idx="41">
                    <c:v>2018-07-25-20:00</c:v>
                  </c:pt>
                  <c:pt idx="42">
                    <c:v>2018-07-25-21:00</c:v>
                  </c:pt>
                  <c:pt idx="43">
                    <c:v>2018-07-25-22:00</c:v>
                  </c:pt>
                  <c:pt idx="44">
                    <c:v>2018-07-25-23:00</c:v>
                  </c:pt>
                  <c:pt idx="45">
                    <c:v>2018-07-26-00:00</c:v>
                  </c:pt>
                  <c:pt idx="46">
                    <c:v>2018-07-26-01:00</c:v>
                  </c:pt>
                  <c:pt idx="47">
                    <c:v>2018-07-26-02:00</c:v>
                  </c:pt>
                  <c:pt idx="48">
                    <c:v>2018-07-26-03:00</c:v>
                  </c:pt>
                  <c:pt idx="49">
                    <c:v>2018-07-25-19:00</c:v>
                  </c:pt>
                  <c:pt idx="50">
                    <c:v>2018-07-25-04:00</c:v>
                  </c:pt>
                  <c:pt idx="51">
                    <c:v>2018-07-25-05:00</c:v>
                  </c:pt>
                  <c:pt idx="52">
                    <c:v>2018-07-25-06:00</c:v>
                  </c:pt>
                  <c:pt idx="53">
                    <c:v>2018-07-25-07:00</c:v>
                  </c:pt>
                  <c:pt idx="54">
                    <c:v>2018-07-25-08:00</c:v>
                  </c:pt>
                  <c:pt idx="55">
                    <c:v>2018-07-25-09:00</c:v>
                  </c:pt>
                  <c:pt idx="56">
                    <c:v>2018-07-25-10:00</c:v>
                  </c:pt>
                  <c:pt idx="57">
                    <c:v>2018-07-25-11:00</c:v>
                  </c:pt>
                  <c:pt idx="58">
                    <c:v>2018-07-25-12:00</c:v>
                  </c:pt>
                  <c:pt idx="59">
                    <c:v>2018-07-25-13:00</c:v>
                  </c:pt>
                  <c:pt idx="60">
                    <c:v>2018-07-25-14:00</c:v>
                  </c:pt>
                  <c:pt idx="61">
                    <c:v>2018-07-25-15:00</c:v>
                  </c:pt>
                  <c:pt idx="62">
                    <c:v>2018-07-25-16:00</c:v>
                  </c:pt>
                  <c:pt idx="63">
                    <c:v>2018-07-25-17:00</c:v>
                  </c:pt>
                  <c:pt idx="64">
                    <c:v>2018-07-25-18:00</c:v>
                  </c:pt>
                  <c:pt idx="65">
                    <c:v>2018-07-25-20:00</c:v>
                  </c:pt>
                  <c:pt idx="66">
                    <c:v>2018-07-25-21:00</c:v>
                  </c:pt>
                  <c:pt idx="67">
                    <c:v>2018-07-25-22:00</c:v>
                  </c:pt>
                  <c:pt idx="68">
                    <c:v>2018-07-25-23:00</c:v>
                  </c:pt>
                  <c:pt idx="69">
                    <c:v>2018-07-26-00:00</c:v>
                  </c:pt>
                  <c:pt idx="70">
                    <c:v>2018-07-26-01:00</c:v>
                  </c:pt>
                  <c:pt idx="71">
                    <c:v>2018-07-26-02:00</c:v>
                  </c:pt>
                  <c:pt idx="72">
                    <c:v>2018-07-26-03:00</c:v>
                  </c:pt>
                  <c:pt idx="73">
                    <c:v>2018-07-26-04:00</c:v>
                  </c:pt>
                  <c:pt idx="74">
                    <c:v>2018-07-25-19:00</c:v>
                  </c:pt>
                  <c:pt idx="75">
                    <c:v>2018-07-25-05:00</c:v>
                  </c:pt>
                  <c:pt idx="76">
                    <c:v>2018-07-25-06:00</c:v>
                  </c:pt>
                  <c:pt idx="77">
                    <c:v>2018-07-25-07:00</c:v>
                  </c:pt>
                  <c:pt idx="78">
                    <c:v>2018-07-25-08:00</c:v>
                  </c:pt>
                  <c:pt idx="79">
                    <c:v>2018-07-25-09:00</c:v>
                  </c:pt>
                  <c:pt idx="80">
                    <c:v>2018-07-25-10:00</c:v>
                  </c:pt>
                  <c:pt idx="81">
                    <c:v>2018-07-25-11:00</c:v>
                  </c:pt>
                  <c:pt idx="82">
                    <c:v>2018-07-25-12:00</c:v>
                  </c:pt>
                  <c:pt idx="83">
                    <c:v>2018-07-25-13:00</c:v>
                  </c:pt>
                  <c:pt idx="84">
                    <c:v>2018-07-25-14:00</c:v>
                  </c:pt>
                  <c:pt idx="85">
                    <c:v>2018-07-25-15:00</c:v>
                  </c:pt>
                  <c:pt idx="86">
                    <c:v>2018-07-25-16:00</c:v>
                  </c:pt>
                  <c:pt idx="87">
                    <c:v>2018-07-25-17:00</c:v>
                  </c:pt>
                  <c:pt idx="88">
                    <c:v>2018-07-25-18:00</c:v>
                  </c:pt>
                  <c:pt idx="89">
                    <c:v>2018-07-25-20:00</c:v>
                  </c:pt>
                  <c:pt idx="90">
                    <c:v>2018-07-25-21:00</c:v>
                  </c:pt>
                  <c:pt idx="91">
                    <c:v>2018-07-25-22:00</c:v>
                  </c:pt>
                  <c:pt idx="92">
                    <c:v>2018-07-25-23:00</c:v>
                  </c:pt>
                  <c:pt idx="93">
                    <c:v>2018-07-26-00:00</c:v>
                  </c:pt>
                  <c:pt idx="94">
                    <c:v>2018-07-26-01:00</c:v>
                  </c:pt>
                  <c:pt idx="95">
                    <c:v>2018-07-26-02:00</c:v>
                  </c:pt>
                  <c:pt idx="96">
                    <c:v>2018-07-26-03:00</c:v>
                  </c:pt>
                  <c:pt idx="97">
                    <c:v>2018-07-26-04:00</c:v>
                  </c:pt>
                  <c:pt idx="98">
                    <c:v>2018-07-26-05:00</c:v>
                  </c:pt>
                  <c:pt idx="99">
                    <c:v>2018-07-25-19:00</c:v>
                  </c:pt>
                  <c:pt idx="100">
                    <c:v>2018-07-25-06:00</c:v>
                  </c:pt>
                  <c:pt idx="101">
                    <c:v>2018-07-25-07:00</c:v>
                  </c:pt>
                  <c:pt idx="102">
                    <c:v>2018-07-25-08:00</c:v>
                  </c:pt>
                  <c:pt idx="103">
                    <c:v>2018-07-25-09:00</c:v>
                  </c:pt>
                  <c:pt idx="104">
                    <c:v>2018-07-25-10:00</c:v>
                  </c:pt>
                  <c:pt idx="105">
                    <c:v>2018-07-25-11:00</c:v>
                  </c:pt>
                  <c:pt idx="106">
                    <c:v>2018-07-25-12:00</c:v>
                  </c:pt>
                  <c:pt idx="107">
                    <c:v>2018-07-25-13:00</c:v>
                  </c:pt>
                  <c:pt idx="108">
                    <c:v>2018-07-25-14:00</c:v>
                  </c:pt>
                  <c:pt idx="109">
                    <c:v>2018-07-25-15:00</c:v>
                  </c:pt>
                  <c:pt idx="110">
                    <c:v>2018-07-25-16:00</c:v>
                  </c:pt>
                  <c:pt idx="111">
                    <c:v>2018-07-25-17:00</c:v>
                  </c:pt>
                  <c:pt idx="112">
                    <c:v>2018-07-25-18:00</c:v>
                  </c:pt>
                  <c:pt idx="113">
                    <c:v>2018-07-25-20:00</c:v>
                  </c:pt>
                  <c:pt idx="114">
                    <c:v>2018-07-25-21:00</c:v>
                  </c:pt>
                  <c:pt idx="115">
                    <c:v>2018-07-25-22:00</c:v>
                  </c:pt>
                  <c:pt idx="116">
                    <c:v>2018-07-25-23:00</c:v>
                  </c:pt>
                  <c:pt idx="117">
                    <c:v>2018-07-26-00:00</c:v>
                  </c:pt>
                  <c:pt idx="118">
                    <c:v>2018-07-26-01:00</c:v>
                  </c:pt>
                  <c:pt idx="119">
                    <c:v>2018-07-26-02:00</c:v>
                  </c:pt>
                  <c:pt idx="120">
                    <c:v>2018-07-26-03:00</c:v>
                  </c:pt>
                  <c:pt idx="121">
                    <c:v>2018-07-26-04:00</c:v>
                  </c:pt>
                  <c:pt idx="122">
                    <c:v>2018-07-26-05:00</c:v>
                  </c:pt>
                  <c:pt idx="123">
                    <c:v>2018-07-26-06:00</c:v>
                  </c:pt>
                  <c:pt idx="124">
                    <c:v>2018-07-25-19:00</c:v>
                  </c:pt>
                  <c:pt idx="125">
                    <c:v>2018-07-25-07:00</c:v>
                  </c:pt>
                  <c:pt idx="126">
                    <c:v>2018-07-25-08:00</c:v>
                  </c:pt>
                  <c:pt idx="127">
                    <c:v>2018-07-25-09:00</c:v>
                  </c:pt>
                  <c:pt idx="128">
                    <c:v>2018-07-25-10:00</c:v>
                  </c:pt>
                  <c:pt idx="129">
                    <c:v>2018-07-25-11:00</c:v>
                  </c:pt>
                  <c:pt idx="130">
                    <c:v>2018-07-25-12:00</c:v>
                  </c:pt>
                  <c:pt idx="131">
                    <c:v>2018-07-25-13:00</c:v>
                  </c:pt>
                  <c:pt idx="132">
                    <c:v>2018-07-25-14:00</c:v>
                  </c:pt>
                  <c:pt idx="133">
                    <c:v>2018-07-25-15:00</c:v>
                  </c:pt>
                  <c:pt idx="134">
                    <c:v>2018-07-25-16:00</c:v>
                  </c:pt>
                  <c:pt idx="135">
                    <c:v>2018-07-25-17:00</c:v>
                  </c:pt>
                  <c:pt idx="136">
                    <c:v>2018-07-25-18:00</c:v>
                  </c:pt>
                  <c:pt idx="137">
                    <c:v>2018-07-25-20:00</c:v>
                  </c:pt>
                  <c:pt idx="138">
                    <c:v>2018-07-25-21:00</c:v>
                  </c:pt>
                  <c:pt idx="139">
                    <c:v>2018-07-25-22:00</c:v>
                  </c:pt>
                  <c:pt idx="140">
                    <c:v>2018-07-25-23:00</c:v>
                  </c:pt>
                  <c:pt idx="141">
                    <c:v>2018-07-26-00:00</c:v>
                  </c:pt>
                  <c:pt idx="142">
                    <c:v>2018-07-26-01:00</c:v>
                  </c:pt>
                  <c:pt idx="143">
                    <c:v>2018-07-26-02:00</c:v>
                  </c:pt>
                  <c:pt idx="144">
                    <c:v>2018-07-26-03:00</c:v>
                  </c:pt>
                  <c:pt idx="145">
                    <c:v>2018-07-26-04:00</c:v>
                  </c:pt>
                  <c:pt idx="146">
                    <c:v>2018-07-26-05:00</c:v>
                  </c:pt>
                  <c:pt idx="147">
                    <c:v>2018-07-26-06:00</c:v>
                  </c:pt>
                  <c:pt idx="148">
                    <c:v>2018-07-26-07:00</c:v>
                  </c:pt>
                  <c:pt idx="149">
                    <c:v>2018-07-25-19:00</c:v>
                  </c:pt>
                  <c:pt idx="150">
                    <c:v>2018-07-25-08:00</c:v>
                  </c:pt>
                  <c:pt idx="151">
                    <c:v>2018-07-25-09:00</c:v>
                  </c:pt>
                  <c:pt idx="152">
                    <c:v>2018-07-25-10:00</c:v>
                  </c:pt>
                  <c:pt idx="153">
                    <c:v>2018-07-25-11:00</c:v>
                  </c:pt>
                  <c:pt idx="154">
                    <c:v>2018-07-25-12:00</c:v>
                  </c:pt>
                  <c:pt idx="155">
                    <c:v>2018-07-25-13:00</c:v>
                  </c:pt>
                  <c:pt idx="156">
                    <c:v>2018-07-25-14:00</c:v>
                  </c:pt>
                  <c:pt idx="157">
                    <c:v>2018-07-25-15:00</c:v>
                  </c:pt>
                  <c:pt idx="158">
                    <c:v>2018-07-25-16:00</c:v>
                  </c:pt>
                  <c:pt idx="159">
                    <c:v>2018-07-25-17:00</c:v>
                  </c:pt>
                  <c:pt idx="160">
                    <c:v>2018-07-25-18:00</c:v>
                  </c:pt>
                  <c:pt idx="161">
                    <c:v>2018-07-25-20:00</c:v>
                  </c:pt>
                  <c:pt idx="162">
                    <c:v>2018-07-25-21:00</c:v>
                  </c:pt>
                  <c:pt idx="163">
                    <c:v>2018-07-25-22:00</c:v>
                  </c:pt>
                  <c:pt idx="164">
                    <c:v>2018-07-25-23:00</c:v>
                  </c:pt>
                  <c:pt idx="165">
                    <c:v>2018-07-26-00:00</c:v>
                  </c:pt>
                  <c:pt idx="166">
                    <c:v>2018-07-26-01:00</c:v>
                  </c:pt>
                  <c:pt idx="167">
                    <c:v>2018-07-26-02:00</c:v>
                  </c:pt>
                  <c:pt idx="168">
                    <c:v>2018-07-26-03:00</c:v>
                  </c:pt>
                  <c:pt idx="169">
                    <c:v>2018-07-26-04:00</c:v>
                  </c:pt>
                  <c:pt idx="170">
                    <c:v>2018-07-26-05:00</c:v>
                  </c:pt>
                  <c:pt idx="171">
                    <c:v>2018-07-26-06:00</c:v>
                  </c:pt>
                  <c:pt idx="172">
                    <c:v>2018-07-26-07:00</c:v>
                  </c:pt>
                  <c:pt idx="173">
                    <c:v>2018-07-26-08:00</c:v>
                  </c:pt>
                  <c:pt idx="174">
                    <c:v>2018-07-25-19:00</c:v>
                  </c:pt>
                  <c:pt idx="175">
                    <c:v>2018-07-25-09:00</c:v>
                  </c:pt>
                  <c:pt idx="176">
                    <c:v>2018-07-25-10:00</c:v>
                  </c:pt>
                  <c:pt idx="177">
                    <c:v>2018-07-25-11:00</c:v>
                  </c:pt>
                  <c:pt idx="178">
                    <c:v>2018-07-25-12:00</c:v>
                  </c:pt>
                  <c:pt idx="179">
                    <c:v>2018-07-25-13:00</c:v>
                  </c:pt>
                  <c:pt idx="180">
                    <c:v>2018-07-25-14:00</c:v>
                  </c:pt>
                  <c:pt idx="181">
                    <c:v>2018-07-25-15:00</c:v>
                  </c:pt>
                  <c:pt idx="182">
                    <c:v>2018-07-25-16:00</c:v>
                  </c:pt>
                  <c:pt idx="183">
                    <c:v>2018-07-25-17:00</c:v>
                  </c:pt>
                  <c:pt idx="184">
                    <c:v>2018-07-25-18:00</c:v>
                  </c:pt>
                  <c:pt idx="185">
                    <c:v>2018-07-25-20:00</c:v>
                  </c:pt>
                  <c:pt idx="186">
                    <c:v>2018-07-25-21:00</c:v>
                  </c:pt>
                  <c:pt idx="187">
                    <c:v>2018-07-25-22:00</c:v>
                  </c:pt>
                  <c:pt idx="188">
                    <c:v>2018-07-25-23:00</c:v>
                  </c:pt>
                  <c:pt idx="189">
                    <c:v>2018-07-26-00:00</c:v>
                  </c:pt>
                  <c:pt idx="190">
                    <c:v>2018-07-26-01:00</c:v>
                  </c:pt>
                  <c:pt idx="191">
                    <c:v>2018-07-26-02:00</c:v>
                  </c:pt>
                  <c:pt idx="192">
                    <c:v>2018-07-26-03:00</c:v>
                  </c:pt>
                  <c:pt idx="193">
                    <c:v>2018-07-26-04:00</c:v>
                  </c:pt>
                  <c:pt idx="194">
                    <c:v>2018-07-26-05:00</c:v>
                  </c:pt>
                  <c:pt idx="195">
                    <c:v>2018-07-26-06:00</c:v>
                  </c:pt>
                  <c:pt idx="196">
                    <c:v>2018-07-26-07:00</c:v>
                  </c:pt>
                  <c:pt idx="197">
                    <c:v>2018-07-26-08:00</c:v>
                  </c:pt>
                  <c:pt idx="198">
                    <c:v>2018-07-26-09:00</c:v>
                  </c:pt>
                  <c:pt idx="199">
                    <c:v>2018-07-25-19:00</c:v>
                  </c:pt>
                  <c:pt idx="200">
                    <c:v>2018-07-25-10:00</c:v>
                  </c:pt>
                  <c:pt idx="201">
                    <c:v>2018-07-25-11:00</c:v>
                  </c:pt>
                  <c:pt idx="202">
                    <c:v>2018-07-25-12:00</c:v>
                  </c:pt>
                  <c:pt idx="203">
                    <c:v>2018-07-25-13:00</c:v>
                  </c:pt>
                  <c:pt idx="204">
                    <c:v>2018-07-25-14:00</c:v>
                  </c:pt>
                  <c:pt idx="205">
                    <c:v>2018-07-25-15:00</c:v>
                  </c:pt>
                  <c:pt idx="206">
                    <c:v>2018-07-25-16:00</c:v>
                  </c:pt>
                  <c:pt idx="207">
                    <c:v>2018-07-25-17:00</c:v>
                  </c:pt>
                  <c:pt idx="208">
                    <c:v>2018-07-25-18:00</c:v>
                  </c:pt>
                  <c:pt idx="209">
                    <c:v>2018-07-25-20:00</c:v>
                  </c:pt>
                  <c:pt idx="210">
                    <c:v>2018-07-25-21:00</c:v>
                  </c:pt>
                  <c:pt idx="211">
                    <c:v>2018-07-25-22:00</c:v>
                  </c:pt>
                  <c:pt idx="212">
                    <c:v>2018-07-25-23:00</c:v>
                  </c:pt>
                  <c:pt idx="213">
                    <c:v>2018-07-26-00:00</c:v>
                  </c:pt>
                  <c:pt idx="214">
                    <c:v>2018-07-26-01:00</c:v>
                  </c:pt>
                  <c:pt idx="215">
                    <c:v>2018-07-26-02:00</c:v>
                  </c:pt>
                  <c:pt idx="216">
                    <c:v>2018-07-26-03:00</c:v>
                  </c:pt>
                  <c:pt idx="217">
                    <c:v>2018-07-26-04:00</c:v>
                  </c:pt>
                  <c:pt idx="218">
                    <c:v>2018-07-26-05:00</c:v>
                  </c:pt>
                  <c:pt idx="219">
                    <c:v>2018-07-26-06:00</c:v>
                  </c:pt>
                  <c:pt idx="220">
                    <c:v>2018-07-26-07:00</c:v>
                  </c:pt>
                  <c:pt idx="221">
                    <c:v>2018-07-26-08:00</c:v>
                  </c:pt>
                  <c:pt idx="222">
                    <c:v>2018-07-26-09:00</c:v>
                  </c:pt>
                  <c:pt idx="223">
                    <c:v>2018-07-26-10:00</c:v>
                  </c:pt>
                  <c:pt idx="224">
                    <c:v>2018-07-25-19:00</c:v>
                  </c:pt>
                  <c:pt idx="225">
                    <c:v>2018-07-25-11:00</c:v>
                  </c:pt>
                  <c:pt idx="226">
                    <c:v>2018-07-25-12:00</c:v>
                  </c:pt>
                  <c:pt idx="227">
                    <c:v>2018-07-25-13:00</c:v>
                  </c:pt>
                  <c:pt idx="228">
                    <c:v>2018-07-25-14:00</c:v>
                  </c:pt>
                  <c:pt idx="229">
                    <c:v>2018-07-25-15:00</c:v>
                  </c:pt>
                  <c:pt idx="230">
                    <c:v>2018-07-25-16:00</c:v>
                  </c:pt>
                  <c:pt idx="231">
                    <c:v>2018-07-25-17:00</c:v>
                  </c:pt>
                  <c:pt idx="232">
                    <c:v>2018-07-25-18:00</c:v>
                  </c:pt>
                  <c:pt idx="233">
                    <c:v>2018-07-25-20:00</c:v>
                  </c:pt>
                  <c:pt idx="234">
                    <c:v>2018-07-25-21:00</c:v>
                  </c:pt>
                  <c:pt idx="235">
                    <c:v>2018-07-25-22:00</c:v>
                  </c:pt>
                  <c:pt idx="236">
                    <c:v>2018-07-25-23:00</c:v>
                  </c:pt>
                  <c:pt idx="237">
                    <c:v>2018-07-26-00:00</c:v>
                  </c:pt>
                  <c:pt idx="238">
                    <c:v>2018-07-26-01:00</c:v>
                  </c:pt>
                  <c:pt idx="239">
                    <c:v>2018-07-26-02:00</c:v>
                  </c:pt>
                  <c:pt idx="240">
                    <c:v>2018-07-26-03:00</c:v>
                  </c:pt>
                  <c:pt idx="241">
                    <c:v>2018-07-26-04:00</c:v>
                  </c:pt>
                  <c:pt idx="242">
                    <c:v>2018-07-26-05:00</c:v>
                  </c:pt>
                  <c:pt idx="243">
                    <c:v>2018-07-26-06:00</c:v>
                  </c:pt>
                  <c:pt idx="244">
                    <c:v>2018-07-26-07:00</c:v>
                  </c:pt>
                  <c:pt idx="245">
                    <c:v>2018-07-26-08:00</c:v>
                  </c:pt>
                  <c:pt idx="246">
                    <c:v>2018-07-26-09:00</c:v>
                  </c:pt>
                  <c:pt idx="247">
                    <c:v>2018-07-26-10:00</c:v>
                  </c:pt>
                  <c:pt idx="248">
                    <c:v>2018-07-26-11:00</c:v>
                  </c:pt>
                  <c:pt idx="249">
                    <c:v>2018-07-25-19:00</c:v>
                  </c:pt>
                  <c:pt idx="250">
                    <c:v>2018-07-25-12:00</c:v>
                  </c:pt>
                  <c:pt idx="251">
                    <c:v>2018-07-25-13:00</c:v>
                  </c:pt>
                  <c:pt idx="252">
                    <c:v>2018-07-25-14:00</c:v>
                  </c:pt>
                  <c:pt idx="253">
                    <c:v>2018-07-25-15:00</c:v>
                  </c:pt>
                  <c:pt idx="254">
                    <c:v>2018-07-25-16:00</c:v>
                  </c:pt>
                  <c:pt idx="255">
                    <c:v>2018-07-25-17:00</c:v>
                  </c:pt>
                  <c:pt idx="256">
                    <c:v>2018-07-25-18:00</c:v>
                  </c:pt>
                  <c:pt idx="257">
                    <c:v>2018-07-25-20:00</c:v>
                  </c:pt>
                  <c:pt idx="258">
                    <c:v>2018-07-25-21:00</c:v>
                  </c:pt>
                  <c:pt idx="259">
                    <c:v>2018-07-25-22:00</c:v>
                  </c:pt>
                  <c:pt idx="260">
                    <c:v>2018-07-25-23:00</c:v>
                  </c:pt>
                  <c:pt idx="261">
                    <c:v>2018-07-26-00:00</c:v>
                  </c:pt>
                  <c:pt idx="262">
                    <c:v>2018-07-26-01:00</c:v>
                  </c:pt>
                  <c:pt idx="263">
                    <c:v>2018-07-26-02:00</c:v>
                  </c:pt>
                  <c:pt idx="264">
                    <c:v>2018-07-26-03:00</c:v>
                  </c:pt>
                  <c:pt idx="265">
                    <c:v>2018-07-26-04:00</c:v>
                  </c:pt>
                  <c:pt idx="266">
                    <c:v>2018-07-26-05:00</c:v>
                  </c:pt>
                  <c:pt idx="267">
                    <c:v>2018-07-26-06:00</c:v>
                  </c:pt>
                  <c:pt idx="268">
                    <c:v>2018-07-26-07:00</c:v>
                  </c:pt>
                  <c:pt idx="269">
                    <c:v>2018-07-26-08:00</c:v>
                  </c:pt>
                  <c:pt idx="270">
                    <c:v>2018-07-26-09:00</c:v>
                  </c:pt>
                  <c:pt idx="271">
                    <c:v>2018-07-26-10:00</c:v>
                  </c:pt>
                  <c:pt idx="272">
                    <c:v>2018-07-26-11:00</c:v>
                  </c:pt>
                  <c:pt idx="273">
                    <c:v>2018-07-26-12:00</c:v>
                  </c:pt>
                  <c:pt idx="274">
                    <c:v>2018-07-25-19:00</c:v>
                  </c:pt>
                  <c:pt idx="275">
                    <c:v>2018-07-25-13:00</c:v>
                  </c:pt>
                  <c:pt idx="276">
                    <c:v>2018-07-25-14:00</c:v>
                  </c:pt>
                  <c:pt idx="277">
                    <c:v>2018-07-25-15:00</c:v>
                  </c:pt>
                  <c:pt idx="278">
                    <c:v>2018-07-25-16:00</c:v>
                  </c:pt>
                  <c:pt idx="279">
                    <c:v>2018-07-25-17:00</c:v>
                  </c:pt>
                  <c:pt idx="280">
                    <c:v>2018-07-25-18:00</c:v>
                  </c:pt>
                  <c:pt idx="281">
                    <c:v>2018-07-25-20:00</c:v>
                  </c:pt>
                  <c:pt idx="282">
                    <c:v>2018-07-25-21:00</c:v>
                  </c:pt>
                  <c:pt idx="283">
                    <c:v>2018-07-25-22:00</c:v>
                  </c:pt>
                  <c:pt idx="284">
                    <c:v>2018-07-25-23:00</c:v>
                  </c:pt>
                  <c:pt idx="285">
                    <c:v>2018-07-26-00:00</c:v>
                  </c:pt>
                  <c:pt idx="286">
                    <c:v>2018-07-26-01:00</c:v>
                  </c:pt>
                  <c:pt idx="287">
                    <c:v>2018-07-26-02:00</c:v>
                  </c:pt>
                  <c:pt idx="288">
                    <c:v>2018-07-26-03:00</c:v>
                  </c:pt>
                  <c:pt idx="289">
                    <c:v>2018-07-26-04:00</c:v>
                  </c:pt>
                  <c:pt idx="290">
                    <c:v>2018-07-26-05:00</c:v>
                  </c:pt>
                  <c:pt idx="291">
                    <c:v>2018-07-26-06:00</c:v>
                  </c:pt>
                  <c:pt idx="292">
                    <c:v>2018-07-26-07:00</c:v>
                  </c:pt>
                  <c:pt idx="293">
                    <c:v>2018-07-26-08:00</c:v>
                  </c:pt>
                  <c:pt idx="294">
                    <c:v>2018-07-26-09:00</c:v>
                  </c:pt>
                  <c:pt idx="295">
                    <c:v>2018-07-26-10:00</c:v>
                  </c:pt>
                  <c:pt idx="296">
                    <c:v>2018-07-26-11:00</c:v>
                  </c:pt>
                  <c:pt idx="297">
                    <c:v>2018-07-26-12:00</c:v>
                  </c:pt>
                  <c:pt idx="298">
                    <c:v>2018-07-26-13:00</c:v>
                  </c:pt>
                  <c:pt idx="299">
                    <c:v>2018-07-25-19:00</c:v>
                  </c:pt>
                  <c:pt idx="300">
                    <c:v>2018-07-25-14:00</c:v>
                  </c:pt>
                  <c:pt idx="301">
                    <c:v>2018-07-25-15:00</c:v>
                  </c:pt>
                  <c:pt idx="302">
                    <c:v>2018-07-25-16:00</c:v>
                  </c:pt>
                  <c:pt idx="303">
                    <c:v>2018-07-25-17:00</c:v>
                  </c:pt>
                  <c:pt idx="304">
                    <c:v>2018-07-25-18:00</c:v>
                  </c:pt>
                  <c:pt idx="305">
                    <c:v>2018-07-25-20:00</c:v>
                  </c:pt>
                  <c:pt idx="306">
                    <c:v>2018-07-25-21:00</c:v>
                  </c:pt>
                  <c:pt idx="307">
                    <c:v>2018-07-25-22:00</c:v>
                  </c:pt>
                  <c:pt idx="308">
                    <c:v>2018-07-25-23:00</c:v>
                  </c:pt>
                  <c:pt idx="309">
                    <c:v>2018-07-26-00:00</c:v>
                  </c:pt>
                  <c:pt idx="310">
                    <c:v>2018-07-26-01:00</c:v>
                  </c:pt>
                  <c:pt idx="311">
                    <c:v>2018-07-26-02:00</c:v>
                  </c:pt>
                  <c:pt idx="312">
                    <c:v>2018-07-26-03:00</c:v>
                  </c:pt>
                  <c:pt idx="313">
                    <c:v>2018-07-26-04:00</c:v>
                  </c:pt>
                  <c:pt idx="314">
                    <c:v>2018-07-26-05:00</c:v>
                  </c:pt>
                  <c:pt idx="315">
                    <c:v>2018-07-26-06:00</c:v>
                  </c:pt>
                  <c:pt idx="316">
                    <c:v>2018-07-26-07:00</c:v>
                  </c:pt>
                  <c:pt idx="317">
                    <c:v>2018-07-26-08:00</c:v>
                  </c:pt>
                  <c:pt idx="318">
                    <c:v>2018-07-26-09:00</c:v>
                  </c:pt>
                  <c:pt idx="319">
                    <c:v>2018-07-26-10:00</c:v>
                  </c:pt>
                  <c:pt idx="320">
                    <c:v>2018-07-26-11:00</c:v>
                  </c:pt>
                  <c:pt idx="321">
                    <c:v>2018-07-26-12:00</c:v>
                  </c:pt>
                  <c:pt idx="322">
                    <c:v>2018-07-26-13:00</c:v>
                  </c:pt>
                  <c:pt idx="323">
                    <c:v>2018-07-26-14:00</c:v>
                  </c:pt>
                  <c:pt idx="324">
                    <c:v>2018-07-25-19:00</c:v>
                  </c:pt>
                  <c:pt idx="325">
                    <c:v>2018-07-25-15:00</c:v>
                  </c:pt>
                  <c:pt idx="326">
                    <c:v>2018-07-25-16:00</c:v>
                  </c:pt>
                  <c:pt idx="327">
                    <c:v>2018-07-25-17:00</c:v>
                  </c:pt>
                  <c:pt idx="328">
                    <c:v>2018-07-25-18:00</c:v>
                  </c:pt>
                  <c:pt idx="329">
                    <c:v>2018-07-25-20:00</c:v>
                  </c:pt>
                  <c:pt idx="330">
                    <c:v>2018-07-25-21:00</c:v>
                  </c:pt>
                  <c:pt idx="331">
                    <c:v>2018-07-25-22:00</c:v>
                  </c:pt>
                  <c:pt idx="332">
                    <c:v>2018-07-25-23:00</c:v>
                  </c:pt>
                  <c:pt idx="333">
                    <c:v>2018-07-26-00:00</c:v>
                  </c:pt>
                  <c:pt idx="334">
                    <c:v>2018-07-26-01:00</c:v>
                  </c:pt>
                  <c:pt idx="335">
                    <c:v>2018-07-26-02:00</c:v>
                  </c:pt>
                  <c:pt idx="336">
                    <c:v>2018-07-26-03:00</c:v>
                  </c:pt>
                  <c:pt idx="337">
                    <c:v>2018-07-26-04:00</c:v>
                  </c:pt>
                  <c:pt idx="338">
                    <c:v>2018-07-26-05:00</c:v>
                  </c:pt>
                  <c:pt idx="339">
                    <c:v>2018-07-26-06:00</c:v>
                  </c:pt>
                  <c:pt idx="340">
                    <c:v>2018-07-26-07:00</c:v>
                  </c:pt>
                  <c:pt idx="341">
                    <c:v>2018-07-26-08:00</c:v>
                  </c:pt>
                  <c:pt idx="342">
                    <c:v>2018-07-26-09:00</c:v>
                  </c:pt>
                  <c:pt idx="343">
                    <c:v>2018-07-26-10:00</c:v>
                  </c:pt>
                  <c:pt idx="344">
                    <c:v>2018-07-26-11:00</c:v>
                  </c:pt>
                  <c:pt idx="345">
                    <c:v>2018-07-26-12:00</c:v>
                  </c:pt>
                  <c:pt idx="346">
                    <c:v>2018-07-26-13:00</c:v>
                  </c:pt>
                  <c:pt idx="347">
                    <c:v>2018-07-26-14:00</c:v>
                  </c:pt>
                  <c:pt idx="348">
                    <c:v>2018-07-26-15:00</c:v>
                  </c:pt>
                  <c:pt idx="349">
                    <c:v>2018-07-25-19:00</c:v>
                  </c:pt>
                  <c:pt idx="350">
                    <c:v>2018-07-25-16:00</c:v>
                  </c:pt>
                  <c:pt idx="351">
                    <c:v>2018-07-25-17:00</c:v>
                  </c:pt>
                  <c:pt idx="352">
                    <c:v>2018-07-25-18:00</c:v>
                  </c:pt>
                  <c:pt idx="353">
                    <c:v>2018-07-25-20:00</c:v>
                  </c:pt>
                  <c:pt idx="354">
                    <c:v>2018-07-25-21:00</c:v>
                  </c:pt>
                  <c:pt idx="355">
                    <c:v>2018-07-25-22:00</c:v>
                  </c:pt>
                  <c:pt idx="356">
                    <c:v>2018-07-25-23:00</c:v>
                  </c:pt>
                  <c:pt idx="357">
                    <c:v>2018-07-26-00:00</c:v>
                  </c:pt>
                  <c:pt idx="358">
                    <c:v>2018-07-26-01:00</c:v>
                  </c:pt>
                  <c:pt idx="359">
                    <c:v>2018-07-26-02:00</c:v>
                  </c:pt>
                  <c:pt idx="360">
                    <c:v>2018-07-26-03:00</c:v>
                  </c:pt>
                  <c:pt idx="361">
                    <c:v>2018-07-26-04:00</c:v>
                  </c:pt>
                  <c:pt idx="362">
                    <c:v>2018-07-26-05:00</c:v>
                  </c:pt>
                  <c:pt idx="363">
                    <c:v>2018-07-26-06:00</c:v>
                  </c:pt>
                  <c:pt idx="364">
                    <c:v>2018-07-26-07:00</c:v>
                  </c:pt>
                  <c:pt idx="365">
                    <c:v>2018-07-26-08:00</c:v>
                  </c:pt>
                  <c:pt idx="366">
                    <c:v>2018-07-26-09:00</c:v>
                  </c:pt>
                  <c:pt idx="367">
                    <c:v>2018-07-26-10:00</c:v>
                  </c:pt>
                  <c:pt idx="368">
                    <c:v>2018-07-26-11:00</c:v>
                  </c:pt>
                  <c:pt idx="369">
                    <c:v>2018-07-26-12:00</c:v>
                  </c:pt>
                  <c:pt idx="370">
                    <c:v>2018-07-26-13:00</c:v>
                  </c:pt>
                  <c:pt idx="371">
                    <c:v>2018-07-26-14:00</c:v>
                  </c:pt>
                  <c:pt idx="372">
                    <c:v>2018-07-26-15:00</c:v>
                  </c:pt>
                  <c:pt idx="373">
                    <c:v>2018-07-26-16:00</c:v>
                  </c:pt>
                  <c:pt idx="374">
                    <c:v>2018-07-25-19:00</c:v>
                  </c:pt>
                  <c:pt idx="375">
                    <c:v>2018-07-25-17:00</c:v>
                  </c:pt>
                  <c:pt idx="376">
                    <c:v>2018-07-25-18:00</c:v>
                  </c:pt>
                  <c:pt idx="377">
                    <c:v>2018-07-25-20:00</c:v>
                  </c:pt>
                  <c:pt idx="378">
                    <c:v>2018-07-25-21:00</c:v>
                  </c:pt>
                  <c:pt idx="379">
                    <c:v>2018-07-25-22:00</c:v>
                  </c:pt>
                  <c:pt idx="380">
                    <c:v>2018-07-25-23:00</c:v>
                  </c:pt>
                  <c:pt idx="381">
                    <c:v>2018-07-26-00:00</c:v>
                  </c:pt>
                  <c:pt idx="382">
                    <c:v>2018-07-26-01:00</c:v>
                  </c:pt>
                  <c:pt idx="383">
                    <c:v>2018-07-26-02:00</c:v>
                  </c:pt>
                  <c:pt idx="384">
                    <c:v>2018-07-26-03:00</c:v>
                  </c:pt>
                  <c:pt idx="385">
                    <c:v>2018-07-26-04:00</c:v>
                  </c:pt>
                  <c:pt idx="386">
                    <c:v>2018-07-26-05:00</c:v>
                  </c:pt>
                  <c:pt idx="387">
                    <c:v>2018-07-26-06:00</c:v>
                  </c:pt>
                  <c:pt idx="388">
                    <c:v>2018-07-26-07:00</c:v>
                  </c:pt>
                  <c:pt idx="389">
                    <c:v>2018-07-26-08:00</c:v>
                  </c:pt>
                  <c:pt idx="390">
                    <c:v>2018-07-26-09:00</c:v>
                  </c:pt>
                  <c:pt idx="391">
                    <c:v>2018-07-26-10:00</c:v>
                  </c:pt>
                  <c:pt idx="392">
                    <c:v>2018-07-26-11:00</c:v>
                  </c:pt>
                  <c:pt idx="393">
                    <c:v>2018-07-26-12:00</c:v>
                  </c:pt>
                  <c:pt idx="394">
                    <c:v>2018-07-26-13:00</c:v>
                  </c:pt>
                  <c:pt idx="395">
                    <c:v>2018-07-26-14:00</c:v>
                  </c:pt>
                  <c:pt idx="396">
                    <c:v>2018-07-26-15:00</c:v>
                  </c:pt>
                  <c:pt idx="397">
                    <c:v>2018-07-26-16:00</c:v>
                  </c:pt>
                  <c:pt idx="398">
                    <c:v>2018-07-26-17:00</c:v>
                  </c:pt>
                  <c:pt idx="399">
                    <c:v>2018-07-25-19:00</c:v>
                  </c:pt>
                  <c:pt idx="400">
                    <c:v>2018-07-25-18:00</c:v>
                  </c:pt>
                  <c:pt idx="401">
                    <c:v>2018-07-25-20:00</c:v>
                  </c:pt>
                  <c:pt idx="402">
                    <c:v>2018-07-25-21:00</c:v>
                  </c:pt>
                  <c:pt idx="403">
                    <c:v>2018-07-25-22:00</c:v>
                  </c:pt>
                  <c:pt idx="404">
                    <c:v>2018-07-25-23:00</c:v>
                  </c:pt>
                  <c:pt idx="405">
                    <c:v>2018-07-26-00:00</c:v>
                  </c:pt>
                  <c:pt idx="406">
                    <c:v>2018-07-26-01:00</c:v>
                  </c:pt>
                  <c:pt idx="407">
                    <c:v>2018-07-26-02:00</c:v>
                  </c:pt>
                  <c:pt idx="408">
                    <c:v>2018-07-26-03:00</c:v>
                  </c:pt>
                  <c:pt idx="409">
                    <c:v>2018-07-26-04:00</c:v>
                  </c:pt>
                  <c:pt idx="410">
                    <c:v>2018-07-26-05:00</c:v>
                  </c:pt>
                  <c:pt idx="411">
                    <c:v>2018-07-26-06:00</c:v>
                  </c:pt>
                  <c:pt idx="412">
                    <c:v>2018-07-26-07:00</c:v>
                  </c:pt>
                  <c:pt idx="413">
                    <c:v>2018-07-26-08:00</c:v>
                  </c:pt>
                  <c:pt idx="414">
                    <c:v>2018-07-26-09:00</c:v>
                  </c:pt>
                  <c:pt idx="415">
                    <c:v>2018-07-26-10:00</c:v>
                  </c:pt>
                  <c:pt idx="416">
                    <c:v>2018-07-26-11:00</c:v>
                  </c:pt>
                  <c:pt idx="417">
                    <c:v>2018-07-26-12:00</c:v>
                  </c:pt>
                  <c:pt idx="418">
                    <c:v>2018-07-26-13:00</c:v>
                  </c:pt>
                  <c:pt idx="419">
                    <c:v>2018-07-26-14:00</c:v>
                  </c:pt>
                  <c:pt idx="420">
                    <c:v>2018-07-26-15:00</c:v>
                  </c:pt>
                  <c:pt idx="421">
                    <c:v>2018-07-26-16:00</c:v>
                  </c:pt>
                  <c:pt idx="422">
                    <c:v>2018-07-26-17:00</c:v>
                  </c:pt>
                  <c:pt idx="423">
                    <c:v>2018-07-26-18:00</c:v>
                  </c:pt>
                  <c:pt idx="424">
                    <c:v>2018-07-25-19:00</c:v>
                  </c:pt>
                  <c:pt idx="425">
                    <c:v>2018-07-25-20:00</c:v>
                  </c:pt>
                  <c:pt idx="426">
                    <c:v>2018-07-25-21:00</c:v>
                  </c:pt>
                  <c:pt idx="427">
                    <c:v>2018-07-25-22:00</c:v>
                  </c:pt>
                  <c:pt idx="428">
                    <c:v>2018-07-25-23:00</c:v>
                  </c:pt>
                  <c:pt idx="429">
                    <c:v>2018-07-26-00:00</c:v>
                  </c:pt>
                  <c:pt idx="430">
                    <c:v>2018-07-26-01:00</c:v>
                  </c:pt>
                  <c:pt idx="431">
                    <c:v>2018-07-26-02:00</c:v>
                  </c:pt>
                  <c:pt idx="432">
                    <c:v>2018-07-26-03:00</c:v>
                  </c:pt>
                  <c:pt idx="433">
                    <c:v>2018-07-26-04:00</c:v>
                  </c:pt>
                  <c:pt idx="434">
                    <c:v>2018-07-26-05:00</c:v>
                  </c:pt>
                  <c:pt idx="435">
                    <c:v>2018-07-26-06:00</c:v>
                  </c:pt>
                  <c:pt idx="436">
                    <c:v>2018-07-26-07:00</c:v>
                  </c:pt>
                  <c:pt idx="437">
                    <c:v>2018-07-26-08:00</c:v>
                  </c:pt>
                  <c:pt idx="438">
                    <c:v>2018-07-26-09:00</c:v>
                  </c:pt>
                  <c:pt idx="439">
                    <c:v>2018-07-26-10:00</c:v>
                  </c:pt>
                  <c:pt idx="440">
                    <c:v>2018-07-26-11:00</c:v>
                  </c:pt>
                  <c:pt idx="441">
                    <c:v>2018-07-26-12:00</c:v>
                  </c:pt>
                  <c:pt idx="442">
                    <c:v>2018-07-26-13:00</c:v>
                  </c:pt>
                  <c:pt idx="443">
                    <c:v>2018-07-26-14:00</c:v>
                  </c:pt>
                  <c:pt idx="444">
                    <c:v>2018-07-26-15:00</c:v>
                  </c:pt>
                  <c:pt idx="445">
                    <c:v>2018-07-26-16:00</c:v>
                  </c:pt>
                  <c:pt idx="446">
                    <c:v>2018-07-26-17:00</c:v>
                  </c:pt>
                  <c:pt idx="447">
                    <c:v>2018-07-26-18:00</c:v>
                  </c:pt>
                  <c:pt idx="448">
                    <c:v>2018-07-26-19:00</c:v>
                  </c:pt>
                  <c:pt idx="449">
                    <c:v>2018-07-25-19:00</c:v>
                  </c:pt>
                  <c:pt idx="450">
                    <c:v>2018-07-25-20:00</c:v>
                  </c:pt>
                  <c:pt idx="451">
                    <c:v>2018-07-25-21:00</c:v>
                  </c:pt>
                  <c:pt idx="452">
                    <c:v>2018-07-25-22:00</c:v>
                  </c:pt>
                  <c:pt idx="453">
                    <c:v>2018-07-25-23:00</c:v>
                  </c:pt>
                  <c:pt idx="454">
                    <c:v>2018-07-26-00:00</c:v>
                  </c:pt>
                  <c:pt idx="455">
                    <c:v>2018-07-26-01:00</c:v>
                  </c:pt>
                  <c:pt idx="456">
                    <c:v>2018-07-26-02:00</c:v>
                  </c:pt>
                  <c:pt idx="457">
                    <c:v>2018-07-26-03:00</c:v>
                  </c:pt>
                  <c:pt idx="458">
                    <c:v>2018-07-26-04:00</c:v>
                  </c:pt>
                  <c:pt idx="459">
                    <c:v>2018-07-26-05:00</c:v>
                  </c:pt>
                  <c:pt idx="460">
                    <c:v>2018-07-26-06:00</c:v>
                  </c:pt>
                  <c:pt idx="461">
                    <c:v>2018-07-26-07:00</c:v>
                  </c:pt>
                  <c:pt idx="462">
                    <c:v>2018-07-26-08:00</c:v>
                  </c:pt>
                  <c:pt idx="463">
                    <c:v>2018-07-26-09:00</c:v>
                  </c:pt>
                  <c:pt idx="464">
                    <c:v>2018-07-26-10:00</c:v>
                  </c:pt>
                  <c:pt idx="465">
                    <c:v>2018-07-26-11:00</c:v>
                  </c:pt>
                  <c:pt idx="466">
                    <c:v>2018-07-26-12:00</c:v>
                  </c:pt>
                  <c:pt idx="467">
                    <c:v>2018-07-26-13:00</c:v>
                  </c:pt>
                  <c:pt idx="468">
                    <c:v>2018-07-26-14:00</c:v>
                  </c:pt>
                  <c:pt idx="469">
                    <c:v>2018-07-26-15:00</c:v>
                  </c:pt>
                  <c:pt idx="470">
                    <c:v>2018-07-26-16:00</c:v>
                  </c:pt>
                  <c:pt idx="471">
                    <c:v>2018-07-26-17:00</c:v>
                  </c:pt>
                  <c:pt idx="472">
                    <c:v>2018-07-26-18:00</c:v>
                  </c:pt>
                  <c:pt idx="473">
                    <c:v>2018-07-26-19:00</c:v>
                  </c:pt>
                  <c:pt idx="474">
                    <c:v>2018-07-26-20:00</c:v>
                  </c:pt>
                  <c:pt idx="475">
                    <c:v>2018-07-25-21:00</c:v>
                  </c:pt>
                  <c:pt idx="476">
                    <c:v>2018-07-25-22:00</c:v>
                  </c:pt>
                  <c:pt idx="477">
                    <c:v>2018-07-25-23:00</c:v>
                  </c:pt>
                  <c:pt idx="478">
                    <c:v>2018-07-26-00:00</c:v>
                  </c:pt>
                  <c:pt idx="479">
                    <c:v>2018-07-26-01:00</c:v>
                  </c:pt>
                  <c:pt idx="480">
                    <c:v>2018-07-26-02:00</c:v>
                  </c:pt>
                  <c:pt idx="481">
                    <c:v>2018-07-26-03:00</c:v>
                  </c:pt>
                  <c:pt idx="482">
                    <c:v>2018-07-26-04:00</c:v>
                  </c:pt>
                  <c:pt idx="483">
                    <c:v>2018-07-26-05:00</c:v>
                  </c:pt>
                  <c:pt idx="484">
                    <c:v>2018-07-26-06:00</c:v>
                  </c:pt>
                  <c:pt idx="485">
                    <c:v>2018-07-26-07:00</c:v>
                  </c:pt>
                  <c:pt idx="486">
                    <c:v>2018-07-26-08:00</c:v>
                  </c:pt>
                  <c:pt idx="487">
                    <c:v>2018-07-26-09:00</c:v>
                  </c:pt>
                  <c:pt idx="488">
                    <c:v>2018-07-26-10:00</c:v>
                  </c:pt>
                  <c:pt idx="489">
                    <c:v>2018-07-26-11:00</c:v>
                  </c:pt>
                  <c:pt idx="490">
                    <c:v>2018-07-26-12:00</c:v>
                  </c:pt>
                  <c:pt idx="491">
                    <c:v>2018-07-26-13:00</c:v>
                  </c:pt>
                  <c:pt idx="492">
                    <c:v>2018-07-26-14:00</c:v>
                  </c:pt>
                  <c:pt idx="493">
                    <c:v>2018-07-26-15:00</c:v>
                  </c:pt>
                  <c:pt idx="494">
                    <c:v>2018-07-26-16:00</c:v>
                  </c:pt>
                  <c:pt idx="495">
                    <c:v>2018-07-26-17:00</c:v>
                  </c:pt>
                  <c:pt idx="496">
                    <c:v>2018-07-26-18:00</c:v>
                  </c:pt>
                  <c:pt idx="497">
                    <c:v>2018-07-26-19:00</c:v>
                  </c:pt>
                  <c:pt idx="498">
                    <c:v>2018-07-26-20:00</c:v>
                  </c:pt>
                  <c:pt idx="499">
                    <c:v>2018-07-26-21:00</c:v>
                  </c:pt>
                  <c:pt idx="500">
                    <c:v>2018-07-25-22:00</c:v>
                  </c:pt>
                  <c:pt idx="501">
                    <c:v>2018-07-25-23:00</c:v>
                  </c:pt>
                  <c:pt idx="502">
                    <c:v>2018-07-26-00:00</c:v>
                  </c:pt>
                  <c:pt idx="503">
                    <c:v>2018-07-26-01:00</c:v>
                  </c:pt>
                  <c:pt idx="504">
                    <c:v>2018-07-26-02:00</c:v>
                  </c:pt>
                  <c:pt idx="505">
                    <c:v>2018-07-26-03:00</c:v>
                  </c:pt>
                  <c:pt idx="506">
                    <c:v>2018-07-26-04:00</c:v>
                  </c:pt>
                  <c:pt idx="507">
                    <c:v>2018-07-26-05:00</c:v>
                  </c:pt>
                  <c:pt idx="508">
                    <c:v>2018-07-26-06:00</c:v>
                  </c:pt>
                  <c:pt idx="509">
                    <c:v>2018-07-26-07:00</c:v>
                  </c:pt>
                  <c:pt idx="510">
                    <c:v>2018-07-26-08:00</c:v>
                  </c:pt>
                  <c:pt idx="511">
                    <c:v>2018-07-26-09:00</c:v>
                  </c:pt>
                  <c:pt idx="512">
                    <c:v>2018-07-26-10:00</c:v>
                  </c:pt>
                  <c:pt idx="513">
                    <c:v>2018-07-26-11:00</c:v>
                  </c:pt>
                  <c:pt idx="514">
                    <c:v>2018-07-26-12:00</c:v>
                  </c:pt>
                  <c:pt idx="515">
                    <c:v>2018-07-26-13:00</c:v>
                  </c:pt>
                  <c:pt idx="516">
                    <c:v>2018-07-26-14:00</c:v>
                  </c:pt>
                  <c:pt idx="517">
                    <c:v>2018-07-26-15:00</c:v>
                  </c:pt>
                  <c:pt idx="518">
                    <c:v>2018-07-26-16:00</c:v>
                  </c:pt>
                  <c:pt idx="519">
                    <c:v>2018-07-26-17:00</c:v>
                  </c:pt>
                  <c:pt idx="520">
                    <c:v>2018-07-26-18:00</c:v>
                  </c:pt>
                  <c:pt idx="521">
                    <c:v>2018-07-26-19:00</c:v>
                  </c:pt>
                  <c:pt idx="522">
                    <c:v>2018-07-26-20:00</c:v>
                  </c:pt>
                  <c:pt idx="523">
                    <c:v>2018-07-26-21:00</c:v>
                  </c:pt>
                  <c:pt idx="524">
                    <c:v>2018-07-26-22:00</c:v>
                  </c:pt>
                  <c:pt idx="525">
                    <c:v>2018-07-25-23:00</c:v>
                  </c:pt>
                  <c:pt idx="526">
                    <c:v>2018-07-26-00:00</c:v>
                  </c:pt>
                  <c:pt idx="527">
                    <c:v>2018-07-26-01:00</c:v>
                  </c:pt>
                  <c:pt idx="528">
                    <c:v>2018-07-26-02:00</c:v>
                  </c:pt>
                  <c:pt idx="529">
                    <c:v>2018-07-26-03:00</c:v>
                  </c:pt>
                  <c:pt idx="530">
                    <c:v>2018-07-26-04:00</c:v>
                  </c:pt>
                  <c:pt idx="531">
                    <c:v>2018-07-26-05:00</c:v>
                  </c:pt>
                  <c:pt idx="532">
                    <c:v>2018-07-26-06:00</c:v>
                  </c:pt>
                  <c:pt idx="533">
                    <c:v>2018-07-26-07:00</c:v>
                  </c:pt>
                  <c:pt idx="534">
                    <c:v>2018-07-26-08:00</c:v>
                  </c:pt>
                  <c:pt idx="535">
                    <c:v>2018-07-26-09:00</c:v>
                  </c:pt>
                  <c:pt idx="536">
                    <c:v>2018-07-26-10:00</c:v>
                  </c:pt>
                  <c:pt idx="537">
                    <c:v>2018-07-26-11:00</c:v>
                  </c:pt>
                  <c:pt idx="538">
                    <c:v>2018-07-26-12:00</c:v>
                  </c:pt>
                  <c:pt idx="539">
                    <c:v>2018-07-26-13:00</c:v>
                  </c:pt>
                  <c:pt idx="540">
                    <c:v>2018-07-26-14:00</c:v>
                  </c:pt>
                  <c:pt idx="541">
                    <c:v>2018-07-26-15:00</c:v>
                  </c:pt>
                  <c:pt idx="542">
                    <c:v>2018-07-26-16:00</c:v>
                  </c:pt>
                  <c:pt idx="543">
                    <c:v>2018-07-26-17:00</c:v>
                  </c:pt>
                  <c:pt idx="544">
                    <c:v>2018-07-26-18:00</c:v>
                  </c:pt>
                  <c:pt idx="545">
                    <c:v>2018-07-26-19:00</c:v>
                  </c:pt>
                  <c:pt idx="546">
                    <c:v>2018-07-26-20:00</c:v>
                  </c:pt>
                  <c:pt idx="547">
                    <c:v>2018-07-26-21:00</c:v>
                  </c:pt>
                  <c:pt idx="548">
                    <c:v>2018-07-26-22:00</c:v>
                  </c:pt>
                  <c:pt idx="549">
                    <c:v>2018-07-26-23:00</c:v>
                  </c:pt>
                  <c:pt idx="550">
                    <c:v>2018-07-26-00:00</c:v>
                  </c:pt>
                  <c:pt idx="551">
                    <c:v>2018-07-26-01:00</c:v>
                  </c:pt>
                  <c:pt idx="552">
                    <c:v>2018-07-26-02:00</c:v>
                  </c:pt>
                  <c:pt idx="553">
                    <c:v>2018-07-26-03:00</c:v>
                  </c:pt>
                  <c:pt idx="554">
                    <c:v>2018-07-26-04:00</c:v>
                  </c:pt>
                  <c:pt idx="555">
                    <c:v>2018-07-26-05:00</c:v>
                  </c:pt>
                  <c:pt idx="556">
                    <c:v>2018-07-26-06:00</c:v>
                  </c:pt>
                  <c:pt idx="557">
                    <c:v>2018-07-26-07:00</c:v>
                  </c:pt>
                  <c:pt idx="558">
                    <c:v>2018-07-26-08:00</c:v>
                  </c:pt>
                  <c:pt idx="559">
                    <c:v>2018-07-26-09:00</c:v>
                  </c:pt>
                  <c:pt idx="560">
                    <c:v>2018-07-26-10:00</c:v>
                  </c:pt>
                  <c:pt idx="561">
                    <c:v>2018-07-26-11:00</c:v>
                  </c:pt>
                  <c:pt idx="562">
                    <c:v>2018-07-26-12:00</c:v>
                  </c:pt>
                  <c:pt idx="563">
                    <c:v>2018-07-26-13:00</c:v>
                  </c:pt>
                  <c:pt idx="564">
                    <c:v>2018-07-26-14:00</c:v>
                  </c:pt>
                  <c:pt idx="565">
                    <c:v>2018-07-26-15:00</c:v>
                  </c:pt>
                  <c:pt idx="566">
                    <c:v>2018-07-26-16:00</c:v>
                  </c:pt>
                  <c:pt idx="567">
                    <c:v>2018-07-26-17:00</c:v>
                  </c:pt>
                  <c:pt idx="568">
                    <c:v>2018-07-26-18:00</c:v>
                  </c:pt>
                  <c:pt idx="569">
                    <c:v>2018-07-26-19:00</c:v>
                  </c:pt>
                  <c:pt idx="570">
                    <c:v>2018-07-26-20:00</c:v>
                  </c:pt>
                  <c:pt idx="571">
                    <c:v>2018-07-26-21:00</c:v>
                  </c:pt>
                  <c:pt idx="572">
                    <c:v>2018-07-26-22:00</c:v>
                  </c:pt>
                  <c:pt idx="573">
                    <c:v>2018-07-26-23:00</c:v>
                  </c:pt>
                  <c:pt idx="574">
                    <c:v>2018-07-27-00:00</c:v>
                  </c:pt>
                  <c:pt idx="575">
                    <c:v>2018-07-26-01:00</c:v>
                  </c:pt>
                  <c:pt idx="576">
                    <c:v>2018-07-26-02:00</c:v>
                  </c:pt>
                  <c:pt idx="577">
                    <c:v>2018-07-26-03:00</c:v>
                  </c:pt>
                  <c:pt idx="578">
                    <c:v>2018-07-26-04:00</c:v>
                  </c:pt>
                  <c:pt idx="579">
                    <c:v>2018-07-26-05:00</c:v>
                  </c:pt>
                  <c:pt idx="580">
                    <c:v>2018-07-26-06:00</c:v>
                  </c:pt>
                  <c:pt idx="581">
                    <c:v>2018-07-26-07:00</c:v>
                  </c:pt>
                  <c:pt idx="582">
                    <c:v>2018-07-26-08:00</c:v>
                  </c:pt>
                  <c:pt idx="583">
                    <c:v>2018-07-26-09:00</c:v>
                  </c:pt>
                  <c:pt idx="584">
                    <c:v>2018-07-26-10:00</c:v>
                  </c:pt>
                  <c:pt idx="585">
                    <c:v>2018-07-26-11:00</c:v>
                  </c:pt>
                  <c:pt idx="586">
                    <c:v>2018-07-26-12:00</c:v>
                  </c:pt>
                  <c:pt idx="587">
                    <c:v>2018-07-26-13:00</c:v>
                  </c:pt>
                  <c:pt idx="588">
                    <c:v>2018-07-26-14:00</c:v>
                  </c:pt>
                  <c:pt idx="589">
                    <c:v>2018-07-26-15:00</c:v>
                  </c:pt>
                  <c:pt idx="590">
                    <c:v>2018-07-26-16:00</c:v>
                  </c:pt>
                  <c:pt idx="591">
                    <c:v>2018-07-26-17:00</c:v>
                  </c:pt>
                  <c:pt idx="592">
                    <c:v>2018-07-26-18:00</c:v>
                  </c:pt>
                  <c:pt idx="593">
                    <c:v>2018-07-26-19:00</c:v>
                  </c:pt>
                  <c:pt idx="594">
                    <c:v>2018-07-26-20:00</c:v>
                  </c:pt>
                  <c:pt idx="595">
                    <c:v>2018-07-26-21:00</c:v>
                  </c:pt>
                  <c:pt idx="596">
                    <c:v>2018-07-26-22:00</c:v>
                  </c:pt>
                  <c:pt idx="597">
                    <c:v>2018-07-26-23:00</c:v>
                  </c:pt>
                  <c:pt idx="598">
                    <c:v>2018-07-27-00:00</c:v>
                  </c:pt>
                  <c:pt idx="599">
                    <c:v>2018-07-27-01:00</c:v>
                  </c:pt>
                  <c:pt idx="600">
                    <c:v>2018-07-26-02:00</c:v>
                  </c:pt>
                  <c:pt idx="601">
                    <c:v>2018-07-26-03:00</c:v>
                  </c:pt>
                  <c:pt idx="602">
                    <c:v>2018-07-26-04:00</c:v>
                  </c:pt>
                  <c:pt idx="603">
                    <c:v>2018-07-26-05:00</c:v>
                  </c:pt>
                  <c:pt idx="604">
                    <c:v>2018-07-26-06:00</c:v>
                  </c:pt>
                  <c:pt idx="605">
                    <c:v>2018-07-26-07:00</c:v>
                  </c:pt>
                  <c:pt idx="606">
                    <c:v>2018-07-26-08:00</c:v>
                  </c:pt>
                  <c:pt idx="607">
                    <c:v>2018-07-26-09:00</c:v>
                  </c:pt>
                  <c:pt idx="608">
                    <c:v>2018-07-26-10:00</c:v>
                  </c:pt>
                  <c:pt idx="609">
                    <c:v>2018-07-26-11:00</c:v>
                  </c:pt>
                  <c:pt idx="610">
                    <c:v>2018-07-26-12:00</c:v>
                  </c:pt>
                  <c:pt idx="611">
                    <c:v>2018-07-26-13:00</c:v>
                  </c:pt>
                  <c:pt idx="612">
                    <c:v>2018-07-26-14:00</c:v>
                  </c:pt>
                  <c:pt idx="613">
                    <c:v>2018-07-26-15:00</c:v>
                  </c:pt>
                  <c:pt idx="614">
                    <c:v>2018-07-26-16:00</c:v>
                  </c:pt>
                  <c:pt idx="615">
                    <c:v>2018-07-26-17:00</c:v>
                  </c:pt>
                  <c:pt idx="616">
                    <c:v>2018-07-26-18:00</c:v>
                  </c:pt>
                  <c:pt idx="617">
                    <c:v>2018-07-26-19:00</c:v>
                  </c:pt>
                  <c:pt idx="618">
                    <c:v>2018-07-26-20:00</c:v>
                  </c:pt>
                  <c:pt idx="619">
                    <c:v>2018-07-26-21:00</c:v>
                  </c:pt>
                  <c:pt idx="620">
                    <c:v>2018-07-26-22:00</c:v>
                  </c:pt>
                  <c:pt idx="621">
                    <c:v>2018-07-26-23:00</c:v>
                  </c:pt>
                  <c:pt idx="622">
                    <c:v>2018-07-27-00:00</c:v>
                  </c:pt>
                  <c:pt idx="623">
                    <c:v>2018-07-27-01:00</c:v>
                  </c:pt>
                  <c:pt idx="624">
                    <c:v>2018-07-27-02:00</c:v>
                  </c:pt>
                  <c:pt idx="625">
                    <c:v>2018-07-26-03:00</c:v>
                  </c:pt>
                  <c:pt idx="626">
                    <c:v>2018-07-26-04:00</c:v>
                  </c:pt>
                  <c:pt idx="627">
                    <c:v>2018-07-26-05:00</c:v>
                  </c:pt>
                  <c:pt idx="628">
                    <c:v>2018-07-26-06:00</c:v>
                  </c:pt>
                  <c:pt idx="629">
                    <c:v>2018-07-26-07:00</c:v>
                  </c:pt>
                  <c:pt idx="630">
                    <c:v>2018-07-26-08:00</c:v>
                  </c:pt>
                  <c:pt idx="631">
                    <c:v>2018-07-26-09:00</c:v>
                  </c:pt>
                  <c:pt idx="632">
                    <c:v>2018-07-26-10:00</c:v>
                  </c:pt>
                  <c:pt idx="633">
                    <c:v>2018-07-26-11:00</c:v>
                  </c:pt>
                  <c:pt idx="634">
                    <c:v>2018-07-26-12:00</c:v>
                  </c:pt>
                  <c:pt idx="635">
                    <c:v>2018-07-26-13:00</c:v>
                  </c:pt>
                  <c:pt idx="636">
                    <c:v>2018-07-26-14:00</c:v>
                  </c:pt>
                  <c:pt idx="637">
                    <c:v>2018-07-26-15:00</c:v>
                  </c:pt>
                  <c:pt idx="638">
                    <c:v>2018-07-26-16:00</c:v>
                  </c:pt>
                  <c:pt idx="639">
                    <c:v>2018-07-26-17:00</c:v>
                  </c:pt>
                  <c:pt idx="640">
                    <c:v>2018-07-26-18:00</c:v>
                  </c:pt>
                  <c:pt idx="641">
                    <c:v>2018-07-26-19:00</c:v>
                  </c:pt>
                  <c:pt idx="642">
                    <c:v>2018-07-26-20:00</c:v>
                  </c:pt>
                  <c:pt idx="643">
                    <c:v>2018-07-26-21:00</c:v>
                  </c:pt>
                  <c:pt idx="644">
                    <c:v>2018-07-26-22:00</c:v>
                  </c:pt>
                  <c:pt idx="645">
                    <c:v>2018-07-26-23:00</c:v>
                  </c:pt>
                  <c:pt idx="646">
                    <c:v>2018-07-27-00:00</c:v>
                  </c:pt>
                  <c:pt idx="647">
                    <c:v>2018-07-27-01:00</c:v>
                  </c:pt>
                  <c:pt idx="648">
                    <c:v>2018-07-27-02:00</c:v>
                  </c:pt>
                  <c:pt idx="649">
                    <c:v>2018-07-27-03:00</c:v>
                  </c:pt>
                  <c:pt idx="650">
                    <c:v>2018-07-26-04:00</c:v>
                  </c:pt>
                  <c:pt idx="651">
                    <c:v>2018-07-26-05:00</c:v>
                  </c:pt>
                  <c:pt idx="652">
                    <c:v>2018-07-26-06:00</c:v>
                  </c:pt>
                  <c:pt idx="653">
                    <c:v>2018-07-26-07:00</c:v>
                  </c:pt>
                  <c:pt idx="654">
                    <c:v>2018-07-26-08:00</c:v>
                  </c:pt>
                  <c:pt idx="655">
                    <c:v>2018-07-26-09:00</c:v>
                  </c:pt>
                  <c:pt idx="656">
                    <c:v>2018-07-26-10:00</c:v>
                  </c:pt>
                  <c:pt idx="657">
                    <c:v>2018-07-26-11:00</c:v>
                  </c:pt>
                  <c:pt idx="658">
                    <c:v>2018-07-26-12:00</c:v>
                  </c:pt>
                  <c:pt idx="659">
                    <c:v>2018-07-26-13:00</c:v>
                  </c:pt>
                  <c:pt idx="660">
                    <c:v>2018-07-26-14:00</c:v>
                  </c:pt>
                  <c:pt idx="661">
                    <c:v>2018-07-26-15:00</c:v>
                  </c:pt>
                  <c:pt idx="662">
                    <c:v>2018-07-26-16:00</c:v>
                  </c:pt>
                  <c:pt idx="663">
                    <c:v>2018-07-26-17:00</c:v>
                  </c:pt>
                  <c:pt idx="664">
                    <c:v>2018-07-26-18:00</c:v>
                  </c:pt>
                  <c:pt idx="665">
                    <c:v>2018-07-26-19:00</c:v>
                  </c:pt>
                  <c:pt idx="666">
                    <c:v>2018-07-26-20:00</c:v>
                  </c:pt>
                  <c:pt idx="667">
                    <c:v>2018-07-26-21:00</c:v>
                  </c:pt>
                  <c:pt idx="668">
                    <c:v>2018-07-26-22:00</c:v>
                  </c:pt>
                  <c:pt idx="669">
                    <c:v>2018-07-26-23:00</c:v>
                  </c:pt>
                  <c:pt idx="670">
                    <c:v>2018-07-27-00:00</c:v>
                  </c:pt>
                  <c:pt idx="671">
                    <c:v>2018-07-27-01:00</c:v>
                  </c:pt>
                  <c:pt idx="672">
                    <c:v>2018-07-27-02:00</c:v>
                  </c:pt>
                  <c:pt idx="673">
                    <c:v>2018-07-27-03:00</c:v>
                  </c:pt>
                  <c:pt idx="674">
                    <c:v>2018-07-27-04:00</c:v>
                  </c:pt>
                  <c:pt idx="675">
                    <c:v>2018-07-26-05:00</c:v>
                  </c:pt>
                  <c:pt idx="676">
                    <c:v>2018-07-26-06:00</c:v>
                  </c:pt>
                  <c:pt idx="677">
                    <c:v>2018-07-26-07:00</c:v>
                  </c:pt>
                  <c:pt idx="678">
                    <c:v>2018-07-26-08:00</c:v>
                  </c:pt>
                  <c:pt idx="679">
                    <c:v>2018-07-26-09:00</c:v>
                  </c:pt>
                  <c:pt idx="680">
                    <c:v>2018-07-26-10:00</c:v>
                  </c:pt>
                  <c:pt idx="681">
                    <c:v>2018-07-26-11:00</c:v>
                  </c:pt>
                  <c:pt idx="682">
                    <c:v>2018-07-26-12:00</c:v>
                  </c:pt>
                  <c:pt idx="683">
                    <c:v>2018-07-26-13:00</c:v>
                  </c:pt>
                  <c:pt idx="684">
                    <c:v>2018-07-26-14:00</c:v>
                  </c:pt>
                  <c:pt idx="685">
                    <c:v>2018-07-26-15:00</c:v>
                  </c:pt>
                  <c:pt idx="686">
                    <c:v>2018-07-26-16:00</c:v>
                  </c:pt>
                  <c:pt idx="687">
                    <c:v>2018-07-26-17:00</c:v>
                  </c:pt>
                  <c:pt idx="688">
                    <c:v>2018-07-26-18:00</c:v>
                  </c:pt>
                  <c:pt idx="689">
                    <c:v>2018-07-26-19:00</c:v>
                  </c:pt>
                  <c:pt idx="690">
                    <c:v>2018-07-26-20:00</c:v>
                  </c:pt>
                  <c:pt idx="691">
                    <c:v>2018-07-26-21:00</c:v>
                  </c:pt>
                  <c:pt idx="692">
                    <c:v>2018-07-26-22:00</c:v>
                  </c:pt>
                  <c:pt idx="693">
                    <c:v>2018-07-26-23:00</c:v>
                  </c:pt>
                  <c:pt idx="694">
                    <c:v>2018-07-27-00:00</c:v>
                  </c:pt>
                  <c:pt idx="695">
                    <c:v>2018-07-27-01:00</c:v>
                  </c:pt>
                  <c:pt idx="696">
                    <c:v>2018-07-27-02:00</c:v>
                  </c:pt>
                  <c:pt idx="697">
                    <c:v>2018-07-27-03:00</c:v>
                  </c:pt>
                  <c:pt idx="698">
                    <c:v>2018-07-27-04:00</c:v>
                  </c:pt>
                  <c:pt idx="699">
                    <c:v>2018-07-27-05:00</c:v>
                  </c:pt>
                  <c:pt idx="700">
                    <c:v>2018-07-26-06:00</c:v>
                  </c:pt>
                  <c:pt idx="701">
                    <c:v>2018-07-26-07:00</c:v>
                  </c:pt>
                  <c:pt idx="702">
                    <c:v>2018-07-26-08:00</c:v>
                  </c:pt>
                  <c:pt idx="703">
                    <c:v>2018-07-26-09:00</c:v>
                  </c:pt>
                  <c:pt idx="704">
                    <c:v>2018-07-26-10:00</c:v>
                  </c:pt>
                  <c:pt idx="705">
                    <c:v>2018-07-26-11:00</c:v>
                  </c:pt>
                  <c:pt idx="706">
                    <c:v>2018-07-26-12:00</c:v>
                  </c:pt>
                  <c:pt idx="707">
                    <c:v>2018-07-26-13:00</c:v>
                  </c:pt>
                  <c:pt idx="708">
                    <c:v>2018-07-26-14:00</c:v>
                  </c:pt>
                  <c:pt idx="709">
                    <c:v>2018-07-26-15:00</c:v>
                  </c:pt>
                  <c:pt idx="710">
                    <c:v>2018-07-26-16:00</c:v>
                  </c:pt>
                  <c:pt idx="711">
                    <c:v>2018-07-26-17:00</c:v>
                  </c:pt>
                  <c:pt idx="712">
                    <c:v>2018-07-26-18:00</c:v>
                  </c:pt>
                  <c:pt idx="713">
                    <c:v>2018-07-26-19:00</c:v>
                  </c:pt>
                  <c:pt idx="714">
                    <c:v>2018-07-26-20:00</c:v>
                  </c:pt>
                  <c:pt idx="715">
                    <c:v>2018-07-26-21:00</c:v>
                  </c:pt>
                  <c:pt idx="716">
                    <c:v>2018-07-26-22:00</c:v>
                  </c:pt>
                  <c:pt idx="717">
                    <c:v>2018-07-26-23:00</c:v>
                  </c:pt>
                  <c:pt idx="718">
                    <c:v>2018-07-27-00:00</c:v>
                  </c:pt>
                  <c:pt idx="719">
                    <c:v>2018-07-27-01:00</c:v>
                  </c:pt>
                  <c:pt idx="720">
                    <c:v>2018-07-27-02:00</c:v>
                  </c:pt>
                  <c:pt idx="721">
                    <c:v>2018-07-27-03:00</c:v>
                  </c:pt>
                  <c:pt idx="722">
                    <c:v>2018-07-27-04:00</c:v>
                  </c:pt>
                  <c:pt idx="723">
                    <c:v>2018-07-27-05:00</c:v>
                  </c:pt>
                  <c:pt idx="724">
                    <c:v>2018-07-27-06:00</c:v>
                  </c:pt>
                  <c:pt idx="725">
                    <c:v>2018-07-26-07:00</c:v>
                  </c:pt>
                  <c:pt idx="726">
                    <c:v>2018-07-26-08:00</c:v>
                  </c:pt>
                  <c:pt idx="727">
                    <c:v>2018-07-26-09:00</c:v>
                  </c:pt>
                  <c:pt idx="728">
                    <c:v>2018-07-26-10:00</c:v>
                  </c:pt>
                  <c:pt idx="729">
                    <c:v>2018-07-26-11:00</c:v>
                  </c:pt>
                  <c:pt idx="730">
                    <c:v>2018-07-26-12:00</c:v>
                  </c:pt>
                  <c:pt idx="731">
                    <c:v>2018-07-26-13:00</c:v>
                  </c:pt>
                  <c:pt idx="732">
                    <c:v>2018-07-26-14:00</c:v>
                  </c:pt>
                  <c:pt idx="733">
                    <c:v>2018-07-26-15:00</c:v>
                  </c:pt>
                  <c:pt idx="734">
                    <c:v>2018-07-26-16:00</c:v>
                  </c:pt>
                  <c:pt idx="735">
                    <c:v>2018-07-26-17:00</c:v>
                  </c:pt>
                  <c:pt idx="736">
                    <c:v>2018-07-26-18:00</c:v>
                  </c:pt>
                  <c:pt idx="737">
                    <c:v>2018-07-26-19:00</c:v>
                  </c:pt>
                  <c:pt idx="738">
                    <c:v>2018-07-26-20:00</c:v>
                  </c:pt>
                  <c:pt idx="739">
                    <c:v>2018-07-26-21:00</c:v>
                  </c:pt>
                  <c:pt idx="740">
                    <c:v>2018-07-26-22:00</c:v>
                  </c:pt>
                  <c:pt idx="741">
                    <c:v>2018-07-26-23:00</c:v>
                  </c:pt>
                  <c:pt idx="742">
                    <c:v>2018-07-27-00:00</c:v>
                  </c:pt>
                  <c:pt idx="743">
                    <c:v>2018-07-27-01:00</c:v>
                  </c:pt>
                  <c:pt idx="744">
                    <c:v>2018-07-27-02:00</c:v>
                  </c:pt>
                  <c:pt idx="745">
                    <c:v>2018-07-27-03:00</c:v>
                  </c:pt>
                  <c:pt idx="746">
                    <c:v>2018-07-27-04:00</c:v>
                  </c:pt>
                  <c:pt idx="747">
                    <c:v>2018-07-27-05:00</c:v>
                  </c:pt>
                  <c:pt idx="748">
                    <c:v>2018-07-27-06:00</c:v>
                  </c:pt>
                  <c:pt idx="749">
                    <c:v>2018-07-27-07:00</c:v>
                  </c:pt>
                  <c:pt idx="750">
                    <c:v>2018-07-26-08:00</c:v>
                  </c:pt>
                  <c:pt idx="751">
                    <c:v>2018-07-26-09:00</c:v>
                  </c:pt>
                  <c:pt idx="752">
                    <c:v>2018-07-26-10:00</c:v>
                  </c:pt>
                  <c:pt idx="753">
                    <c:v>2018-07-26-11:00</c:v>
                  </c:pt>
                  <c:pt idx="754">
                    <c:v>2018-07-26-12:00</c:v>
                  </c:pt>
                  <c:pt idx="755">
                    <c:v>2018-07-26-13:00</c:v>
                  </c:pt>
                  <c:pt idx="756">
                    <c:v>2018-07-26-14:00</c:v>
                  </c:pt>
                  <c:pt idx="757">
                    <c:v>2018-07-26-15:00</c:v>
                  </c:pt>
                  <c:pt idx="758">
                    <c:v>2018-07-26-16:00</c:v>
                  </c:pt>
                  <c:pt idx="759">
                    <c:v>2018-07-26-17:00</c:v>
                  </c:pt>
                  <c:pt idx="760">
                    <c:v>2018-07-26-18:00</c:v>
                  </c:pt>
                  <c:pt idx="761">
                    <c:v>2018-07-26-19:00</c:v>
                  </c:pt>
                  <c:pt idx="762">
                    <c:v>2018-07-26-20:00</c:v>
                  </c:pt>
                  <c:pt idx="763">
                    <c:v>2018-07-26-21:00</c:v>
                  </c:pt>
                  <c:pt idx="764">
                    <c:v>2018-07-26-22:00</c:v>
                  </c:pt>
                  <c:pt idx="765">
                    <c:v>2018-07-26-23:00</c:v>
                  </c:pt>
                  <c:pt idx="766">
                    <c:v>2018-07-27-00:00</c:v>
                  </c:pt>
                  <c:pt idx="767">
                    <c:v>2018-07-27-01:00</c:v>
                  </c:pt>
                  <c:pt idx="768">
                    <c:v>2018-07-27-02:00</c:v>
                  </c:pt>
                  <c:pt idx="769">
                    <c:v>2018-07-27-03:00</c:v>
                  </c:pt>
                  <c:pt idx="770">
                    <c:v>2018-07-27-04:00</c:v>
                  </c:pt>
                  <c:pt idx="771">
                    <c:v>2018-07-27-05:00</c:v>
                  </c:pt>
                  <c:pt idx="772">
                    <c:v>2018-07-27-06:00</c:v>
                  </c:pt>
                  <c:pt idx="773">
                    <c:v>2018-07-27-07:00</c:v>
                  </c:pt>
                  <c:pt idx="774">
                    <c:v>2018-07-27-08:00</c:v>
                  </c:pt>
                  <c:pt idx="775">
                    <c:v>2018-07-26-09:00</c:v>
                  </c:pt>
                  <c:pt idx="776">
                    <c:v>2018-07-26-10:00</c:v>
                  </c:pt>
                  <c:pt idx="777">
                    <c:v>2018-07-26-11:00</c:v>
                  </c:pt>
                  <c:pt idx="778">
                    <c:v>2018-07-26-12:00</c:v>
                  </c:pt>
                  <c:pt idx="779">
                    <c:v>2018-07-26-13:00</c:v>
                  </c:pt>
                  <c:pt idx="780">
                    <c:v>2018-07-26-14:00</c:v>
                  </c:pt>
                  <c:pt idx="781">
                    <c:v>2018-07-26-15:00</c:v>
                  </c:pt>
                  <c:pt idx="782">
                    <c:v>2018-07-26-16:00</c:v>
                  </c:pt>
                  <c:pt idx="783">
                    <c:v>2018-07-26-17:00</c:v>
                  </c:pt>
                  <c:pt idx="784">
                    <c:v>2018-07-26-18:00</c:v>
                  </c:pt>
                  <c:pt idx="785">
                    <c:v>2018-07-26-19:00</c:v>
                  </c:pt>
                  <c:pt idx="786">
                    <c:v>2018-07-26-20:00</c:v>
                  </c:pt>
                  <c:pt idx="787">
                    <c:v>2018-07-26-21:00</c:v>
                  </c:pt>
                  <c:pt idx="788">
                    <c:v>2018-07-26-22:00</c:v>
                  </c:pt>
                  <c:pt idx="789">
                    <c:v>2018-07-26-23:00</c:v>
                  </c:pt>
                  <c:pt idx="790">
                    <c:v>2018-07-27-00:00</c:v>
                  </c:pt>
                  <c:pt idx="791">
                    <c:v>2018-07-27-01:00</c:v>
                  </c:pt>
                  <c:pt idx="792">
                    <c:v>2018-07-27-02:00</c:v>
                  </c:pt>
                  <c:pt idx="793">
                    <c:v>2018-07-27-03:00</c:v>
                  </c:pt>
                  <c:pt idx="794">
                    <c:v>2018-07-27-04:00</c:v>
                  </c:pt>
                  <c:pt idx="795">
                    <c:v>2018-07-27-05:00</c:v>
                  </c:pt>
                  <c:pt idx="796">
                    <c:v>2018-07-27-06:00</c:v>
                  </c:pt>
                  <c:pt idx="797">
                    <c:v>2018-07-27-07:00</c:v>
                  </c:pt>
                  <c:pt idx="798">
                    <c:v>2018-07-27-08:00</c:v>
                  </c:pt>
                  <c:pt idx="799">
                    <c:v>2018-07-27-09:00</c:v>
                  </c:pt>
                  <c:pt idx="800">
                    <c:v>2018-07-26-10:00</c:v>
                  </c:pt>
                  <c:pt idx="801">
                    <c:v>2018-07-26-11:00</c:v>
                  </c:pt>
                  <c:pt idx="802">
                    <c:v>2018-07-26-12:00</c:v>
                  </c:pt>
                  <c:pt idx="803">
                    <c:v>2018-07-26-13:00</c:v>
                  </c:pt>
                  <c:pt idx="804">
                    <c:v>2018-07-26-14:00</c:v>
                  </c:pt>
                  <c:pt idx="805">
                    <c:v>2018-07-26-15:00</c:v>
                  </c:pt>
                  <c:pt idx="806">
                    <c:v>2018-07-26-16:00</c:v>
                  </c:pt>
                  <c:pt idx="807">
                    <c:v>2018-07-26-17:00</c:v>
                  </c:pt>
                  <c:pt idx="808">
                    <c:v>2018-07-26-18:00</c:v>
                  </c:pt>
                  <c:pt idx="809">
                    <c:v>2018-07-26-19:00</c:v>
                  </c:pt>
                  <c:pt idx="810">
                    <c:v>2018-07-26-20:00</c:v>
                  </c:pt>
                  <c:pt idx="811">
                    <c:v>2018-07-26-21:00</c:v>
                  </c:pt>
                  <c:pt idx="812">
                    <c:v>2018-07-26-22:00</c:v>
                  </c:pt>
                  <c:pt idx="813">
                    <c:v>2018-07-26-23:00</c:v>
                  </c:pt>
                  <c:pt idx="814">
                    <c:v>2018-07-27-00:00</c:v>
                  </c:pt>
                  <c:pt idx="815">
                    <c:v>2018-07-27-01:00</c:v>
                  </c:pt>
                  <c:pt idx="816">
                    <c:v>2018-07-27-02:00</c:v>
                  </c:pt>
                  <c:pt idx="817">
                    <c:v>2018-07-27-03:00</c:v>
                  </c:pt>
                  <c:pt idx="818">
                    <c:v>2018-07-27-04:00</c:v>
                  </c:pt>
                  <c:pt idx="819">
                    <c:v>2018-07-27-05:00</c:v>
                  </c:pt>
                  <c:pt idx="820">
                    <c:v>2018-07-27-06:00</c:v>
                  </c:pt>
                  <c:pt idx="821">
                    <c:v>2018-07-27-07:00</c:v>
                  </c:pt>
                  <c:pt idx="822">
                    <c:v>2018-07-27-08:00</c:v>
                  </c:pt>
                  <c:pt idx="823">
                    <c:v>2018-07-27-09:00</c:v>
                  </c:pt>
                  <c:pt idx="824">
                    <c:v>2018-07-27-10:00</c:v>
                  </c:pt>
                  <c:pt idx="825">
                    <c:v>2018-07-26-11:00</c:v>
                  </c:pt>
                  <c:pt idx="826">
                    <c:v>2018-07-26-12:00</c:v>
                  </c:pt>
                  <c:pt idx="827">
                    <c:v>2018-07-26-13:00</c:v>
                  </c:pt>
                  <c:pt idx="828">
                    <c:v>2018-07-26-14:00</c:v>
                  </c:pt>
                  <c:pt idx="829">
                    <c:v>2018-07-26-15:00</c:v>
                  </c:pt>
                  <c:pt idx="830">
                    <c:v>2018-07-26-16:00</c:v>
                  </c:pt>
                  <c:pt idx="831">
                    <c:v>2018-07-26-17:00</c:v>
                  </c:pt>
                  <c:pt idx="832">
                    <c:v>2018-07-26-18:00</c:v>
                  </c:pt>
                  <c:pt idx="833">
                    <c:v>2018-07-26-19:00</c:v>
                  </c:pt>
                  <c:pt idx="834">
                    <c:v>2018-07-26-20:00</c:v>
                  </c:pt>
                  <c:pt idx="835">
                    <c:v>2018-07-26-21:00</c:v>
                  </c:pt>
                  <c:pt idx="836">
                    <c:v>2018-07-26-22:00</c:v>
                  </c:pt>
                  <c:pt idx="837">
                    <c:v>2018-07-26-23:00</c:v>
                  </c:pt>
                  <c:pt idx="838">
                    <c:v>2018-07-27-00:00</c:v>
                  </c:pt>
                  <c:pt idx="839">
                    <c:v>2018-07-27-01:00</c:v>
                  </c:pt>
                  <c:pt idx="840">
                    <c:v>2018-07-27-02:00</c:v>
                  </c:pt>
                  <c:pt idx="841">
                    <c:v>2018-07-27-03:00</c:v>
                  </c:pt>
                  <c:pt idx="842">
                    <c:v>2018-07-27-04:00</c:v>
                  </c:pt>
                  <c:pt idx="843">
                    <c:v>2018-07-27-05:00</c:v>
                  </c:pt>
                  <c:pt idx="844">
                    <c:v>2018-07-27-06:00</c:v>
                  </c:pt>
                  <c:pt idx="845">
                    <c:v>2018-07-27-07:00</c:v>
                  </c:pt>
                  <c:pt idx="846">
                    <c:v>2018-07-27-08:00</c:v>
                  </c:pt>
                  <c:pt idx="847">
                    <c:v>2018-07-27-09:00</c:v>
                  </c:pt>
                  <c:pt idx="848">
                    <c:v>2018-07-27-10:00</c:v>
                  </c:pt>
                  <c:pt idx="849">
                    <c:v>2018-07-27-11:00</c:v>
                  </c:pt>
                  <c:pt idx="850">
                    <c:v>2018-07-26-12:00</c:v>
                  </c:pt>
                  <c:pt idx="851">
                    <c:v>2018-07-26-13:00</c:v>
                  </c:pt>
                  <c:pt idx="852">
                    <c:v>2018-07-26-14:00</c:v>
                  </c:pt>
                  <c:pt idx="853">
                    <c:v>2018-07-26-15:00</c:v>
                  </c:pt>
                  <c:pt idx="854">
                    <c:v>2018-07-26-16:00</c:v>
                  </c:pt>
                  <c:pt idx="855">
                    <c:v>2018-07-26-17:00</c:v>
                  </c:pt>
                  <c:pt idx="856">
                    <c:v>2018-07-26-18:00</c:v>
                  </c:pt>
                  <c:pt idx="857">
                    <c:v>2018-07-26-19:00</c:v>
                  </c:pt>
                  <c:pt idx="858">
                    <c:v>2018-07-26-20:00</c:v>
                  </c:pt>
                  <c:pt idx="859">
                    <c:v>2018-07-26-21:00</c:v>
                  </c:pt>
                  <c:pt idx="860">
                    <c:v>2018-07-26-22:00</c:v>
                  </c:pt>
                  <c:pt idx="861">
                    <c:v>2018-07-26-23:00</c:v>
                  </c:pt>
                  <c:pt idx="862">
                    <c:v>2018-07-27-00:00</c:v>
                  </c:pt>
                  <c:pt idx="863">
                    <c:v>2018-07-27-01:00</c:v>
                  </c:pt>
                  <c:pt idx="864">
                    <c:v>2018-07-27-02:00</c:v>
                  </c:pt>
                  <c:pt idx="865">
                    <c:v>2018-07-27-03:00</c:v>
                  </c:pt>
                  <c:pt idx="866">
                    <c:v>2018-07-27-04:00</c:v>
                  </c:pt>
                  <c:pt idx="867">
                    <c:v>2018-07-27-05:00</c:v>
                  </c:pt>
                  <c:pt idx="868">
                    <c:v>2018-07-27-06:00</c:v>
                  </c:pt>
                  <c:pt idx="869">
                    <c:v>2018-07-27-07:00</c:v>
                  </c:pt>
                  <c:pt idx="870">
                    <c:v>2018-07-27-08:00</c:v>
                  </c:pt>
                  <c:pt idx="871">
                    <c:v>2018-07-27-09:00</c:v>
                  </c:pt>
                  <c:pt idx="872">
                    <c:v>2018-07-27-10:00</c:v>
                  </c:pt>
                  <c:pt idx="873">
                    <c:v>2018-07-27-11:00</c:v>
                  </c:pt>
                  <c:pt idx="874">
                    <c:v>2018-07-27-12:00</c:v>
                  </c:pt>
                  <c:pt idx="875">
                    <c:v>2018-07-26-13:00</c:v>
                  </c:pt>
                  <c:pt idx="876">
                    <c:v>2018-07-26-14:00</c:v>
                  </c:pt>
                  <c:pt idx="877">
                    <c:v>2018-07-26-15:00</c:v>
                  </c:pt>
                  <c:pt idx="878">
                    <c:v>2018-07-26-16:00</c:v>
                  </c:pt>
                  <c:pt idx="879">
                    <c:v>2018-07-26-17:00</c:v>
                  </c:pt>
                  <c:pt idx="880">
                    <c:v>2018-07-26-18:00</c:v>
                  </c:pt>
                  <c:pt idx="881">
                    <c:v>2018-07-26-19:00</c:v>
                  </c:pt>
                  <c:pt idx="882">
                    <c:v>2018-07-26-20:00</c:v>
                  </c:pt>
                  <c:pt idx="883">
                    <c:v>2018-07-26-21:00</c:v>
                  </c:pt>
                  <c:pt idx="884">
                    <c:v>2018-07-26-22:00</c:v>
                  </c:pt>
                  <c:pt idx="885">
                    <c:v>2018-07-26-23:00</c:v>
                  </c:pt>
                  <c:pt idx="886">
                    <c:v>2018-07-27-00:00</c:v>
                  </c:pt>
                  <c:pt idx="887">
                    <c:v>2018-07-27-01:00</c:v>
                  </c:pt>
                  <c:pt idx="888">
                    <c:v>2018-07-27-02:00</c:v>
                  </c:pt>
                  <c:pt idx="889">
                    <c:v>2018-07-27-03:00</c:v>
                  </c:pt>
                  <c:pt idx="890">
                    <c:v>2018-07-27-04:00</c:v>
                  </c:pt>
                  <c:pt idx="891">
                    <c:v>2018-07-27-05:00</c:v>
                  </c:pt>
                  <c:pt idx="892">
                    <c:v>2018-07-27-06:00</c:v>
                  </c:pt>
                  <c:pt idx="893">
                    <c:v>2018-07-27-07:00</c:v>
                  </c:pt>
                  <c:pt idx="894">
                    <c:v>2018-07-27-08:00</c:v>
                  </c:pt>
                  <c:pt idx="895">
                    <c:v>2018-07-27-09:00</c:v>
                  </c:pt>
                  <c:pt idx="896">
                    <c:v>2018-07-27-10:00</c:v>
                  </c:pt>
                  <c:pt idx="897">
                    <c:v>2018-07-27-11:00</c:v>
                  </c:pt>
                  <c:pt idx="898">
                    <c:v>2018-07-27-12:00</c:v>
                  </c:pt>
                  <c:pt idx="899">
                    <c:v>2018-07-27-13:00</c:v>
                  </c:pt>
                  <c:pt idx="900">
                    <c:v>2018-07-26-14:00</c:v>
                  </c:pt>
                  <c:pt idx="901">
                    <c:v>2018-07-26-15:00</c:v>
                  </c:pt>
                  <c:pt idx="902">
                    <c:v>2018-07-26-16:00</c:v>
                  </c:pt>
                  <c:pt idx="903">
                    <c:v>2018-07-26-17:00</c:v>
                  </c:pt>
                  <c:pt idx="904">
                    <c:v>2018-07-26-18:00</c:v>
                  </c:pt>
                  <c:pt idx="905">
                    <c:v>2018-07-26-19:00</c:v>
                  </c:pt>
                  <c:pt idx="906">
                    <c:v>2018-07-26-20:00</c:v>
                  </c:pt>
                  <c:pt idx="907">
                    <c:v>2018-07-26-21:00</c:v>
                  </c:pt>
                  <c:pt idx="908">
                    <c:v>2018-07-26-22:00</c:v>
                  </c:pt>
                  <c:pt idx="909">
                    <c:v>2018-07-26-23:00</c:v>
                  </c:pt>
                  <c:pt idx="910">
                    <c:v>2018-07-27-00:00</c:v>
                  </c:pt>
                  <c:pt idx="911">
                    <c:v>2018-07-27-01:00</c:v>
                  </c:pt>
                  <c:pt idx="912">
                    <c:v>2018-07-27-02:00</c:v>
                  </c:pt>
                  <c:pt idx="913">
                    <c:v>2018-07-27-03:00</c:v>
                  </c:pt>
                  <c:pt idx="914">
                    <c:v>2018-07-27-04:00</c:v>
                  </c:pt>
                  <c:pt idx="915">
                    <c:v>2018-07-27-05:00</c:v>
                  </c:pt>
                  <c:pt idx="916">
                    <c:v>2018-07-27-06:00</c:v>
                  </c:pt>
                  <c:pt idx="917">
                    <c:v>2018-07-27-07:00</c:v>
                  </c:pt>
                  <c:pt idx="918">
                    <c:v>2018-07-27-08:00</c:v>
                  </c:pt>
                  <c:pt idx="919">
                    <c:v>2018-07-27-09:00</c:v>
                  </c:pt>
                  <c:pt idx="920">
                    <c:v>2018-07-27-10:00</c:v>
                  </c:pt>
                  <c:pt idx="921">
                    <c:v>2018-07-27-11:00</c:v>
                  </c:pt>
                  <c:pt idx="922">
                    <c:v>2018-07-27-12:00</c:v>
                  </c:pt>
                  <c:pt idx="923">
                    <c:v>2018-07-27-13:00</c:v>
                  </c:pt>
                  <c:pt idx="924">
                    <c:v>2018-07-27-14:00</c:v>
                  </c:pt>
                  <c:pt idx="925">
                    <c:v>2018-07-26-15:00</c:v>
                  </c:pt>
                  <c:pt idx="926">
                    <c:v>2018-07-26-16:00</c:v>
                  </c:pt>
                  <c:pt idx="927">
                    <c:v>2018-07-26-17:00</c:v>
                  </c:pt>
                  <c:pt idx="928">
                    <c:v>2018-07-26-18:00</c:v>
                  </c:pt>
                  <c:pt idx="929">
                    <c:v>2018-07-26-19:00</c:v>
                  </c:pt>
                  <c:pt idx="930">
                    <c:v>2018-07-26-20:00</c:v>
                  </c:pt>
                  <c:pt idx="931">
                    <c:v>2018-07-26-21:00</c:v>
                  </c:pt>
                  <c:pt idx="932">
                    <c:v>2018-07-26-22:00</c:v>
                  </c:pt>
                  <c:pt idx="933">
                    <c:v>2018-07-26-23:00</c:v>
                  </c:pt>
                  <c:pt idx="934">
                    <c:v>2018-07-27-00:00</c:v>
                  </c:pt>
                  <c:pt idx="935">
                    <c:v>2018-07-27-01:00</c:v>
                  </c:pt>
                  <c:pt idx="936">
                    <c:v>2018-07-27-02:00</c:v>
                  </c:pt>
                  <c:pt idx="937">
                    <c:v>2018-07-27-03:00</c:v>
                  </c:pt>
                  <c:pt idx="938">
                    <c:v>2018-07-27-04:00</c:v>
                  </c:pt>
                  <c:pt idx="939">
                    <c:v>2018-07-27-05:00</c:v>
                  </c:pt>
                  <c:pt idx="940">
                    <c:v>2018-07-27-06:00</c:v>
                  </c:pt>
                  <c:pt idx="941">
                    <c:v>2018-07-27-07:00</c:v>
                  </c:pt>
                  <c:pt idx="942">
                    <c:v>2018-07-27-08:00</c:v>
                  </c:pt>
                  <c:pt idx="943">
                    <c:v>2018-07-27-09:00</c:v>
                  </c:pt>
                  <c:pt idx="944">
                    <c:v>2018-07-27-10:00</c:v>
                  </c:pt>
                  <c:pt idx="945">
                    <c:v>2018-07-27-11:00</c:v>
                  </c:pt>
                  <c:pt idx="946">
                    <c:v>2018-07-27-12:00</c:v>
                  </c:pt>
                  <c:pt idx="947">
                    <c:v>2018-07-27-13:00</c:v>
                  </c:pt>
                  <c:pt idx="948">
                    <c:v>2018-07-27-14:00</c:v>
                  </c:pt>
                  <c:pt idx="949">
                    <c:v>2018-07-27-15:00</c:v>
                  </c:pt>
                  <c:pt idx="950">
                    <c:v>2018-07-26-16:00</c:v>
                  </c:pt>
                  <c:pt idx="951">
                    <c:v>2018-07-26-17:00</c:v>
                  </c:pt>
                  <c:pt idx="952">
                    <c:v>2018-07-26-18:00</c:v>
                  </c:pt>
                  <c:pt idx="953">
                    <c:v>2018-07-26-19:00</c:v>
                  </c:pt>
                  <c:pt idx="954">
                    <c:v>2018-07-26-20:00</c:v>
                  </c:pt>
                  <c:pt idx="955">
                    <c:v>2018-07-26-21:00</c:v>
                  </c:pt>
                  <c:pt idx="956">
                    <c:v>2018-07-26-22:00</c:v>
                  </c:pt>
                  <c:pt idx="957">
                    <c:v>2018-07-26-23:00</c:v>
                  </c:pt>
                  <c:pt idx="958">
                    <c:v>2018-07-27-00:00</c:v>
                  </c:pt>
                  <c:pt idx="959">
                    <c:v>2018-07-27-01:00</c:v>
                  </c:pt>
                  <c:pt idx="960">
                    <c:v>2018-07-27-02:00</c:v>
                  </c:pt>
                  <c:pt idx="961">
                    <c:v>2018-07-27-03:00</c:v>
                  </c:pt>
                  <c:pt idx="962">
                    <c:v>2018-07-27-04:00</c:v>
                  </c:pt>
                  <c:pt idx="963">
                    <c:v>2018-07-27-05:00</c:v>
                  </c:pt>
                  <c:pt idx="964">
                    <c:v>2018-07-27-06:00</c:v>
                  </c:pt>
                  <c:pt idx="965">
                    <c:v>2018-07-27-07:00</c:v>
                  </c:pt>
                  <c:pt idx="966">
                    <c:v>2018-07-27-08:00</c:v>
                  </c:pt>
                  <c:pt idx="967">
                    <c:v>2018-07-27-09:00</c:v>
                  </c:pt>
                  <c:pt idx="968">
                    <c:v>2018-07-27-10:00</c:v>
                  </c:pt>
                  <c:pt idx="969">
                    <c:v>2018-07-27-11:00</c:v>
                  </c:pt>
                  <c:pt idx="970">
                    <c:v>2018-07-27-12:00</c:v>
                  </c:pt>
                  <c:pt idx="971">
                    <c:v>2018-07-27-13:00</c:v>
                  </c:pt>
                  <c:pt idx="972">
                    <c:v>2018-07-27-14:00</c:v>
                  </c:pt>
                  <c:pt idx="973">
                    <c:v>2018-07-27-15:00</c:v>
                  </c:pt>
                  <c:pt idx="974">
                    <c:v>2018-07-27-16:00</c:v>
                  </c:pt>
                  <c:pt idx="975">
                    <c:v>2018-07-26-17:00</c:v>
                  </c:pt>
                  <c:pt idx="976">
                    <c:v>2018-07-26-18:00</c:v>
                  </c:pt>
                  <c:pt idx="977">
                    <c:v>2018-07-26-19:00</c:v>
                  </c:pt>
                  <c:pt idx="978">
                    <c:v>2018-07-26-20:00</c:v>
                  </c:pt>
                  <c:pt idx="979">
                    <c:v>2018-07-26-21:00</c:v>
                  </c:pt>
                  <c:pt idx="980">
                    <c:v>2018-07-26-22:00</c:v>
                  </c:pt>
                  <c:pt idx="981">
                    <c:v>2018-07-26-23:00</c:v>
                  </c:pt>
                  <c:pt idx="982">
                    <c:v>2018-07-27-00:00</c:v>
                  </c:pt>
                  <c:pt idx="983">
                    <c:v>2018-07-27-01:00</c:v>
                  </c:pt>
                  <c:pt idx="984">
                    <c:v>2018-07-27-02:00</c:v>
                  </c:pt>
                  <c:pt idx="985">
                    <c:v>2018-07-27-03:00</c:v>
                  </c:pt>
                  <c:pt idx="986">
                    <c:v>2018-07-27-04:00</c:v>
                  </c:pt>
                  <c:pt idx="987">
                    <c:v>2018-07-27-05:00</c:v>
                  </c:pt>
                  <c:pt idx="988">
                    <c:v>2018-07-27-06:00</c:v>
                  </c:pt>
                  <c:pt idx="989">
                    <c:v>2018-07-27-07:00</c:v>
                  </c:pt>
                  <c:pt idx="990">
                    <c:v>2018-07-27-08:00</c:v>
                  </c:pt>
                  <c:pt idx="991">
                    <c:v>2018-07-27-09:00</c:v>
                  </c:pt>
                  <c:pt idx="992">
                    <c:v>2018-07-27-10:00</c:v>
                  </c:pt>
                  <c:pt idx="993">
                    <c:v>2018-07-27-11:00</c:v>
                  </c:pt>
                  <c:pt idx="994">
                    <c:v>2018-07-27-12:00</c:v>
                  </c:pt>
                  <c:pt idx="995">
                    <c:v>2018-07-27-13:00</c:v>
                  </c:pt>
                  <c:pt idx="996">
                    <c:v>2018-07-27-14:00</c:v>
                  </c:pt>
                  <c:pt idx="997">
                    <c:v>2018-07-27-15:00</c:v>
                  </c:pt>
                  <c:pt idx="998">
                    <c:v>2018-07-27-16:00</c:v>
                  </c:pt>
                  <c:pt idx="999">
                    <c:v>2018-07-27-17:00</c:v>
                  </c:pt>
                  <c:pt idx="1000">
                    <c:v>2018-07-26-18:00</c:v>
                  </c:pt>
                  <c:pt idx="1001">
                    <c:v>2018-07-26-19:00</c:v>
                  </c:pt>
                  <c:pt idx="1002">
                    <c:v>2018-07-26-20:00</c:v>
                  </c:pt>
                  <c:pt idx="1003">
                    <c:v>2018-07-26-21:00</c:v>
                  </c:pt>
                  <c:pt idx="1004">
                    <c:v>2018-07-26-22:00</c:v>
                  </c:pt>
                  <c:pt idx="1005">
                    <c:v>2018-07-26-23:00</c:v>
                  </c:pt>
                  <c:pt idx="1006">
                    <c:v>2018-07-27-00:00</c:v>
                  </c:pt>
                  <c:pt idx="1007">
                    <c:v>2018-07-27-01:00</c:v>
                  </c:pt>
                  <c:pt idx="1008">
                    <c:v>2018-07-27-02:00</c:v>
                  </c:pt>
                  <c:pt idx="1009">
                    <c:v>2018-07-27-03:00</c:v>
                  </c:pt>
                  <c:pt idx="1010">
                    <c:v>2018-07-27-04:00</c:v>
                  </c:pt>
                  <c:pt idx="1011">
                    <c:v>2018-07-27-05:00</c:v>
                  </c:pt>
                  <c:pt idx="1012">
                    <c:v>2018-07-27-06:00</c:v>
                  </c:pt>
                  <c:pt idx="1013">
                    <c:v>2018-07-27-07:00</c:v>
                  </c:pt>
                  <c:pt idx="1014">
                    <c:v>2018-07-27-08:00</c:v>
                  </c:pt>
                  <c:pt idx="1015">
                    <c:v>2018-07-27-09:00</c:v>
                  </c:pt>
                  <c:pt idx="1016">
                    <c:v>2018-07-27-10:00</c:v>
                  </c:pt>
                  <c:pt idx="1017">
                    <c:v>2018-07-27-11:00</c:v>
                  </c:pt>
                  <c:pt idx="1018">
                    <c:v>2018-07-27-12:00</c:v>
                  </c:pt>
                  <c:pt idx="1019">
                    <c:v>2018-07-27-13:00</c:v>
                  </c:pt>
                  <c:pt idx="1020">
                    <c:v>2018-07-27-14:00</c:v>
                  </c:pt>
                  <c:pt idx="1021">
                    <c:v>2018-07-27-15:00</c:v>
                  </c:pt>
                  <c:pt idx="1022">
                    <c:v>2018-07-27-16:00</c:v>
                  </c:pt>
                  <c:pt idx="1023">
                    <c:v>2018-07-27-17:00</c:v>
                  </c:pt>
                  <c:pt idx="1024">
                    <c:v>2018-07-27-18:00</c:v>
                  </c:pt>
                  <c:pt idx="1025">
                    <c:v>2018-07-26-19:00</c:v>
                  </c:pt>
                  <c:pt idx="1026">
                    <c:v>2018-07-26-20:00</c:v>
                  </c:pt>
                  <c:pt idx="1027">
                    <c:v>2018-07-26-21:00</c:v>
                  </c:pt>
                  <c:pt idx="1028">
                    <c:v>2018-07-26-22:00</c:v>
                  </c:pt>
                  <c:pt idx="1029">
                    <c:v>2018-07-26-23:00</c:v>
                  </c:pt>
                  <c:pt idx="1030">
                    <c:v>2018-07-27-00:00</c:v>
                  </c:pt>
                  <c:pt idx="1031">
                    <c:v>2018-07-27-01:00</c:v>
                  </c:pt>
                  <c:pt idx="1032">
                    <c:v>2018-07-27-02:00</c:v>
                  </c:pt>
                  <c:pt idx="1033">
                    <c:v>2018-07-27-03:00</c:v>
                  </c:pt>
                  <c:pt idx="1034">
                    <c:v>2018-07-27-04:00</c:v>
                  </c:pt>
                  <c:pt idx="1035">
                    <c:v>2018-07-27-05:00</c:v>
                  </c:pt>
                  <c:pt idx="1036">
                    <c:v>2018-07-27-06:00</c:v>
                  </c:pt>
                  <c:pt idx="1037">
                    <c:v>2018-07-27-07:00</c:v>
                  </c:pt>
                  <c:pt idx="1038">
                    <c:v>2018-07-27-08:00</c:v>
                  </c:pt>
                  <c:pt idx="1039">
                    <c:v>2018-07-27-09:00</c:v>
                  </c:pt>
                  <c:pt idx="1040">
                    <c:v>2018-07-27-10:00</c:v>
                  </c:pt>
                  <c:pt idx="1041">
                    <c:v>2018-07-27-11:00</c:v>
                  </c:pt>
                  <c:pt idx="1042">
                    <c:v>2018-07-27-12:00</c:v>
                  </c:pt>
                  <c:pt idx="1043">
                    <c:v>2018-07-27-13:00</c:v>
                  </c:pt>
                  <c:pt idx="1044">
                    <c:v>2018-07-27-14:00</c:v>
                  </c:pt>
                  <c:pt idx="1045">
                    <c:v>2018-07-27-15:00</c:v>
                  </c:pt>
                  <c:pt idx="1046">
                    <c:v>2018-07-27-16:00</c:v>
                  </c:pt>
                  <c:pt idx="1047">
                    <c:v>2018-07-27-17:00</c:v>
                  </c:pt>
                  <c:pt idx="1048">
                    <c:v>2018-07-27-18:00</c:v>
                  </c:pt>
                  <c:pt idx="1049">
                    <c:v>2018-07-27-19:00</c:v>
                  </c:pt>
                  <c:pt idx="1050">
                    <c:v>2018-07-26-20:00</c:v>
                  </c:pt>
                  <c:pt idx="1051">
                    <c:v>2018-07-26-21:00</c:v>
                  </c:pt>
                  <c:pt idx="1052">
                    <c:v>2018-07-26-22:00</c:v>
                  </c:pt>
                  <c:pt idx="1053">
                    <c:v>2018-07-26-23:00</c:v>
                  </c:pt>
                  <c:pt idx="1054">
                    <c:v>2018-07-27-00:00</c:v>
                  </c:pt>
                  <c:pt idx="1055">
                    <c:v>2018-07-27-01:00</c:v>
                  </c:pt>
                  <c:pt idx="1056">
                    <c:v>2018-07-27-02:00</c:v>
                  </c:pt>
                  <c:pt idx="1057">
                    <c:v>2018-07-27-03:00</c:v>
                  </c:pt>
                  <c:pt idx="1058">
                    <c:v>2018-07-27-04:00</c:v>
                  </c:pt>
                  <c:pt idx="1059">
                    <c:v>2018-07-27-05:00</c:v>
                  </c:pt>
                  <c:pt idx="1060">
                    <c:v>2018-07-27-06:00</c:v>
                  </c:pt>
                  <c:pt idx="1061">
                    <c:v>2018-07-27-07:00</c:v>
                  </c:pt>
                  <c:pt idx="1062">
                    <c:v>2018-07-27-08:00</c:v>
                  </c:pt>
                  <c:pt idx="1063">
                    <c:v>2018-07-27-09:00</c:v>
                  </c:pt>
                  <c:pt idx="1064">
                    <c:v>2018-07-27-10:00</c:v>
                  </c:pt>
                  <c:pt idx="1065">
                    <c:v>2018-07-27-11:00</c:v>
                  </c:pt>
                  <c:pt idx="1066">
                    <c:v>2018-07-27-12:00</c:v>
                  </c:pt>
                  <c:pt idx="1067">
                    <c:v>2018-07-27-13:00</c:v>
                  </c:pt>
                  <c:pt idx="1068">
                    <c:v>2018-07-27-14:00</c:v>
                  </c:pt>
                  <c:pt idx="1069">
                    <c:v>2018-07-27-15:00</c:v>
                  </c:pt>
                  <c:pt idx="1070">
                    <c:v>2018-07-27-16:00</c:v>
                  </c:pt>
                  <c:pt idx="1071">
                    <c:v>2018-07-27-17:00</c:v>
                  </c:pt>
                  <c:pt idx="1072">
                    <c:v>2018-07-27-18:00</c:v>
                  </c:pt>
                  <c:pt idx="1073">
                    <c:v>2018-07-27-19:00</c:v>
                  </c:pt>
                  <c:pt idx="1074">
                    <c:v>2018-07-27-20:00</c:v>
                  </c:pt>
                  <c:pt idx="1075">
                    <c:v>2018-07-26-21:00</c:v>
                  </c:pt>
                  <c:pt idx="1076">
                    <c:v>2018-07-26-22:00</c:v>
                  </c:pt>
                  <c:pt idx="1077">
                    <c:v>2018-07-26-23:00</c:v>
                  </c:pt>
                  <c:pt idx="1078">
                    <c:v>2018-07-27-00:00</c:v>
                  </c:pt>
                  <c:pt idx="1079">
                    <c:v>2018-07-27-01:00</c:v>
                  </c:pt>
                  <c:pt idx="1080">
                    <c:v>2018-07-27-02:00</c:v>
                  </c:pt>
                  <c:pt idx="1081">
                    <c:v>2018-07-27-03:00</c:v>
                  </c:pt>
                  <c:pt idx="1082">
                    <c:v>2018-07-27-04:00</c:v>
                  </c:pt>
                  <c:pt idx="1083">
                    <c:v>2018-07-27-05:00</c:v>
                  </c:pt>
                  <c:pt idx="1084">
                    <c:v>2018-07-27-06:00</c:v>
                  </c:pt>
                  <c:pt idx="1085">
                    <c:v>2018-07-27-07:00</c:v>
                  </c:pt>
                  <c:pt idx="1086">
                    <c:v>2018-07-27-08:00</c:v>
                  </c:pt>
                  <c:pt idx="1087">
                    <c:v>2018-07-27-09:00</c:v>
                  </c:pt>
                  <c:pt idx="1088">
                    <c:v>2018-07-27-10:00</c:v>
                  </c:pt>
                  <c:pt idx="1089">
                    <c:v>2018-07-27-11:00</c:v>
                  </c:pt>
                  <c:pt idx="1090">
                    <c:v>2018-07-27-12:00</c:v>
                  </c:pt>
                  <c:pt idx="1091">
                    <c:v>2018-07-27-13:00</c:v>
                  </c:pt>
                  <c:pt idx="1092">
                    <c:v>2018-07-27-14:00</c:v>
                  </c:pt>
                  <c:pt idx="1093">
                    <c:v>2018-07-27-15:00</c:v>
                  </c:pt>
                  <c:pt idx="1094">
                    <c:v>2018-07-27-16:00</c:v>
                  </c:pt>
                  <c:pt idx="1095">
                    <c:v>2018-07-27-17:00</c:v>
                  </c:pt>
                  <c:pt idx="1096">
                    <c:v>2018-07-27-18:00</c:v>
                  </c:pt>
                  <c:pt idx="1097">
                    <c:v>2018-07-27-19:00</c:v>
                  </c:pt>
                  <c:pt idx="1098">
                    <c:v>2018-07-27-20:00</c:v>
                  </c:pt>
                  <c:pt idx="1099">
                    <c:v>2018-07-27-21:00</c:v>
                  </c:pt>
                  <c:pt idx="1100">
                    <c:v>2018-07-26-22:00</c:v>
                  </c:pt>
                  <c:pt idx="1101">
                    <c:v>2018-07-26-23:00</c:v>
                  </c:pt>
                  <c:pt idx="1102">
                    <c:v>2018-07-27-00:00</c:v>
                  </c:pt>
                  <c:pt idx="1103">
                    <c:v>2018-07-27-01:00</c:v>
                  </c:pt>
                  <c:pt idx="1104">
                    <c:v>2018-07-27-02:00</c:v>
                  </c:pt>
                  <c:pt idx="1105">
                    <c:v>2018-07-27-03:00</c:v>
                  </c:pt>
                  <c:pt idx="1106">
                    <c:v>2018-07-27-04:00</c:v>
                  </c:pt>
                  <c:pt idx="1107">
                    <c:v>2018-07-27-05:00</c:v>
                  </c:pt>
                  <c:pt idx="1108">
                    <c:v>2018-07-27-06:00</c:v>
                  </c:pt>
                  <c:pt idx="1109">
                    <c:v>2018-07-27-07:00</c:v>
                  </c:pt>
                  <c:pt idx="1110">
                    <c:v>2018-07-27-08:00</c:v>
                  </c:pt>
                  <c:pt idx="1111">
                    <c:v>2018-07-27-09:00</c:v>
                  </c:pt>
                  <c:pt idx="1112">
                    <c:v>2018-07-27-10:00</c:v>
                  </c:pt>
                  <c:pt idx="1113">
                    <c:v>2018-07-27-11:00</c:v>
                  </c:pt>
                  <c:pt idx="1114">
                    <c:v>2018-07-27-12:00</c:v>
                  </c:pt>
                  <c:pt idx="1115">
                    <c:v>2018-07-27-13:00</c:v>
                  </c:pt>
                  <c:pt idx="1116">
                    <c:v>2018-07-27-14:00</c:v>
                  </c:pt>
                  <c:pt idx="1117">
                    <c:v>2018-07-27-15:00</c:v>
                  </c:pt>
                  <c:pt idx="1118">
                    <c:v>2018-07-27-16:00</c:v>
                  </c:pt>
                  <c:pt idx="1119">
                    <c:v>2018-07-27-17:00</c:v>
                  </c:pt>
                  <c:pt idx="1120">
                    <c:v>2018-07-27-18:00</c:v>
                  </c:pt>
                  <c:pt idx="1121">
                    <c:v>2018-07-27-19:00</c:v>
                  </c:pt>
                  <c:pt idx="1122">
                    <c:v>2018-07-27-20:00</c:v>
                  </c:pt>
                  <c:pt idx="1123">
                    <c:v>2018-07-27-21:00</c:v>
                  </c:pt>
                  <c:pt idx="1124">
                    <c:v>2018-07-27-22:00</c:v>
                  </c:pt>
                  <c:pt idx="1125">
                    <c:v>2018-07-26-23:00</c:v>
                  </c:pt>
                  <c:pt idx="1126">
                    <c:v>2018-07-27-00:00</c:v>
                  </c:pt>
                  <c:pt idx="1127">
                    <c:v>2018-07-27-01:00</c:v>
                  </c:pt>
                  <c:pt idx="1128">
                    <c:v>2018-07-27-02:00</c:v>
                  </c:pt>
                  <c:pt idx="1129">
                    <c:v>2018-07-27-03:00</c:v>
                  </c:pt>
                  <c:pt idx="1130">
                    <c:v>2018-07-27-04:00</c:v>
                  </c:pt>
                  <c:pt idx="1131">
                    <c:v>2018-07-27-05:00</c:v>
                  </c:pt>
                  <c:pt idx="1132">
                    <c:v>2018-07-27-06:00</c:v>
                  </c:pt>
                  <c:pt idx="1133">
                    <c:v>2018-07-27-07:00</c:v>
                  </c:pt>
                  <c:pt idx="1134">
                    <c:v>2018-07-27-08:00</c:v>
                  </c:pt>
                  <c:pt idx="1135">
                    <c:v>2018-07-27-09:00</c:v>
                  </c:pt>
                  <c:pt idx="1136">
                    <c:v>2018-07-27-10:00</c:v>
                  </c:pt>
                  <c:pt idx="1137">
                    <c:v>2018-07-27-11:00</c:v>
                  </c:pt>
                  <c:pt idx="1138">
                    <c:v>2018-07-27-12:00</c:v>
                  </c:pt>
                  <c:pt idx="1139">
                    <c:v>2018-07-27-13:00</c:v>
                  </c:pt>
                  <c:pt idx="1140">
                    <c:v>2018-07-27-14:00</c:v>
                  </c:pt>
                  <c:pt idx="1141">
                    <c:v>2018-07-27-15:00</c:v>
                  </c:pt>
                  <c:pt idx="1142">
                    <c:v>2018-07-27-16:00</c:v>
                  </c:pt>
                  <c:pt idx="1143">
                    <c:v>2018-07-27-17:00</c:v>
                  </c:pt>
                  <c:pt idx="1144">
                    <c:v>2018-07-27-18:00</c:v>
                  </c:pt>
                  <c:pt idx="1145">
                    <c:v>2018-07-27-19:00</c:v>
                  </c:pt>
                  <c:pt idx="1146">
                    <c:v>2018-07-27-20:00</c:v>
                  </c:pt>
                  <c:pt idx="1147">
                    <c:v>2018-07-27-21:00</c:v>
                  </c:pt>
                  <c:pt idx="1148">
                    <c:v>2018-07-27-22:00</c:v>
                  </c:pt>
                  <c:pt idx="1149">
                    <c:v>2018-07-27-23:00</c:v>
                  </c:pt>
                  <c:pt idx="1150">
                    <c:v>2018-07-27-00:00</c:v>
                  </c:pt>
                  <c:pt idx="1151">
                    <c:v>2018-07-27-01:00</c:v>
                  </c:pt>
                  <c:pt idx="1152">
                    <c:v>2018-07-27-02:00</c:v>
                  </c:pt>
                  <c:pt idx="1153">
                    <c:v>2018-07-27-03:00</c:v>
                  </c:pt>
                  <c:pt idx="1154">
                    <c:v>2018-07-27-04:00</c:v>
                  </c:pt>
                  <c:pt idx="1155">
                    <c:v>2018-07-27-05:00</c:v>
                  </c:pt>
                  <c:pt idx="1156">
                    <c:v>2018-07-27-06:00</c:v>
                  </c:pt>
                  <c:pt idx="1157">
                    <c:v>2018-07-27-07:00</c:v>
                  </c:pt>
                  <c:pt idx="1158">
                    <c:v>2018-07-27-08:00</c:v>
                  </c:pt>
                  <c:pt idx="1159">
                    <c:v>2018-07-27-09:00</c:v>
                  </c:pt>
                  <c:pt idx="1160">
                    <c:v>2018-07-27-10:00</c:v>
                  </c:pt>
                  <c:pt idx="1161">
                    <c:v>2018-07-27-11:00</c:v>
                  </c:pt>
                  <c:pt idx="1162">
                    <c:v>2018-07-27-12:00</c:v>
                  </c:pt>
                  <c:pt idx="1163">
                    <c:v>2018-07-27-13:00</c:v>
                  </c:pt>
                  <c:pt idx="1164">
                    <c:v>2018-07-27-14:00</c:v>
                  </c:pt>
                  <c:pt idx="1165">
                    <c:v>2018-07-27-15:00</c:v>
                  </c:pt>
                  <c:pt idx="1166">
                    <c:v>2018-07-27-16:00</c:v>
                  </c:pt>
                  <c:pt idx="1167">
                    <c:v>2018-07-27-17:00</c:v>
                  </c:pt>
                  <c:pt idx="1168">
                    <c:v>2018-07-27-18:00</c:v>
                  </c:pt>
                  <c:pt idx="1169">
                    <c:v>2018-07-27-19:00</c:v>
                  </c:pt>
                  <c:pt idx="1170">
                    <c:v>2018-07-27-20:00</c:v>
                  </c:pt>
                  <c:pt idx="1171">
                    <c:v>2018-07-27-21:00</c:v>
                  </c:pt>
                  <c:pt idx="1172">
                    <c:v>2018-07-27-22:00</c:v>
                  </c:pt>
                  <c:pt idx="1173">
                    <c:v>2018-07-27-23:00</c:v>
                  </c:pt>
                  <c:pt idx="1174">
                    <c:v>2018-07-30-00:00</c:v>
                  </c:pt>
                  <c:pt idx="1175">
                    <c:v>2018-07-27-01:00</c:v>
                  </c:pt>
                  <c:pt idx="1176">
                    <c:v>2018-07-27-02:00</c:v>
                  </c:pt>
                  <c:pt idx="1177">
                    <c:v>2018-07-27-03:00</c:v>
                  </c:pt>
                  <c:pt idx="1178">
                    <c:v>2018-07-27-04:00</c:v>
                  </c:pt>
                  <c:pt idx="1179">
                    <c:v>2018-07-27-05:00</c:v>
                  </c:pt>
                  <c:pt idx="1180">
                    <c:v>2018-07-27-06:00</c:v>
                  </c:pt>
                  <c:pt idx="1181">
                    <c:v>2018-07-27-07:00</c:v>
                  </c:pt>
                  <c:pt idx="1182">
                    <c:v>2018-07-27-08:00</c:v>
                  </c:pt>
                  <c:pt idx="1183">
                    <c:v>2018-07-27-09:00</c:v>
                  </c:pt>
                  <c:pt idx="1184">
                    <c:v>2018-07-27-10:00</c:v>
                  </c:pt>
                  <c:pt idx="1185">
                    <c:v>2018-07-27-11:00</c:v>
                  </c:pt>
                  <c:pt idx="1186">
                    <c:v>2018-07-27-12:00</c:v>
                  </c:pt>
                  <c:pt idx="1187">
                    <c:v>2018-07-27-13:00</c:v>
                  </c:pt>
                  <c:pt idx="1188">
                    <c:v>2018-07-27-14:00</c:v>
                  </c:pt>
                  <c:pt idx="1189">
                    <c:v>2018-07-27-15:00</c:v>
                  </c:pt>
                  <c:pt idx="1190">
                    <c:v>2018-07-27-16:00</c:v>
                  </c:pt>
                  <c:pt idx="1191">
                    <c:v>2018-07-27-17:00</c:v>
                  </c:pt>
                  <c:pt idx="1192">
                    <c:v>2018-07-27-18:00</c:v>
                  </c:pt>
                  <c:pt idx="1193">
                    <c:v>2018-07-27-19:00</c:v>
                  </c:pt>
                  <c:pt idx="1194">
                    <c:v>2018-07-27-20:00</c:v>
                  </c:pt>
                  <c:pt idx="1195">
                    <c:v>2018-07-27-21:00</c:v>
                  </c:pt>
                  <c:pt idx="1196">
                    <c:v>2018-07-27-22:00</c:v>
                  </c:pt>
                  <c:pt idx="1197">
                    <c:v>2018-07-27-23:00</c:v>
                  </c:pt>
                  <c:pt idx="1198">
                    <c:v>2018-07-30-00:00</c:v>
                  </c:pt>
                  <c:pt idx="1199">
                    <c:v>2018-07-30-01:00</c:v>
                  </c:pt>
                  <c:pt idx="1200">
                    <c:v>2018-07-27-02:00</c:v>
                  </c:pt>
                  <c:pt idx="1201">
                    <c:v>2018-07-27-03:00</c:v>
                  </c:pt>
                  <c:pt idx="1202">
                    <c:v>2018-07-27-04:00</c:v>
                  </c:pt>
                  <c:pt idx="1203">
                    <c:v>2018-07-27-05:00</c:v>
                  </c:pt>
                  <c:pt idx="1204">
                    <c:v>2018-07-27-06:00</c:v>
                  </c:pt>
                  <c:pt idx="1205">
                    <c:v>2018-07-27-07:00</c:v>
                  </c:pt>
                  <c:pt idx="1206">
                    <c:v>2018-07-27-08:00</c:v>
                  </c:pt>
                  <c:pt idx="1207">
                    <c:v>2018-07-27-09:00</c:v>
                  </c:pt>
                  <c:pt idx="1208">
                    <c:v>2018-07-27-10:00</c:v>
                  </c:pt>
                  <c:pt idx="1209">
                    <c:v>2018-07-27-11:00</c:v>
                  </c:pt>
                  <c:pt idx="1210">
                    <c:v>2018-07-27-12:00</c:v>
                  </c:pt>
                  <c:pt idx="1211">
                    <c:v>2018-07-27-13:00</c:v>
                  </c:pt>
                  <c:pt idx="1212">
                    <c:v>2018-07-27-14:00</c:v>
                  </c:pt>
                  <c:pt idx="1213">
                    <c:v>2018-07-27-15:00</c:v>
                  </c:pt>
                  <c:pt idx="1214">
                    <c:v>2018-07-27-16:00</c:v>
                  </c:pt>
                  <c:pt idx="1215">
                    <c:v>2018-07-27-17:00</c:v>
                  </c:pt>
                  <c:pt idx="1216">
                    <c:v>2018-07-27-18:00</c:v>
                  </c:pt>
                  <c:pt idx="1217">
                    <c:v>2018-07-27-19:00</c:v>
                  </c:pt>
                  <c:pt idx="1218">
                    <c:v>2018-07-27-20:00</c:v>
                  </c:pt>
                  <c:pt idx="1219">
                    <c:v>2018-07-27-21:00</c:v>
                  </c:pt>
                  <c:pt idx="1220">
                    <c:v>2018-07-27-22:00</c:v>
                  </c:pt>
                  <c:pt idx="1221">
                    <c:v>2018-07-27-23:00</c:v>
                  </c:pt>
                  <c:pt idx="1222">
                    <c:v>2018-07-30-00:00</c:v>
                  </c:pt>
                  <c:pt idx="1223">
                    <c:v>2018-07-30-01:00</c:v>
                  </c:pt>
                  <c:pt idx="1224">
                    <c:v>2018-07-30-02:00</c:v>
                  </c:pt>
                  <c:pt idx="1225">
                    <c:v>2018-07-27-03:00</c:v>
                  </c:pt>
                  <c:pt idx="1226">
                    <c:v>2018-07-27-04:00</c:v>
                  </c:pt>
                  <c:pt idx="1227">
                    <c:v>2018-07-27-05:00</c:v>
                  </c:pt>
                  <c:pt idx="1228">
                    <c:v>2018-07-27-06:00</c:v>
                  </c:pt>
                  <c:pt idx="1229">
                    <c:v>2018-07-27-07:00</c:v>
                  </c:pt>
                  <c:pt idx="1230">
                    <c:v>2018-07-27-08:00</c:v>
                  </c:pt>
                  <c:pt idx="1231">
                    <c:v>2018-07-27-09:00</c:v>
                  </c:pt>
                  <c:pt idx="1232">
                    <c:v>2018-07-27-10:00</c:v>
                  </c:pt>
                  <c:pt idx="1233">
                    <c:v>2018-07-27-11:00</c:v>
                  </c:pt>
                  <c:pt idx="1234">
                    <c:v>2018-07-27-12:00</c:v>
                  </c:pt>
                  <c:pt idx="1235">
                    <c:v>2018-07-27-13:00</c:v>
                  </c:pt>
                  <c:pt idx="1236">
                    <c:v>2018-07-27-14:00</c:v>
                  </c:pt>
                  <c:pt idx="1237">
                    <c:v>2018-07-27-15:00</c:v>
                  </c:pt>
                  <c:pt idx="1238">
                    <c:v>2018-07-27-16:00</c:v>
                  </c:pt>
                  <c:pt idx="1239">
                    <c:v>2018-07-27-17:00</c:v>
                  </c:pt>
                  <c:pt idx="1240">
                    <c:v>2018-07-27-18:00</c:v>
                  </c:pt>
                  <c:pt idx="1241">
                    <c:v>2018-07-27-19:00</c:v>
                  </c:pt>
                  <c:pt idx="1242">
                    <c:v>2018-07-27-20:00</c:v>
                  </c:pt>
                  <c:pt idx="1243">
                    <c:v>2018-07-27-21:00</c:v>
                  </c:pt>
                  <c:pt idx="1244">
                    <c:v>2018-07-27-22:00</c:v>
                  </c:pt>
                  <c:pt idx="1245">
                    <c:v>2018-07-27-23:00</c:v>
                  </c:pt>
                  <c:pt idx="1246">
                    <c:v>2018-07-30-00:00</c:v>
                  </c:pt>
                  <c:pt idx="1247">
                    <c:v>2018-07-30-01:00</c:v>
                  </c:pt>
                  <c:pt idx="1248">
                    <c:v>2018-07-30-02:00</c:v>
                  </c:pt>
                  <c:pt idx="1249">
                    <c:v>2018-07-30-03:00</c:v>
                  </c:pt>
                  <c:pt idx="1250">
                    <c:v>2018-07-27-04:00</c:v>
                  </c:pt>
                  <c:pt idx="1251">
                    <c:v>2018-07-27-05:00</c:v>
                  </c:pt>
                  <c:pt idx="1252">
                    <c:v>2018-07-27-06:00</c:v>
                  </c:pt>
                  <c:pt idx="1253">
                    <c:v>2018-07-27-07:00</c:v>
                  </c:pt>
                  <c:pt idx="1254">
                    <c:v>2018-07-27-08:00</c:v>
                  </c:pt>
                  <c:pt idx="1255">
                    <c:v>2018-07-27-09:00</c:v>
                  </c:pt>
                  <c:pt idx="1256">
                    <c:v>2018-07-27-10:00</c:v>
                  </c:pt>
                  <c:pt idx="1257">
                    <c:v>2018-07-27-11:00</c:v>
                  </c:pt>
                  <c:pt idx="1258">
                    <c:v>2018-07-27-12:00</c:v>
                  </c:pt>
                  <c:pt idx="1259">
                    <c:v>2018-07-27-13:00</c:v>
                  </c:pt>
                  <c:pt idx="1260">
                    <c:v>2018-07-27-14:00</c:v>
                  </c:pt>
                  <c:pt idx="1261">
                    <c:v>2018-07-27-15:00</c:v>
                  </c:pt>
                  <c:pt idx="1262">
                    <c:v>2018-07-27-16:00</c:v>
                  </c:pt>
                  <c:pt idx="1263">
                    <c:v>2018-07-27-17:00</c:v>
                  </c:pt>
                  <c:pt idx="1264">
                    <c:v>2018-07-27-18:00</c:v>
                  </c:pt>
                  <c:pt idx="1265">
                    <c:v>2018-07-27-19:00</c:v>
                  </c:pt>
                  <c:pt idx="1266">
                    <c:v>2018-07-27-20:00</c:v>
                  </c:pt>
                  <c:pt idx="1267">
                    <c:v>2018-07-27-21:00</c:v>
                  </c:pt>
                  <c:pt idx="1268">
                    <c:v>2018-07-27-22:00</c:v>
                  </c:pt>
                  <c:pt idx="1269">
                    <c:v>2018-07-27-23:00</c:v>
                  </c:pt>
                  <c:pt idx="1270">
                    <c:v>2018-07-30-00:00</c:v>
                  </c:pt>
                  <c:pt idx="1271">
                    <c:v>2018-07-30-01:00</c:v>
                  </c:pt>
                  <c:pt idx="1272">
                    <c:v>2018-07-30-02:00</c:v>
                  </c:pt>
                  <c:pt idx="1273">
                    <c:v>2018-07-30-03:00</c:v>
                  </c:pt>
                  <c:pt idx="1274">
                    <c:v>2018-07-30-04:00</c:v>
                  </c:pt>
                  <c:pt idx="1275">
                    <c:v>2018-07-27-05:00</c:v>
                  </c:pt>
                  <c:pt idx="1276">
                    <c:v>2018-07-27-06:00</c:v>
                  </c:pt>
                  <c:pt idx="1277">
                    <c:v>2018-07-27-07:00</c:v>
                  </c:pt>
                  <c:pt idx="1278">
                    <c:v>2018-07-27-08:00</c:v>
                  </c:pt>
                  <c:pt idx="1279">
                    <c:v>2018-07-27-09:00</c:v>
                  </c:pt>
                  <c:pt idx="1280">
                    <c:v>2018-07-27-10:00</c:v>
                  </c:pt>
                  <c:pt idx="1281">
                    <c:v>2018-07-27-11:00</c:v>
                  </c:pt>
                  <c:pt idx="1282">
                    <c:v>2018-07-27-12:00</c:v>
                  </c:pt>
                  <c:pt idx="1283">
                    <c:v>2018-07-27-13:00</c:v>
                  </c:pt>
                  <c:pt idx="1284">
                    <c:v>2018-07-27-14:00</c:v>
                  </c:pt>
                  <c:pt idx="1285">
                    <c:v>2018-07-27-15:00</c:v>
                  </c:pt>
                  <c:pt idx="1286">
                    <c:v>2018-07-27-16:00</c:v>
                  </c:pt>
                  <c:pt idx="1287">
                    <c:v>2018-07-27-17:00</c:v>
                  </c:pt>
                  <c:pt idx="1288">
                    <c:v>2018-07-27-18:00</c:v>
                  </c:pt>
                  <c:pt idx="1289">
                    <c:v>2018-07-27-19:00</c:v>
                  </c:pt>
                  <c:pt idx="1290">
                    <c:v>2018-07-27-20:00</c:v>
                  </c:pt>
                  <c:pt idx="1291">
                    <c:v>2018-07-27-21:00</c:v>
                  </c:pt>
                  <c:pt idx="1292">
                    <c:v>2018-07-27-22:00</c:v>
                  </c:pt>
                  <c:pt idx="1293">
                    <c:v>2018-07-27-23:00</c:v>
                  </c:pt>
                  <c:pt idx="1294">
                    <c:v>2018-07-30-00:00</c:v>
                  </c:pt>
                  <c:pt idx="1295">
                    <c:v>2018-07-30-01:00</c:v>
                  </c:pt>
                  <c:pt idx="1296">
                    <c:v>2018-07-30-02:00</c:v>
                  </c:pt>
                  <c:pt idx="1297">
                    <c:v>2018-07-30-03:00</c:v>
                  </c:pt>
                  <c:pt idx="1298">
                    <c:v>2018-07-30-04:00</c:v>
                  </c:pt>
                  <c:pt idx="1299">
                    <c:v>2018-07-30-05:00</c:v>
                  </c:pt>
                  <c:pt idx="1300">
                    <c:v>2018-07-27-06:00</c:v>
                  </c:pt>
                  <c:pt idx="1301">
                    <c:v>2018-07-27-07:00</c:v>
                  </c:pt>
                  <c:pt idx="1302">
                    <c:v>2018-07-27-08:00</c:v>
                  </c:pt>
                  <c:pt idx="1303">
                    <c:v>2018-07-27-09:00</c:v>
                  </c:pt>
                  <c:pt idx="1304">
                    <c:v>2018-07-27-10:00</c:v>
                  </c:pt>
                  <c:pt idx="1305">
                    <c:v>2018-07-27-11:00</c:v>
                  </c:pt>
                  <c:pt idx="1306">
                    <c:v>2018-07-27-12:00</c:v>
                  </c:pt>
                  <c:pt idx="1307">
                    <c:v>2018-07-27-13:00</c:v>
                  </c:pt>
                  <c:pt idx="1308">
                    <c:v>2018-07-27-14:00</c:v>
                  </c:pt>
                  <c:pt idx="1309">
                    <c:v>2018-07-27-15:00</c:v>
                  </c:pt>
                  <c:pt idx="1310">
                    <c:v>2018-07-27-16:00</c:v>
                  </c:pt>
                  <c:pt idx="1311">
                    <c:v>2018-07-27-17:00</c:v>
                  </c:pt>
                  <c:pt idx="1312">
                    <c:v>2018-07-27-18:00</c:v>
                  </c:pt>
                  <c:pt idx="1313">
                    <c:v>2018-07-27-19:00</c:v>
                  </c:pt>
                  <c:pt idx="1314">
                    <c:v>2018-07-27-20:00</c:v>
                  </c:pt>
                  <c:pt idx="1315">
                    <c:v>2018-07-27-21:00</c:v>
                  </c:pt>
                  <c:pt idx="1316">
                    <c:v>2018-07-27-22:00</c:v>
                  </c:pt>
                  <c:pt idx="1317">
                    <c:v>2018-07-27-23:00</c:v>
                  </c:pt>
                  <c:pt idx="1318">
                    <c:v>2018-07-30-00:00</c:v>
                  </c:pt>
                  <c:pt idx="1319">
                    <c:v>2018-07-30-01:00</c:v>
                  </c:pt>
                  <c:pt idx="1320">
                    <c:v>2018-07-30-02:00</c:v>
                  </c:pt>
                  <c:pt idx="1321">
                    <c:v>2018-07-30-03:00</c:v>
                  </c:pt>
                  <c:pt idx="1322">
                    <c:v>2018-07-30-04:00</c:v>
                  </c:pt>
                  <c:pt idx="1323">
                    <c:v>2018-07-30-05:00</c:v>
                  </c:pt>
                  <c:pt idx="1324">
                    <c:v>2018-07-30-06:00</c:v>
                  </c:pt>
                  <c:pt idx="1325">
                    <c:v>2018-07-27-07:00</c:v>
                  </c:pt>
                  <c:pt idx="1326">
                    <c:v>2018-07-27-08:00</c:v>
                  </c:pt>
                  <c:pt idx="1327">
                    <c:v>2018-07-27-09:00</c:v>
                  </c:pt>
                  <c:pt idx="1328">
                    <c:v>2018-07-27-10:00</c:v>
                  </c:pt>
                  <c:pt idx="1329">
                    <c:v>2018-07-27-11:00</c:v>
                  </c:pt>
                  <c:pt idx="1330">
                    <c:v>2018-07-27-12:00</c:v>
                  </c:pt>
                  <c:pt idx="1331">
                    <c:v>2018-07-27-13:00</c:v>
                  </c:pt>
                  <c:pt idx="1332">
                    <c:v>2018-07-27-14:00</c:v>
                  </c:pt>
                  <c:pt idx="1333">
                    <c:v>2018-07-27-15:00</c:v>
                  </c:pt>
                  <c:pt idx="1334">
                    <c:v>2018-07-27-16:00</c:v>
                  </c:pt>
                  <c:pt idx="1335">
                    <c:v>2018-07-27-17:00</c:v>
                  </c:pt>
                  <c:pt idx="1336">
                    <c:v>2018-07-27-18:00</c:v>
                  </c:pt>
                  <c:pt idx="1337">
                    <c:v>2018-07-27-19:00</c:v>
                  </c:pt>
                  <c:pt idx="1338">
                    <c:v>2018-07-27-20:00</c:v>
                  </c:pt>
                  <c:pt idx="1339">
                    <c:v>2018-07-27-21:00</c:v>
                  </c:pt>
                  <c:pt idx="1340">
                    <c:v>2018-07-27-22:00</c:v>
                  </c:pt>
                  <c:pt idx="1341">
                    <c:v>2018-07-27-23:00</c:v>
                  </c:pt>
                  <c:pt idx="1342">
                    <c:v>2018-07-30-00:00</c:v>
                  </c:pt>
                  <c:pt idx="1343">
                    <c:v>2018-07-30-01:00</c:v>
                  </c:pt>
                  <c:pt idx="1344">
                    <c:v>2018-07-30-02:00</c:v>
                  </c:pt>
                  <c:pt idx="1345">
                    <c:v>2018-07-30-03:00</c:v>
                  </c:pt>
                  <c:pt idx="1346">
                    <c:v>2018-07-30-04:00</c:v>
                  </c:pt>
                  <c:pt idx="1347">
                    <c:v>2018-07-30-05:00</c:v>
                  </c:pt>
                  <c:pt idx="1348">
                    <c:v>2018-07-30-06:00</c:v>
                  </c:pt>
                  <c:pt idx="1349">
                    <c:v>2018-07-30-07:00</c:v>
                  </c:pt>
                  <c:pt idx="1350">
                    <c:v>2018-07-27-08:00</c:v>
                  </c:pt>
                  <c:pt idx="1351">
                    <c:v>2018-07-27-09:00</c:v>
                  </c:pt>
                  <c:pt idx="1352">
                    <c:v>2018-07-27-10:00</c:v>
                  </c:pt>
                  <c:pt idx="1353">
                    <c:v>2018-07-27-11:00</c:v>
                  </c:pt>
                  <c:pt idx="1354">
                    <c:v>2018-07-27-12:00</c:v>
                  </c:pt>
                  <c:pt idx="1355">
                    <c:v>2018-07-27-13:00</c:v>
                  </c:pt>
                  <c:pt idx="1356">
                    <c:v>2018-07-27-14:00</c:v>
                  </c:pt>
                  <c:pt idx="1357">
                    <c:v>2018-07-27-15:00</c:v>
                  </c:pt>
                  <c:pt idx="1358">
                    <c:v>2018-07-27-16:00</c:v>
                  </c:pt>
                  <c:pt idx="1359">
                    <c:v>2018-07-27-17:00</c:v>
                  </c:pt>
                  <c:pt idx="1360">
                    <c:v>2018-07-27-18:00</c:v>
                  </c:pt>
                  <c:pt idx="1361">
                    <c:v>2018-07-27-19:00</c:v>
                  </c:pt>
                  <c:pt idx="1362">
                    <c:v>2018-07-27-20:00</c:v>
                  </c:pt>
                  <c:pt idx="1363">
                    <c:v>2018-07-27-21:00</c:v>
                  </c:pt>
                  <c:pt idx="1364">
                    <c:v>2018-07-27-22:00</c:v>
                  </c:pt>
                  <c:pt idx="1365">
                    <c:v>2018-07-27-23:00</c:v>
                  </c:pt>
                  <c:pt idx="1366">
                    <c:v>2018-07-30-00:00</c:v>
                  </c:pt>
                  <c:pt idx="1367">
                    <c:v>2018-07-30-01:00</c:v>
                  </c:pt>
                  <c:pt idx="1368">
                    <c:v>2018-07-30-02:00</c:v>
                  </c:pt>
                  <c:pt idx="1369">
                    <c:v>2018-07-30-03:00</c:v>
                  </c:pt>
                  <c:pt idx="1370">
                    <c:v>2018-07-30-04:00</c:v>
                  </c:pt>
                  <c:pt idx="1371">
                    <c:v>2018-07-30-05:00</c:v>
                  </c:pt>
                  <c:pt idx="1372">
                    <c:v>2018-07-30-06:00</c:v>
                  </c:pt>
                  <c:pt idx="1373">
                    <c:v>2018-07-30-07:00</c:v>
                  </c:pt>
                  <c:pt idx="1374">
                    <c:v>2018-07-30-08:00</c:v>
                  </c:pt>
                  <c:pt idx="1375">
                    <c:v>2018-07-27-09:00</c:v>
                  </c:pt>
                  <c:pt idx="1376">
                    <c:v>2018-07-27-10:00</c:v>
                  </c:pt>
                  <c:pt idx="1377">
                    <c:v>2018-07-27-11:00</c:v>
                  </c:pt>
                  <c:pt idx="1378">
                    <c:v>2018-07-27-12:00</c:v>
                  </c:pt>
                  <c:pt idx="1379">
                    <c:v>2018-07-27-13:00</c:v>
                  </c:pt>
                  <c:pt idx="1380">
                    <c:v>2018-07-27-14:00</c:v>
                  </c:pt>
                  <c:pt idx="1381">
                    <c:v>2018-07-27-15:00</c:v>
                  </c:pt>
                  <c:pt idx="1382">
                    <c:v>2018-07-27-16:00</c:v>
                  </c:pt>
                  <c:pt idx="1383">
                    <c:v>2018-07-27-17:00</c:v>
                  </c:pt>
                  <c:pt idx="1384">
                    <c:v>2018-07-27-18:00</c:v>
                  </c:pt>
                  <c:pt idx="1385">
                    <c:v>2018-07-27-19:00</c:v>
                  </c:pt>
                  <c:pt idx="1386">
                    <c:v>2018-07-27-20:00</c:v>
                  </c:pt>
                  <c:pt idx="1387">
                    <c:v>2018-07-27-21:00</c:v>
                  </c:pt>
                  <c:pt idx="1388">
                    <c:v>2018-07-27-22:00</c:v>
                  </c:pt>
                  <c:pt idx="1389">
                    <c:v>2018-07-27-23:00</c:v>
                  </c:pt>
                  <c:pt idx="1390">
                    <c:v>2018-07-30-00:00</c:v>
                  </c:pt>
                  <c:pt idx="1391">
                    <c:v>2018-07-30-01:00</c:v>
                  </c:pt>
                  <c:pt idx="1392">
                    <c:v>2018-07-30-02:00</c:v>
                  </c:pt>
                  <c:pt idx="1393">
                    <c:v>2018-07-30-03:00</c:v>
                  </c:pt>
                  <c:pt idx="1394">
                    <c:v>2018-07-30-04:00</c:v>
                  </c:pt>
                  <c:pt idx="1395">
                    <c:v>2018-07-30-05:00</c:v>
                  </c:pt>
                  <c:pt idx="1396">
                    <c:v>2018-07-30-06:00</c:v>
                  </c:pt>
                  <c:pt idx="1397">
                    <c:v>2018-07-30-07:00</c:v>
                  </c:pt>
                  <c:pt idx="1398">
                    <c:v>2018-07-30-08:00</c:v>
                  </c:pt>
                  <c:pt idx="1399">
                    <c:v>2018-07-30-09:00</c:v>
                  </c:pt>
                  <c:pt idx="1400">
                    <c:v>2018-07-27-10:00</c:v>
                  </c:pt>
                  <c:pt idx="1401">
                    <c:v>2018-07-27-11:00</c:v>
                  </c:pt>
                  <c:pt idx="1402">
                    <c:v>2018-07-27-12:00</c:v>
                  </c:pt>
                  <c:pt idx="1403">
                    <c:v>2018-07-27-13:00</c:v>
                  </c:pt>
                  <c:pt idx="1404">
                    <c:v>2018-07-27-14:00</c:v>
                  </c:pt>
                  <c:pt idx="1405">
                    <c:v>2018-07-27-15:00</c:v>
                  </c:pt>
                  <c:pt idx="1406">
                    <c:v>2018-07-27-16:00</c:v>
                  </c:pt>
                  <c:pt idx="1407">
                    <c:v>2018-07-27-17:00</c:v>
                  </c:pt>
                  <c:pt idx="1408">
                    <c:v>2018-07-27-18:00</c:v>
                  </c:pt>
                  <c:pt idx="1409">
                    <c:v>2018-07-27-19:00</c:v>
                  </c:pt>
                  <c:pt idx="1410">
                    <c:v>2018-07-27-20:00</c:v>
                  </c:pt>
                  <c:pt idx="1411">
                    <c:v>2018-07-27-21:00</c:v>
                  </c:pt>
                  <c:pt idx="1412">
                    <c:v>2018-07-27-22:00</c:v>
                  </c:pt>
                  <c:pt idx="1413">
                    <c:v>2018-07-27-23:00</c:v>
                  </c:pt>
                  <c:pt idx="1414">
                    <c:v>2018-07-30-00:00</c:v>
                  </c:pt>
                  <c:pt idx="1415">
                    <c:v>2018-07-30-01:00</c:v>
                  </c:pt>
                  <c:pt idx="1416">
                    <c:v>2018-07-30-02:00</c:v>
                  </c:pt>
                  <c:pt idx="1417">
                    <c:v>2018-07-30-03:00</c:v>
                  </c:pt>
                  <c:pt idx="1418">
                    <c:v>2018-07-30-04:00</c:v>
                  </c:pt>
                  <c:pt idx="1419">
                    <c:v>2018-07-30-05:00</c:v>
                  </c:pt>
                  <c:pt idx="1420">
                    <c:v>2018-07-30-06:00</c:v>
                  </c:pt>
                  <c:pt idx="1421">
                    <c:v>2018-07-30-07:00</c:v>
                  </c:pt>
                  <c:pt idx="1422">
                    <c:v>2018-07-30-08:00</c:v>
                  </c:pt>
                  <c:pt idx="1423">
                    <c:v>2018-07-30-09:00</c:v>
                  </c:pt>
                  <c:pt idx="1424">
                    <c:v>2018-07-30-10:00</c:v>
                  </c:pt>
                  <c:pt idx="1425">
                    <c:v>2018-07-27-11:00</c:v>
                  </c:pt>
                  <c:pt idx="1426">
                    <c:v>2018-07-27-12:00</c:v>
                  </c:pt>
                  <c:pt idx="1427">
                    <c:v>2018-07-27-13:00</c:v>
                  </c:pt>
                  <c:pt idx="1428">
                    <c:v>2018-07-27-14:00</c:v>
                  </c:pt>
                  <c:pt idx="1429">
                    <c:v>2018-07-27-15:00</c:v>
                  </c:pt>
                  <c:pt idx="1430">
                    <c:v>2018-07-27-16:00</c:v>
                  </c:pt>
                  <c:pt idx="1431">
                    <c:v>2018-07-27-17:00</c:v>
                  </c:pt>
                  <c:pt idx="1432">
                    <c:v>2018-07-27-18:00</c:v>
                  </c:pt>
                  <c:pt idx="1433">
                    <c:v>2018-07-27-19:00</c:v>
                  </c:pt>
                  <c:pt idx="1434">
                    <c:v>2018-07-27-20:00</c:v>
                  </c:pt>
                  <c:pt idx="1435">
                    <c:v>2018-07-27-21:00</c:v>
                  </c:pt>
                  <c:pt idx="1436">
                    <c:v>2018-07-27-22:00</c:v>
                  </c:pt>
                  <c:pt idx="1437">
                    <c:v>2018-07-27-23:00</c:v>
                  </c:pt>
                  <c:pt idx="1438">
                    <c:v>2018-07-30-00:00</c:v>
                  </c:pt>
                  <c:pt idx="1439">
                    <c:v>2018-07-30-01:00</c:v>
                  </c:pt>
                  <c:pt idx="1440">
                    <c:v>2018-07-30-02:00</c:v>
                  </c:pt>
                  <c:pt idx="1441">
                    <c:v>2018-07-30-03:00</c:v>
                  </c:pt>
                  <c:pt idx="1442">
                    <c:v>2018-07-30-04:00</c:v>
                  </c:pt>
                  <c:pt idx="1443">
                    <c:v>2018-07-30-05:00</c:v>
                  </c:pt>
                  <c:pt idx="1444">
                    <c:v>2018-07-30-06:00</c:v>
                  </c:pt>
                  <c:pt idx="1445">
                    <c:v>2018-07-30-07:00</c:v>
                  </c:pt>
                  <c:pt idx="1446">
                    <c:v>2018-07-30-08:00</c:v>
                  </c:pt>
                  <c:pt idx="1447">
                    <c:v>2018-07-30-09:00</c:v>
                  </c:pt>
                  <c:pt idx="1448">
                    <c:v>2018-07-30-10:00</c:v>
                  </c:pt>
                  <c:pt idx="1449">
                    <c:v>2018-07-30-11:00</c:v>
                  </c:pt>
                  <c:pt idx="1450">
                    <c:v>2018-07-27-12:00</c:v>
                  </c:pt>
                  <c:pt idx="1451">
                    <c:v>2018-07-27-13:00</c:v>
                  </c:pt>
                  <c:pt idx="1452">
                    <c:v>2018-07-27-14:00</c:v>
                  </c:pt>
                  <c:pt idx="1453">
                    <c:v>2018-07-27-15:00</c:v>
                  </c:pt>
                  <c:pt idx="1454">
                    <c:v>2018-07-27-16:00</c:v>
                  </c:pt>
                  <c:pt idx="1455">
                    <c:v>2018-07-27-17:00</c:v>
                  </c:pt>
                  <c:pt idx="1456">
                    <c:v>2018-07-27-18:00</c:v>
                  </c:pt>
                  <c:pt idx="1457">
                    <c:v>2018-07-27-19:00</c:v>
                  </c:pt>
                  <c:pt idx="1458">
                    <c:v>2018-07-27-20:00</c:v>
                  </c:pt>
                  <c:pt idx="1459">
                    <c:v>2018-07-27-21:00</c:v>
                  </c:pt>
                  <c:pt idx="1460">
                    <c:v>2018-07-27-22:00</c:v>
                  </c:pt>
                  <c:pt idx="1461">
                    <c:v>2018-07-27-23:00</c:v>
                  </c:pt>
                  <c:pt idx="1462">
                    <c:v>2018-07-30-00:00</c:v>
                  </c:pt>
                  <c:pt idx="1463">
                    <c:v>2018-07-30-01:00</c:v>
                  </c:pt>
                  <c:pt idx="1464">
                    <c:v>2018-07-30-02:00</c:v>
                  </c:pt>
                  <c:pt idx="1465">
                    <c:v>2018-07-30-03:00</c:v>
                  </c:pt>
                  <c:pt idx="1466">
                    <c:v>2018-07-30-04:00</c:v>
                  </c:pt>
                  <c:pt idx="1467">
                    <c:v>2018-07-30-05:00</c:v>
                  </c:pt>
                  <c:pt idx="1468">
                    <c:v>2018-07-30-06:00</c:v>
                  </c:pt>
                  <c:pt idx="1469">
                    <c:v>2018-07-30-07:00</c:v>
                  </c:pt>
                  <c:pt idx="1470">
                    <c:v>2018-07-30-08:00</c:v>
                  </c:pt>
                  <c:pt idx="1471">
                    <c:v>2018-07-30-09:00</c:v>
                  </c:pt>
                  <c:pt idx="1472">
                    <c:v>2018-07-30-10:00</c:v>
                  </c:pt>
                  <c:pt idx="1473">
                    <c:v>2018-07-30-11:00</c:v>
                  </c:pt>
                  <c:pt idx="1474">
                    <c:v>2018-07-30-12:00</c:v>
                  </c:pt>
                  <c:pt idx="1475">
                    <c:v>2018-07-27-13:00</c:v>
                  </c:pt>
                  <c:pt idx="1476">
                    <c:v>2018-07-27-14:00</c:v>
                  </c:pt>
                  <c:pt idx="1477">
                    <c:v>2018-07-27-15:00</c:v>
                  </c:pt>
                  <c:pt idx="1478">
                    <c:v>2018-07-27-16:00</c:v>
                  </c:pt>
                  <c:pt idx="1479">
                    <c:v>2018-07-27-17:00</c:v>
                  </c:pt>
                  <c:pt idx="1480">
                    <c:v>2018-07-27-18:00</c:v>
                  </c:pt>
                  <c:pt idx="1481">
                    <c:v>2018-07-27-19:00</c:v>
                  </c:pt>
                  <c:pt idx="1482">
                    <c:v>2018-07-27-20:00</c:v>
                  </c:pt>
                  <c:pt idx="1483">
                    <c:v>2018-07-27-21:00</c:v>
                  </c:pt>
                  <c:pt idx="1484">
                    <c:v>2018-07-27-22:00</c:v>
                  </c:pt>
                  <c:pt idx="1485">
                    <c:v>2018-07-27-23:00</c:v>
                  </c:pt>
                  <c:pt idx="1486">
                    <c:v>2018-07-30-00:00</c:v>
                  </c:pt>
                  <c:pt idx="1487">
                    <c:v>2018-07-30-01:00</c:v>
                  </c:pt>
                  <c:pt idx="1488">
                    <c:v>2018-07-30-02:00</c:v>
                  </c:pt>
                  <c:pt idx="1489">
                    <c:v>2018-07-30-03:00</c:v>
                  </c:pt>
                  <c:pt idx="1490">
                    <c:v>2018-07-30-04:00</c:v>
                  </c:pt>
                  <c:pt idx="1491">
                    <c:v>2018-07-30-05:00</c:v>
                  </c:pt>
                  <c:pt idx="1492">
                    <c:v>2018-07-30-06:00</c:v>
                  </c:pt>
                  <c:pt idx="1493">
                    <c:v>2018-07-30-07:00</c:v>
                  </c:pt>
                  <c:pt idx="1494">
                    <c:v>2018-07-30-08:00</c:v>
                  </c:pt>
                  <c:pt idx="1495">
                    <c:v>2018-07-30-09:00</c:v>
                  </c:pt>
                  <c:pt idx="1496">
                    <c:v>2018-07-30-10:00</c:v>
                  </c:pt>
                  <c:pt idx="1497">
                    <c:v>2018-07-30-11:00</c:v>
                  </c:pt>
                  <c:pt idx="1498">
                    <c:v>2018-07-30-12:00</c:v>
                  </c:pt>
                  <c:pt idx="1499">
                    <c:v>2018-07-30-13:00</c:v>
                  </c:pt>
                  <c:pt idx="1500">
                    <c:v>2018-07-27-14:00</c:v>
                  </c:pt>
                  <c:pt idx="1501">
                    <c:v>2018-07-27-15:00</c:v>
                  </c:pt>
                  <c:pt idx="1502">
                    <c:v>2018-07-27-16:00</c:v>
                  </c:pt>
                  <c:pt idx="1503">
                    <c:v>2018-07-27-17:00</c:v>
                  </c:pt>
                  <c:pt idx="1504">
                    <c:v>2018-07-27-18:00</c:v>
                  </c:pt>
                  <c:pt idx="1505">
                    <c:v>2018-07-27-19:00</c:v>
                  </c:pt>
                  <c:pt idx="1506">
                    <c:v>2018-07-27-20:00</c:v>
                  </c:pt>
                  <c:pt idx="1507">
                    <c:v>2018-07-27-21:00</c:v>
                  </c:pt>
                  <c:pt idx="1508">
                    <c:v>2018-07-27-22:00</c:v>
                  </c:pt>
                  <c:pt idx="1509">
                    <c:v>2018-07-27-23:00</c:v>
                  </c:pt>
                  <c:pt idx="1510">
                    <c:v>2018-07-30-00:00</c:v>
                  </c:pt>
                  <c:pt idx="1511">
                    <c:v>2018-07-30-01:00</c:v>
                  </c:pt>
                  <c:pt idx="1512">
                    <c:v>2018-07-30-02:00</c:v>
                  </c:pt>
                  <c:pt idx="1513">
                    <c:v>2018-07-30-03:00</c:v>
                  </c:pt>
                  <c:pt idx="1514">
                    <c:v>2018-07-30-04:00</c:v>
                  </c:pt>
                  <c:pt idx="1515">
                    <c:v>2018-07-30-05:00</c:v>
                  </c:pt>
                  <c:pt idx="1516">
                    <c:v>2018-07-30-06:00</c:v>
                  </c:pt>
                  <c:pt idx="1517">
                    <c:v>2018-07-30-07:00</c:v>
                  </c:pt>
                  <c:pt idx="1518">
                    <c:v>2018-07-30-08:00</c:v>
                  </c:pt>
                  <c:pt idx="1519">
                    <c:v>2018-07-30-09:00</c:v>
                  </c:pt>
                  <c:pt idx="1520">
                    <c:v>2018-07-30-10:00</c:v>
                  </c:pt>
                  <c:pt idx="1521">
                    <c:v>2018-07-30-11:00</c:v>
                  </c:pt>
                  <c:pt idx="1522">
                    <c:v>2018-07-30-12:00</c:v>
                  </c:pt>
                  <c:pt idx="1523">
                    <c:v>2018-07-30-13:00</c:v>
                  </c:pt>
                  <c:pt idx="1524">
                    <c:v>2018-07-30-14:00</c:v>
                  </c:pt>
                  <c:pt idx="1525">
                    <c:v>2018-07-27-15:00</c:v>
                  </c:pt>
                  <c:pt idx="1526">
                    <c:v>2018-07-27-16:00</c:v>
                  </c:pt>
                  <c:pt idx="1527">
                    <c:v>2018-07-27-17:00</c:v>
                  </c:pt>
                  <c:pt idx="1528">
                    <c:v>2018-07-27-18:00</c:v>
                  </c:pt>
                  <c:pt idx="1529">
                    <c:v>2018-07-27-19:00</c:v>
                  </c:pt>
                  <c:pt idx="1530">
                    <c:v>2018-07-27-20:00</c:v>
                  </c:pt>
                  <c:pt idx="1531">
                    <c:v>2018-07-27-21:00</c:v>
                  </c:pt>
                  <c:pt idx="1532">
                    <c:v>2018-07-27-22:00</c:v>
                  </c:pt>
                  <c:pt idx="1533">
                    <c:v>2018-07-27-23:00</c:v>
                  </c:pt>
                  <c:pt idx="1534">
                    <c:v>2018-07-30-00:00</c:v>
                  </c:pt>
                  <c:pt idx="1535">
                    <c:v>2018-07-30-01:00</c:v>
                  </c:pt>
                  <c:pt idx="1536">
                    <c:v>2018-07-30-02:00</c:v>
                  </c:pt>
                  <c:pt idx="1537">
                    <c:v>2018-07-30-03:00</c:v>
                  </c:pt>
                  <c:pt idx="1538">
                    <c:v>2018-07-30-04:00</c:v>
                  </c:pt>
                  <c:pt idx="1539">
                    <c:v>2018-07-30-05:00</c:v>
                  </c:pt>
                  <c:pt idx="1540">
                    <c:v>2018-07-30-06:00</c:v>
                  </c:pt>
                  <c:pt idx="1541">
                    <c:v>2018-07-30-07:00</c:v>
                  </c:pt>
                  <c:pt idx="1542">
                    <c:v>2018-07-30-08:00</c:v>
                  </c:pt>
                  <c:pt idx="1543">
                    <c:v>2018-07-30-09:00</c:v>
                  </c:pt>
                  <c:pt idx="1544">
                    <c:v>2018-07-30-10:00</c:v>
                  </c:pt>
                  <c:pt idx="1545">
                    <c:v>2018-07-30-11:00</c:v>
                  </c:pt>
                  <c:pt idx="1546">
                    <c:v>2018-07-30-12:00</c:v>
                  </c:pt>
                  <c:pt idx="1547">
                    <c:v>2018-07-30-13:00</c:v>
                  </c:pt>
                  <c:pt idx="1548">
                    <c:v>2018-07-30-14:00</c:v>
                  </c:pt>
                  <c:pt idx="1549">
                    <c:v>2018-07-30-15:00</c:v>
                  </c:pt>
                  <c:pt idx="1550">
                    <c:v>2018-07-27-16:00</c:v>
                  </c:pt>
                  <c:pt idx="1551">
                    <c:v>2018-07-27-17:00</c:v>
                  </c:pt>
                  <c:pt idx="1552">
                    <c:v>2018-07-27-18:00</c:v>
                  </c:pt>
                  <c:pt idx="1553">
                    <c:v>2018-07-27-19:00</c:v>
                  </c:pt>
                  <c:pt idx="1554">
                    <c:v>2018-07-27-20:00</c:v>
                  </c:pt>
                  <c:pt idx="1555">
                    <c:v>2018-07-27-21:00</c:v>
                  </c:pt>
                  <c:pt idx="1556">
                    <c:v>2018-07-27-22:00</c:v>
                  </c:pt>
                  <c:pt idx="1557">
                    <c:v>2018-07-27-23:00</c:v>
                  </c:pt>
                  <c:pt idx="1558">
                    <c:v>2018-07-30-00:00</c:v>
                  </c:pt>
                  <c:pt idx="1559">
                    <c:v>2018-07-30-01:00</c:v>
                  </c:pt>
                  <c:pt idx="1560">
                    <c:v>2018-07-30-02:00</c:v>
                  </c:pt>
                  <c:pt idx="1561">
                    <c:v>2018-07-30-03:00</c:v>
                  </c:pt>
                  <c:pt idx="1562">
                    <c:v>2018-07-30-04:00</c:v>
                  </c:pt>
                  <c:pt idx="1563">
                    <c:v>2018-07-30-05:00</c:v>
                  </c:pt>
                  <c:pt idx="1564">
                    <c:v>2018-07-30-06:00</c:v>
                  </c:pt>
                  <c:pt idx="1565">
                    <c:v>2018-07-30-07:00</c:v>
                  </c:pt>
                  <c:pt idx="1566">
                    <c:v>2018-07-30-08:00</c:v>
                  </c:pt>
                  <c:pt idx="1567">
                    <c:v>2018-07-30-09:00</c:v>
                  </c:pt>
                  <c:pt idx="1568">
                    <c:v>2018-07-30-10:00</c:v>
                  </c:pt>
                  <c:pt idx="1569">
                    <c:v>2018-07-30-11:00</c:v>
                  </c:pt>
                  <c:pt idx="1570">
                    <c:v>2018-07-30-12:00</c:v>
                  </c:pt>
                  <c:pt idx="1571">
                    <c:v>2018-07-30-13:00</c:v>
                  </c:pt>
                  <c:pt idx="1572">
                    <c:v>2018-07-30-14:00</c:v>
                  </c:pt>
                  <c:pt idx="1573">
                    <c:v>2018-07-30-15:00</c:v>
                  </c:pt>
                  <c:pt idx="1574">
                    <c:v>2018-07-30-16:00</c:v>
                  </c:pt>
                  <c:pt idx="1575">
                    <c:v>2018-07-27-17:00</c:v>
                  </c:pt>
                  <c:pt idx="1576">
                    <c:v>2018-07-27-18:00</c:v>
                  </c:pt>
                  <c:pt idx="1577">
                    <c:v>2018-07-27-19:00</c:v>
                  </c:pt>
                  <c:pt idx="1578">
                    <c:v>2018-07-27-20:00</c:v>
                  </c:pt>
                  <c:pt idx="1579">
                    <c:v>2018-07-27-21:00</c:v>
                  </c:pt>
                  <c:pt idx="1580">
                    <c:v>2018-07-27-22:00</c:v>
                  </c:pt>
                  <c:pt idx="1581">
                    <c:v>2018-07-27-23:00</c:v>
                  </c:pt>
                  <c:pt idx="1582">
                    <c:v>2018-07-30-00:00</c:v>
                  </c:pt>
                  <c:pt idx="1583">
                    <c:v>2018-07-30-01:00</c:v>
                  </c:pt>
                  <c:pt idx="1584">
                    <c:v>2018-07-30-02:00</c:v>
                  </c:pt>
                  <c:pt idx="1585">
                    <c:v>2018-07-30-03:00</c:v>
                  </c:pt>
                  <c:pt idx="1586">
                    <c:v>2018-07-30-04:00</c:v>
                  </c:pt>
                  <c:pt idx="1587">
                    <c:v>2018-07-30-05:00</c:v>
                  </c:pt>
                  <c:pt idx="1588">
                    <c:v>2018-07-30-06:00</c:v>
                  </c:pt>
                  <c:pt idx="1589">
                    <c:v>2018-07-30-07:00</c:v>
                  </c:pt>
                  <c:pt idx="1590">
                    <c:v>2018-07-30-08:00</c:v>
                  </c:pt>
                  <c:pt idx="1591">
                    <c:v>2018-07-30-09:00</c:v>
                  </c:pt>
                  <c:pt idx="1592">
                    <c:v>2018-07-30-10:00</c:v>
                  </c:pt>
                  <c:pt idx="1593">
                    <c:v>2018-07-30-11:00</c:v>
                  </c:pt>
                  <c:pt idx="1594">
                    <c:v>2018-07-30-12:00</c:v>
                  </c:pt>
                  <c:pt idx="1595">
                    <c:v>2018-07-30-13:00</c:v>
                  </c:pt>
                  <c:pt idx="1596">
                    <c:v>2018-07-30-14:00</c:v>
                  </c:pt>
                  <c:pt idx="1597">
                    <c:v>2018-07-30-15:00</c:v>
                  </c:pt>
                  <c:pt idx="1598">
                    <c:v>2018-07-30-16:00</c:v>
                  </c:pt>
                  <c:pt idx="1599">
                    <c:v>2018-07-30-17:00</c:v>
                  </c:pt>
                  <c:pt idx="1600">
                    <c:v>2018-07-27-18:00</c:v>
                  </c:pt>
                  <c:pt idx="1601">
                    <c:v>2018-07-27-19:00</c:v>
                  </c:pt>
                  <c:pt idx="1602">
                    <c:v>2018-07-27-20:00</c:v>
                  </c:pt>
                  <c:pt idx="1603">
                    <c:v>2018-07-27-21:00</c:v>
                  </c:pt>
                  <c:pt idx="1604">
                    <c:v>2018-07-27-22:00</c:v>
                  </c:pt>
                  <c:pt idx="1605">
                    <c:v>2018-07-27-23:00</c:v>
                  </c:pt>
                  <c:pt idx="1606">
                    <c:v>2018-07-30-00:00</c:v>
                  </c:pt>
                  <c:pt idx="1607">
                    <c:v>2018-07-30-01:00</c:v>
                  </c:pt>
                  <c:pt idx="1608">
                    <c:v>2018-07-30-02:00</c:v>
                  </c:pt>
                  <c:pt idx="1609">
                    <c:v>2018-07-30-03:00</c:v>
                  </c:pt>
                  <c:pt idx="1610">
                    <c:v>2018-07-30-04:00</c:v>
                  </c:pt>
                  <c:pt idx="1611">
                    <c:v>2018-07-30-05:00</c:v>
                  </c:pt>
                  <c:pt idx="1612">
                    <c:v>2018-07-30-06:00</c:v>
                  </c:pt>
                  <c:pt idx="1613">
                    <c:v>2018-07-30-07:00</c:v>
                  </c:pt>
                  <c:pt idx="1614">
                    <c:v>2018-07-30-08:00</c:v>
                  </c:pt>
                  <c:pt idx="1615">
                    <c:v>2018-07-30-09:00</c:v>
                  </c:pt>
                  <c:pt idx="1616">
                    <c:v>2018-07-30-10:00</c:v>
                  </c:pt>
                  <c:pt idx="1617">
                    <c:v>2018-07-30-11:00</c:v>
                  </c:pt>
                  <c:pt idx="1618">
                    <c:v>2018-07-30-12:00</c:v>
                  </c:pt>
                  <c:pt idx="1619">
                    <c:v>2018-07-30-13:00</c:v>
                  </c:pt>
                  <c:pt idx="1620">
                    <c:v>2018-07-30-14:00</c:v>
                  </c:pt>
                  <c:pt idx="1621">
                    <c:v>2018-07-30-15:00</c:v>
                  </c:pt>
                  <c:pt idx="1622">
                    <c:v>2018-07-30-16:00</c:v>
                  </c:pt>
                  <c:pt idx="1623">
                    <c:v>2018-07-30-18:00</c:v>
                  </c:pt>
                  <c:pt idx="1624">
                    <c:v>2018-07-30-17:00</c:v>
                  </c:pt>
                  <c:pt idx="1625">
                    <c:v>2018-07-27-19:00</c:v>
                  </c:pt>
                  <c:pt idx="1626">
                    <c:v>2018-07-27-20:00</c:v>
                  </c:pt>
                  <c:pt idx="1627">
                    <c:v>2018-07-27-21:00</c:v>
                  </c:pt>
                  <c:pt idx="1628">
                    <c:v>2018-07-27-22:00</c:v>
                  </c:pt>
                  <c:pt idx="1629">
                    <c:v>2018-07-27-23:00</c:v>
                  </c:pt>
                  <c:pt idx="1630">
                    <c:v>2018-07-30-00:00</c:v>
                  </c:pt>
                  <c:pt idx="1631">
                    <c:v>2018-07-30-01:00</c:v>
                  </c:pt>
                  <c:pt idx="1632">
                    <c:v>2018-07-30-02:00</c:v>
                  </c:pt>
                  <c:pt idx="1633">
                    <c:v>2018-07-30-03:00</c:v>
                  </c:pt>
                  <c:pt idx="1634">
                    <c:v>2018-07-30-04:00</c:v>
                  </c:pt>
                  <c:pt idx="1635">
                    <c:v>2018-07-30-05:00</c:v>
                  </c:pt>
                  <c:pt idx="1636">
                    <c:v>2018-07-30-06:00</c:v>
                  </c:pt>
                  <c:pt idx="1637">
                    <c:v>2018-07-30-07:00</c:v>
                  </c:pt>
                  <c:pt idx="1638">
                    <c:v>2018-07-30-08:00</c:v>
                  </c:pt>
                  <c:pt idx="1639">
                    <c:v>2018-07-30-09:00</c:v>
                  </c:pt>
                  <c:pt idx="1640">
                    <c:v>2018-07-30-10:00</c:v>
                  </c:pt>
                  <c:pt idx="1641">
                    <c:v>2018-07-30-11:00</c:v>
                  </c:pt>
                  <c:pt idx="1642">
                    <c:v>2018-07-30-12:00</c:v>
                  </c:pt>
                  <c:pt idx="1643">
                    <c:v>2018-07-30-13:00</c:v>
                  </c:pt>
                  <c:pt idx="1644">
                    <c:v>2018-07-30-14:00</c:v>
                  </c:pt>
                  <c:pt idx="1645">
                    <c:v>2018-07-30-15:00</c:v>
                  </c:pt>
                  <c:pt idx="1646">
                    <c:v>2018-07-30-16:00</c:v>
                  </c:pt>
                  <c:pt idx="1647">
                    <c:v>2018-07-30-18:00</c:v>
                  </c:pt>
                  <c:pt idx="1648">
                    <c:v>2018-07-30-19:00</c:v>
                  </c:pt>
                  <c:pt idx="1649">
                    <c:v>2018-07-30-17:00</c:v>
                  </c:pt>
                  <c:pt idx="1650">
                    <c:v>2018-07-27-20:00</c:v>
                  </c:pt>
                  <c:pt idx="1651">
                    <c:v>2018-07-27-21:00</c:v>
                  </c:pt>
                  <c:pt idx="1652">
                    <c:v>2018-07-27-22:00</c:v>
                  </c:pt>
                  <c:pt idx="1653">
                    <c:v>2018-07-27-23:00</c:v>
                  </c:pt>
                  <c:pt idx="1654">
                    <c:v>2018-07-30-00:00</c:v>
                  </c:pt>
                  <c:pt idx="1655">
                    <c:v>2018-07-30-01:00</c:v>
                  </c:pt>
                  <c:pt idx="1656">
                    <c:v>2018-07-30-02:00</c:v>
                  </c:pt>
                  <c:pt idx="1657">
                    <c:v>2018-07-30-03:00</c:v>
                  </c:pt>
                  <c:pt idx="1658">
                    <c:v>2018-07-30-04:00</c:v>
                  </c:pt>
                  <c:pt idx="1659">
                    <c:v>2018-07-30-05:00</c:v>
                  </c:pt>
                  <c:pt idx="1660">
                    <c:v>2018-07-30-06:00</c:v>
                  </c:pt>
                  <c:pt idx="1661">
                    <c:v>2018-07-30-07:00</c:v>
                  </c:pt>
                  <c:pt idx="1662">
                    <c:v>2018-07-30-08:00</c:v>
                  </c:pt>
                  <c:pt idx="1663">
                    <c:v>2018-07-30-09:00</c:v>
                  </c:pt>
                  <c:pt idx="1664">
                    <c:v>2018-07-30-10:00</c:v>
                  </c:pt>
                  <c:pt idx="1665">
                    <c:v>2018-07-30-11:00</c:v>
                  </c:pt>
                  <c:pt idx="1666">
                    <c:v>2018-07-30-12:00</c:v>
                  </c:pt>
                  <c:pt idx="1667">
                    <c:v>2018-07-30-13:00</c:v>
                  </c:pt>
                  <c:pt idx="1668">
                    <c:v>2018-07-30-14:00</c:v>
                  </c:pt>
                  <c:pt idx="1669">
                    <c:v>2018-07-30-15:00</c:v>
                  </c:pt>
                  <c:pt idx="1670">
                    <c:v>2018-07-30-16:00</c:v>
                  </c:pt>
                  <c:pt idx="1671">
                    <c:v>2018-07-30-18:00</c:v>
                  </c:pt>
                  <c:pt idx="1672">
                    <c:v>2018-07-30-19:00</c:v>
                  </c:pt>
                  <c:pt idx="1673">
                    <c:v>2018-07-30-20:00</c:v>
                  </c:pt>
                  <c:pt idx="1674">
                    <c:v>2018-07-30-17:00</c:v>
                  </c:pt>
                  <c:pt idx="1675">
                    <c:v>2018-07-27-21:00</c:v>
                  </c:pt>
                  <c:pt idx="1676">
                    <c:v>2018-07-27-22:00</c:v>
                  </c:pt>
                  <c:pt idx="1677">
                    <c:v>2018-07-27-23:00</c:v>
                  </c:pt>
                  <c:pt idx="1678">
                    <c:v>2018-07-30-00:00</c:v>
                  </c:pt>
                  <c:pt idx="1679">
                    <c:v>2018-07-30-01:00</c:v>
                  </c:pt>
                  <c:pt idx="1680">
                    <c:v>2018-07-30-02:00</c:v>
                  </c:pt>
                  <c:pt idx="1681">
                    <c:v>2018-07-30-03:00</c:v>
                  </c:pt>
                  <c:pt idx="1682">
                    <c:v>2018-07-30-04:00</c:v>
                  </c:pt>
                  <c:pt idx="1683">
                    <c:v>2018-07-30-05:00</c:v>
                  </c:pt>
                  <c:pt idx="1684">
                    <c:v>2018-07-30-06:00</c:v>
                  </c:pt>
                  <c:pt idx="1685">
                    <c:v>2018-07-30-07:00</c:v>
                  </c:pt>
                  <c:pt idx="1686">
                    <c:v>2018-07-30-08:00</c:v>
                  </c:pt>
                  <c:pt idx="1687">
                    <c:v>2018-07-30-09:00</c:v>
                  </c:pt>
                  <c:pt idx="1688">
                    <c:v>2018-07-30-10:00</c:v>
                  </c:pt>
                  <c:pt idx="1689">
                    <c:v>2018-07-30-11:00</c:v>
                  </c:pt>
                  <c:pt idx="1690">
                    <c:v>2018-07-30-12:00</c:v>
                  </c:pt>
                  <c:pt idx="1691">
                    <c:v>2018-07-30-13:00</c:v>
                  </c:pt>
                  <c:pt idx="1692">
                    <c:v>2018-07-30-14:00</c:v>
                  </c:pt>
                  <c:pt idx="1693">
                    <c:v>2018-07-30-15:00</c:v>
                  </c:pt>
                  <c:pt idx="1694">
                    <c:v>2018-07-30-16:00</c:v>
                  </c:pt>
                  <c:pt idx="1695">
                    <c:v>2018-07-30-18:00</c:v>
                  </c:pt>
                  <c:pt idx="1696">
                    <c:v>2018-07-30-19:00</c:v>
                  </c:pt>
                  <c:pt idx="1697">
                    <c:v>2018-07-30-20:00</c:v>
                  </c:pt>
                  <c:pt idx="1698">
                    <c:v>2018-07-30-21:00</c:v>
                  </c:pt>
                  <c:pt idx="1699">
                    <c:v>2018-07-30-17:00</c:v>
                  </c:pt>
                  <c:pt idx="1700">
                    <c:v>2018-07-27-22:00</c:v>
                  </c:pt>
                  <c:pt idx="1701">
                    <c:v>2018-07-27-23:00</c:v>
                  </c:pt>
                  <c:pt idx="1702">
                    <c:v>2018-07-30-00:00</c:v>
                  </c:pt>
                  <c:pt idx="1703">
                    <c:v>2018-07-30-01:00</c:v>
                  </c:pt>
                  <c:pt idx="1704">
                    <c:v>2018-07-30-02:00</c:v>
                  </c:pt>
                  <c:pt idx="1705">
                    <c:v>2018-07-30-03:00</c:v>
                  </c:pt>
                  <c:pt idx="1706">
                    <c:v>2018-07-30-04:00</c:v>
                  </c:pt>
                  <c:pt idx="1707">
                    <c:v>2018-07-30-05:00</c:v>
                  </c:pt>
                  <c:pt idx="1708">
                    <c:v>2018-07-30-06:00</c:v>
                  </c:pt>
                  <c:pt idx="1709">
                    <c:v>2018-07-30-07:00</c:v>
                  </c:pt>
                  <c:pt idx="1710">
                    <c:v>2018-07-30-08:00</c:v>
                  </c:pt>
                  <c:pt idx="1711">
                    <c:v>2018-07-30-09:00</c:v>
                  </c:pt>
                  <c:pt idx="1712">
                    <c:v>2018-07-30-10:00</c:v>
                  </c:pt>
                  <c:pt idx="1713">
                    <c:v>2018-07-30-11:00</c:v>
                  </c:pt>
                  <c:pt idx="1714">
                    <c:v>2018-07-30-12:00</c:v>
                  </c:pt>
                  <c:pt idx="1715">
                    <c:v>2018-07-30-13:00</c:v>
                  </c:pt>
                  <c:pt idx="1716">
                    <c:v>2018-07-30-14:00</c:v>
                  </c:pt>
                  <c:pt idx="1717">
                    <c:v>2018-07-30-15:00</c:v>
                  </c:pt>
                  <c:pt idx="1718">
                    <c:v>2018-07-30-16:00</c:v>
                  </c:pt>
                  <c:pt idx="1719">
                    <c:v>2018-07-30-18:00</c:v>
                  </c:pt>
                  <c:pt idx="1720">
                    <c:v>2018-07-30-19:00</c:v>
                  </c:pt>
                  <c:pt idx="1721">
                    <c:v>2018-07-30-20:00</c:v>
                  </c:pt>
                  <c:pt idx="1722">
                    <c:v>2018-07-30-21:00</c:v>
                  </c:pt>
                  <c:pt idx="1723">
                    <c:v>2018-07-30-22:00</c:v>
                  </c:pt>
                  <c:pt idx="1724">
                    <c:v>2018-07-30-17:00</c:v>
                  </c:pt>
                  <c:pt idx="1725">
                    <c:v>9999-99-99-99:99</c:v>
                  </c:pt>
                  <c:pt idx="1726">
                    <c:v>9999-99-99-99:99</c:v>
                  </c:pt>
                  <c:pt idx="1727">
                    <c:v>9999-99-99-99:99</c:v>
                  </c:pt>
                </c:lvl>
                <c:lvl>
                  <c:pt idx="0">
                    <c:v>0</c:v>
                  </c:pt>
                  <c:pt idx="25">
                    <c:v>1</c:v>
                  </c:pt>
                  <c:pt idx="50">
                    <c:v>2</c:v>
                  </c:pt>
                  <c:pt idx="75">
                    <c:v>3</c:v>
                  </c:pt>
                  <c:pt idx="100">
                    <c:v>4</c:v>
                  </c:pt>
                  <c:pt idx="125">
                    <c:v>5</c:v>
                  </c:pt>
                  <c:pt idx="150">
                    <c:v>6</c:v>
                  </c:pt>
                  <c:pt idx="175">
                    <c:v>7</c:v>
                  </c:pt>
                  <c:pt idx="200">
                    <c:v>8</c:v>
                  </c:pt>
                  <c:pt idx="225">
                    <c:v>9</c:v>
                  </c:pt>
                  <c:pt idx="250">
                    <c:v>10</c:v>
                  </c:pt>
                  <c:pt idx="275">
                    <c:v>11</c:v>
                  </c:pt>
                  <c:pt idx="300">
                    <c:v>12</c:v>
                  </c:pt>
                  <c:pt idx="325">
                    <c:v>13</c:v>
                  </c:pt>
                  <c:pt idx="350">
                    <c:v>14</c:v>
                  </c:pt>
                  <c:pt idx="375">
                    <c:v>15</c:v>
                  </c:pt>
                  <c:pt idx="400">
                    <c:v>16</c:v>
                  </c:pt>
                  <c:pt idx="425">
                    <c:v>17</c:v>
                  </c:pt>
                  <c:pt idx="450">
                    <c:v>18</c:v>
                  </c:pt>
                  <c:pt idx="475">
                    <c:v>19</c:v>
                  </c:pt>
                  <c:pt idx="500">
                    <c:v>20</c:v>
                  </c:pt>
                  <c:pt idx="525">
                    <c:v>21</c:v>
                  </c:pt>
                  <c:pt idx="550">
                    <c:v>22</c:v>
                  </c:pt>
                  <c:pt idx="575">
                    <c:v>23</c:v>
                  </c:pt>
                  <c:pt idx="600">
                    <c:v>24</c:v>
                  </c:pt>
                  <c:pt idx="625">
                    <c:v>25</c:v>
                  </c:pt>
                  <c:pt idx="650">
                    <c:v>26</c:v>
                  </c:pt>
                  <c:pt idx="675">
                    <c:v>27</c:v>
                  </c:pt>
                  <c:pt idx="700">
                    <c:v>28</c:v>
                  </c:pt>
                  <c:pt idx="725">
                    <c:v>29</c:v>
                  </c:pt>
                  <c:pt idx="750">
                    <c:v>30</c:v>
                  </c:pt>
                  <c:pt idx="775">
                    <c:v>31</c:v>
                  </c:pt>
                  <c:pt idx="800">
                    <c:v>32</c:v>
                  </c:pt>
                  <c:pt idx="825">
                    <c:v>33</c:v>
                  </c:pt>
                  <c:pt idx="850">
                    <c:v>34</c:v>
                  </c:pt>
                  <c:pt idx="875">
                    <c:v>35</c:v>
                  </c:pt>
                  <c:pt idx="900">
                    <c:v>36</c:v>
                  </c:pt>
                  <c:pt idx="925">
                    <c:v>37</c:v>
                  </c:pt>
                  <c:pt idx="950">
                    <c:v>38</c:v>
                  </c:pt>
                  <c:pt idx="975">
                    <c:v>39</c:v>
                  </c:pt>
                  <c:pt idx="1000">
                    <c:v>40</c:v>
                  </c:pt>
                  <c:pt idx="1025">
                    <c:v>41</c:v>
                  </c:pt>
                  <c:pt idx="1050">
                    <c:v>42</c:v>
                  </c:pt>
                  <c:pt idx="1075">
                    <c:v>43</c:v>
                  </c:pt>
                  <c:pt idx="1100">
                    <c:v>44</c:v>
                  </c:pt>
                  <c:pt idx="1125">
                    <c:v>45</c:v>
                  </c:pt>
                  <c:pt idx="1150">
                    <c:v>46</c:v>
                  </c:pt>
                  <c:pt idx="1175">
                    <c:v>47</c:v>
                  </c:pt>
                  <c:pt idx="1200">
                    <c:v>48</c:v>
                  </c:pt>
                  <c:pt idx="1225">
                    <c:v>49</c:v>
                  </c:pt>
                  <c:pt idx="1250">
                    <c:v>50</c:v>
                  </c:pt>
                  <c:pt idx="1275">
                    <c:v>51</c:v>
                  </c:pt>
                  <c:pt idx="1300">
                    <c:v>52</c:v>
                  </c:pt>
                  <c:pt idx="1325">
                    <c:v>53</c:v>
                  </c:pt>
                  <c:pt idx="1350">
                    <c:v>54</c:v>
                  </c:pt>
                  <c:pt idx="1375">
                    <c:v>55</c:v>
                  </c:pt>
                  <c:pt idx="1400">
                    <c:v>56</c:v>
                  </c:pt>
                  <c:pt idx="1425">
                    <c:v>57</c:v>
                  </c:pt>
                  <c:pt idx="1450">
                    <c:v>58</c:v>
                  </c:pt>
                  <c:pt idx="1475">
                    <c:v>59</c:v>
                  </c:pt>
                  <c:pt idx="1500">
                    <c:v>60</c:v>
                  </c:pt>
                  <c:pt idx="1525">
                    <c:v>61</c:v>
                  </c:pt>
                  <c:pt idx="1550">
                    <c:v>62</c:v>
                  </c:pt>
                  <c:pt idx="1575">
                    <c:v>63</c:v>
                  </c:pt>
                  <c:pt idx="1600">
                    <c:v>64</c:v>
                  </c:pt>
                  <c:pt idx="1625">
                    <c:v>65</c:v>
                  </c:pt>
                  <c:pt idx="1650">
                    <c:v>66</c:v>
                  </c:pt>
                  <c:pt idx="1675">
                    <c:v>67</c:v>
                  </c:pt>
                  <c:pt idx="1700">
                    <c:v>68</c:v>
                  </c:pt>
                  <c:pt idx="1725">
                    <c:v>69</c:v>
                  </c:pt>
                  <c:pt idx="1726">
                    <c:v>70</c:v>
                  </c:pt>
                  <c:pt idx="1727">
                    <c:v>71</c:v>
                  </c:pt>
                </c:lvl>
              </c:multiLvlStrCache>
            </c:multiLvlStrRef>
          </c:cat>
          <c:val>
            <c:numRef>
              <c:f>Run_TR!$C$2:$C$1802</c:f>
              <c:numCache>
                <c:formatCode>General</c:formatCode>
                <c:ptCount val="1728"/>
                <c:pt idx="1250">
                  <c:v>6.1285405536182252E-5</c:v>
                </c:pt>
                <c:pt idx="1251">
                  <c:v>5.3718546405434608E-4</c:v>
                </c:pt>
                <c:pt idx="1252">
                  <c:v>2.8259756072657199E-4</c:v>
                </c:pt>
                <c:pt idx="1253">
                  <c:v>-2.2198968144948573E-4</c:v>
                </c:pt>
                <c:pt idx="1254">
                  <c:v>-2.2795820450483023E-4</c:v>
                </c:pt>
                <c:pt idx="1255">
                  <c:v>-7.7623456149922344E-5</c:v>
                </c:pt>
                <c:pt idx="1256">
                  <c:v>2.0892030079267001E-4</c:v>
                </c:pt>
                <c:pt idx="1257">
                  <c:v>-1.2356670922599739E-3</c:v>
                </c:pt>
                <c:pt idx="1258">
                  <c:v>-9.7466289844305579E-4</c:v>
                </c:pt>
                <c:pt idx="1259">
                  <c:v>8.1433074001324645E-5</c:v>
                </c:pt>
                <c:pt idx="1260">
                  <c:v>-2.9042350433883149E-5</c:v>
                </c:pt>
                <c:pt idx="1261">
                  <c:v>5.2246165068936502E-4</c:v>
                </c:pt>
                <c:pt idx="1262">
                  <c:v>1.5467338380403825E-3</c:v>
                </c:pt>
                <c:pt idx="1263">
                  <c:v>8.2617311636568047E-4</c:v>
                </c:pt>
                <c:pt idx="1264">
                  <c:v>4.7656096285209033E-5</c:v>
                </c:pt>
                <c:pt idx="1265">
                  <c:v>7.913674835435816E-5</c:v>
                </c:pt>
                <c:pt idx="1266">
                  <c:v>5.0048031255300911E-5</c:v>
                </c:pt>
                <c:pt idx="1267">
                  <c:v>-5.5082980452423055E-6</c:v>
                </c:pt>
                <c:pt idx="1268">
                  <c:v>1.5270459516614188E-4</c:v>
                </c:pt>
                <c:pt idx="1269">
                  <c:v>-4.0744545783510849E-5</c:v>
                </c:pt>
                <c:pt idx="1270">
                  <c:v>-9.7803222161019235E-5</c:v>
                </c:pt>
                <c:pt idx="1271">
                  <c:v>2.5660323444753874E-4</c:v>
                </c:pt>
                <c:pt idx="1272">
                  <c:v>5.3486514843825723E-5</c:v>
                </c:pt>
                <c:pt idx="1273">
                  <c:v>2.1478763983395684E-5</c:v>
                </c:pt>
                <c:pt idx="1274">
                  <c:v>-1.8885692679759813E-4</c:v>
                </c:pt>
                <c:pt idx="1275">
                  <c:v>5.2012199739692754E-4</c:v>
                </c:pt>
                <c:pt idx="1276">
                  <c:v>3.3452652860432874E-4</c:v>
                </c:pt>
                <c:pt idx="1277">
                  <c:v>-3.3819580494309776E-4</c:v>
                </c:pt>
                <c:pt idx="1278">
                  <c:v>-2.199109953835432E-4</c:v>
                </c:pt>
                <c:pt idx="1279">
                  <c:v>-1.8184912573815376E-4</c:v>
                </c:pt>
                <c:pt idx="1280">
                  <c:v>3.0065798500800151E-4</c:v>
                </c:pt>
                <c:pt idx="1281">
                  <c:v>-1.3038802389928612E-3</c:v>
                </c:pt>
                <c:pt idx="1282">
                  <c:v>-9.9463922742870723E-4</c:v>
                </c:pt>
                <c:pt idx="1283">
                  <c:v>-4.4977431571169386E-5</c:v>
                </c:pt>
                <c:pt idx="1284">
                  <c:v>-5.6414348364342004E-5</c:v>
                </c:pt>
                <c:pt idx="1285">
                  <c:v>5.1611773233162109E-4</c:v>
                </c:pt>
                <c:pt idx="1286">
                  <c:v>1.4363248774316151E-3</c:v>
                </c:pt>
                <c:pt idx="1287">
                  <c:v>8.5148273501545288E-4</c:v>
                </c:pt>
                <c:pt idx="1288">
                  <c:v>1.367770928482061E-4</c:v>
                </c:pt>
                <c:pt idx="1289">
                  <c:v>1.559320676278729E-4</c:v>
                </c:pt>
                <c:pt idx="1290">
                  <c:v>4.4477744154392256E-6</c:v>
                </c:pt>
                <c:pt idx="1291">
                  <c:v>-2.4966902174128377E-5</c:v>
                </c:pt>
                <c:pt idx="1292">
                  <c:v>1.9677512273119643E-4</c:v>
                </c:pt>
                <c:pt idx="1293">
                  <c:v>-9.2421811132226153E-5</c:v>
                </c:pt>
                <c:pt idx="1294">
                  <c:v>-1.5282731692423124E-4</c:v>
                </c:pt>
                <c:pt idx="1295">
                  <c:v>1.969797706351529E-4</c:v>
                </c:pt>
                <c:pt idx="1296">
                  <c:v>7.9497922342852757E-6</c:v>
                </c:pt>
                <c:pt idx="1297">
                  <c:v>2.8877821023337202E-7</c:v>
                </c:pt>
                <c:pt idx="1298">
                  <c:v>-2.3449007858289406E-4</c:v>
                </c:pt>
                <c:pt idx="1299">
                  <c:v>-3.7241935933707271E-4</c:v>
                </c:pt>
                <c:pt idx="1300">
                  <c:v>3.4078784665325651E-4</c:v>
                </c:pt>
                <c:pt idx="1301">
                  <c:v>-2.8817062411690125E-4</c:v>
                </c:pt>
                <c:pt idx="1302">
                  <c:v>-1.6694080204615591E-4</c:v>
                </c:pt>
                <c:pt idx="1303">
                  <c:v>-9.7478047791810213E-5</c:v>
                </c:pt>
                <c:pt idx="1304">
                  <c:v>2.8071711494703777E-4</c:v>
                </c:pt>
                <c:pt idx="1305">
                  <c:v>-1.1659578813123525E-3</c:v>
                </c:pt>
                <c:pt idx="1306">
                  <c:v>-8.7838478248158903E-4</c:v>
                </c:pt>
                <c:pt idx="1307">
                  <c:v>5.3175330322119502E-5</c:v>
                </c:pt>
                <c:pt idx="1308">
                  <c:v>-1.3998986105434752E-5</c:v>
                </c:pt>
                <c:pt idx="1309">
                  <c:v>5.0147841466241429E-4</c:v>
                </c:pt>
                <c:pt idx="1310">
                  <c:v>1.4978548861108727E-3</c:v>
                </c:pt>
                <c:pt idx="1311">
                  <c:v>8.4992773918202136E-4</c:v>
                </c:pt>
                <c:pt idx="1312">
                  <c:v>4.2457797007955405E-5</c:v>
                </c:pt>
                <c:pt idx="1313">
                  <c:v>1.3477139509632247E-4</c:v>
                </c:pt>
                <c:pt idx="1314">
                  <c:v>1.386388576065655E-4</c:v>
                </c:pt>
                <c:pt idx="1315">
                  <c:v>5.8085462455892588E-5</c:v>
                </c:pt>
                <c:pt idx="1316">
                  <c:v>1.6619752932456306E-4</c:v>
                </c:pt>
                <c:pt idx="1317">
                  <c:v>-9.4477962193195722E-5</c:v>
                </c:pt>
                <c:pt idx="1318">
                  <c:v>-9.2051037427154261E-5</c:v>
                </c:pt>
                <c:pt idx="1319">
                  <c:v>2.4785394089121843E-4</c:v>
                </c:pt>
                <c:pt idx="1320">
                  <c:v>3.6516904401651104E-5</c:v>
                </c:pt>
                <c:pt idx="1321">
                  <c:v>4.2000636312877861E-5</c:v>
                </c:pt>
                <c:pt idx="1322">
                  <c:v>-1.7333187133772288E-4</c:v>
                </c:pt>
                <c:pt idx="1323">
                  <c:v>-3.1821897573536262E-4</c:v>
                </c:pt>
                <c:pt idx="1324">
                  <c:v>-1.564736294312751E-4</c:v>
                </c:pt>
                <c:pt idx="1325">
                  <c:v>-2.9292789258761326E-4</c:v>
                </c:pt>
                <c:pt idx="1326">
                  <c:v>-1.8551053562987363E-4</c:v>
                </c:pt>
                <c:pt idx="1327">
                  <c:v>-1.2924742986797366E-4</c:v>
                </c:pt>
                <c:pt idx="1328">
                  <c:v>2.3545403018943034E-4</c:v>
                </c:pt>
                <c:pt idx="1329">
                  <c:v>-1.2254425018909396E-3</c:v>
                </c:pt>
                <c:pt idx="1330">
                  <c:v>-9.5243840405601088E-4</c:v>
                </c:pt>
                <c:pt idx="1331">
                  <c:v>4.1696761400089552E-5</c:v>
                </c:pt>
                <c:pt idx="1332">
                  <c:v>-9.0570852080418371E-5</c:v>
                </c:pt>
                <c:pt idx="1333">
                  <c:v>4.2119852878386149E-4</c:v>
                </c:pt>
                <c:pt idx="1334">
                  <c:v>1.4845346740912648E-3</c:v>
                </c:pt>
                <c:pt idx="1335">
                  <c:v>8.3713524509221218E-4</c:v>
                </c:pt>
                <c:pt idx="1336">
                  <c:v>7.6152027759235244E-5</c:v>
                </c:pt>
                <c:pt idx="1337">
                  <c:v>1.0405984721728611E-4</c:v>
                </c:pt>
                <c:pt idx="1338">
                  <c:v>7.1605463745072484E-5</c:v>
                </c:pt>
                <c:pt idx="1339">
                  <c:v>5.5836458159320794E-6</c:v>
                </c:pt>
                <c:pt idx="1340">
                  <c:v>6.0065907746320773E-5</c:v>
                </c:pt>
                <c:pt idx="1341">
                  <c:v>-1.1792555233114402E-4</c:v>
                </c:pt>
                <c:pt idx="1342">
                  <c:v>-1.1576715769479059E-4</c:v>
                </c:pt>
                <c:pt idx="1343">
                  <c:v>2.3707706350251101E-4</c:v>
                </c:pt>
                <c:pt idx="1344">
                  <c:v>2.7253188818576871E-5</c:v>
                </c:pt>
                <c:pt idx="1345">
                  <c:v>4.675908712670226E-5</c:v>
                </c:pt>
                <c:pt idx="1346">
                  <c:v>-2.3438632160832645E-4</c:v>
                </c:pt>
                <c:pt idx="1347">
                  <c:v>-3.4934822906507179E-4</c:v>
                </c:pt>
                <c:pt idx="1348">
                  <c:v>-1.7118746609412494E-4</c:v>
                </c:pt>
                <c:pt idx="1349">
                  <c:v>1.4304036903922679E-4</c:v>
                </c:pt>
                <c:pt idx="1350">
                  <c:v>-1.8729692237684492E-4</c:v>
                </c:pt>
                <c:pt idx="1351">
                  <c:v>-8.8577568021719371E-5</c:v>
                </c:pt>
                <c:pt idx="1352">
                  <c:v>2.5744955746631598E-4</c:v>
                </c:pt>
                <c:pt idx="1353">
                  <c:v>-1.1823991208075309E-3</c:v>
                </c:pt>
                <c:pt idx="1354">
                  <c:v>-9.3654804186371447E-4</c:v>
                </c:pt>
                <c:pt idx="1355">
                  <c:v>2.5774095774977349E-5</c:v>
                </c:pt>
                <c:pt idx="1356">
                  <c:v>-2.3417418560711677E-5</c:v>
                </c:pt>
                <c:pt idx="1357">
                  <c:v>5.243445521045957E-4</c:v>
                </c:pt>
                <c:pt idx="1358">
                  <c:v>1.533425005618485E-3</c:v>
                </c:pt>
                <c:pt idx="1359">
                  <c:v>8.5858702368568553E-4</c:v>
                </c:pt>
                <c:pt idx="1360">
                  <c:v>2.4206279704230702E-5</c:v>
                </c:pt>
                <c:pt idx="1361">
                  <c:v>9.7972595540341017E-5</c:v>
                </c:pt>
                <c:pt idx="1362">
                  <c:v>8.1387785940023496E-5</c:v>
                </c:pt>
                <c:pt idx="1363">
                  <c:v>-1.1583478510601722E-5</c:v>
                </c:pt>
                <c:pt idx="1364">
                  <c:v>1.8207431253358669E-4</c:v>
                </c:pt>
                <c:pt idx="1365">
                  <c:v>-6.9341415837698015E-5</c:v>
                </c:pt>
                <c:pt idx="1366">
                  <c:v>-1.1203454960195824E-4</c:v>
                </c:pt>
                <c:pt idx="1367">
                  <c:v>2.0534581562969825E-4</c:v>
                </c:pt>
                <c:pt idx="1368">
                  <c:v>5.3851012125960578E-5</c:v>
                </c:pt>
                <c:pt idx="1369">
                  <c:v>4.3604925849649678E-5</c:v>
                </c:pt>
                <c:pt idx="1370">
                  <c:v>-2.380764544795966E-4</c:v>
                </c:pt>
                <c:pt idx="1371">
                  <c:v>-3.1305561060435128E-4</c:v>
                </c:pt>
                <c:pt idx="1372">
                  <c:v>-1.5602810617565391E-4</c:v>
                </c:pt>
                <c:pt idx="1373">
                  <c:v>2.2556429576070514E-4</c:v>
                </c:pt>
                <c:pt idx="1374">
                  <c:v>4.5736078982372424E-4</c:v>
                </c:pt>
                <c:pt idx="1375">
                  <c:v>-1.0493746412976166E-4</c:v>
                </c:pt>
                <c:pt idx="1376">
                  <c:v>3.1031690741656354E-4</c:v>
                </c:pt>
                <c:pt idx="1377">
                  <c:v>-1.1723741845344165E-3</c:v>
                </c:pt>
                <c:pt idx="1378">
                  <c:v>-9.5944274471548754E-4</c:v>
                </c:pt>
                <c:pt idx="1379">
                  <c:v>5.5409884680557379E-5</c:v>
                </c:pt>
                <c:pt idx="1380">
                  <c:v>-2.6588511900627E-5</c:v>
                </c:pt>
                <c:pt idx="1381">
                  <c:v>5.3104680773685643E-4</c:v>
                </c:pt>
                <c:pt idx="1382">
                  <c:v>1.5138100134208798E-3</c:v>
                </c:pt>
                <c:pt idx="1383">
                  <c:v>8.2209272659383606E-4</c:v>
                </c:pt>
                <c:pt idx="1384">
                  <c:v>4.4069522118661255E-5</c:v>
                </c:pt>
                <c:pt idx="1385">
                  <c:v>1.505641685071169E-4</c:v>
                </c:pt>
                <c:pt idx="1386">
                  <c:v>8.9151779320673221E-5</c:v>
                </c:pt>
                <c:pt idx="1387">
                  <c:v>1.0562605893937895E-5</c:v>
                </c:pt>
                <c:pt idx="1388">
                  <c:v>1.669747584003291E-4</c:v>
                </c:pt>
                <c:pt idx="1389">
                  <c:v>-9.4638434347871307E-5</c:v>
                </c:pt>
                <c:pt idx="1390">
                  <c:v>-8.4126284491503747E-5</c:v>
                </c:pt>
                <c:pt idx="1391">
                  <c:v>2.3398115627060179E-4</c:v>
                </c:pt>
                <c:pt idx="1392">
                  <c:v>5.6246064104925751E-5</c:v>
                </c:pt>
                <c:pt idx="1393">
                  <c:v>7.7645658166147999E-5</c:v>
                </c:pt>
                <c:pt idx="1394">
                  <c:v>-1.7692273104330525E-4</c:v>
                </c:pt>
                <c:pt idx="1395">
                  <c:v>-3.4379709541099146E-4</c:v>
                </c:pt>
                <c:pt idx="1396">
                  <c:v>-1.4800656026636727E-4</c:v>
                </c:pt>
                <c:pt idx="1397">
                  <c:v>2.2415308740164641E-4</c:v>
                </c:pt>
                <c:pt idx="1398">
                  <c:v>5.1858305050700448E-4</c:v>
                </c:pt>
                <c:pt idx="1399">
                  <c:v>-4.5323875383474014E-5</c:v>
                </c:pt>
                <c:pt idx="1400">
                  <c:v>3.2727192410675343E-4</c:v>
                </c:pt>
                <c:pt idx="1401">
                  <c:v>-1.2677876302404916E-3</c:v>
                </c:pt>
                <c:pt idx="1402">
                  <c:v>-9.4132170124794335E-4</c:v>
                </c:pt>
                <c:pt idx="1403">
                  <c:v>7.6074804042036676E-5</c:v>
                </c:pt>
                <c:pt idx="1404">
                  <c:v>-6.6491826146375429E-5</c:v>
                </c:pt>
                <c:pt idx="1405">
                  <c:v>4.4233718654140873E-4</c:v>
                </c:pt>
                <c:pt idx="1406">
                  <c:v>1.4888789155520473E-3</c:v>
                </c:pt>
                <c:pt idx="1407">
                  <c:v>8.4047273412579595E-4</c:v>
                </c:pt>
                <c:pt idx="1408">
                  <c:v>9.2819571818836347E-5</c:v>
                </c:pt>
                <c:pt idx="1409">
                  <c:v>1.5741441893624126E-4</c:v>
                </c:pt>
                <c:pt idx="1410">
                  <c:v>7.9886824096320116E-5</c:v>
                </c:pt>
                <c:pt idx="1411">
                  <c:v>5.7803913477981708E-6</c:v>
                </c:pt>
                <c:pt idx="1412">
                  <c:v>1.3920147648605052E-4</c:v>
                </c:pt>
                <c:pt idx="1413">
                  <c:v>-1.6341960781574033E-4</c:v>
                </c:pt>
                <c:pt idx="1414">
                  <c:v>-8.6178901256062253E-5</c:v>
                </c:pt>
                <c:pt idx="1415">
                  <c:v>1.6058600067481149E-4</c:v>
                </c:pt>
                <c:pt idx="1416">
                  <c:v>1.8867976905312277E-5</c:v>
                </c:pt>
                <c:pt idx="1417">
                  <c:v>5.7692162954481413E-5</c:v>
                </c:pt>
                <c:pt idx="1418">
                  <c:v>-1.660301149968288E-4</c:v>
                </c:pt>
                <c:pt idx="1419">
                  <c:v>-3.22689906170126E-4</c:v>
                </c:pt>
                <c:pt idx="1420">
                  <c:v>-1.5612789002261715E-4</c:v>
                </c:pt>
                <c:pt idx="1421">
                  <c:v>1.8018174341705167E-4</c:v>
                </c:pt>
                <c:pt idx="1422">
                  <c:v>4.5103040156391227E-4</c:v>
                </c:pt>
                <c:pt idx="1423">
                  <c:v>-6.1189733060018652E-5</c:v>
                </c:pt>
                <c:pt idx="1424">
                  <c:v>2.5688005553092775E-4</c:v>
                </c:pt>
                <c:pt idx="1425">
                  <c:v>-1.2324644258114841E-3</c:v>
                </c:pt>
                <c:pt idx="1426">
                  <c:v>-9.222481257893392E-4</c:v>
                </c:pt>
                <c:pt idx="1427">
                  <c:v>9.9430659020072239E-5</c:v>
                </c:pt>
                <c:pt idx="1428">
                  <c:v>-2.2499338228954246E-5</c:v>
                </c:pt>
                <c:pt idx="1429">
                  <c:v>5.6497616787964879E-4</c:v>
                </c:pt>
                <c:pt idx="1430">
                  <c:v>1.5045025793369875E-3</c:v>
                </c:pt>
                <c:pt idx="1431">
                  <c:v>8.1479801701789104E-4</c:v>
                </c:pt>
                <c:pt idx="1432">
                  <c:v>5.7052322517847263E-5</c:v>
                </c:pt>
                <c:pt idx="1433">
                  <c:v>1.7174065851577322E-4</c:v>
                </c:pt>
                <c:pt idx="1434">
                  <c:v>7.7906622209411621E-5</c:v>
                </c:pt>
                <c:pt idx="1435">
                  <c:v>6.5208095293200946E-5</c:v>
                </c:pt>
                <c:pt idx="1436">
                  <c:v>1.8292785443918555E-4</c:v>
                </c:pt>
                <c:pt idx="1437">
                  <c:v>-8.0615168371878194E-5</c:v>
                </c:pt>
                <c:pt idx="1438">
                  <c:v>-1.1408890895836524E-4</c:v>
                </c:pt>
                <c:pt idx="1439">
                  <c:v>1.7568085240782222E-4</c:v>
                </c:pt>
                <c:pt idx="1440">
                  <c:v>1.1637877832981751E-4</c:v>
                </c:pt>
                <c:pt idx="1441">
                  <c:v>8.1302056969434502E-5</c:v>
                </c:pt>
                <c:pt idx="1442">
                  <c:v>-1.8156046644435251E-4</c:v>
                </c:pt>
                <c:pt idx="1443">
                  <c:v>-3.1138179838308149E-4</c:v>
                </c:pt>
                <c:pt idx="1444">
                  <c:v>-2.1767046416698593E-4</c:v>
                </c:pt>
                <c:pt idx="1445">
                  <c:v>2.7300348301650956E-4</c:v>
                </c:pt>
                <c:pt idx="1446">
                  <c:v>4.751197166115162E-4</c:v>
                </c:pt>
                <c:pt idx="1447">
                  <c:v>-9.97888491838231E-6</c:v>
                </c:pt>
                <c:pt idx="1448">
                  <c:v>3.0222522764233948E-4</c:v>
                </c:pt>
                <c:pt idx="1449">
                  <c:v>1.0749273351393647E-3</c:v>
                </c:pt>
                <c:pt idx="1450">
                  <c:v>-9.3158753588795673E-4</c:v>
                </c:pt>
                <c:pt idx="1451">
                  <c:v>8.3813902165275054E-5</c:v>
                </c:pt>
                <c:pt idx="1452">
                  <c:v>-3.1769701308803497E-5</c:v>
                </c:pt>
                <c:pt idx="1453">
                  <c:v>5.2573060747818003E-4</c:v>
                </c:pt>
                <c:pt idx="1454">
                  <c:v>1.4886624412611125E-3</c:v>
                </c:pt>
                <c:pt idx="1455">
                  <c:v>8.4008779413125034E-4</c:v>
                </c:pt>
                <c:pt idx="1456">
                  <c:v>1.4256485701480401E-4</c:v>
                </c:pt>
                <c:pt idx="1457">
                  <c:v>1.317462451879694E-4</c:v>
                </c:pt>
                <c:pt idx="1458">
                  <c:v>6.8807954789917749E-5</c:v>
                </c:pt>
                <c:pt idx="1459">
                  <c:v>1.0563439900579493E-5</c:v>
                </c:pt>
                <c:pt idx="1460">
                  <c:v>1.7193229496115242E-4</c:v>
                </c:pt>
                <c:pt idx="1461">
                  <c:v>-1.3476346384777582E-4</c:v>
                </c:pt>
                <c:pt idx="1462">
                  <c:v>-1.2366536611807522E-4</c:v>
                </c:pt>
                <c:pt idx="1463">
                  <c:v>2.0438619139895298E-4</c:v>
                </c:pt>
                <c:pt idx="1464">
                  <c:v>8.1417813589723556E-5</c:v>
                </c:pt>
                <c:pt idx="1465">
                  <c:v>4.4412678107619496E-5</c:v>
                </c:pt>
                <c:pt idx="1466">
                  <c:v>-1.2196347051940406E-4</c:v>
                </c:pt>
                <c:pt idx="1467">
                  <c:v>-3.8526575372088722E-4</c:v>
                </c:pt>
                <c:pt idx="1468">
                  <c:v>-1.450677609682316E-4</c:v>
                </c:pt>
                <c:pt idx="1469">
                  <c:v>1.8298921963832998E-4</c:v>
                </c:pt>
                <c:pt idx="1470">
                  <c:v>5.0974303758266615E-4</c:v>
                </c:pt>
                <c:pt idx="1471">
                  <c:v>-7.518898451053241E-5</c:v>
                </c:pt>
                <c:pt idx="1472">
                  <c:v>3.2731475221226003E-4</c:v>
                </c:pt>
                <c:pt idx="1473">
                  <c:v>1.0203573656326625E-3</c:v>
                </c:pt>
                <c:pt idx="1474">
                  <c:v>1.067648918251507E-3</c:v>
                </c:pt>
                <c:pt idx="1475">
                  <c:v>7.2891530408014741E-5</c:v>
                </c:pt>
                <c:pt idx="1476">
                  <c:v>-2.3091607545211622E-5</c:v>
                </c:pt>
                <c:pt idx="1477">
                  <c:v>5.0410460062266761E-4</c:v>
                </c:pt>
                <c:pt idx="1478">
                  <c:v>1.4981439453549674E-3</c:v>
                </c:pt>
                <c:pt idx="1479">
                  <c:v>8.2801706230384395E-4</c:v>
                </c:pt>
                <c:pt idx="1480">
                  <c:v>6.186973951116674E-5</c:v>
                </c:pt>
                <c:pt idx="1481">
                  <c:v>1.4538541472575162E-4</c:v>
                </c:pt>
                <c:pt idx="1482">
                  <c:v>1.1008191881955998E-4</c:v>
                </c:pt>
                <c:pt idx="1483">
                  <c:v>3.7474030250450698E-5</c:v>
                </c:pt>
                <c:pt idx="1484">
                  <c:v>1.627290203032315E-4</c:v>
                </c:pt>
                <c:pt idx="1485">
                  <c:v>-6.8265328081906854E-5</c:v>
                </c:pt>
                <c:pt idx="1486">
                  <c:v>-1.5233254316626688E-4</c:v>
                </c:pt>
                <c:pt idx="1487">
                  <c:v>2.2001308025210175E-4</c:v>
                </c:pt>
                <c:pt idx="1488">
                  <c:v>3.4611260616657207E-5</c:v>
                </c:pt>
                <c:pt idx="1489">
                  <c:v>2.4120769921864815E-5</c:v>
                </c:pt>
                <c:pt idx="1490">
                  <c:v>-1.7847917843027969E-4</c:v>
                </c:pt>
                <c:pt idx="1491">
                  <c:v>-3.4268301988049654E-4</c:v>
                </c:pt>
                <c:pt idx="1492">
                  <c:v>-1.5578779175484645E-4</c:v>
                </c:pt>
                <c:pt idx="1493">
                  <c:v>1.6026468983909575E-4</c:v>
                </c:pt>
                <c:pt idx="1494">
                  <c:v>4.6353578363778059E-4</c:v>
                </c:pt>
                <c:pt idx="1495">
                  <c:v>-3.8035354918975053E-5</c:v>
                </c:pt>
                <c:pt idx="1496">
                  <c:v>2.553295707912193E-4</c:v>
                </c:pt>
                <c:pt idx="1497">
                  <c:v>1.0458200267748912E-3</c:v>
                </c:pt>
                <c:pt idx="1498">
                  <c:v>1.0565761331235999E-3</c:v>
                </c:pt>
                <c:pt idx="1499">
                  <c:v>9.5253941253758262E-5</c:v>
                </c:pt>
                <c:pt idx="1500">
                  <c:v>-5.6907603720901514E-5</c:v>
                </c:pt>
                <c:pt idx="1501">
                  <c:v>5.7599473160507755E-4</c:v>
                </c:pt>
                <c:pt idx="1502">
                  <c:v>1.5234521706588575E-3</c:v>
                </c:pt>
                <c:pt idx="1503">
                  <c:v>7.95636784459931E-4</c:v>
                </c:pt>
                <c:pt idx="1504">
                  <c:v>5.5378670367645262E-5</c:v>
                </c:pt>
                <c:pt idx="1505">
                  <c:v>1.1766223087761329E-4</c:v>
                </c:pt>
                <c:pt idx="1506">
                  <c:v>4.7961875679902698E-5</c:v>
                </c:pt>
                <c:pt idx="1507">
                  <c:v>2.8948228646186025E-5</c:v>
                </c:pt>
                <c:pt idx="1508">
                  <c:v>1.4689678482682206E-4</c:v>
                </c:pt>
                <c:pt idx="1509">
                  <c:v>-1.2932008917232457E-4</c:v>
                </c:pt>
                <c:pt idx="1510">
                  <c:v>-1.0625685354170833E-4</c:v>
                </c:pt>
                <c:pt idx="1511">
                  <c:v>2.5310428281954966E-4</c:v>
                </c:pt>
                <c:pt idx="1512">
                  <c:v>6.3675641285953989E-5</c:v>
                </c:pt>
                <c:pt idx="1513">
                  <c:v>7.7276070442167124E-5</c:v>
                </c:pt>
                <c:pt idx="1514">
                  <c:v>-1.5062959391798367E-4</c:v>
                </c:pt>
                <c:pt idx="1515">
                  <c:v>-3.4409290310577479E-4</c:v>
                </c:pt>
                <c:pt idx="1516">
                  <c:v>-1.6475947813887612E-4</c:v>
                </c:pt>
                <c:pt idx="1517">
                  <c:v>2.0114473136345639E-4</c:v>
                </c:pt>
                <c:pt idx="1518">
                  <c:v>5.2170992512401437E-4</c:v>
                </c:pt>
                <c:pt idx="1519">
                  <c:v>-7.052875753288382E-5</c:v>
                </c:pt>
                <c:pt idx="1520">
                  <c:v>3.2677378476364701E-4</c:v>
                </c:pt>
                <c:pt idx="1521">
                  <c:v>1.0258411857648763E-3</c:v>
                </c:pt>
                <c:pt idx="1522">
                  <c:v>1.0803273180499664E-3</c:v>
                </c:pt>
                <c:pt idx="1523">
                  <c:v>7.8179273259593011E-5</c:v>
                </c:pt>
                <c:pt idx="1524">
                  <c:v>-7.6290865536065999E-5</c:v>
                </c:pt>
                <c:pt idx="1525">
                  <c:v>4.7805516442167497E-4</c:v>
                </c:pt>
                <c:pt idx="1526">
                  <c:v>1.4793495356570899E-3</c:v>
                </c:pt>
                <c:pt idx="1527">
                  <c:v>7.8568536991951944E-4</c:v>
                </c:pt>
                <c:pt idx="1528">
                  <c:v>5.6345746997976757E-5</c:v>
                </c:pt>
                <c:pt idx="1529">
                  <c:v>1.5264326793840174E-4</c:v>
                </c:pt>
                <c:pt idx="1530">
                  <c:v>3.8409343687817597E-5</c:v>
                </c:pt>
                <c:pt idx="1531">
                  <c:v>-4.7424016884178705E-5</c:v>
                </c:pt>
                <c:pt idx="1532">
                  <c:v>1.4612293944082927E-4</c:v>
                </c:pt>
                <c:pt idx="1533">
                  <c:v>-1.3989949093229378E-4</c:v>
                </c:pt>
                <c:pt idx="1534">
                  <c:v>-1.1372078006388611E-4</c:v>
                </c:pt>
                <c:pt idx="1535">
                  <c:v>2.3080268692865529E-4</c:v>
                </c:pt>
                <c:pt idx="1536">
                  <c:v>2.5521949282847494E-5</c:v>
                </c:pt>
                <c:pt idx="1537">
                  <c:v>7.7108743425924263E-6</c:v>
                </c:pt>
                <c:pt idx="1538">
                  <c:v>-1.767511066645967E-4</c:v>
                </c:pt>
                <c:pt idx="1539">
                  <c:v>-4.0843220085662324E-4</c:v>
                </c:pt>
                <c:pt idx="1540">
                  <c:v>-1.8973407259181846E-4</c:v>
                </c:pt>
                <c:pt idx="1541">
                  <c:v>1.1238524984946695E-4</c:v>
                </c:pt>
                <c:pt idx="1542">
                  <c:v>4.7850539976934702E-4</c:v>
                </c:pt>
                <c:pt idx="1543">
                  <c:v>-6.2719584093429392E-5</c:v>
                </c:pt>
                <c:pt idx="1544">
                  <c:v>2.2391142556443726E-4</c:v>
                </c:pt>
                <c:pt idx="1545">
                  <c:v>1.0111405645147908E-3</c:v>
                </c:pt>
                <c:pt idx="1546">
                  <c:v>1.0339159198338159E-3</c:v>
                </c:pt>
                <c:pt idx="1547">
                  <c:v>5.3874005971010761E-5</c:v>
                </c:pt>
                <c:pt idx="1548">
                  <c:v>-1.1711750426002249E-4</c:v>
                </c:pt>
                <c:pt idx="1549">
                  <c:v>5.288868724164788E-4</c:v>
                </c:pt>
                <c:pt idx="1550">
                  <c:v>1.5128316008485849E-3</c:v>
                </c:pt>
                <c:pt idx="1551">
                  <c:v>7.98680451225664E-4</c:v>
                </c:pt>
                <c:pt idx="1552">
                  <c:v>1.478486566384164E-4</c:v>
                </c:pt>
                <c:pt idx="1553">
                  <c:v>8.5513509475276833E-5</c:v>
                </c:pt>
                <c:pt idx="1554">
                  <c:v>6.3618408603359868E-6</c:v>
                </c:pt>
                <c:pt idx="1555">
                  <c:v>3.89695524063427E-5</c:v>
                </c:pt>
                <c:pt idx="1556">
                  <c:v>2.1840752879143138E-4</c:v>
                </c:pt>
                <c:pt idx="1557">
                  <c:v>-9.3245356765692231E-5</c:v>
                </c:pt>
                <c:pt idx="1558">
                  <c:v>-7.584467448396037E-5</c:v>
                </c:pt>
                <c:pt idx="1559">
                  <c:v>2.3270886231330218E-4</c:v>
                </c:pt>
                <c:pt idx="1560">
                  <c:v>5.6634328473137389E-5</c:v>
                </c:pt>
                <c:pt idx="1561">
                  <c:v>4.2471266681332122E-5</c:v>
                </c:pt>
                <c:pt idx="1562">
                  <c:v>-1.9117420197289924E-4</c:v>
                </c:pt>
                <c:pt idx="1563">
                  <c:v>-4.1238817721023224E-4</c:v>
                </c:pt>
                <c:pt idx="1564">
                  <c:v>-1.6009397950256249E-4</c:v>
                </c:pt>
                <c:pt idx="1565">
                  <c:v>1.9337833236932051E-4</c:v>
                </c:pt>
                <c:pt idx="1566">
                  <c:v>4.6719489955648918E-4</c:v>
                </c:pt>
                <c:pt idx="1567">
                  <c:v>-6.9686846813965503E-5</c:v>
                </c:pt>
                <c:pt idx="1568">
                  <c:v>2.3641665757168003E-4</c:v>
                </c:pt>
                <c:pt idx="1569">
                  <c:v>1.0385385903646238E-3</c:v>
                </c:pt>
                <c:pt idx="1570">
                  <c:v>1.0813236731337388E-3</c:v>
                </c:pt>
                <c:pt idx="1571">
                  <c:v>6.9126319431234232E-5</c:v>
                </c:pt>
                <c:pt idx="1572">
                  <c:v>-8.2745296822395135E-5</c:v>
                </c:pt>
                <c:pt idx="1573">
                  <c:v>6.4219516639241268E-4</c:v>
                </c:pt>
                <c:pt idx="1574">
                  <c:v>1.4256708382163201E-3</c:v>
                </c:pt>
                <c:pt idx="1575">
                  <c:v>7.6687375621986565E-4</c:v>
                </c:pt>
                <c:pt idx="1576">
                  <c:v>3.5614690204966146E-5</c:v>
                </c:pt>
                <c:pt idx="1577">
                  <c:v>1.4921467300155211E-4</c:v>
                </c:pt>
                <c:pt idx="1578">
                  <c:v>1.0368339690103309E-4</c:v>
                </c:pt>
                <c:pt idx="1579">
                  <c:v>7.2145981675930725E-5</c:v>
                </c:pt>
                <c:pt idx="1580">
                  <c:v>1.5132893554437027E-4</c:v>
                </c:pt>
                <c:pt idx="1581">
                  <c:v>-1.7739018221618602E-4</c:v>
                </c:pt>
                <c:pt idx="1582">
                  <c:v>-7.9186485891113948E-5</c:v>
                </c:pt>
                <c:pt idx="1583">
                  <c:v>2.1909248516749369E-4</c:v>
                </c:pt>
                <c:pt idx="1584">
                  <c:v>7.4209670856362236E-5</c:v>
                </c:pt>
                <c:pt idx="1585">
                  <c:v>7.2340964834438772E-5</c:v>
                </c:pt>
                <c:pt idx="1586">
                  <c:v>-8.6289169985320863E-5</c:v>
                </c:pt>
                <c:pt idx="1587">
                  <c:v>-3.220407670596615E-4</c:v>
                </c:pt>
                <c:pt idx="1588">
                  <c:v>-1.76814999576891E-4</c:v>
                </c:pt>
                <c:pt idx="1589">
                  <c:v>1.5683775018260332E-4</c:v>
                </c:pt>
                <c:pt idx="1590">
                  <c:v>4.9640571319287097E-4</c:v>
                </c:pt>
                <c:pt idx="1591">
                  <c:v>-8.3534137615970503E-5</c:v>
                </c:pt>
                <c:pt idx="1592">
                  <c:v>2.1636660676449526E-4</c:v>
                </c:pt>
                <c:pt idx="1593">
                  <c:v>1.015281784930266E-3</c:v>
                </c:pt>
                <c:pt idx="1594">
                  <c:v>1.068386118276976E-3</c:v>
                </c:pt>
                <c:pt idx="1595">
                  <c:v>1.1945588266826224E-4</c:v>
                </c:pt>
                <c:pt idx="1596">
                  <c:v>-1.0241493646390153E-4</c:v>
                </c:pt>
                <c:pt idx="1597">
                  <c:v>5.1200593225075787E-4</c:v>
                </c:pt>
                <c:pt idx="1598">
                  <c:v>1.3655652001034451E-3</c:v>
                </c:pt>
                <c:pt idx="1599">
                  <c:v>6.7933113678009358E-4</c:v>
                </c:pt>
                <c:pt idx="1600">
                  <c:v>-8.8751548901200023E-6</c:v>
                </c:pt>
                <c:pt idx="1601">
                  <c:v>1.4957613257138291E-4</c:v>
                </c:pt>
                <c:pt idx="1602">
                  <c:v>1.2536974372778792E-4</c:v>
                </c:pt>
                <c:pt idx="1603">
                  <c:v>7.8133969509508434E-5</c:v>
                </c:pt>
                <c:pt idx="1604">
                  <c:v>1.4064412243897112E-4</c:v>
                </c:pt>
                <c:pt idx="1605">
                  <c:v>-1.0008374556491617E-4</c:v>
                </c:pt>
                <c:pt idx="1606">
                  <c:v>-3.0033725124667473E-5</c:v>
                </c:pt>
                <c:pt idx="1607">
                  <c:v>1.8923237530543732E-4</c:v>
                </c:pt>
                <c:pt idx="1608">
                  <c:v>1.0891944248214715E-4</c:v>
                </c:pt>
                <c:pt idx="1609">
                  <c:v>5.3530610784946374E-5</c:v>
                </c:pt>
                <c:pt idx="1610">
                  <c:v>-2.8082114658900526E-4</c:v>
                </c:pt>
                <c:pt idx="1611">
                  <c:v>-4.2306793329771603E-4</c:v>
                </c:pt>
                <c:pt idx="1612">
                  <c:v>-1.940429810929345E-4</c:v>
                </c:pt>
                <c:pt idx="1613">
                  <c:v>2.0821461339437519E-4</c:v>
                </c:pt>
                <c:pt idx="1614">
                  <c:v>4.4450787390815105E-4</c:v>
                </c:pt>
                <c:pt idx="1615">
                  <c:v>-1.0565987759036946E-4</c:v>
                </c:pt>
                <c:pt idx="1616">
                  <c:v>2.5012117112055378E-4</c:v>
                </c:pt>
                <c:pt idx="1617">
                  <c:v>1.1006270797224718E-3</c:v>
                </c:pt>
                <c:pt idx="1618">
                  <c:v>1.1321768979541951E-3</c:v>
                </c:pt>
                <c:pt idx="1619">
                  <c:v>2.7352249162504233E-5</c:v>
                </c:pt>
                <c:pt idx="1620">
                  <c:v>-2.0915110326313676E-5</c:v>
                </c:pt>
                <c:pt idx="1621">
                  <c:v>5.5886033442220759E-4</c:v>
                </c:pt>
                <c:pt idx="1622">
                  <c:v>1.5452088264282775E-3</c:v>
                </c:pt>
                <c:pt idx="1623">
                  <c:v>5.4300326883094364E-4</c:v>
                </c:pt>
                <c:pt idx="1624">
                  <c:v>7.4611398667911945E-4</c:v>
                </c:pt>
                <c:pt idx="1625">
                  <c:v>1.4247661238186974E-4</c:v>
                </c:pt>
                <c:pt idx="1626">
                  <c:v>-2.2485437511932251E-5</c:v>
                </c:pt>
                <c:pt idx="1627">
                  <c:v>6.4533387558185509E-5</c:v>
                </c:pt>
                <c:pt idx="1628">
                  <c:v>1.5117769362404951E-4</c:v>
                </c:pt>
                <c:pt idx="1629">
                  <c:v>5.7574427501094489E-6</c:v>
                </c:pt>
                <c:pt idx="1630">
                  <c:v>-8.5395294263434981E-5</c:v>
                </c:pt>
                <c:pt idx="1631">
                  <c:v>2.0943721528965406E-4</c:v>
                </c:pt>
                <c:pt idx="1632">
                  <c:v>1.2364987560431473E-4</c:v>
                </c:pt>
                <c:pt idx="1633">
                  <c:v>4.3241843741273051E-6</c:v>
                </c:pt>
                <c:pt idx="1634">
                  <c:v>-1.9251458434155227E-4</c:v>
                </c:pt>
                <c:pt idx="1635">
                  <c:v>-3.3558462746441348E-4</c:v>
                </c:pt>
                <c:pt idx="1636">
                  <c:v>-6.2475002778228494E-5</c:v>
                </c:pt>
                <c:pt idx="1637">
                  <c:v>2.050128059636335E-4</c:v>
                </c:pt>
                <c:pt idx="1638">
                  <c:v>4.6622353693237572E-4</c:v>
                </c:pt>
                <c:pt idx="1639">
                  <c:v>-1.4300241855380583E-4</c:v>
                </c:pt>
                <c:pt idx="1640">
                  <c:v>2.8642437609960325E-4</c:v>
                </c:pt>
                <c:pt idx="1641">
                  <c:v>9.2859338474227018E-4</c:v>
                </c:pt>
                <c:pt idx="1642">
                  <c:v>9.423249430255972E-4</c:v>
                </c:pt>
                <c:pt idx="1643">
                  <c:v>1.9514171071932841E-5</c:v>
                </c:pt>
                <c:pt idx="1644">
                  <c:v>-9.1183379879566874E-5</c:v>
                </c:pt>
                <c:pt idx="1645">
                  <c:v>5.6843239144655031E-4</c:v>
                </c:pt>
                <c:pt idx="1646">
                  <c:v>1.4097717066761102E-3</c:v>
                </c:pt>
                <c:pt idx="1647">
                  <c:v>4.8960920685203768E-4</c:v>
                </c:pt>
                <c:pt idx="1648">
                  <c:v>7.8848439102330127E-5</c:v>
                </c:pt>
                <c:pt idx="1649">
                  <c:v>6.7696662154048681E-4</c:v>
                </c:pt>
                <c:pt idx="1650">
                  <c:v>4.8027305183495736E-5</c:v>
                </c:pt>
                <c:pt idx="1651">
                  <c:v>5.7685403589857674E-5</c:v>
                </c:pt>
                <c:pt idx="1652">
                  <c:v>5.3076199492352275E-5</c:v>
                </c:pt>
                <c:pt idx="1653">
                  <c:v>-6.5395530327805399E-5</c:v>
                </c:pt>
                <c:pt idx="1654">
                  <c:v>-1.6058522123785235E-4</c:v>
                </c:pt>
                <c:pt idx="1655">
                  <c:v>1.8296384041605052E-4</c:v>
                </c:pt>
                <c:pt idx="1656">
                  <c:v>-2.8198900054121701E-5</c:v>
                </c:pt>
                <c:pt idx="1657">
                  <c:v>-3.0902960133971653E-5</c:v>
                </c:pt>
                <c:pt idx="1658">
                  <c:v>-1.9965520527875929E-4</c:v>
                </c:pt>
                <c:pt idx="1659">
                  <c:v>-3.56574670149712E-4</c:v>
                </c:pt>
                <c:pt idx="1660">
                  <c:v>-1.4880837807140784E-4</c:v>
                </c:pt>
                <c:pt idx="1661">
                  <c:v>1.8803445982484835E-4</c:v>
                </c:pt>
                <c:pt idx="1662">
                  <c:v>4.1319379488413677E-4</c:v>
                </c:pt>
                <c:pt idx="1663">
                  <c:v>-1.15753118734574E-4</c:v>
                </c:pt>
                <c:pt idx="1664">
                  <c:v>2.4196259255404473E-4</c:v>
                </c:pt>
                <c:pt idx="1665">
                  <c:v>9.9581643735291523E-4</c:v>
                </c:pt>
                <c:pt idx="1666">
                  <c:v>1.0452052229084092E-3</c:v>
                </c:pt>
                <c:pt idx="1667">
                  <c:v>5.8546222135191756E-5</c:v>
                </c:pt>
                <c:pt idx="1668">
                  <c:v>-1.9948614863096731E-4</c:v>
                </c:pt>
                <c:pt idx="1669">
                  <c:v>5.3670239958592079E-4</c:v>
                </c:pt>
                <c:pt idx="1670">
                  <c:v>1.295275753363965E-3</c:v>
                </c:pt>
                <c:pt idx="1671">
                  <c:v>4.2444876089575679E-4</c:v>
                </c:pt>
                <c:pt idx="1672">
                  <c:v>1.0361947420278748E-4</c:v>
                </c:pt>
                <c:pt idx="1673">
                  <c:v>-2.6758631429402147E-4</c:v>
                </c:pt>
                <c:pt idx="1674">
                  <c:v>7.8653472155565504E-4</c:v>
                </c:pt>
                <c:pt idx="1675">
                  <c:v>4.0338000189876779E-5</c:v>
                </c:pt>
                <c:pt idx="1676">
                  <c:v>1.4884615484334057E-4</c:v>
                </c:pt>
                <c:pt idx="1677">
                  <c:v>-3.0435149710683523E-5</c:v>
                </c:pt>
                <c:pt idx="1678">
                  <c:v>-5.0696489324764129E-5</c:v>
                </c:pt>
                <c:pt idx="1679">
                  <c:v>2.1602817423627124E-4</c:v>
                </c:pt>
                <c:pt idx="1680">
                  <c:v>9.2529541689145817E-5</c:v>
                </c:pt>
                <c:pt idx="1681">
                  <c:v>-9.8017833352061451E-6</c:v>
                </c:pt>
                <c:pt idx="1682">
                  <c:v>-5.5061416617263522E-5</c:v>
                </c:pt>
                <c:pt idx="1683">
                  <c:v>-4.0747074149294338E-4</c:v>
                </c:pt>
                <c:pt idx="1684">
                  <c:v>-2.3080936080077674E-4</c:v>
                </c:pt>
                <c:pt idx="1685">
                  <c:v>2.7725983454729425E-4</c:v>
                </c:pt>
                <c:pt idx="1686">
                  <c:v>3.9252235364983773E-4</c:v>
                </c:pt>
                <c:pt idx="1687">
                  <c:v>3.3387204894097427E-5</c:v>
                </c:pt>
                <c:pt idx="1688">
                  <c:v>3.3920264104381317E-4</c:v>
                </c:pt>
                <c:pt idx="1689">
                  <c:v>1.1113217478850841E-3</c:v>
                </c:pt>
                <c:pt idx="1690">
                  <c:v>8.8777266500983431E-4</c:v>
                </c:pt>
                <c:pt idx="1691">
                  <c:v>1.408747120876796E-4</c:v>
                </c:pt>
                <c:pt idx="1692">
                  <c:v>-3.4023280022665994E-5</c:v>
                </c:pt>
                <c:pt idx="1693">
                  <c:v>6.8742879739147752E-4</c:v>
                </c:pt>
                <c:pt idx="1694">
                  <c:v>1.36508868308738E-3</c:v>
                </c:pt>
                <c:pt idx="1695">
                  <c:v>3.7281009281286975E-4</c:v>
                </c:pt>
                <c:pt idx="1696">
                  <c:v>2.1389864559750999E-4</c:v>
                </c:pt>
                <c:pt idx="1697">
                  <c:v>-1.4212746100383827E-4</c:v>
                </c:pt>
                <c:pt idx="1698">
                  <c:v>-2.8751191712217427E-4</c:v>
                </c:pt>
                <c:pt idx="1699">
                  <c:v>8.1796305676107317E-4</c:v>
                </c:pt>
                <c:pt idx="1700">
                  <c:v>2.3342961139860574E-4</c:v>
                </c:pt>
                <c:pt idx="1701">
                  <c:v>-2.2196511565653E-5</c:v>
                </c:pt>
                <c:pt idx="1702">
                  <c:v>-2.3875975421105988E-4</c:v>
                </c:pt>
                <c:pt idx="1703">
                  <c:v>4.8235734993795848E-5</c:v>
                </c:pt>
                <c:pt idx="1704">
                  <c:v>1.8749906485027179E-4</c:v>
                </c:pt>
                <c:pt idx="1705">
                  <c:v>-1.1515382357174533E-4</c:v>
                </c:pt>
                <c:pt idx="1706">
                  <c:v>-1.6108834506667336E-4</c:v>
                </c:pt>
                <c:pt idx="1707">
                  <c:v>-5.4277459639706649E-4</c:v>
                </c:pt>
                <c:pt idx="1708">
                  <c:v>-1.2423941370798275E-4</c:v>
                </c:pt>
                <c:pt idx="1709">
                  <c:v>4.8755137686384853E-4</c:v>
                </c:pt>
                <c:pt idx="1710">
                  <c:v>1.7543478134030021E-4</c:v>
                </c:pt>
                <c:pt idx="1711">
                  <c:v>-6.7940191001980823E-5</c:v>
                </c:pt>
                <c:pt idx="1712">
                  <c:v>-1.5395452464872343E-5</c:v>
                </c:pt>
                <c:pt idx="1713">
                  <c:v>8.0148064080276527E-4</c:v>
                </c:pt>
                <c:pt idx="1714">
                  <c:v>6.4647533872630469E-4</c:v>
                </c:pt>
                <c:pt idx="1715">
                  <c:v>2.7663253240461916E-4</c:v>
                </c:pt>
                <c:pt idx="1716">
                  <c:v>-3.6612680196412861E-4</c:v>
                </c:pt>
                <c:pt idx="1717">
                  <c:v>4.6047833893680956E-4</c:v>
                </c:pt>
                <c:pt idx="1718">
                  <c:v>1.1347746913088494E-3</c:v>
                </c:pt>
                <c:pt idx="1719">
                  <c:v>3.3045006057363935E-4</c:v>
                </c:pt>
                <c:pt idx="1720">
                  <c:v>1.7429595845897E-4</c:v>
                </c:pt>
                <c:pt idx="1721">
                  <c:v>-1.0638548519636959E-4</c:v>
                </c:pt>
                <c:pt idx="1722">
                  <c:v>-3.2221066066995247E-4</c:v>
                </c:pt>
                <c:pt idx="1723">
                  <c:v>-2.9000776612520001E-4</c:v>
                </c:pt>
                <c:pt idx="1724">
                  <c:v>8.7157015514094296E-4</c:v>
                </c:pt>
                <c:pt idx="1725">
                  <c:v>-2.2902053206053036E-5</c:v>
                </c:pt>
                <c:pt idx="1726">
                  <c:v>1.1228385963477194E-4</c:v>
                </c:pt>
                <c:pt idx="1727">
                  <c:v>1.2324258857915985E-4</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multiLvlStrRef>
              <c:f>Run_TR!$A$2:$A$1802</c:f>
              <c:multiLvlStrCache>
                <c:ptCount val="1728"/>
                <c:lvl>
                  <c:pt idx="0">
                    <c:v>2018-07-25-02:00</c:v>
                  </c:pt>
                  <c:pt idx="1">
                    <c:v>2018-07-25-03:00</c:v>
                  </c:pt>
                  <c:pt idx="2">
                    <c:v>2018-07-25-04:00</c:v>
                  </c:pt>
                  <c:pt idx="3">
                    <c:v>2018-07-25-05:00</c:v>
                  </c:pt>
                  <c:pt idx="4">
                    <c:v>2018-07-25-06:00</c:v>
                  </c:pt>
                  <c:pt idx="5">
                    <c:v>2018-07-25-07:00</c:v>
                  </c:pt>
                  <c:pt idx="6">
                    <c:v>2018-07-25-08:00</c:v>
                  </c:pt>
                  <c:pt idx="7">
                    <c:v>2018-07-25-09:00</c:v>
                  </c:pt>
                  <c:pt idx="8">
                    <c:v>2018-07-25-10:00</c:v>
                  </c:pt>
                  <c:pt idx="9">
                    <c:v>2018-07-25-11:00</c:v>
                  </c:pt>
                  <c:pt idx="10">
                    <c:v>2018-07-25-12:00</c:v>
                  </c:pt>
                  <c:pt idx="11">
                    <c:v>2018-07-25-13:00</c:v>
                  </c:pt>
                  <c:pt idx="12">
                    <c:v>2018-07-25-14:00</c:v>
                  </c:pt>
                  <c:pt idx="13">
                    <c:v>2018-07-25-15:00</c:v>
                  </c:pt>
                  <c:pt idx="14">
                    <c:v>2018-07-25-16:00</c:v>
                  </c:pt>
                  <c:pt idx="15">
                    <c:v>2018-07-25-17:00</c:v>
                  </c:pt>
                  <c:pt idx="16">
                    <c:v>2018-07-25-18:00</c:v>
                  </c:pt>
                  <c:pt idx="17">
                    <c:v>2018-07-25-20:00</c:v>
                  </c:pt>
                  <c:pt idx="18">
                    <c:v>2018-07-25-21:00</c:v>
                  </c:pt>
                  <c:pt idx="19">
                    <c:v>2018-07-25-22:00</c:v>
                  </c:pt>
                  <c:pt idx="20">
                    <c:v>2018-07-25-23:00</c:v>
                  </c:pt>
                  <c:pt idx="21">
                    <c:v>2018-07-26-00:00</c:v>
                  </c:pt>
                  <c:pt idx="22">
                    <c:v>2018-07-26-01:00</c:v>
                  </c:pt>
                  <c:pt idx="23">
                    <c:v>2018-07-26-02:00</c:v>
                  </c:pt>
                  <c:pt idx="24">
                    <c:v>2018-07-25-19:00</c:v>
                  </c:pt>
                  <c:pt idx="25">
                    <c:v>2018-07-25-03:00</c:v>
                  </c:pt>
                  <c:pt idx="26">
                    <c:v>2018-07-25-04:00</c:v>
                  </c:pt>
                  <c:pt idx="27">
                    <c:v>2018-07-25-05:00</c:v>
                  </c:pt>
                  <c:pt idx="28">
                    <c:v>2018-07-25-06:00</c:v>
                  </c:pt>
                  <c:pt idx="29">
                    <c:v>2018-07-25-07:00</c:v>
                  </c:pt>
                  <c:pt idx="30">
                    <c:v>2018-07-25-08:00</c:v>
                  </c:pt>
                  <c:pt idx="31">
                    <c:v>2018-07-25-09:00</c:v>
                  </c:pt>
                  <c:pt idx="32">
                    <c:v>2018-07-25-10:00</c:v>
                  </c:pt>
                  <c:pt idx="33">
                    <c:v>2018-07-25-11:00</c:v>
                  </c:pt>
                  <c:pt idx="34">
                    <c:v>2018-07-25-12:00</c:v>
                  </c:pt>
                  <c:pt idx="35">
                    <c:v>2018-07-25-13:00</c:v>
                  </c:pt>
                  <c:pt idx="36">
                    <c:v>2018-07-25-14:00</c:v>
                  </c:pt>
                  <c:pt idx="37">
                    <c:v>2018-07-25-15:00</c:v>
                  </c:pt>
                  <c:pt idx="38">
                    <c:v>2018-07-25-16:00</c:v>
                  </c:pt>
                  <c:pt idx="39">
                    <c:v>2018-07-25-17:00</c:v>
                  </c:pt>
                  <c:pt idx="40">
                    <c:v>2018-07-25-18:00</c:v>
                  </c:pt>
                  <c:pt idx="41">
                    <c:v>2018-07-25-20:00</c:v>
                  </c:pt>
                  <c:pt idx="42">
                    <c:v>2018-07-25-21:00</c:v>
                  </c:pt>
                  <c:pt idx="43">
                    <c:v>2018-07-25-22:00</c:v>
                  </c:pt>
                  <c:pt idx="44">
                    <c:v>2018-07-25-23:00</c:v>
                  </c:pt>
                  <c:pt idx="45">
                    <c:v>2018-07-26-00:00</c:v>
                  </c:pt>
                  <c:pt idx="46">
                    <c:v>2018-07-26-01:00</c:v>
                  </c:pt>
                  <c:pt idx="47">
                    <c:v>2018-07-26-02:00</c:v>
                  </c:pt>
                  <c:pt idx="48">
                    <c:v>2018-07-26-03:00</c:v>
                  </c:pt>
                  <c:pt idx="49">
                    <c:v>2018-07-25-19:00</c:v>
                  </c:pt>
                  <c:pt idx="50">
                    <c:v>2018-07-25-04:00</c:v>
                  </c:pt>
                  <c:pt idx="51">
                    <c:v>2018-07-25-05:00</c:v>
                  </c:pt>
                  <c:pt idx="52">
                    <c:v>2018-07-25-06:00</c:v>
                  </c:pt>
                  <c:pt idx="53">
                    <c:v>2018-07-25-07:00</c:v>
                  </c:pt>
                  <c:pt idx="54">
                    <c:v>2018-07-25-08:00</c:v>
                  </c:pt>
                  <c:pt idx="55">
                    <c:v>2018-07-25-09:00</c:v>
                  </c:pt>
                  <c:pt idx="56">
                    <c:v>2018-07-25-10:00</c:v>
                  </c:pt>
                  <c:pt idx="57">
                    <c:v>2018-07-25-11:00</c:v>
                  </c:pt>
                  <c:pt idx="58">
                    <c:v>2018-07-25-12:00</c:v>
                  </c:pt>
                  <c:pt idx="59">
                    <c:v>2018-07-25-13:00</c:v>
                  </c:pt>
                  <c:pt idx="60">
                    <c:v>2018-07-25-14:00</c:v>
                  </c:pt>
                  <c:pt idx="61">
                    <c:v>2018-07-25-15:00</c:v>
                  </c:pt>
                  <c:pt idx="62">
                    <c:v>2018-07-25-16:00</c:v>
                  </c:pt>
                  <c:pt idx="63">
                    <c:v>2018-07-25-17:00</c:v>
                  </c:pt>
                  <c:pt idx="64">
                    <c:v>2018-07-25-18:00</c:v>
                  </c:pt>
                  <c:pt idx="65">
                    <c:v>2018-07-25-20:00</c:v>
                  </c:pt>
                  <c:pt idx="66">
                    <c:v>2018-07-25-21:00</c:v>
                  </c:pt>
                  <c:pt idx="67">
                    <c:v>2018-07-25-22:00</c:v>
                  </c:pt>
                  <c:pt idx="68">
                    <c:v>2018-07-25-23:00</c:v>
                  </c:pt>
                  <c:pt idx="69">
                    <c:v>2018-07-26-00:00</c:v>
                  </c:pt>
                  <c:pt idx="70">
                    <c:v>2018-07-26-01:00</c:v>
                  </c:pt>
                  <c:pt idx="71">
                    <c:v>2018-07-26-02:00</c:v>
                  </c:pt>
                  <c:pt idx="72">
                    <c:v>2018-07-26-03:00</c:v>
                  </c:pt>
                  <c:pt idx="73">
                    <c:v>2018-07-26-04:00</c:v>
                  </c:pt>
                  <c:pt idx="74">
                    <c:v>2018-07-25-19:00</c:v>
                  </c:pt>
                  <c:pt idx="75">
                    <c:v>2018-07-25-05:00</c:v>
                  </c:pt>
                  <c:pt idx="76">
                    <c:v>2018-07-25-06:00</c:v>
                  </c:pt>
                  <c:pt idx="77">
                    <c:v>2018-07-25-07:00</c:v>
                  </c:pt>
                  <c:pt idx="78">
                    <c:v>2018-07-25-08:00</c:v>
                  </c:pt>
                  <c:pt idx="79">
                    <c:v>2018-07-25-09:00</c:v>
                  </c:pt>
                  <c:pt idx="80">
                    <c:v>2018-07-25-10:00</c:v>
                  </c:pt>
                  <c:pt idx="81">
                    <c:v>2018-07-25-11:00</c:v>
                  </c:pt>
                  <c:pt idx="82">
                    <c:v>2018-07-25-12:00</c:v>
                  </c:pt>
                  <c:pt idx="83">
                    <c:v>2018-07-25-13:00</c:v>
                  </c:pt>
                  <c:pt idx="84">
                    <c:v>2018-07-25-14:00</c:v>
                  </c:pt>
                  <c:pt idx="85">
                    <c:v>2018-07-25-15:00</c:v>
                  </c:pt>
                  <c:pt idx="86">
                    <c:v>2018-07-25-16:00</c:v>
                  </c:pt>
                  <c:pt idx="87">
                    <c:v>2018-07-25-17:00</c:v>
                  </c:pt>
                  <c:pt idx="88">
                    <c:v>2018-07-25-18:00</c:v>
                  </c:pt>
                  <c:pt idx="89">
                    <c:v>2018-07-25-20:00</c:v>
                  </c:pt>
                  <c:pt idx="90">
                    <c:v>2018-07-25-21:00</c:v>
                  </c:pt>
                  <c:pt idx="91">
                    <c:v>2018-07-25-22:00</c:v>
                  </c:pt>
                  <c:pt idx="92">
                    <c:v>2018-07-25-23:00</c:v>
                  </c:pt>
                  <c:pt idx="93">
                    <c:v>2018-07-26-00:00</c:v>
                  </c:pt>
                  <c:pt idx="94">
                    <c:v>2018-07-26-01:00</c:v>
                  </c:pt>
                  <c:pt idx="95">
                    <c:v>2018-07-26-02:00</c:v>
                  </c:pt>
                  <c:pt idx="96">
                    <c:v>2018-07-26-03:00</c:v>
                  </c:pt>
                  <c:pt idx="97">
                    <c:v>2018-07-26-04:00</c:v>
                  </c:pt>
                  <c:pt idx="98">
                    <c:v>2018-07-26-05:00</c:v>
                  </c:pt>
                  <c:pt idx="99">
                    <c:v>2018-07-25-19:00</c:v>
                  </c:pt>
                  <c:pt idx="100">
                    <c:v>2018-07-25-06:00</c:v>
                  </c:pt>
                  <c:pt idx="101">
                    <c:v>2018-07-25-07:00</c:v>
                  </c:pt>
                  <c:pt idx="102">
                    <c:v>2018-07-25-08:00</c:v>
                  </c:pt>
                  <c:pt idx="103">
                    <c:v>2018-07-25-09:00</c:v>
                  </c:pt>
                  <c:pt idx="104">
                    <c:v>2018-07-25-10:00</c:v>
                  </c:pt>
                  <c:pt idx="105">
                    <c:v>2018-07-25-11:00</c:v>
                  </c:pt>
                  <c:pt idx="106">
                    <c:v>2018-07-25-12:00</c:v>
                  </c:pt>
                  <c:pt idx="107">
                    <c:v>2018-07-25-13:00</c:v>
                  </c:pt>
                  <c:pt idx="108">
                    <c:v>2018-07-25-14:00</c:v>
                  </c:pt>
                  <c:pt idx="109">
                    <c:v>2018-07-25-15:00</c:v>
                  </c:pt>
                  <c:pt idx="110">
                    <c:v>2018-07-25-16:00</c:v>
                  </c:pt>
                  <c:pt idx="111">
                    <c:v>2018-07-25-17:00</c:v>
                  </c:pt>
                  <c:pt idx="112">
                    <c:v>2018-07-25-18:00</c:v>
                  </c:pt>
                  <c:pt idx="113">
                    <c:v>2018-07-25-20:00</c:v>
                  </c:pt>
                  <c:pt idx="114">
                    <c:v>2018-07-25-21:00</c:v>
                  </c:pt>
                  <c:pt idx="115">
                    <c:v>2018-07-25-22:00</c:v>
                  </c:pt>
                  <c:pt idx="116">
                    <c:v>2018-07-25-23:00</c:v>
                  </c:pt>
                  <c:pt idx="117">
                    <c:v>2018-07-26-00:00</c:v>
                  </c:pt>
                  <c:pt idx="118">
                    <c:v>2018-07-26-01:00</c:v>
                  </c:pt>
                  <c:pt idx="119">
                    <c:v>2018-07-26-02:00</c:v>
                  </c:pt>
                  <c:pt idx="120">
                    <c:v>2018-07-26-03:00</c:v>
                  </c:pt>
                  <c:pt idx="121">
                    <c:v>2018-07-26-04:00</c:v>
                  </c:pt>
                  <c:pt idx="122">
                    <c:v>2018-07-26-05:00</c:v>
                  </c:pt>
                  <c:pt idx="123">
                    <c:v>2018-07-26-06:00</c:v>
                  </c:pt>
                  <c:pt idx="124">
                    <c:v>2018-07-25-19:00</c:v>
                  </c:pt>
                  <c:pt idx="125">
                    <c:v>2018-07-25-07:00</c:v>
                  </c:pt>
                  <c:pt idx="126">
                    <c:v>2018-07-25-08:00</c:v>
                  </c:pt>
                  <c:pt idx="127">
                    <c:v>2018-07-25-09:00</c:v>
                  </c:pt>
                  <c:pt idx="128">
                    <c:v>2018-07-25-10:00</c:v>
                  </c:pt>
                  <c:pt idx="129">
                    <c:v>2018-07-25-11:00</c:v>
                  </c:pt>
                  <c:pt idx="130">
                    <c:v>2018-07-25-12:00</c:v>
                  </c:pt>
                  <c:pt idx="131">
                    <c:v>2018-07-25-13:00</c:v>
                  </c:pt>
                  <c:pt idx="132">
                    <c:v>2018-07-25-14:00</c:v>
                  </c:pt>
                  <c:pt idx="133">
                    <c:v>2018-07-25-15:00</c:v>
                  </c:pt>
                  <c:pt idx="134">
                    <c:v>2018-07-25-16:00</c:v>
                  </c:pt>
                  <c:pt idx="135">
                    <c:v>2018-07-25-17:00</c:v>
                  </c:pt>
                  <c:pt idx="136">
                    <c:v>2018-07-25-18:00</c:v>
                  </c:pt>
                  <c:pt idx="137">
                    <c:v>2018-07-25-20:00</c:v>
                  </c:pt>
                  <c:pt idx="138">
                    <c:v>2018-07-25-21:00</c:v>
                  </c:pt>
                  <c:pt idx="139">
                    <c:v>2018-07-25-22:00</c:v>
                  </c:pt>
                  <c:pt idx="140">
                    <c:v>2018-07-25-23:00</c:v>
                  </c:pt>
                  <c:pt idx="141">
                    <c:v>2018-07-26-00:00</c:v>
                  </c:pt>
                  <c:pt idx="142">
                    <c:v>2018-07-26-01:00</c:v>
                  </c:pt>
                  <c:pt idx="143">
                    <c:v>2018-07-26-02:00</c:v>
                  </c:pt>
                  <c:pt idx="144">
                    <c:v>2018-07-26-03:00</c:v>
                  </c:pt>
                  <c:pt idx="145">
                    <c:v>2018-07-26-04:00</c:v>
                  </c:pt>
                  <c:pt idx="146">
                    <c:v>2018-07-26-05:00</c:v>
                  </c:pt>
                  <c:pt idx="147">
                    <c:v>2018-07-26-06:00</c:v>
                  </c:pt>
                  <c:pt idx="148">
                    <c:v>2018-07-26-07:00</c:v>
                  </c:pt>
                  <c:pt idx="149">
                    <c:v>2018-07-25-19:00</c:v>
                  </c:pt>
                  <c:pt idx="150">
                    <c:v>2018-07-25-08:00</c:v>
                  </c:pt>
                  <c:pt idx="151">
                    <c:v>2018-07-25-09:00</c:v>
                  </c:pt>
                  <c:pt idx="152">
                    <c:v>2018-07-25-10:00</c:v>
                  </c:pt>
                  <c:pt idx="153">
                    <c:v>2018-07-25-11:00</c:v>
                  </c:pt>
                  <c:pt idx="154">
                    <c:v>2018-07-25-12:00</c:v>
                  </c:pt>
                  <c:pt idx="155">
                    <c:v>2018-07-25-13:00</c:v>
                  </c:pt>
                  <c:pt idx="156">
                    <c:v>2018-07-25-14:00</c:v>
                  </c:pt>
                  <c:pt idx="157">
                    <c:v>2018-07-25-15:00</c:v>
                  </c:pt>
                  <c:pt idx="158">
                    <c:v>2018-07-25-16:00</c:v>
                  </c:pt>
                  <c:pt idx="159">
                    <c:v>2018-07-25-17:00</c:v>
                  </c:pt>
                  <c:pt idx="160">
                    <c:v>2018-07-25-18:00</c:v>
                  </c:pt>
                  <c:pt idx="161">
                    <c:v>2018-07-25-20:00</c:v>
                  </c:pt>
                  <c:pt idx="162">
                    <c:v>2018-07-25-21:00</c:v>
                  </c:pt>
                  <c:pt idx="163">
                    <c:v>2018-07-25-22:00</c:v>
                  </c:pt>
                  <c:pt idx="164">
                    <c:v>2018-07-25-23:00</c:v>
                  </c:pt>
                  <c:pt idx="165">
                    <c:v>2018-07-26-00:00</c:v>
                  </c:pt>
                  <c:pt idx="166">
                    <c:v>2018-07-26-01:00</c:v>
                  </c:pt>
                  <c:pt idx="167">
                    <c:v>2018-07-26-02:00</c:v>
                  </c:pt>
                  <c:pt idx="168">
                    <c:v>2018-07-26-03:00</c:v>
                  </c:pt>
                  <c:pt idx="169">
                    <c:v>2018-07-26-04:00</c:v>
                  </c:pt>
                  <c:pt idx="170">
                    <c:v>2018-07-26-05:00</c:v>
                  </c:pt>
                  <c:pt idx="171">
                    <c:v>2018-07-26-06:00</c:v>
                  </c:pt>
                  <c:pt idx="172">
                    <c:v>2018-07-26-07:00</c:v>
                  </c:pt>
                  <c:pt idx="173">
                    <c:v>2018-07-26-08:00</c:v>
                  </c:pt>
                  <c:pt idx="174">
                    <c:v>2018-07-25-19:00</c:v>
                  </c:pt>
                  <c:pt idx="175">
                    <c:v>2018-07-25-09:00</c:v>
                  </c:pt>
                  <c:pt idx="176">
                    <c:v>2018-07-25-10:00</c:v>
                  </c:pt>
                  <c:pt idx="177">
                    <c:v>2018-07-25-11:00</c:v>
                  </c:pt>
                  <c:pt idx="178">
                    <c:v>2018-07-25-12:00</c:v>
                  </c:pt>
                  <c:pt idx="179">
                    <c:v>2018-07-25-13:00</c:v>
                  </c:pt>
                  <c:pt idx="180">
                    <c:v>2018-07-25-14:00</c:v>
                  </c:pt>
                  <c:pt idx="181">
                    <c:v>2018-07-25-15:00</c:v>
                  </c:pt>
                  <c:pt idx="182">
                    <c:v>2018-07-25-16:00</c:v>
                  </c:pt>
                  <c:pt idx="183">
                    <c:v>2018-07-25-17:00</c:v>
                  </c:pt>
                  <c:pt idx="184">
                    <c:v>2018-07-25-18:00</c:v>
                  </c:pt>
                  <c:pt idx="185">
                    <c:v>2018-07-25-20:00</c:v>
                  </c:pt>
                  <c:pt idx="186">
                    <c:v>2018-07-25-21:00</c:v>
                  </c:pt>
                  <c:pt idx="187">
                    <c:v>2018-07-25-22:00</c:v>
                  </c:pt>
                  <c:pt idx="188">
                    <c:v>2018-07-25-23:00</c:v>
                  </c:pt>
                  <c:pt idx="189">
                    <c:v>2018-07-26-00:00</c:v>
                  </c:pt>
                  <c:pt idx="190">
                    <c:v>2018-07-26-01:00</c:v>
                  </c:pt>
                  <c:pt idx="191">
                    <c:v>2018-07-26-02:00</c:v>
                  </c:pt>
                  <c:pt idx="192">
                    <c:v>2018-07-26-03:00</c:v>
                  </c:pt>
                  <c:pt idx="193">
                    <c:v>2018-07-26-04:00</c:v>
                  </c:pt>
                  <c:pt idx="194">
                    <c:v>2018-07-26-05:00</c:v>
                  </c:pt>
                  <c:pt idx="195">
                    <c:v>2018-07-26-06:00</c:v>
                  </c:pt>
                  <c:pt idx="196">
                    <c:v>2018-07-26-07:00</c:v>
                  </c:pt>
                  <c:pt idx="197">
                    <c:v>2018-07-26-08:00</c:v>
                  </c:pt>
                  <c:pt idx="198">
                    <c:v>2018-07-26-09:00</c:v>
                  </c:pt>
                  <c:pt idx="199">
                    <c:v>2018-07-25-19:00</c:v>
                  </c:pt>
                  <c:pt idx="200">
                    <c:v>2018-07-25-10:00</c:v>
                  </c:pt>
                  <c:pt idx="201">
                    <c:v>2018-07-25-11:00</c:v>
                  </c:pt>
                  <c:pt idx="202">
                    <c:v>2018-07-25-12:00</c:v>
                  </c:pt>
                  <c:pt idx="203">
                    <c:v>2018-07-25-13:00</c:v>
                  </c:pt>
                  <c:pt idx="204">
                    <c:v>2018-07-25-14:00</c:v>
                  </c:pt>
                  <c:pt idx="205">
                    <c:v>2018-07-25-15:00</c:v>
                  </c:pt>
                  <c:pt idx="206">
                    <c:v>2018-07-25-16:00</c:v>
                  </c:pt>
                  <c:pt idx="207">
                    <c:v>2018-07-25-17:00</c:v>
                  </c:pt>
                  <c:pt idx="208">
                    <c:v>2018-07-25-18:00</c:v>
                  </c:pt>
                  <c:pt idx="209">
                    <c:v>2018-07-25-20:00</c:v>
                  </c:pt>
                  <c:pt idx="210">
                    <c:v>2018-07-25-21:00</c:v>
                  </c:pt>
                  <c:pt idx="211">
                    <c:v>2018-07-25-22:00</c:v>
                  </c:pt>
                  <c:pt idx="212">
                    <c:v>2018-07-25-23:00</c:v>
                  </c:pt>
                  <c:pt idx="213">
                    <c:v>2018-07-26-00:00</c:v>
                  </c:pt>
                  <c:pt idx="214">
                    <c:v>2018-07-26-01:00</c:v>
                  </c:pt>
                  <c:pt idx="215">
                    <c:v>2018-07-26-02:00</c:v>
                  </c:pt>
                  <c:pt idx="216">
                    <c:v>2018-07-26-03:00</c:v>
                  </c:pt>
                  <c:pt idx="217">
                    <c:v>2018-07-26-04:00</c:v>
                  </c:pt>
                  <c:pt idx="218">
                    <c:v>2018-07-26-05:00</c:v>
                  </c:pt>
                  <c:pt idx="219">
                    <c:v>2018-07-26-06:00</c:v>
                  </c:pt>
                  <c:pt idx="220">
                    <c:v>2018-07-26-07:00</c:v>
                  </c:pt>
                  <c:pt idx="221">
                    <c:v>2018-07-26-08:00</c:v>
                  </c:pt>
                  <c:pt idx="222">
                    <c:v>2018-07-26-09:00</c:v>
                  </c:pt>
                  <c:pt idx="223">
                    <c:v>2018-07-26-10:00</c:v>
                  </c:pt>
                  <c:pt idx="224">
                    <c:v>2018-07-25-19:00</c:v>
                  </c:pt>
                  <c:pt idx="225">
                    <c:v>2018-07-25-11:00</c:v>
                  </c:pt>
                  <c:pt idx="226">
                    <c:v>2018-07-25-12:00</c:v>
                  </c:pt>
                  <c:pt idx="227">
                    <c:v>2018-07-25-13:00</c:v>
                  </c:pt>
                  <c:pt idx="228">
                    <c:v>2018-07-25-14:00</c:v>
                  </c:pt>
                  <c:pt idx="229">
                    <c:v>2018-07-25-15:00</c:v>
                  </c:pt>
                  <c:pt idx="230">
                    <c:v>2018-07-25-16:00</c:v>
                  </c:pt>
                  <c:pt idx="231">
                    <c:v>2018-07-25-17:00</c:v>
                  </c:pt>
                  <c:pt idx="232">
                    <c:v>2018-07-25-18:00</c:v>
                  </c:pt>
                  <c:pt idx="233">
                    <c:v>2018-07-25-20:00</c:v>
                  </c:pt>
                  <c:pt idx="234">
                    <c:v>2018-07-25-21:00</c:v>
                  </c:pt>
                  <c:pt idx="235">
                    <c:v>2018-07-25-22:00</c:v>
                  </c:pt>
                  <c:pt idx="236">
                    <c:v>2018-07-25-23:00</c:v>
                  </c:pt>
                  <c:pt idx="237">
                    <c:v>2018-07-26-00:00</c:v>
                  </c:pt>
                  <c:pt idx="238">
                    <c:v>2018-07-26-01:00</c:v>
                  </c:pt>
                  <c:pt idx="239">
                    <c:v>2018-07-26-02:00</c:v>
                  </c:pt>
                  <c:pt idx="240">
                    <c:v>2018-07-26-03:00</c:v>
                  </c:pt>
                  <c:pt idx="241">
                    <c:v>2018-07-26-04:00</c:v>
                  </c:pt>
                  <c:pt idx="242">
                    <c:v>2018-07-26-05:00</c:v>
                  </c:pt>
                  <c:pt idx="243">
                    <c:v>2018-07-26-06:00</c:v>
                  </c:pt>
                  <c:pt idx="244">
                    <c:v>2018-07-26-07:00</c:v>
                  </c:pt>
                  <c:pt idx="245">
                    <c:v>2018-07-26-08:00</c:v>
                  </c:pt>
                  <c:pt idx="246">
                    <c:v>2018-07-26-09:00</c:v>
                  </c:pt>
                  <c:pt idx="247">
                    <c:v>2018-07-26-10:00</c:v>
                  </c:pt>
                  <c:pt idx="248">
                    <c:v>2018-07-26-11:00</c:v>
                  </c:pt>
                  <c:pt idx="249">
                    <c:v>2018-07-25-19:00</c:v>
                  </c:pt>
                  <c:pt idx="250">
                    <c:v>2018-07-25-12:00</c:v>
                  </c:pt>
                  <c:pt idx="251">
                    <c:v>2018-07-25-13:00</c:v>
                  </c:pt>
                  <c:pt idx="252">
                    <c:v>2018-07-25-14:00</c:v>
                  </c:pt>
                  <c:pt idx="253">
                    <c:v>2018-07-25-15:00</c:v>
                  </c:pt>
                  <c:pt idx="254">
                    <c:v>2018-07-25-16:00</c:v>
                  </c:pt>
                  <c:pt idx="255">
                    <c:v>2018-07-25-17:00</c:v>
                  </c:pt>
                  <c:pt idx="256">
                    <c:v>2018-07-25-18:00</c:v>
                  </c:pt>
                  <c:pt idx="257">
                    <c:v>2018-07-25-20:00</c:v>
                  </c:pt>
                  <c:pt idx="258">
                    <c:v>2018-07-25-21:00</c:v>
                  </c:pt>
                  <c:pt idx="259">
                    <c:v>2018-07-25-22:00</c:v>
                  </c:pt>
                  <c:pt idx="260">
                    <c:v>2018-07-25-23:00</c:v>
                  </c:pt>
                  <c:pt idx="261">
                    <c:v>2018-07-26-00:00</c:v>
                  </c:pt>
                  <c:pt idx="262">
                    <c:v>2018-07-26-01:00</c:v>
                  </c:pt>
                  <c:pt idx="263">
                    <c:v>2018-07-26-02:00</c:v>
                  </c:pt>
                  <c:pt idx="264">
                    <c:v>2018-07-26-03:00</c:v>
                  </c:pt>
                  <c:pt idx="265">
                    <c:v>2018-07-26-04:00</c:v>
                  </c:pt>
                  <c:pt idx="266">
                    <c:v>2018-07-26-05:00</c:v>
                  </c:pt>
                  <c:pt idx="267">
                    <c:v>2018-07-26-06:00</c:v>
                  </c:pt>
                  <c:pt idx="268">
                    <c:v>2018-07-26-07:00</c:v>
                  </c:pt>
                  <c:pt idx="269">
                    <c:v>2018-07-26-08:00</c:v>
                  </c:pt>
                  <c:pt idx="270">
                    <c:v>2018-07-26-09:00</c:v>
                  </c:pt>
                  <c:pt idx="271">
                    <c:v>2018-07-26-10:00</c:v>
                  </c:pt>
                  <c:pt idx="272">
                    <c:v>2018-07-26-11:00</c:v>
                  </c:pt>
                  <c:pt idx="273">
                    <c:v>2018-07-26-12:00</c:v>
                  </c:pt>
                  <c:pt idx="274">
                    <c:v>2018-07-25-19:00</c:v>
                  </c:pt>
                  <c:pt idx="275">
                    <c:v>2018-07-25-13:00</c:v>
                  </c:pt>
                  <c:pt idx="276">
                    <c:v>2018-07-25-14:00</c:v>
                  </c:pt>
                  <c:pt idx="277">
                    <c:v>2018-07-25-15:00</c:v>
                  </c:pt>
                  <c:pt idx="278">
                    <c:v>2018-07-25-16:00</c:v>
                  </c:pt>
                  <c:pt idx="279">
                    <c:v>2018-07-25-17:00</c:v>
                  </c:pt>
                  <c:pt idx="280">
                    <c:v>2018-07-25-18:00</c:v>
                  </c:pt>
                  <c:pt idx="281">
                    <c:v>2018-07-25-20:00</c:v>
                  </c:pt>
                  <c:pt idx="282">
                    <c:v>2018-07-25-21:00</c:v>
                  </c:pt>
                  <c:pt idx="283">
                    <c:v>2018-07-25-22:00</c:v>
                  </c:pt>
                  <c:pt idx="284">
                    <c:v>2018-07-25-23:00</c:v>
                  </c:pt>
                  <c:pt idx="285">
                    <c:v>2018-07-26-00:00</c:v>
                  </c:pt>
                  <c:pt idx="286">
                    <c:v>2018-07-26-01:00</c:v>
                  </c:pt>
                  <c:pt idx="287">
                    <c:v>2018-07-26-02:00</c:v>
                  </c:pt>
                  <c:pt idx="288">
                    <c:v>2018-07-26-03:00</c:v>
                  </c:pt>
                  <c:pt idx="289">
                    <c:v>2018-07-26-04:00</c:v>
                  </c:pt>
                  <c:pt idx="290">
                    <c:v>2018-07-26-05:00</c:v>
                  </c:pt>
                  <c:pt idx="291">
                    <c:v>2018-07-26-06:00</c:v>
                  </c:pt>
                  <c:pt idx="292">
                    <c:v>2018-07-26-07:00</c:v>
                  </c:pt>
                  <c:pt idx="293">
                    <c:v>2018-07-26-08:00</c:v>
                  </c:pt>
                  <c:pt idx="294">
                    <c:v>2018-07-26-09:00</c:v>
                  </c:pt>
                  <c:pt idx="295">
                    <c:v>2018-07-26-10:00</c:v>
                  </c:pt>
                  <c:pt idx="296">
                    <c:v>2018-07-26-11:00</c:v>
                  </c:pt>
                  <c:pt idx="297">
                    <c:v>2018-07-26-12:00</c:v>
                  </c:pt>
                  <c:pt idx="298">
                    <c:v>2018-07-26-13:00</c:v>
                  </c:pt>
                  <c:pt idx="299">
                    <c:v>2018-07-25-19:00</c:v>
                  </c:pt>
                  <c:pt idx="300">
                    <c:v>2018-07-25-14:00</c:v>
                  </c:pt>
                  <c:pt idx="301">
                    <c:v>2018-07-25-15:00</c:v>
                  </c:pt>
                  <c:pt idx="302">
                    <c:v>2018-07-25-16:00</c:v>
                  </c:pt>
                  <c:pt idx="303">
                    <c:v>2018-07-25-17:00</c:v>
                  </c:pt>
                  <c:pt idx="304">
                    <c:v>2018-07-25-18:00</c:v>
                  </c:pt>
                  <c:pt idx="305">
                    <c:v>2018-07-25-20:00</c:v>
                  </c:pt>
                  <c:pt idx="306">
                    <c:v>2018-07-25-21:00</c:v>
                  </c:pt>
                  <c:pt idx="307">
                    <c:v>2018-07-25-22:00</c:v>
                  </c:pt>
                  <c:pt idx="308">
                    <c:v>2018-07-25-23:00</c:v>
                  </c:pt>
                  <c:pt idx="309">
                    <c:v>2018-07-26-00:00</c:v>
                  </c:pt>
                  <c:pt idx="310">
                    <c:v>2018-07-26-01:00</c:v>
                  </c:pt>
                  <c:pt idx="311">
                    <c:v>2018-07-26-02:00</c:v>
                  </c:pt>
                  <c:pt idx="312">
                    <c:v>2018-07-26-03:00</c:v>
                  </c:pt>
                  <c:pt idx="313">
                    <c:v>2018-07-26-04:00</c:v>
                  </c:pt>
                  <c:pt idx="314">
                    <c:v>2018-07-26-05:00</c:v>
                  </c:pt>
                  <c:pt idx="315">
                    <c:v>2018-07-26-06:00</c:v>
                  </c:pt>
                  <c:pt idx="316">
                    <c:v>2018-07-26-07:00</c:v>
                  </c:pt>
                  <c:pt idx="317">
                    <c:v>2018-07-26-08:00</c:v>
                  </c:pt>
                  <c:pt idx="318">
                    <c:v>2018-07-26-09:00</c:v>
                  </c:pt>
                  <c:pt idx="319">
                    <c:v>2018-07-26-10:00</c:v>
                  </c:pt>
                  <c:pt idx="320">
                    <c:v>2018-07-26-11:00</c:v>
                  </c:pt>
                  <c:pt idx="321">
                    <c:v>2018-07-26-12:00</c:v>
                  </c:pt>
                  <c:pt idx="322">
                    <c:v>2018-07-26-13:00</c:v>
                  </c:pt>
                  <c:pt idx="323">
                    <c:v>2018-07-26-14:00</c:v>
                  </c:pt>
                  <c:pt idx="324">
                    <c:v>2018-07-25-19:00</c:v>
                  </c:pt>
                  <c:pt idx="325">
                    <c:v>2018-07-25-15:00</c:v>
                  </c:pt>
                  <c:pt idx="326">
                    <c:v>2018-07-25-16:00</c:v>
                  </c:pt>
                  <c:pt idx="327">
                    <c:v>2018-07-25-17:00</c:v>
                  </c:pt>
                  <c:pt idx="328">
                    <c:v>2018-07-25-18:00</c:v>
                  </c:pt>
                  <c:pt idx="329">
                    <c:v>2018-07-25-20:00</c:v>
                  </c:pt>
                  <c:pt idx="330">
                    <c:v>2018-07-25-21:00</c:v>
                  </c:pt>
                  <c:pt idx="331">
                    <c:v>2018-07-25-22:00</c:v>
                  </c:pt>
                  <c:pt idx="332">
                    <c:v>2018-07-25-23:00</c:v>
                  </c:pt>
                  <c:pt idx="333">
                    <c:v>2018-07-26-00:00</c:v>
                  </c:pt>
                  <c:pt idx="334">
                    <c:v>2018-07-26-01:00</c:v>
                  </c:pt>
                  <c:pt idx="335">
                    <c:v>2018-07-26-02:00</c:v>
                  </c:pt>
                  <c:pt idx="336">
                    <c:v>2018-07-26-03:00</c:v>
                  </c:pt>
                  <c:pt idx="337">
                    <c:v>2018-07-26-04:00</c:v>
                  </c:pt>
                  <c:pt idx="338">
                    <c:v>2018-07-26-05:00</c:v>
                  </c:pt>
                  <c:pt idx="339">
                    <c:v>2018-07-26-06:00</c:v>
                  </c:pt>
                  <c:pt idx="340">
                    <c:v>2018-07-26-07:00</c:v>
                  </c:pt>
                  <c:pt idx="341">
                    <c:v>2018-07-26-08:00</c:v>
                  </c:pt>
                  <c:pt idx="342">
                    <c:v>2018-07-26-09:00</c:v>
                  </c:pt>
                  <c:pt idx="343">
                    <c:v>2018-07-26-10:00</c:v>
                  </c:pt>
                  <c:pt idx="344">
                    <c:v>2018-07-26-11:00</c:v>
                  </c:pt>
                  <c:pt idx="345">
                    <c:v>2018-07-26-12:00</c:v>
                  </c:pt>
                  <c:pt idx="346">
                    <c:v>2018-07-26-13:00</c:v>
                  </c:pt>
                  <c:pt idx="347">
                    <c:v>2018-07-26-14:00</c:v>
                  </c:pt>
                  <c:pt idx="348">
                    <c:v>2018-07-26-15:00</c:v>
                  </c:pt>
                  <c:pt idx="349">
                    <c:v>2018-07-25-19:00</c:v>
                  </c:pt>
                  <c:pt idx="350">
                    <c:v>2018-07-25-16:00</c:v>
                  </c:pt>
                  <c:pt idx="351">
                    <c:v>2018-07-25-17:00</c:v>
                  </c:pt>
                  <c:pt idx="352">
                    <c:v>2018-07-25-18:00</c:v>
                  </c:pt>
                  <c:pt idx="353">
                    <c:v>2018-07-25-20:00</c:v>
                  </c:pt>
                  <c:pt idx="354">
                    <c:v>2018-07-25-21:00</c:v>
                  </c:pt>
                  <c:pt idx="355">
                    <c:v>2018-07-25-22:00</c:v>
                  </c:pt>
                  <c:pt idx="356">
                    <c:v>2018-07-25-23:00</c:v>
                  </c:pt>
                  <c:pt idx="357">
                    <c:v>2018-07-26-00:00</c:v>
                  </c:pt>
                  <c:pt idx="358">
                    <c:v>2018-07-26-01:00</c:v>
                  </c:pt>
                  <c:pt idx="359">
                    <c:v>2018-07-26-02:00</c:v>
                  </c:pt>
                  <c:pt idx="360">
                    <c:v>2018-07-26-03:00</c:v>
                  </c:pt>
                  <c:pt idx="361">
                    <c:v>2018-07-26-04:00</c:v>
                  </c:pt>
                  <c:pt idx="362">
                    <c:v>2018-07-26-05:00</c:v>
                  </c:pt>
                  <c:pt idx="363">
                    <c:v>2018-07-26-06:00</c:v>
                  </c:pt>
                  <c:pt idx="364">
                    <c:v>2018-07-26-07:00</c:v>
                  </c:pt>
                  <c:pt idx="365">
                    <c:v>2018-07-26-08:00</c:v>
                  </c:pt>
                  <c:pt idx="366">
                    <c:v>2018-07-26-09:00</c:v>
                  </c:pt>
                  <c:pt idx="367">
                    <c:v>2018-07-26-10:00</c:v>
                  </c:pt>
                  <c:pt idx="368">
                    <c:v>2018-07-26-11:00</c:v>
                  </c:pt>
                  <c:pt idx="369">
                    <c:v>2018-07-26-12:00</c:v>
                  </c:pt>
                  <c:pt idx="370">
                    <c:v>2018-07-26-13:00</c:v>
                  </c:pt>
                  <c:pt idx="371">
                    <c:v>2018-07-26-14:00</c:v>
                  </c:pt>
                  <c:pt idx="372">
                    <c:v>2018-07-26-15:00</c:v>
                  </c:pt>
                  <c:pt idx="373">
                    <c:v>2018-07-26-16:00</c:v>
                  </c:pt>
                  <c:pt idx="374">
                    <c:v>2018-07-25-19:00</c:v>
                  </c:pt>
                  <c:pt idx="375">
                    <c:v>2018-07-25-17:00</c:v>
                  </c:pt>
                  <c:pt idx="376">
                    <c:v>2018-07-25-18:00</c:v>
                  </c:pt>
                  <c:pt idx="377">
                    <c:v>2018-07-25-20:00</c:v>
                  </c:pt>
                  <c:pt idx="378">
                    <c:v>2018-07-25-21:00</c:v>
                  </c:pt>
                  <c:pt idx="379">
                    <c:v>2018-07-25-22:00</c:v>
                  </c:pt>
                  <c:pt idx="380">
                    <c:v>2018-07-25-23:00</c:v>
                  </c:pt>
                  <c:pt idx="381">
                    <c:v>2018-07-26-00:00</c:v>
                  </c:pt>
                  <c:pt idx="382">
                    <c:v>2018-07-26-01:00</c:v>
                  </c:pt>
                  <c:pt idx="383">
                    <c:v>2018-07-26-02:00</c:v>
                  </c:pt>
                  <c:pt idx="384">
                    <c:v>2018-07-26-03:00</c:v>
                  </c:pt>
                  <c:pt idx="385">
                    <c:v>2018-07-26-04:00</c:v>
                  </c:pt>
                  <c:pt idx="386">
                    <c:v>2018-07-26-05:00</c:v>
                  </c:pt>
                  <c:pt idx="387">
                    <c:v>2018-07-26-06:00</c:v>
                  </c:pt>
                  <c:pt idx="388">
                    <c:v>2018-07-26-07:00</c:v>
                  </c:pt>
                  <c:pt idx="389">
                    <c:v>2018-07-26-08:00</c:v>
                  </c:pt>
                  <c:pt idx="390">
                    <c:v>2018-07-26-09:00</c:v>
                  </c:pt>
                  <c:pt idx="391">
                    <c:v>2018-07-26-10:00</c:v>
                  </c:pt>
                  <c:pt idx="392">
                    <c:v>2018-07-26-11:00</c:v>
                  </c:pt>
                  <c:pt idx="393">
                    <c:v>2018-07-26-12:00</c:v>
                  </c:pt>
                  <c:pt idx="394">
                    <c:v>2018-07-26-13:00</c:v>
                  </c:pt>
                  <c:pt idx="395">
                    <c:v>2018-07-26-14:00</c:v>
                  </c:pt>
                  <c:pt idx="396">
                    <c:v>2018-07-26-15:00</c:v>
                  </c:pt>
                  <c:pt idx="397">
                    <c:v>2018-07-26-16:00</c:v>
                  </c:pt>
                  <c:pt idx="398">
                    <c:v>2018-07-26-17:00</c:v>
                  </c:pt>
                  <c:pt idx="399">
                    <c:v>2018-07-25-19:00</c:v>
                  </c:pt>
                  <c:pt idx="400">
                    <c:v>2018-07-25-18:00</c:v>
                  </c:pt>
                  <c:pt idx="401">
                    <c:v>2018-07-25-20:00</c:v>
                  </c:pt>
                  <c:pt idx="402">
                    <c:v>2018-07-25-21:00</c:v>
                  </c:pt>
                  <c:pt idx="403">
                    <c:v>2018-07-25-22:00</c:v>
                  </c:pt>
                  <c:pt idx="404">
                    <c:v>2018-07-25-23:00</c:v>
                  </c:pt>
                  <c:pt idx="405">
                    <c:v>2018-07-26-00:00</c:v>
                  </c:pt>
                  <c:pt idx="406">
                    <c:v>2018-07-26-01:00</c:v>
                  </c:pt>
                  <c:pt idx="407">
                    <c:v>2018-07-26-02:00</c:v>
                  </c:pt>
                  <c:pt idx="408">
                    <c:v>2018-07-26-03:00</c:v>
                  </c:pt>
                  <c:pt idx="409">
                    <c:v>2018-07-26-04:00</c:v>
                  </c:pt>
                  <c:pt idx="410">
                    <c:v>2018-07-26-05:00</c:v>
                  </c:pt>
                  <c:pt idx="411">
                    <c:v>2018-07-26-06:00</c:v>
                  </c:pt>
                  <c:pt idx="412">
                    <c:v>2018-07-26-07:00</c:v>
                  </c:pt>
                  <c:pt idx="413">
                    <c:v>2018-07-26-08:00</c:v>
                  </c:pt>
                  <c:pt idx="414">
                    <c:v>2018-07-26-09:00</c:v>
                  </c:pt>
                  <c:pt idx="415">
                    <c:v>2018-07-26-10:00</c:v>
                  </c:pt>
                  <c:pt idx="416">
                    <c:v>2018-07-26-11:00</c:v>
                  </c:pt>
                  <c:pt idx="417">
                    <c:v>2018-07-26-12:00</c:v>
                  </c:pt>
                  <c:pt idx="418">
                    <c:v>2018-07-26-13:00</c:v>
                  </c:pt>
                  <c:pt idx="419">
                    <c:v>2018-07-26-14:00</c:v>
                  </c:pt>
                  <c:pt idx="420">
                    <c:v>2018-07-26-15:00</c:v>
                  </c:pt>
                  <c:pt idx="421">
                    <c:v>2018-07-26-16:00</c:v>
                  </c:pt>
                  <c:pt idx="422">
                    <c:v>2018-07-26-17:00</c:v>
                  </c:pt>
                  <c:pt idx="423">
                    <c:v>2018-07-26-18:00</c:v>
                  </c:pt>
                  <c:pt idx="424">
                    <c:v>2018-07-25-19:00</c:v>
                  </c:pt>
                  <c:pt idx="425">
                    <c:v>2018-07-25-20:00</c:v>
                  </c:pt>
                  <c:pt idx="426">
                    <c:v>2018-07-25-21:00</c:v>
                  </c:pt>
                  <c:pt idx="427">
                    <c:v>2018-07-25-22:00</c:v>
                  </c:pt>
                  <c:pt idx="428">
                    <c:v>2018-07-25-23:00</c:v>
                  </c:pt>
                  <c:pt idx="429">
                    <c:v>2018-07-26-00:00</c:v>
                  </c:pt>
                  <c:pt idx="430">
                    <c:v>2018-07-26-01:00</c:v>
                  </c:pt>
                  <c:pt idx="431">
                    <c:v>2018-07-26-02:00</c:v>
                  </c:pt>
                  <c:pt idx="432">
                    <c:v>2018-07-26-03:00</c:v>
                  </c:pt>
                  <c:pt idx="433">
                    <c:v>2018-07-26-04:00</c:v>
                  </c:pt>
                  <c:pt idx="434">
                    <c:v>2018-07-26-05:00</c:v>
                  </c:pt>
                  <c:pt idx="435">
                    <c:v>2018-07-26-06:00</c:v>
                  </c:pt>
                  <c:pt idx="436">
                    <c:v>2018-07-26-07:00</c:v>
                  </c:pt>
                  <c:pt idx="437">
                    <c:v>2018-07-26-08:00</c:v>
                  </c:pt>
                  <c:pt idx="438">
                    <c:v>2018-07-26-09:00</c:v>
                  </c:pt>
                  <c:pt idx="439">
                    <c:v>2018-07-26-10:00</c:v>
                  </c:pt>
                  <c:pt idx="440">
                    <c:v>2018-07-26-11:00</c:v>
                  </c:pt>
                  <c:pt idx="441">
                    <c:v>2018-07-26-12:00</c:v>
                  </c:pt>
                  <c:pt idx="442">
                    <c:v>2018-07-26-13:00</c:v>
                  </c:pt>
                  <c:pt idx="443">
                    <c:v>2018-07-26-14:00</c:v>
                  </c:pt>
                  <c:pt idx="444">
                    <c:v>2018-07-26-15:00</c:v>
                  </c:pt>
                  <c:pt idx="445">
                    <c:v>2018-07-26-16:00</c:v>
                  </c:pt>
                  <c:pt idx="446">
                    <c:v>2018-07-26-17:00</c:v>
                  </c:pt>
                  <c:pt idx="447">
                    <c:v>2018-07-26-18:00</c:v>
                  </c:pt>
                  <c:pt idx="448">
                    <c:v>2018-07-26-19:00</c:v>
                  </c:pt>
                  <c:pt idx="449">
                    <c:v>2018-07-25-19:00</c:v>
                  </c:pt>
                  <c:pt idx="450">
                    <c:v>2018-07-25-20:00</c:v>
                  </c:pt>
                  <c:pt idx="451">
                    <c:v>2018-07-25-21:00</c:v>
                  </c:pt>
                  <c:pt idx="452">
                    <c:v>2018-07-25-22:00</c:v>
                  </c:pt>
                  <c:pt idx="453">
                    <c:v>2018-07-25-23:00</c:v>
                  </c:pt>
                  <c:pt idx="454">
                    <c:v>2018-07-26-00:00</c:v>
                  </c:pt>
                  <c:pt idx="455">
                    <c:v>2018-07-26-01:00</c:v>
                  </c:pt>
                  <c:pt idx="456">
                    <c:v>2018-07-26-02:00</c:v>
                  </c:pt>
                  <c:pt idx="457">
                    <c:v>2018-07-26-03:00</c:v>
                  </c:pt>
                  <c:pt idx="458">
                    <c:v>2018-07-26-04:00</c:v>
                  </c:pt>
                  <c:pt idx="459">
                    <c:v>2018-07-26-05:00</c:v>
                  </c:pt>
                  <c:pt idx="460">
                    <c:v>2018-07-26-06:00</c:v>
                  </c:pt>
                  <c:pt idx="461">
                    <c:v>2018-07-26-07:00</c:v>
                  </c:pt>
                  <c:pt idx="462">
                    <c:v>2018-07-26-08:00</c:v>
                  </c:pt>
                  <c:pt idx="463">
                    <c:v>2018-07-26-09:00</c:v>
                  </c:pt>
                  <c:pt idx="464">
                    <c:v>2018-07-26-10:00</c:v>
                  </c:pt>
                  <c:pt idx="465">
                    <c:v>2018-07-26-11:00</c:v>
                  </c:pt>
                  <c:pt idx="466">
                    <c:v>2018-07-26-12:00</c:v>
                  </c:pt>
                  <c:pt idx="467">
                    <c:v>2018-07-26-13:00</c:v>
                  </c:pt>
                  <c:pt idx="468">
                    <c:v>2018-07-26-14:00</c:v>
                  </c:pt>
                  <c:pt idx="469">
                    <c:v>2018-07-26-15:00</c:v>
                  </c:pt>
                  <c:pt idx="470">
                    <c:v>2018-07-26-16:00</c:v>
                  </c:pt>
                  <c:pt idx="471">
                    <c:v>2018-07-26-17:00</c:v>
                  </c:pt>
                  <c:pt idx="472">
                    <c:v>2018-07-26-18:00</c:v>
                  </c:pt>
                  <c:pt idx="473">
                    <c:v>2018-07-26-19:00</c:v>
                  </c:pt>
                  <c:pt idx="474">
                    <c:v>2018-07-26-20:00</c:v>
                  </c:pt>
                  <c:pt idx="475">
                    <c:v>2018-07-25-21:00</c:v>
                  </c:pt>
                  <c:pt idx="476">
                    <c:v>2018-07-25-22:00</c:v>
                  </c:pt>
                  <c:pt idx="477">
                    <c:v>2018-07-25-23:00</c:v>
                  </c:pt>
                  <c:pt idx="478">
                    <c:v>2018-07-26-00:00</c:v>
                  </c:pt>
                  <c:pt idx="479">
                    <c:v>2018-07-26-01:00</c:v>
                  </c:pt>
                  <c:pt idx="480">
                    <c:v>2018-07-26-02:00</c:v>
                  </c:pt>
                  <c:pt idx="481">
                    <c:v>2018-07-26-03:00</c:v>
                  </c:pt>
                  <c:pt idx="482">
                    <c:v>2018-07-26-04:00</c:v>
                  </c:pt>
                  <c:pt idx="483">
                    <c:v>2018-07-26-05:00</c:v>
                  </c:pt>
                  <c:pt idx="484">
                    <c:v>2018-07-26-06:00</c:v>
                  </c:pt>
                  <c:pt idx="485">
                    <c:v>2018-07-26-07:00</c:v>
                  </c:pt>
                  <c:pt idx="486">
                    <c:v>2018-07-26-08:00</c:v>
                  </c:pt>
                  <c:pt idx="487">
                    <c:v>2018-07-26-09:00</c:v>
                  </c:pt>
                  <c:pt idx="488">
                    <c:v>2018-07-26-10:00</c:v>
                  </c:pt>
                  <c:pt idx="489">
                    <c:v>2018-07-26-11:00</c:v>
                  </c:pt>
                  <c:pt idx="490">
                    <c:v>2018-07-26-12:00</c:v>
                  </c:pt>
                  <c:pt idx="491">
                    <c:v>2018-07-26-13:00</c:v>
                  </c:pt>
                  <c:pt idx="492">
                    <c:v>2018-07-26-14:00</c:v>
                  </c:pt>
                  <c:pt idx="493">
                    <c:v>2018-07-26-15:00</c:v>
                  </c:pt>
                  <c:pt idx="494">
                    <c:v>2018-07-26-16:00</c:v>
                  </c:pt>
                  <c:pt idx="495">
                    <c:v>2018-07-26-17:00</c:v>
                  </c:pt>
                  <c:pt idx="496">
                    <c:v>2018-07-26-18:00</c:v>
                  </c:pt>
                  <c:pt idx="497">
                    <c:v>2018-07-26-19:00</c:v>
                  </c:pt>
                  <c:pt idx="498">
                    <c:v>2018-07-26-20:00</c:v>
                  </c:pt>
                  <c:pt idx="499">
                    <c:v>2018-07-26-21:00</c:v>
                  </c:pt>
                  <c:pt idx="500">
                    <c:v>2018-07-25-22:00</c:v>
                  </c:pt>
                  <c:pt idx="501">
                    <c:v>2018-07-25-23:00</c:v>
                  </c:pt>
                  <c:pt idx="502">
                    <c:v>2018-07-26-00:00</c:v>
                  </c:pt>
                  <c:pt idx="503">
                    <c:v>2018-07-26-01:00</c:v>
                  </c:pt>
                  <c:pt idx="504">
                    <c:v>2018-07-26-02:00</c:v>
                  </c:pt>
                  <c:pt idx="505">
                    <c:v>2018-07-26-03:00</c:v>
                  </c:pt>
                  <c:pt idx="506">
                    <c:v>2018-07-26-04:00</c:v>
                  </c:pt>
                  <c:pt idx="507">
                    <c:v>2018-07-26-05:00</c:v>
                  </c:pt>
                  <c:pt idx="508">
                    <c:v>2018-07-26-06:00</c:v>
                  </c:pt>
                  <c:pt idx="509">
                    <c:v>2018-07-26-07:00</c:v>
                  </c:pt>
                  <c:pt idx="510">
                    <c:v>2018-07-26-08:00</c:v>
                  </c:pt>
                  <c:pt idx="511">
                    <c:v>2018-07-26-09:00</c:v>
                  </c:pt>
                  <c:pt idx="512">
                    <c:v>2018-07-26-10:00</c:v>
                  </c:pt>
                  <c:pt idx="513">
                    <c:v>2018-07-26-11:00</c:v>
                  </c:pt>
                  <c:pt idx="514">
                    <c:v>2018-07-26-12:00</c:v>
                  </c:pt>
                  <c:pt idx="515">
                    <c:v>2018-07-26-13:00</c:v>
                  </c:pt>
                  <c:pt idx="516">
                    <c:v>2018-07-26-14:00</c:v>
                  </c:pt>
                  <c:pt idx="517">
                    <c:v>2018-07-26-15:00</c:v>
                  </c:pt>
                  <c:pt idx="518">
                    <c:v>2018-07-26-16:00</c:v>
                  </c:pt>
                  <c:pt idx="519">
                    <c:v>2018-07-26-17:00</c:v>
                  </c:pt>
                  <c:pt idx="520">
                    <c:v>2018-07-26-18:00</c:v>
                  </c:pt>
                  <c:pt idx="521">
                    <c:v>2018-07-26-19:00</c:v>
                  </c:pt>
                  <c:pt idx="522">
                    <c:v>2018-07-26-20:00</c:v>
                  </c:pt>
                  <c:pt idx="523">
                    <c:v>2018-07-26-21:00</c:v>
                  </c:pt>
                  <c:pt idx="524">
                    <c:v>2018-07-26-22:00</c:v>
                  </c:pt>
                  <c:pt idx="525">
                    <c:v>2018-07-25-23:00</c:v>
                  </c:pt>
                  <c:pt idx="526">
                    <c:v>2018-07-26-00:00</c:v>
                  </c:pt>
                  <c:pt idx="527">
                    <c:v>2018-07-26-01:00</c:v>
                  </c:pt>
                  <c:pt idx="528">
                    <c:v>2018-07-26-02:00</c:v>
                  </c:pt>
                  <c:pt idx="529">
                    <c:v>2018-07-26-03:00</c:v>
                  </c:pt>
                  <c:pt idx="530">
                    <c:v>2018-07-26-04:00</c:v>
                  </c:pt>
                  <c:pt idx="531">
                    <c:v>2018-07-26-05:00</c:v>
                  </c:pt>
                  <c:pt idx="532">
                    <c:v>2018-07-26-06:00</c:v>
                  </c:pt>
                  <c:pt idx="533">
                    <c:v>2018-07-26-07:00</c:v>
                  </c:pt>
                  <c:pt idx="534">
                    <c:v>2018-07-26-08:00</c:v>
                  </c:pt>
                  <c:pt idx="535">
                    <c:v>2018-07-26-09:00</c:v>
                  </c:pt>
                  <c:pt idx="536">
                    <c:v>2018-07-26-10:00</c:v>
                  </c:pt>
                  <c:pt idx="537">
                    <c:v>2018-07-26-11:00</c:v>
                  </c:pt>
                  <c:pt idx="538">
                    <c:v>2018-07-26-12:00</c:v>
                  </c:pt>
                  <c:pt idx="539">
                    <c:v>2018-07-26-13:00</c:v>
                  </c:pt>
                  <c:pt idx="540">
                    <c:v>2018-07-26-14:00</c:v>
                  </c:pt>
                  <c:pt idx="541">
                    <c:v>2018-07-26-15:00</c:v>
                  </c:pt>
                  <c:pt idx="542">
                    <c:v>2018-07-26-16:00</c:v>
                  </c:pt>
                  <c:pt idx="543">
                    <c:v>2018-07-26-17:00</c:v>
                  </c:pt>
                  <c:pt idx="544">
                    <c:v>2018-07-26-18:00</c:v>
                  </c:pt>
                  <c:pt idx="545">
                    <c:v>2018-07-26-19:00</c:v>
                  </c:pt>
                  <c:pt idx="546">
                    <c:v>2018-07-26-20:00</c:v>
                  </c:pt>
                  <c:pt idx="547">
                    <c:v>2018-07-26-21:00</c:v>
                  </c:pt>
                  <c:pt idx="548">
                    <c:v>2018-07-26-22:00</c:v>
                  </c:pt>
                  <c:pt idx="549">
                    <c:v>2018-07-26-23:00</c:v>
                  </c:pt>
                  <c:pt idx="550">
                    <c:v>2018-07-26-00:00</c:v>
                  </c:pt>
                  <c:pt idx="551">
                    <c:v>2018-07-26-01:00</c:v>
                  </c:pt>
                  <c:pt idx="552">
                    <c:v>2018-07-26-02:00</c:v>
                  </c:pt>
                  <c:pt idx="553">
                    <c:v>2018-07-26-03:00</c:v>
                  </c:pt>
                  <c:pt idx="554">
                    <c:v>2018-07-26-04:00</c:v>
                  </c:pt>
                  <c:pt idx="555">
                    <c:v>2018-07-26-05:00</c:v>
                  </c:pt>
                  <c:pt idx="556">
                    <c:v>2018-07-26-06:00</c:v>
                  </c:pt>
                  <c:pt idx="557">
                    <c:v>2018-07-26-07:00</c:v>
                  </c:pt>
                  <c:pt idx="558">
                    <c:v>2018-07-26-08:00</c:v>
                  </c:pt>
                  <c:pt idx="559">
                    <c:v>2018-07-26-09:00</c:v>
                  </c:pt>
                  <c:pt idx="560">
                    <c:v>2018-07-26-10:00</c:v>
                  </c:pt>
                  <c:pt idx="561">
                    <c:v>2018-07-26-11:00</c:v>
                  </c:pt>
                  <c:pt idx="562">
                    <c:v>2018-07-26-12:00</c:v>
                  </c:pt>
                  <c:pt idx="563">
                    <c:v>2018-07-26-13:00</c:v>
                  </c:pt>
                  <c:pt idx="564">
                    <c:v>2018-07-26-14:00</c:v>
                  </c:pt>
                  <c:pt idx="565">
                    <c:v>2018-07-26-15:00</c:v>
                  </c:pt>
                  <c:pt idx="566">
                    <c:v>2018-07-26-16:00</c:v>
                  </c:pt>
                  <c:pt idx="567">
                    <c:v>2018-07-26-17:00</c:v>
                  </c:pt>
                  <c:pt idx="568">
                    <c:v>2018-07-26-18:00</c:v>
                  </c:pt>
                  <c:pt idx="569">
                    <c:v>2018-07-26-19:00</c:v>
                  </c:pt>
                  <c:pt idx="570">
                    <c:v>2018-07-26-20:00</c:v>
                  </c:pt>
                  <c:pt idx="571">
                    <c:v>2018-07-26-21:00</c:v>
                  </c:pt>
                  <c:pt idx="572">
                    <c:v>2018-07-26-22:00</c:v>
                  </c:pt>
                  <c:pt idx="573">
                    <c:v>2018-07-26-23:00</c:v>
                  </c:pt>
                  <c:pt idx="574">
                    <c:v>2018-07-27-00:00</c:v>
                  </c:pt>
                  <c:pt idx="575">
                    <c:v>2018-07-26-01:00</c:v>
                  </c:pt>
                  <c:pt idx="576">
                    <c:v>2018-07-26-02:00</c:v>
                  </c:pt>
                  <c:pt idx="577">
                    <c:v>2018-07-26-03:00</c:v>
                  </c:pt>
                  <c:pt idx="578">
                    <c:v>2018-07-26-04:00</c:v>
                  </c:pt>
                  <c:pt idx="579">
                    <c:v>2018-07-26-05:00</c:v>
                  </c:pt>
                  <c:pt idx="580">
                    <c:v>2018-07-26-06:00</c:v>
                  </c:pt>
                  <c:pt idx="581">
                    <c:v>2018-07-26-07:00</c:v>
                  </c:pt>
                  <c:pt idx="582">
                    <c:v>2018-07-26-08:00</c:v>
                  </c:pt>
                  <c:pt idx="583">
                    <c:v>2018-07-26-09:00</c:v>
                  </c:pt>
                  <c:pt idx="584">
                    <c:v>2018-07-26-10:00</c:v>
                  </c:pt>
                  <c:pt idx="585">
                    <c:v>2018-07-26-11:00</c:v>
                  </c:pt>
                  <c:pt idx="586">
                    <c:v>2018-07-26-12:00</c:v>
                  </c:pt>
                  <c:pt idx="587">
                    <c:v>2018-07-26-13:00</c:v>
                  </c:pt>
                  <c:pt idx="588">
                    <c:v>2018-07-26-14:00</c:v>
                  </c:pt>
                  <c:pt idx="589">
                    <c:v>2018-07-26-15:00</c:v>
                  </c:pt>
                  <c:pt idx="590">
                    <c:v>2018-07-26-16:00</c:v>
                  </c:pt>
                  <c:pt idx="591">
                    <c:v>2018-07-26-17:00</c:v>
                  </c:pt>
                  <c:pt idx="592">
                    <c:v>2018-07-26-18:00</c:v>
                  </c:pt>
                  <c:pt idx="593">
                    <c:v>2018-07-26-19:00</c:v>
                  </c:pt>
                  <c:pt idx="594">
                    <c:v>2018-07-26-20:00</c:v>
                  </c:pt>
                  <c:pt idx="595">
                    <c:v>2018-07-26-21:00</c:v>
                  </c:pt>
                  <c:pt idx="596">
                    <c:v>2018-07-26-22:00</c:v>
                  </c:pt>
                  <c:pt idx="597">
                    <c:v>2018-07-26-23:00</c:v>
                  </c:pt>
                  <c:pt idx="598">
                    <c:v>2018-07-27-00:00</c:v>
                  </c:pt>
                  <c:pt idx="599">
                    <c:v>2018-07-27-01:00</c:v>
                  </c:pt>
                  <c:pt idx="600">
                    <c:v>2018-07-26-02:00</c:v>
                  </c:pt>
                  <c:pt idx="601">
                    <c:v>2018-07-26-03:00</c:v>
                  </c:pt>
                  <c:pt idx="602">
                    <c:v>2018-07-26-04:00</c:v>
                  </c:pt>
                  <c:pt idx="603">
                    <c:v>2018-07-26-05:00</c:v>
                  </c:pt>
                  <c:pt idx="604">
                    <c:v>2018-07-26-06:00</c:v>
                  </c:pt>
                  <c:pt idx="605">
                    <c:v>2018-07-26-07:00</c:v>
                  </c:pt>
                  <c:pt idx="606">
                    <c:v>2018-07-26-08:00</c:v>
                  </c:pt>
                  <c:pt idx="607">
                    <c:v>2018-07-26-09:00</c:v>
                  </c:pt>
                  <c:pt idx="608">
                    <c:v>2018-07-26-10:00</c:v>
                  </c:pt>
                  <c:pt idx="609">
                    <c:v>2018-07-26-11:00</c:v>
                  </c:pt>
                  <c:pt idx="610">
                    <c:v>2018-07-26-12:00</c:v>
                  </c:pt>
                  <c:pt idx="611">
                    <c:v>2018-07-26-13:00</c:v>
                  </c:pt>
                  <c:pt idx="612">
                    <c:v>2018-07-26-14:00</c:v>
                  </c:pt>
                  <c:pt idx="613">
                    <c:v>2018-07-26-15:00</c:v>
                  </c:pt>
                  <c:pt idx="614">
                    <c:v>2018-07-26-16:00</c:v>
                  </c:pt>
                  <c:pt idx="615">
                    <c:v>2018-07-26-17:00</c:v>
                  </c:pt>
                  <c:pt idx="616">
                    <c:v>2018-07-26-18:00</c:v>
                  </c:pt>
                  <c:pt idx="617">
                    <c:v>2018-07-26-19:00</c:v>
                  </c:pt>
                  <c:pt idx="618">
                    <c:v>2018-07-26-20:00</c:v>
                  </c:pt>
                  <c:pt idx="619">
                    <c:v>2018-07-26-21:00</c:v>
                  </c:pt>
                  <c:pt idx="620">
                    <c:v>2018-07-26-22:00</c:v>
                  </c:pt>
                  <c:pt idx="621">
                    <c:v>2018-07-26-23:00</c:v>
                  </c:pt>
                  <c:pt idx="622">
                    <c:v>2018-07-27-00:00</c:v>
                  </c:pt>
                  <c:pt idx="623">
                    <c:v>2018-07-27-01:00</c:v>
                  </c:pt>
                  <c:pt idx="624">
                    <c:v>2018-07-27-02:00</c:v>
                  </c:pt>
                  <c:pt idx="625">
                    <c:v>2018-07-26-03:00</c:v>
                  </c:pt>
                  <c:pt idx="626">
                    <c:v>2018-07-26-04:00</c:v>
                  </c:pt>
                  <c:pt idx="627">
                    <c:v>2018-07-26-05:00</c:v>
                  </c:pt>
                  <c:pt idx="628">
                    <c:v>2018-07-26-06:00</c:v>
                  </c:pt>
                  <c:pt idx="629">
                    <c:v>2018-07-26-07:00</c:v>
                  </c:pt>
                  <c:pt idx="630">
                    <c:v>2018-07-26-08:00</c:v>
                  </c:pt>
                  <c:pt idx="631">
                    <c:v>2018-07-26-09:00</c:v>
                  </c:pt>
                  <c:pt idx="632">
                    <c:v>2018-07-26-10:00</c:v>
                  </c:pt>
                  <c:pt idx="633">
                    <c:v>2018-07-26-11:00</c:v>
                  </c:pt>
                  <c:pt idx="634">
                    <c:v>2018-07-26-12:00</c:v>
                  </c:pt>
                  <c:pt idx="635">
                    <c:v>2018-07-26-13:00</c:v>
                  </c:pt>
                  <c:pt idx="636">
                    <c:v>2018-07-26-14:00</c:v>
                  </c:pt>
                  <c:pt idx="637">
                    <c:v>2018-07-26-15:00</c:v>
                  </c:pt>
                  <c:pt idx="638">
                    <c:v>2018-07-26-16:00</c:v>
                  </c:pt>
                  <c:pt idx="639">
                    <c:v>2018-07-26-17:00</c:v>
                  </c:pt>
                  <c:pt idx="640">
                    <c:v>2018-07-26-18:00</c:v>
                  </c:pt>
                  <c:pt idx="641">
                    <c:v>2018-07-26-19:00</c:v>
                  </c:pt>
                  <c:pt idx="642">
                    <c:v>2018-07-26-20:00</c:v>
                  </c:pt>
                  <c:pt idx="643">
                    <c:v>2018-07-26-21:00</c:v>
                  </c:pt>
                  <c:pt idx="644">
                    <c:v>2018-07-26-22:00</c:v>
                  </c:pt>
                  <c:pt idx="645">
                    <c:v>2018-07-26-23:00</c:v>
                  </c:pt>
                  <c:pt idx="646">
                    <c:v>2018-07-27-00:00</c:v>
                  </c:pt>
                  <c:pt idx="647">
                    <c:v>2018-07-27-01:00</c:v>
                  </c:pt>
                  <c:pt idx="648">
                    <c:v>2018-07-27-02:00</c:v>
                  </c:pt>
                  <c:pt idx="649">
                    <c:v>2018-07-27-03:00</c:v>
                  </c:pt>
                  <c:pt idx="650">
                    <c:v>2018-07-26-04:00</c:v>
                  </c:pt>
                  <c:pt idx="651">
                    <c:v>2018-07-26-05:00</c:v>
                  </c:pt>
                  <c:pt idx="652">
                    <c:v>2018-07-26-06:00</c:v>
                  </c:pt>
                  <c:pt idx="653">
                    <c:v>2018-07-26-07:00</c:v>
                  </c:pt>
                  <c:pt idx="654">
                    <c:v>2018-07-26-08:00</c:v>
                  </c:pt>
                  <c:pt idx="655">
                    <c:v>2018-07-26-09:00</c:v>
                  </c:pt>
                  <c:pt idx="656">
                    <c:v>2018-07-26-10:00</c:v>
                  </c:pt>
                  <c:pt idx="657">
                    <c:v>2018-07-26-11:00</c:v>
                  </c:pt>
                  <c:pt idx="658">
                    <c:v>2018-07-26-12:00</c:v>
                  </c:pt>
                  <c:pt idx="659">
                    <c:v>2018-07-26-13:00</c:v>
                  </c:pt>
                  <c:pt idx="660">
                    <c:v>2018-07-26-14:00</c:v>
                  </c:pt>
                  <c:pt idx="661">
                    <c:v>2018-07-26-15:00</c:v>
                  </c:pt>
                  <c:pt idx="662">
                    <c:v>2018-07-26-16:00</c:v>
                  </c:pt>
                  <c:pt idx="663">
                    <c:v>2018-07-26-17:00</c:v>
                  </c:pt>
                  <c:pt idx="664">
                    <c:v>2018-07-26-18:00</c:v>
                  </c:pt>
                  <c:pt idx="665">
                    <c:v>2018-07-26-19:00</c:v>
                  </c:pt>
                  <c:pt idx="666">
                    <c:v>2018-07-26-20:00</c:v>
                  </c:pt>
                  <c:pt idx="667">
                    <c:v>2018-07-26-21:00</c:v>
                  </c:pt>
                  <c:pt idx="668">
                    <c:v>2018-07-26-22:00</c:v>
                  </c:pt>
                  <c:pt idx="669">
                    <c:v>2018-07-26-23:00</c:v>
                  </c:pt>
                  <c:pt idx="670">
                    <c:v>2018-07-27-00:00</c:v>
                  </c:pt>
                  <c:pt idx="671">
                    <c:v>2018-07-27-01:00</c:v>
                  </c:pt>
                  <c:pt idx="672">
                    <c:v>2018-07-27-02:00</c:v>
                  </c:pt>
                  <c:pt idx="673">
                    <c:v>2018-07-27-03:00</c:v>
                  </c:pt>
                  <c:pt idx="674">
                    <c:v>2018-07-27-04:00</c:v>
                  </c:pt>
                  <c:pt idx="675">
                    <c:v>2018-07-26-05:00</c:v>
                  </c:pt>
                  <c:pt idx="676">
                    <c:v>2018-07-26-06:00</c:v>
                  </c:pt>
                  <c:pt idx="677">
                    <c:v>2018-07-26-07:00</c:v>
                  </c:pt>
                  <c:pt idx="678">
                    <c:v>2018-07-26-08:00</c:v>
                  </c:pt>
                  <c:pt idx="679">
                    <c:v>2018-07-26-09:00</c:v>
                  </c:pt>
                  <c:pt idx="680">
                    <c:v>2018-07-26-10:00</c:v>
                  </c:pt>
                  <c:pt idx="681">
                    <c:v>2018-07-26-11:00</c:v>
                  </c:pt>
                  <c:pt idx="682">
                    <c:v>2018-07-26-12:00</c:v>
                  </c:pt>
                  <c:pt idx="683">
                    <c:v>2018-07-26-13:00</c:v>
                  </c:pt>
                  <c:pt idx="684">
                    <c:v>2018-07-26-14:00</c:v>
                  </c:pt>
                  <c:pt idx="685">
                    <c:v>2018-07-26-15:00</c:v>
                  </c:pt>
                  <c:pt idx="686">
                    <c:v>2018-07-26-16:00</c:v>
                  </c:pt>
                  <c:pt idx="687">
                    <c:v>2018-07-26-17:00</c:v>
                  </c:pt>
                  <c:pt idx="688">
                    <c:v>2018-07-26-18:00</c:v>
                  </c:pt>
                  <c:pt idx="689">
                    <c:v>2018-07-26-19:00</c:v>
                  </c:pt>
                  <c:pt idx="690">
                    <c:v>2018-07-26-20:00</c:v>
                  </c:pt>
                  <c:pt idx="691">
                    <c:v>2018-07-26-21:00</c:v>
                  </c:pt>
                  <c:pt idx="692">
                    <c:v>2018-07-26-22:00</c:v>
                  </c:pt>
                  <c:pt idx="693">
                    <c:v>2018-07-26-23:00</c:v>
                  </c:pt>
                  <c:pt idx="694">
                    <c:v>2018-07-27-00:00</c:v>
                  </c:pt>
                  <c:pt idx="695">
                    <c:v>2018-07-27-01:00</c:v>
                  </c:pt>
                  <c:pt idx="696">
                    <c:v>2018-07-27-02:00</c:v>
                  </c:pt>
                  <c:pt idx="697">
                    <c:v>2018-07-27-03:00</c:v>
                  </c:pt>
                  <c:pt idx="698">
                    <c:v>2018-07-27-04:00</c:v>
                  </c:pt>
                  <c:pt idx="699">
                    <c:v>2018-07-27-05:00</c:v>
                  </c:pt>
                  <c:pt idx="700">
                    <c:v>2018-07-26-06:00</c:v>
                  </c:pt>
                  <c:pt idx="701">
                    <c:v>2018-07-26-07:00</c:v>
                  </c:pt>
                  <c:pt idx="702">
                    <c:v>2018-07-26-08:00</c:v>
                  </c:pt>
                  <c:pt idx="703">
                    <c:v>2018-07-26-09:00</c:v>
                  </c:pt>
                  <c:pt idx="704">
                    <c:v>2018-07-26-10:00</c:v>
                  </c:pt>
                  <c:pt idx="705">
                    <c:v>2018-07-26-11:00</c:v>
                  </c:pt>
                  <c:pt idx="706">
                    <c:v>2018-07-26-12:00</c:v>
                  </c:pt>
                  <c:pt idx="707">
                    <c:v>2018-07-26-13:00</c:v>
                  </c:pt>
                  <c:pt idx="708">
                    <c:v>2018-07-26-14:00</c:v>
                  </c:pt>
                  <c:pt idx="709">
                    <c:v>2018-07-26-15:00</c:v>
                  </c:pt>
                  <c:pt idx="710">
                    <c:v>2018-07-26-16:00</c:v>
                  </c:pt>
                  <c:pt idx="711">
                    <c:v>2018-07-26-17:00</c:v>
                  </c:pt>
                  <c:pt idx="712">
                    <c:v>2018-07-26-18:00</c:v>
                  </c:pt>
                  <c:pt idx="713">
                    <c:v>2018-07-26-19:00</c:v>
                  </c:pt>
                  <c:pt idx="714">
                    <c:v>2018-07-26-20:00</c:v>
                  </c:pt>
                  <c:pt idx="715">
                    <c:v>2018-07-26-21:00</c:v>
                  </c:pt>
                  <c:pt idx="716">
                    <c:v>2018-07-26-22:00</c:v>
                  </c:pt>
                  <c:pt idx="717">
                    <c:v>2018-07-26-23:00</c:v>
                  </c:pt>
                  <c:pt idx="718">
                    <c:v>2018-07-27-00:00</c:v>
                  </c:pt>
                  <c:pt idx="719">
                    <c:v>2018-07-27-01:00</c:v>
                  </c:pt>
                  <c:pt idx="720">
                    <c:v>2018-07-27-02:00</c:v>
                  </c:pt>
                  <c:pt idx="721">
                    <c:v>2018-07-27-03:00</c:v>
                  </c:pt>
                  <c:pt idx="722">
                    <c:v>2018-07-27-04:00</c:v>
                  </c:pt>
                  <c:pt idx="723">
                    <c:v>2018-07-27-05:00</c:v>
                  </c:pt>
                  <c:pt idx="724">
                    <c:v>2018-07-27-06:00</c:v>
                  </c:pt>
                  <c:pt idx="725">
                    <c:v>2018-07-26-07:00</c:v>
                  </c:pt>
                  <c:pt idx="726">
                    <c:v>2018-07-26-08:00</c:v>
                  </c:pt>
                  <c:pt idx="727">
                    <c:v>2018-07-26-09:00</c:v>
                  </c:pt>
                  <c:pt idx="728">
                    <c:v>2018-07-26-10:00</c:v>
                  </c:pt>
                  <c:pt idx="729">
                    <c:v>2018-07-26-11:00</c:v>
                  </c:pt>
                  <c:pt idx="730">
                    <c:v>2018-07-26-12:00</c:v>
                  </c:pt>
                  <c:pt idx="731">
                    <c:v>2018-07-26-13:00</c:v>
                  </c:pt>
                  <c:pt idx="732">
                    <c:v>2018-07-26-14:00</c:v>
                  </c:pt>
                  <c:pt idx="733">
                    <c:v>2018-07-26-15:00</c:v>
                  </c:pt>
                  <c:pt idx="734">
                    <c:v>2018-07-26-16:00</c:v>
                  </c:pt>
                  <c:pt idx="735">
                    <c:v>2018-07-26-17:00</c:v>
                  </c:pt>
                  <c:pt idx="736">
                    <c:v>2018-07-26-18:00</c:v>
                  </c:pt>
                  <c:pt idx="737">
                    <c:v>2018-07-26-19:00</c:v>
                  </c:pt>
                  <c:pt idx="738">
                    <c:v>2018-07-26-20:00</c:v>
                  </c:pt>
                  <c:pt idx="739">
                    <c:v>2018-07-26-21:00</c:v>
                  </c:pt>
                  <c:pt idx="740">
                    <c:v>2018-07-26-22:00</c:v>
                  </c:pt>
                  <c:pt idx="741">
                    <c:v>2018-07-26-23:00</c:v>
                  </c:pt>
                  <c:pt idx="742">
                    <c:v>2018-07-27-00:00</c:v>
                  </c:pt>
                  <c:pt idx="743">
                    <c:v>2018-07-27-01:00</c:v>
                  </c:pt>
                  <c:pt idx="744">
                    <c:v>2018-07-27-02:00</c:v>
                  </c:pt>
                  <c:pt idx="745">
                    <c:v>2018-07-27-03:00</c:v>
                  </c:pt>
                  <c:pt idx="746">
                    <c:v>2018-07-27-04:00</c:v>
                  </c:pt>
                  <c:pt idx="747">
                    <c:v>2018-07-27-05:00</c:v>
                  </c:pt>
                  <c:pt idx="748">
                    <c:v>2018-07-27-06:00</c:v>
                  </c:pt>
                  <c:pt idx="749">
                    <c:v>2018-07-27-07:00</c:v>
                  </c:pt>
                  <c:pt idx="750">
                    <c:v>2018-07-26-08:00</c:v>
                  </c:pt>
                  <c:pt idx="751">
                    <c:v>2018-07-26-09:00</c:v>
                  </c:pt>
                  <c:pt idx="752">
                    <c:v>2018-07-26-10:00</c:v>
                  </c:pt>
                  <c:pt idx="753">
                    <c:v>2018-07-26-11:00</c:v>
                  </c:pt>
                  <c:pt idx="754">
                    <c:v>2018-07-26-12:00</c:v>
                  </c:pt>
                  <c:pt idx="755">
                    <c:v>2018-07-26-13:00</c:v>
                  </c:pt>
                  <c:pt idx="756">
                    <c:v>2018-07-26-14:00</c:v>
                  </c:pt>
                  <c:pt idx="757">
                    <c:v>2018-07-26-15:00</c:v>
                  </c:pt>
                  <c:pt idx="758">
                    <c:v>2018-07-26-16:00</c:v>
                  </c:pt>
                  <c:pt idx="759">
                    <c:v>2018-07-26-17:00</c:v>
                  </c:pt>
                  <c:pt idx="760">
                    <c:v>2018-07-26-18:00</c:v>
                  </c:pt>
                  <c:pt idx="761">
                    <c:v>2018-07-26-19:00</c:v>
                  </c:pt>
                  <c:pt idx="762">
                    <c:v>2018-07-26-20:00</c:v>
                  </c:pt>
                  <c:pt idx="763">
                    <c:v>2018-07-26-21:00</c:v>
                  </c:pt>
                  <c:pt idx="764">
                    <c:v>2018-07-26-22:00</c:v>
                  </c:pt>
                  <c:pt idx="765">
                    <c:v>2018-07-26-23:00</c:v>
                  </c:pt>
                  <c:pt idx="766">
                    <c:v>2018-07-27-00:00</c:v>
                  </c:pt>
                  <c:pt idx="767">
                    <c:v>2018-07-27-01:00</c:v>
                  </c:pt>
                  <c:pt idx="768">
                    <c:v>2018-07-27-02:00</c:v>
                  </c:pt>
                  <c:pt idx="769">
                    <c:v>2018-07-27-03:00</c:v>
                  </c:pt>
                  <c:pt idx="770">
                    <c:v>2018-07-27-04:00</c:v>
                  </c:pt>
                  <c:pt idx="771">
                    <c:v>2018-07-27-05:00</c:v>
                  </c:pt>
                  <c:pt idx="772">
                    <c:v>2018-07-27-06:00</c:v>
                  </c:pt>
                  <c:pt idx="773">
                    <c:v>2018-07-27-07:00</c:v>
                  </c:pt>
                  <c:pt idx="774">
                    <c:v>2018-07-27-08:00</c:v>
                  </c:pt>
                  <c:pt idx="775">
                    <c:v>2018-07-26-09:00</c:v>
                  </c:pt>
                  <c:pt idx="776">
                    <c:v>2018-07-26-10:00</c:v>
                  </c:pt>
                  <c:pt idx="777">
                    <c:v>2018-07-26-11:00</c:v>
                  </c:pt>
                  <c:pt idx="778">
                    <c:v>2018-07-26-12:00</c:v>
                  </c:pt>
                  <c:pt idx="779">
                    <c:v>2018-07-26-13:00</c:v>
                  </c:pt>
                  <c:pt idx="780">
                    <c:v>2018-07-26-14:00</c:v>
                  </c:pt>
                  <c:pt idx="781">
                    <c:v>2018-07-26-15:00</c:v>
                  </c:pt>
                  <c:pt idx="782">
                    <c:v>2018-07-26-16:00</c:v>
                  </c:pt>
                  <c:pt idx="783">
                    <c:v>2018-07-26-17:00</c:v>
                  </c:pt>
                  <c:pt idx="784">
                    <c:v>2018-07-26-18:00</c:v>
                  </c:pt>
                  <c:pt idx="785">
                    <c:v>2018-07-26-19:00</c:v>
                  </c:pt>
                  <c:pt idx="786">
                    <c:v>2018-07-26-20:00</c:v>
                  </c:pt>
                  <c:pt idx="787">
                    <c:v>2018-07-26-21:00</c:v>
                  </c:pt>
                  <c:pt idx="788">
                    <c:v>2018-07-26-22:00</c:v>
                  </c:pt>
                  <c:pt idx="789">
                    <c:v>2018-07-26-23:00</c:v>
                  </c:pt>
                  <c:pt idx="790">
                    <c:v>2018-07-27-00:00</c:v>
                  </c:pt>
                  <c:pt idx="791">
                    <c:v>2018-07-27-01:00</c:v>
                  </c:pt>
                  <c:pt idx="792">
                    <c:v>2018-07-27-02:00</c:v>
                  </c:pt>
                  <c:pt idx="793">
                    <c:v>2018-07-27-03:00</c:v>
                  </c:pt>
                  <c:pt idx="794">
                    <c:v>2018-07-27-04:00</c:v>
                  </c:pt>
                  <c:pt idx="795">
                    <c:v>2018-07-27-05:00</c:v>
                  </c:pt>
                  <c:pt idx="796">
                    <c:v>2018-07-27-06:00</c:v>
                  </c:pt>
                  <c:pt idx="797">
                    <c:v>2018-07-27-07:00</c:v>
                  </c:pt>
                  <c:pt idx="798">
                    <c:v>2018-07-27-08:00</c:v>
                  </c:pt>
                  <c:pt idx="799">
                    <c:v>2018-07-27-09:00</c:v>
                  </c:pt>
                  <c:pt idx="800">
                    <c:v>2018-07-26-10:00</c:v>
                  </c:pt>
                  <c:pt idx="801">
                    <c:v>2018-07-26-11:00</c:v>
                  </c:pt>
                  <c:pt idx="802">
                    <c:v>2018-07-26-12:00</c:v>
                  </c:pt>
                  <c:pt idx="803">
                    <c:v>2018-07-26-13:00</c:v>
                  </c:pt>
                  <c:pt idx="804">
                    <c:v>2018-07-26-14:00</c:v>
                  </c:pt>
                  <c:pt idx="805">
                    <c:v>2018-07-26-15:00</c:v>
                  </c:pt>
                  <c:pt idx="806">
                    <c:v>2018-07-26-16:00</c:v>
                  </c:pt>
                  <c:pt idx="807">
                    <c:v>2018-07-26-17:00</c:v>
                  </c:pt>
                  <c:pt idx="808">
                    <c:v>2018-07-26-18:00</c:v>
                  </c:pt>
                  <c:pt idx="809">
                    <c:v>2018-07-26-19:00</c:v>
                  </c:pt>
                  <c:pt idx="810">
                    <c:v>2018-07-26-20:00</c:v>
                  </c:pt>
                  <c:pt idx="811">
                    <c:v>2018-07-26-21:00</c:v>
                  </c:pt>
                  <c:pt idx="812">
                    <c:v>2018-07-26-22:00</c:v>
                  </c:pt>
                  <c:pt idx="813">
                    <c:v>2018-07-26-23:00</c:v>
                  </c:pt>
                  <c:pt idx="814">
                    <c:v>2018-07-27-00:00</c:v>
                  </c:pt>
                  <c:pt idx="815">
                    <c:v>2018-07-27-01:00</c:v>
                  </c:pt>
                  <c:pt idx="816">
                    <c:v>2018-07-27-02:00</c:v>
                  </c:pt>
                  <c:pt idx="817">
                    <c:v>2018-07-27-03:00</c:v>
                  </c:pt>
                  <c:pt idx="818">
                    <c:v>2018-07-27-04:00</c:v>
                  </c:pt>
                  <c:pt idx="819">
                    <c:v>2018-07-27-05:00</c:v>
                  </c:pt>
                  <c:pt idx="820">
                    <c:v>2018-07-27-06:00</c:v>
                  </c:pt>
                  <c:pt idx="821">
                    <c:v>2018-07-27-07:00</c:v>
                  </c:pt>
                  <c:pt idx="822">
                    <c:v>2018-07-27-08:00</c:v>
                  </c:pt>
                  <c:pt idx="823">
                    <c:v>2018-07-27-09:00</c:v>
                  </c:pt>
                  <c:pt idx="824">
                    <c:v>2018-07-27-10:00</c:v>
                  </c:pt>
                  <c:pt idx="825">
                    <c:v>2018-07-26-11:00</c:v>
                  </c:pt>
                  <c:pt idx="826">
                    <c:v>2018-07-26-12:00</c:v>
                  </c:pt>
                  <c:pt idx="827">
                    <c:v>2018-07-26-13:00</c:v>
                  </c:pt>
                  <c:pt idx="828">
                    <c:v>2018-07-26-14:00</c:v>
                  </c:pt>
                  <c:pt idx="829">
                    <c:v>2018-07-26-15:00</c:v>
                  </c:pt>
                  <c:pt idx="830">
                    <c:v>2018-07-26-16:00</c:v>
                  </c:pt>
                  <c:pt idx="831">
                    <c:v>2018-07-26-17:00</c:v>
                  </c:pt>
                  <c:pt idx="832">
                    <c:v>2018-07-26-18:00</c:v>
                  </c:pt>
                  <c:pt idx="833">
                    <c:v>2018-07-26-19:00</c:v>
                  </c:pt>
                  <c:pt idx="834">
                    <c:v>2018-07-26-20:00</c:v>
                  </c:pt>
                  <c:pt idx="835">
                    <c:v>2018-07-26-21:00</c:v>
                  </c:pt>
                  <c:pt idx="836">
                    <c:v>2018-07-26-22:00</c:v>
                  </c:pt>
                  <c:pt idx="837">
                    <c:v>2018-07-26-23:00</c:v>
                  </c:pt>
                  <c:pt idx="838">
                    <c:v>2018-07-27-00:00</c:v>
                  </c:pt>
                  <c:pt idx="839">
                    <c:v>2018-07-27-01:00</c:v>
                  </c:pt>
                  <c:pt idx="840">
                    <c:v>2018-07-27-02:00</c:v>
                  </c:pt>
                  <c:pt idx="841">
                    <c:v>2018-07-27-03:00</c:v>
                  </c:pt>
                  <c:pt idx="842">
                    <c:v>2018-07-27-04:00</c:v>
                  </c:pt>
                  <c:pt idx="843">
                    <c:v>2018-07-27-05:00</c:v>
                  </c:pt>
                  <c:pt idx="844">
                    <c:v>2018-07-27-06:00</c:v>
                  </c:pt>
                  <c:pt idx="845">
                    <c:v>2018-07-27-07:00</c:v>
                  </c:pt>
                  <c:pt idx="846">
                    <c:v>2018-07-27-08:00</c:v>
                  </c:pt>
                  <c:pt idx="847">
                    <c:v>2018-07-27-09:00</c:v>
                  </c:pt>
                  <c:pt idx="848">
                    <c:v>2018-07-27-10:00</c:v>
                  </c:pt>
                  <c:pt idx="849">
                    <c:v>2018-07-27-11:00</c:v>
                  </c:pt>
                  <c:pt idx="850">
                    <c:v>2018-07-26-12:00</c:v>
                  </c:pt>
                  <c:pt idx="851">
                    <c:v>2018-07-26-13:00</c:v>
                  </c:pt>
                  <c:pt idx="852">
                    <c:v>2018-07-26-14:00</c:v>
                  </c:pt>
                  <c:pt idx="853">
                    <c:v>2018-07-26-15:00</c:v>
                  </c:pt>
                  <c:pt idx="854">
                    <c:v>2018-07-26-16:00</c:v>
                  </c:pt>
                  <c:pt idx="855">
                    <c:v>2018-07-26-17:00</c:v>
                  </c:pt>
                  <c:pt idx="856">
                    <c:v>2018-07-26-18:00</c:v>
                  </c:pt>
                  <c:pt idx="857">
                    <c:v>2018-07-26-19:00</c:v>
                  </c:pt>
                  <c:pt idx="858">
                    <c:v>2018-07-26-20:00</c:v>
                  </c:pt>
                  <c:pt idx="859">
                    <c:v>2018-07-26-21:00</c:v>
                  </c:pt>
                  <c:pt idx="860">
                    <c:v>2018-07-26-22:00</c:v>
                  </c:pt>
                  <c:pt idx="861">
                    <c:v>2018-07-26-23:00</c:v>
                  </c:pt>
                  <c:pt idx="862">
                    <c:v>2018-07-27-00:00</c:v>
                  </c:pt>
                  <c:pt idx="863">
                    <c:v>2018-07-27-01:00</c:v>
                  </c:pt>
                  <c:pt idx="864">
                    <c:v>2018-07-27-02:00</c:v>
                  </c:pt>
                  <c:pt idx="865">
                    <c:v>2018-07-27-03:00</c:v>
                  </c:pt>
                  <c:pt idx="866">
                    <c:v>2018-07-27-04:00</c:v>
                  </c:pt>
                  <c:pt idx="867">
                    <c:v>2018-07-27-05:00</c:v>
                  </c:pt>
                  <c:pt idx="868">
                    <c:v>2018-07-27-06:00</c:v>
                  </c:pt>
                  <c:pt idx="869">
                    <c:v>2018-07-27-07:00</c:v>
                  </c:pt>
                  <c:pt idx="870">
                    <c:v>2018-07-27-08:00</c:v>
                  </c:pt>
                  <c:pt idx="871">
                    <c:v>2018-07-27-09:00</c:v>
                  </c:pt>
                  <c:pt idx="872">
                    <c:v>2018-07-27-10:00</c:v>
                  </c:pt>
                  <c:pt idx="873">
                    <c:v>2018-07-27-11:00</c:v>
                  </c:pt>
                  <c:pt idx="874">
                    <c:v>2018-07-27-12:00</c:v>
                  </c:pt>
                  <c:pt idx="875">
                    <c:v>2018-07-26-13:00</c:v>
                  </c:pt>
                  <c:pt idx="876">
                    <c:v>2018-07-26-14:00</c:v>
                  </c:pt>
                  <c:pt idx="877">
                    <c:v>2018-07-26-15:00</c:v>
                  </c:pt>
                  <c:pt idx="878">
                    <c:v>2018-07-26-16:00</c:v>
                  </c:pt>
                  <c:pt idx="879">
                    <c:v>2018-07-26-17:00</c:v>
                  </c:pt>
                  <c:pt idx="880">
                    <c:v>2018-07-26-18:00</c:v>
                  </c:pt>
                  <c:pt idx="881">
                    <c:v>2018-07-26-19:00</c:v>
                  </c:pt>
                  <c:pt idx="882">
                    <c:v>2018-07-26-20:00</c:v>
                  </c:pt>
                  <c:pt idx="883">
                    <c:v>2018-07-26-21:00</c:v>
                  </c:pt>
                  <c:pt idx="884">
                    <c:v>2018-07-26-22:00</c:v>
                  </c:pt>
                  <c:pt idx="885">
                    <c:v>2018-07-26-23:00</c:v>
                  </c:pt>
                  <c:pt idx="886">
                    <c:v>2018-07-27-00:00</c:v>
                  </c:pt>
                  <c:pt idx="887">
                    <c:v>2018-07-27-01:00</c:v>
                  </c:pt>
                  <c:pt idx="888">
                    <c:v>2018-07-27-02:00</c:v>
                  </c:pt>
                  <c:pt idx="889">
                    <c:v>2018-07-27-03:00</c:v>
                  </c:pt>
                  <c:pt idx="890">
                    <c:v>2018-07-27-04:00</c:v>
                  </c:pt>
                  <c:pt idx="891">
                    <c:v>2018-07-27-05:00</c:v>
                  </c:pt>
                  <c:pt idx="892">
                    <c:v>2018-07-27-06:00</c:v>
                  </c:pt>
                  <c:pt idx="893">
                    <c:v>2018-07-27-07:00</c:v>
                  </c:pt>
                  <c:pt idx="894">
                    <c:v>2018-07-27-08:00</c:v>
                  </c:pt>
                  <c:pt idx="895">
                    <c:v>2018-07-27-09:00</c:v>
                  </c:pt>
                  <c:pt idx="896">
                    <c:v>2018-07-27-10:00</c:v>
                  </c:pt>
                  <c:pt idx="897">
                    <c:v>2018-07-27-11:00</c:v>
                  </c:pt>
                  <c:pt idx="898">
                    <c:v>2018-07-27-12:00</c:v>
                  </c:pt>
                  <c:pt idx="899">
                    <c:v>2018-07-27-13:00</c:v>
                  </c:pt>
                  <c:pt idx="900">
                    <c:v>2018-07-26-14:00</c:v>
                  </c:pt>
                  <c:pt idx="901">
                    <c:v>2018-07-26-15:00</c:v>
                  </c:pt>
                  <c:pt idx="902">
                    <c:v>2018-07-26-16:00</c:v>
                  </c:pt>
                  <c:pt idx="903">
                    <c:v>2018-07-26-17:00</c:v>
                  </c:pt>
                  <c:pt idx="904">
                    <c:v>2018-07-26-18:00</c:v>
                  </c:pt>
                  <c:pt idx="905">
                    <c:v>2018-07-26-19:00</c:v>
                  </c:pt>
                  <c:pt idx="906">
                    <c:v>2018-07-26-20:00</c:v>
                  </c:pt>
                  <c:pt idx="907">
                    <c:v>2018-07-26-21:00</c:v>
                  </c:pt>
                  <c:pt idx="908">
                    <c:v>2018-07-26-22:00</c:v>
                  </c:pt>
                  <c:pt idx="909">
                    <c:v>2018-07-26-23:00</c:v>
                  </c:pt>
                  <c:pt idx="910">
                    <c:v>2018-07-27-00:00</c:v>
                  </c:pt>
                  <c:pt idx="911">
                    <c:v>2018-07-27-01:00</c:v>
                  </c:pt>
                  <c:pt idx="912">
                    <c:v>2018-07-27-02:00</c:v>
                  </c:pt>
                  <c:pt idx="913">
                    <c:v>2018-07-27-03:00</c:v>
                  </c:pt>
                  <c:pt idx="914">
                    <c:v>2018-07-27-04:00</c:v>
                  </c:pt>
                  <c:pt idx="915">
                    <c:v>2018-07-27-05:00</c:v>
                  </c:pt>
                  <c:pt idx="916">
                    <c:v>2018-07-27-06:00</c:v>
                  </c:pt>
                  <c:pt idx="917">
                    <c:v>2018-07-27-07:00</c:v>
                  </c:pt>
                  <c:pt idx="918">
                    <c:v>2018-07-27-08:00</c:v>
                  </c:pt>
                  <c:pt idx="919">
                    <c:v>2018-07-27-09:00</c:v>
                  </c:pt>
                  <c:pt idx="920">
                    <c:v>2018-07-27-10:00</c:v>
                  </c:pt>
                  <c:pt idx="921">
                    <c:v>2018-07-27-11:00</c:v>
                  </c:pt>
                  <c:pt idx="922">
                    <c:v>2018-07-27-12:00</c:v>
                  </c:pt>
                  <c:pt idx="923">
                    <c:v>2018-07-27-13:00</c:v>
                  </c:pt>
                  <c:pt idx="924">
                    <c:v>2018-07-27-14:00</c:v>
                  </c:pt>
                  <c:pt idx="925">
                    <c:v>2018-07-26-15:00</c:v>
                  </c:pt>
                  <c:pt idx="926">
                    <c:v>2018-07-26-16:00</c:v>
                  </c:pt>
                  <c:pt idx="927">
                    <c:v>2018-07-26-17:00</c:v>
                  </c:pt>
                  <c:pt idx="928">
                    <c:v>2018-07-26-18:00</c:v>
                  </c:pt>
                  <c:pt idx="929">
                    <c:v>2018-07-26-19:00</c:v>
                  </c:pt>
                  <c:pt idx="930">
                    <c:v>2018-07-26-20:00</c:v>
                  </c:pt>
                  <c:pt idx="931">
                    <c:v>2018-07-26-21:00</c:v>
                  </c:pt>
                  <c:pt idx="932">
                    <c:v>2018-07-26-22:00</c:v>
                  </c:pt>
                  <c:pt idx="933">
                    <c:v>2018-07-26-23:00</c:v>
                  </c:pt>
                  <c:pt idx="934">
                    <c:v>2018-07-27-00:00</c:v>
                  </c:pt>
                  <c:pt idx="935">
                    <c:v>2018-07-27-01:00</c:v>
                  </c:pt>
                  <c:pt idx="936">
                    <c:v>2018-07-27-02:00</c:v>
                  </c:pt>
                  <c:pt idx="937">
                    <c:v>2018-07-27-03:00</c:v>
                  </c:pt>
                  <c:pt idx="938">
                    <c:v>2018-07-27-04:00</c:v>
                  </c:pt>
                  <c:pt idx="939">
                    <c:v>2018-07-27-05:00</c:v>
                  </c:pt>
                  <c:pt idx="940">
                    <c:v>2018-07-27-06:00</c:v>
                  </c:pt>
                  <c:pt idx="941">
                    <c:v>2018-07-27-07:00</c:v>
                  </c:pt>
                  <c:pt idx="942">
                    <c:v>2018-07-27-08:00</c:v>
                  </c:pt>
                  <c:pt idx="943">
                    <c:v>2018-07-27-09:00</c:v>
                  </c:pt>
                  <c:pt idx="944">
                    <c:v>2018-07-27-10:00</c:v>
                  </c:pt>
                  <c:pt idx="945">
                    <c:v>2018-07-27-11:00</c:v>
                  </c:pt>
                  <c:pt idx="946">
                    <c:v>2018-07-27-12:00</c:v>
                  </c:pt>
                  <c:pt idx="947">
                    <c:v>2018-07-27-13:00</c:v>
                  </c:pt>
                  <c:pt idx="948">
                    <c:v>2018-07-27-14:00</c:v>
                  </c:pt>
                  <c:pt idx="949">
                    <c:v>2018-07-27-15:00</c:v>
                  </c:pt>
                  <c:pt idx="950">
                    <c:v>2018-07-26-16:00</c:v>
                  </c:pt>
                  <c:pt idx="951">
                    <c:v>2018-07-26-17:00</c:v>
                  </c:pt>
                  <c:pt idx="952">
                    <c:v>2018-07-26-18:00</c:v>
                  </c:pt>
                  <c:pt idx="953">
                    <c:v>2018-07-26-19:00</c:v>
                  </c:pt>
                  <c:pt idx="954">
                    <c:v>2018-07-26-20:00</c:v>
                  </c:pt>
                  <c:pt idx="955">
                    <c:v>2018-07-26-21:00</c:v>
                  </c:pt>
                  <c:pt idx="956">
                    <c:v>2018-07-26-22:00</c:v>
                  </c:pt>
                  <c:pt idx="957">
                    <c:v>2018-07-26-23:00</c:v>
                  </c:pt>
                  <c:pt idx="958">
                    <c:v>2018-07-27-00:00</c:v>
                  </c:pt>
                  <c:pt idx="959">
                    <c:v>2018-07-27-01:00</c:v>
                  </c:pt>
                  <c:pt idx="960">
                    <c:v>2018-07-27-02:00</c:v>
                  </c:pt>
                  <c:pt idx="961">
                    <c:v>2018-07-27-03:00</c:v>
                  </c:pt>
                  <c:pt idx="962">
                    <c:v>2018-07-27-04:00</c:v>
                  </c:pt>
                  <c:pt idx="963">
                    <c:v>2018-07-27-05:00</c:v>
                  </c:pt>
                  <c:pt idx="964">
                    <c:v>2018-07-27-06:00</c:v>
                  </c:pt>
                  <c:pt idx="965">
                    <c:v>2018-07-27-07:00</c:v>
                  </c:pt>
                  <c:pt idx="966">
                    <c:v>2018-07-27-08:00</c:v>
                  </c:pt>
                  <c:pt idx="967">
                    <c:v>2018-07-27-09:00</c:v>
                  </c:pt>
                  <c:pt idx="968">
                    <c:v>2018-07-27-10:00</c:v>
                  </c:pt>
                  <c:pt idx="969">
                    <c:v>2018-07-27-11:00</c:v>
                  </c:pt>
                  <c:pt idx="970">
                    <c:v>2018-07-27-12:00</c:v>
                  </c:pt>
                  <c:pt idx="971">
                    <c:v>2018-07-27-13:00</c:v>
                  </c:pt>
                  <c:pt idx="972">
                    <c:v>2018-07-27-14:00</c:v>
                  </c:pt>
                  <c:pt idx="973">
                    <c:v>2018-07-27-15:00</c:v>
                  </c:pt>
                  <c:pt idx="974">
                    <c:v>2018-07-27-16:00</c:v>
                  </c:pt>
                  <c:pt idx="975">
                    <c:v>2018-07-26-17:00</c:v>
                  </c:pt>
                  <c:pt idx="976">
                    <c:v>2018-07-26-18:00</c:v>
                  </c:pt>
                  <c:pt idx="977">
                    <c:v>2018-07-26-19:00</c:v>
                  </c:pt>
                  <c:pt idx="978">
                    <c:v>2018-07-26-20:00</c:v>
                  </c:pt>
                  <c:pt idx="979">
                    <c:v>2018-07-26-21:00</c:v>
                  </c:pt>
                  <c:pt idx="980">
                    <c:v>2018-07-26-22:00</c:v>
                  </c:pt>
                  <c:pt idx="981">
                    <c:v>2018-07-26-23:00</c:v>
                  </c:pt>
                  <c:pt idx="982">
                    <c:v>2018-07-27-00:00</c:v>
                  </c:pt>
                  <c:pt idx="983">
                    <c:v>2018-07-27-01:00</c:v>
                  </c:pt>
                  <c:pt idx="984">
                    <c:v>2018-07-27-02:00</c:v>
                  </c:pt>
                  <c:pt idx="985">
                    <c:v>2018-07-27-03:00</c:v>
                  </c:pt>
                  <c:pt idx="986">
                    <c:v>2018-07-27-04:00</c:v>
                  </c:pt>
                  <c:pt idx="987">
                    <c:v>2018-07-27-05:00</c:v>
                  </c:pt>
                  <c:pt idx="988">
                    <c:v>2018-07-27-06:00</c:v>
                  </c:pt>
                  <c:pt idx="989">
                    <c:v>2018-07-27-07:00</c:v>
                  </c:pt>
                  <c:pt idx="990">
                    <c:v>2018-07-27-08:00</c:v>
                  </c:pt>
                  <c:pt idx="991">
                    <c:v>2018-07-27-09:00</c:v>
                  </c:pt>
                  <c:pt idx="992">
                    <c:v>2018-07-27-10:00</c:v>
                  </c:pt>
                  <c:pt idx="993">
                    <c:v>2018-07-27-11:00</c:v>
                  </c:pt>
                  <c:pt idx="994">
                    <c:v>2018-07-27-12:00</c:v>
                  </c:pt>
                  <c:pt idx="995">
                    <c:v>2018-07-27-13:00</c:v>
                  </c:pt>
                  <c:pt idx="996">
                    <c:v>2018-07-27-14:00</c:v>
                  </c:pt>
                  <c:pt idx="997">
                    <c:v>2018-07-27-15:00</c:v>
                  </c:pt>
                  <c:pt idx="998">
                    <c:v>2018-07-27-16:00</c:v>
                  </c:pt>
                  <c:pt idx="999">
                    <c:v>2018-07-27-17:00</c:v>
                  </c:pt>
                  <c:pt idx="1000">
                    <c:v>2018-07-26-18:00</c:v>
                  </c:pt>
                  <c:pt idx="1001">
                    <c:v>2018-07-26-19:00</c:v>
                  </c:pt>
                  <c:pt idx="1002">
                    <c:v>2018-07-26-20:00</c:v>
                  </c:pt>
                  <c:pt idx="1003">
                    <c:v>2018-07-26-21:00</c:v>
                  </c:pt>
                  <c:pt idx="1004">
                    <c:v>2018-07-26-22:00</c:v>
                  </c:pt>
                  <c:pt idx="1005">
                    <c:v>2018-07-26-23:00</c:v>
                  </c:pt>
                  <c:pt idx="1006">
                    <c:v>2018-07-27-00:00</c:v>
                  </c:pt>
                  <c:pt idx="1007">
                    <c:v>2018-07-27-01:00</c:v>
                  </c:pt>
                  <c:pt idx="1008">
                    <c:v>2018-07-27-02:00</c:v>
                  </c:pt>
                  <c:pt idx="1009">
                    <c:v>2018-07-27-03:00</c:v>
                  </c:pt>
                  <c:pt idx="1010">
                    <c:v>2018-07-27-04:00</c:v>
                  </c:pt>
                  <c:pt idx="1011">
                    <c:v>2018-07-27-05:00</c:v>
                  </c:pt>
                  <c:pt idx="1012">
                    <c:v>2018-07-27-06:00</c:v>
                  </c:pt>
                  <c:pt idx="1013">
                    <c:v>2018-07-27-07:00</c:v>
                  </c:pt>
                  <c:pt idx="1014">
                    <c:v>2018-07-27-08:00</c:v>
                  </c:pt>
                  <c:pt idx="1015">
                    <c:v>2018-07-27-09:00</c:v>
                  </c:pt>
                  <c:pt idx="1016">
                    <c:v>2018-07-27-10:00</c:v>
                  </c:pt>
                  <c:pt idx="1017">
                    <c:v>2018-07-27-11:00</c:v>
                  </c:pt>
                  <c:pt idx="1018">
                    <c:v>2018-07-27-12:00</c:v>
                  </c:pt>
                  <c:pt idx="1019">
                    <c:v>2018-07-27-13:00</c:v>
                  </c:pt>
                  <c:pt idx="1020">
                    <c:v>2018-07-27-14:00</c:v>
                  </c:pt>
                  <c:pt idx="1021">
                    <c:v>2018-07-27-15:00</c:v>
                  </c:pt>
                  <c:pt idx="1022">
                    <c:v>2018-07-27-16:00</c:v>
                  </c:pt>
                  <c:pt idx="1023">
                    <c:v>2018-07-27-17:00</c:v>
                  </c:pt>
                  <c:pt idx="1024">
                    <c:v>2018-07-27-18:00</c:v>
                  </c:pt>
                  <c:pt idx="1025">
                    <c:v>2018-07-26-19:00</c:v>
                  </c:pt>
                  <c:pt idx="1026">
                    <c:v>2018-07-26-20:00</c:v>
                  </c:pt>
                  <c:pt idx="1027">
                    <c:v>2018-07-26-21:00</c:v>
                  </c:pt>
                  <c:pt idx="1028">
                    <c:v>2018-07-26-22:00</c:v>
                  </c:pt>
                  <c:pt idx="1029">
                    <c:v>2018-07-26-23:00</c:v>
                  </c:pt>
                  <c:pt idx="1030">
                    <c:v>2018-07-27-00:00</c:v>
                  </c:pt>
                  <c:pt idx="1031">
                    <c:v>2018-07-27-01:00</c:v>
                  </c:pt>
                  <c:pt idx="1032">
                    <c:v>2018-07-27-02:00</c:v>
                  </c:pt>
                  <c:pt idx="1033">
                    <c:v>2018-07-27-03:00</c:v>
                  </c:pt>
                  <c:pt idx="1034">
                    <c:v>2018-07-27-04:00</c:v>
                  </c:pt>
                  <c:pt idx="1035">
                    <c:v>2018-07-27-05:00</c:v>
                  </c:pt>
                  <c:pt idx="1036">
                    <c:v>2018-07-27-06:00</c:v>
                  </c:pt>
                  <c:pt idx="1037">
                    <c:v>2018-07-27-07:00</c:v>
                  </c:pt>
                  <c:pt idx="1038">
                    <c:v>2018-07-27-08:00</c:v>
                  </c:pt>
                  <c:pt idx="1039">
                    <c:v>2018-07-27-09:00</c:v>
                  </c:pt>
                  <c:pt idx="1040">
                    <c:v>2018-07-27-10:00</c:v>
                  </c:pt>
                  <c:pt idx="1041">
                    <c:v>2018-07-27-11:00</c:v>
                  </c:pt>
                  <c:pt idx="1042">
                    <c:v>2018-07-27-12:00</c:v>
                  </c:pt>
                  <c:pt idx="1043">
                    <c:v>2018-07-27-13:00</c:v>
                  </c:pt>
                  <c:pt idx="1044">
                    <c:v>2018-07-27-14:00</c:v>
                  </c:pt>
                  <c:pt idx="1045">
                    <c:v>2018-07-27-15:00</c:v>
                  </c:pt>
                  <c:pt idx="1046">
                    <c:v>2018-07-27-16:00</c:v>
                  </c:pt>
                  <c:pt idx="1047">
                    <c:v>2018-07-27-17:00</c:v>
                  </c:pt>
                  <c:pt idx="1048">
                    <c:v>2018-07-27-18:00</c:v>
                  </c:pt>
                  <c:pt idx="1049">
                    <c:v>2018-07-27-19:00</c:v>
                  </c:pt>
                  <c:pt idx="1050">
                    <c:v>2018-07-26-20:00</c:v>
                  </c:pt>
                  <c:pt idx="1051">
                    <c:v>2018-07-26-21:00</c:v>
                  </c:pt>
                  <c:pt idx="1052">
                    <c:v>2018-07-26-22:00</c:v>
                  </c:pt>
                  <c:pt idx="1053">
                    <c:v>2018-07-26-23:00</c:v>
                  </c:pt>
                  <c:pt idx="1054">
                    <c:v>2018-07-27-00:00</c:v>
                  </c:pt>
                  <c:pt idx="1055">
                    <c:v>2018-07-27-01:00</c:v>
                  </c:pt>
                  <c:pt idx="1056">
                    <c:v>2018-07-27-02:00</c:v>
                  </c:pt>
                  <c:pt idx="1057">
                    <c:v>2018-07-27-03:00</c:v>
                  </c:pt>
                  <c:pt idx="1058">
                    <c:v>2018-07-27-04:00</c:v>
                  </c:pt>
                  <c:pt idx="1059">
                    <c:v>2018-07-27-05:00</c:v>
                  </c:pt>
                  <c:pt idx="1060">
                    <c:v>2018-07-27-06:00</c:v>
                  </c:pt>
                  <c:pt idx="1061">
                    <c:v>2018-07-27-07:00</c:v>
                  </c:pt>
                  <c:pt idx="1062">
                    <c:v>2018-07-27-08:00</c:v>
                  </c:pt>
                  <c:pt idx="1063">
                    <c:v>2018-07-27-09:00</c:v>
                  </c:pt>
                  <c:pt idx="1064">
                    <c:v>2018-07-27-10:00</c:v>
                  </c:pt>
                  <c:pt idx="1065">
                    <c:v>2018-07-27-11:00</c:v>
                  </c:pt>
                  <c:pt idx="1066">
                    <c:v>2018-07-27-12:00</c:v>
                  </c:pt>
                  <c:pt idx="1067">
                    <c:v>2018-07-27-13:00</c:v>
                  </c:pt>
                  <c:pt idx="1068">
                    <c:v>2018-07-27-14:00</c:v>
                  </c:pt>
                  <c:pt idx="1069">
                    <c:v>2018-07-27-15:00</c:v>
                  </c:pt>
                  <c:pt idx="1070">
                    <c:v>2018-07-27-16:00</c:v>
                  </c:pt>
                  <c:pt idx="1071">
                    <c:v>2018-07-27-17:00</c:v>
                  </c:pt>
                  <c:pt idx="1072">
                    <c:v>2018-07-27-18:00</c:v>
                  </c:pt>
                  <c:pt idx="1073">
                    <c:v>2018-07-27-19:00</c:v>
                  </c:pt>
                  <c:pt idx="1074">
                    <c:v>2018-07-27-20:00</c:v>
                  </c:pt>
                  <c:pt idx="1075">
                    <c:v>2018-07-26-21:00</c:v>
                  </c:pt>
                  <c:pt idx="1076">
                    <c:v>2018-07-26-22:00</c:v>
                  </c:pt>
                  <c:pt idx="1077">
                    <c:v>2018-07-26-23:00</c:v>
                  </c:pt>
                  <c:pt idx="1078">
                    <c:v>2018-07-27-00:00</c:v>
                  </c:pt>
                  <c:pt idx="1079">
                    <c:v>2018-07-27-01:00</c:v>
                  </c:pt>
                  <c:pt idx="1080">
                    <c:v>2018-07-27-02:00</c:v>
                  </c:pt>
                  <c:pt idx="1081">
                    <c:v>2018-07-27-03:00</c:v>
                  </c:pt>
                  <c:pt idx="1082">
                    <c:v>2018-07-27-04:00</c:v>
                  </c:pt>
                  <c:pt idx="1083">
                    <c:v>2018-07-27-05:00</c:v>
                  </c:pt>
                  <c:pt idx="1084">
                    <c:v>2018-07-27-06:00</c:v>
                  </c:pt>
                  <c:pt idx="1085">
                    <c:v>2018-07-27-07:00</c:v>
                  </c:pt>
                  <c:pt idx="1086">
                    <c:v>2018-07-27-08:00</c:v>
                  </c:pt>
                  <c:pt idx="1087">
                    <c:v>2018-07-27-09:00</c:v>
                  </c:pt>
                  <c:pt idx="1088">
                    <c:v>2018-07-27-10:00</c:v>
                  </c:pt>
                  <c:pt idx="1089">
                    <c:v>2018-07-27-11:00</c:v>
                  </c:pt>
                  <c:pt idx="1090">
                    <c:v>2018-07-27-12:00</c:v>
                  </c:pt>
                  <c:pt idx="1091">
                    <c:v>2018-07-27-13:00</c:v>
                  </c:pt>
                  <c:pt idx="1092">
                    <c:v>2018-07-27-14:00</c:v>
                  </c:pt>
                  <c:pt idx="1093">
                    <c:v>2018-07-27-15:00</c:v>
                  </c:pt>
                  <c:pt idx="1094">
                    <c:v>2018-07-27-16:00</c:v>
                  </c:pt>
                  <c:pt idx="1095">
                    <c:v>2018-07-27-17:00</c:v>
                  </c:pt>
                  <c:pt idx="1096">
                    <c:v>2018-07-27-18:00</c:v>
                  </c:pt>
                  <c:pt idx="1097">
                    <c:v>2018-07-27-19:00</c:v>
                  </c:pt>
                  <c:pt idx="1098">
                    <c:v>2018-07-27-20:00</c:v>
                  </c:pt>
                  <c:pt idx="1099">
                    <c:v>2018-07-27-21:00</c:v>
                  </c:pt>
                  <c:pt idx="1100">
                    <c:v>2018-07-26-22:00</c:v>
                  </c:pt>
                  <c:pt idx="1101">
                    <c:v>2018-07-26-23:00</c:v>
                  </c:pt>
                  <c:pt idx="1102">
                    <c:v>2018-07-27-00:00</c:v>
                  </c:pt>
                  <c:pt idx="1103">
                    <c:v>2018-07-27-01:00</c:v>
                  </c:pt>
                  <c:pt idx="1104">
                    <c:v>2018-07-27-02:00</c:v>
                  </c:pt>
                  <c:pt idx="1105">
                    <c:v>2018-07-27-03:00</c:v>
                  </c:pt>
                  <c:pt idx="1106">
                    <c:v>2018-07-27-04:00</c:v>
                  </c:pt>
                  <c:pt idx="1107">
                    <c:v>2018-07-27-05:00</c:v>
                  </c:pt>
                  <c:pt idx="1108">
                    <c:v>2018-07-27-06:00</c:v>
                  </c:pt>
                  <c:pt idx="1109">
                    <c:v>2018-07-27-07:00</c:v>
                  </c:pt>
                  <c:pt idx="1110">
                    <c:v>2018-07-27-08:00</c:v>
                  </c:pt>
                  <c:pt idx="1111">
                    <c:v>2018-07-27-09:00</c:v>
                  </c:pt>
                  <c:pt idx="1112">
                    <c:v>2018-07-27-10:00</c:v>
                  </c:pt>
                  <c:pt idx="1113">
                    <c:v>2018-07-27-11:00</c:v>
                  </c:pt>
                  <c:pt idx="1114">
                    <c:v>2018-07-27-12:00</c:v>
                  </c:pt>
                  <c:pt idx="1115">
                    <c:v>2018-07-27-13:00</c:v>
                  </c:pt>
                  <c:pt idx="1116">
                    <c:v>2018-07-27-14:00</c:v>
                  </c:pt>
                  <c:pt idx="1117">
                    <c:v>2018-07-27-15:00</c:v>
                  </c:pt>
                  <c:pt idx="1118">
                    <c:v>2018-07-27-16:00</c:v>
                  </c:pt>
                  <c:pt idx="1119">
                    <c:v>2018-07-27-17:00</c:v>
                  </c:pt>
                  <c:pt idx="1120">
                    <c:v>2018-07-27-18:00</c:v>
                  </c:pt>
                  <c:pt idx="1121">
                    <c:v>2018-07-27-19:00</c:v>
                  </c:pt>
                  <c:pt idx="1122">
                    <c:v>2018-07-27-20:00</c:v>
                  </c:pt>
                  <c:pt idx="1123">
                    <c:v>2018-07-27-21:00</c:v>
                  </c:pt>
                  <c:pt idx="1124">
                    <c:v>2018-07-27-22:00</c:v>
                  </c:pt>
                  <c:pt idx="1125">
                    <c:v>2018-07-26-23:00</c:v>
                  </c:pt>
                  <c:pt idx="1126">
                    <c:v>2018-07-27-00:00</c:v>
                  </c:pt>
                  <c:pt idx="1127">
                    <c:v>2018-07-27-01:00</c:v>
                  </c:pt>
                  <c:pt idx="1128">
                    <c:v>2018-07-27-02:00</c:v>
                  </c:pt>
                  <c:pt idx="1129">
                    <c:v>2018-07-27-03:00</c:v>
                  </c:pt>
                  <c:pt idx="1130">
                    <c:v>2018-07-27-04:00</c:v>
                  </c:pt>
                  <c:pt idx="1131">
                    <c:v>2018-07-27-05:00</c:v>
                  </c:pt>
                  <c:pt idx="1132">
                    <c:v>2018-07-27-06:00</c:v>
                  </c:pt>
                  <c:pt idx="1133">
                    <c:v>2018-07-27-07:00</c:v>
                  </c:pt>
                  <c:pt idx="1134">
                    <c:v>2018-07-27-08:00</c:v>
                  </c:pt>
                  <c:pt idx="1135">
                    <c:v>2018-07-27-09:00</c:v>
                  </c:pt>
                  <c:pt idx="1136">
                    <c:v>2018-07-27-10:00</c:v>
                  </c:pt>
                  <c:pt idx="1137">
                    <c:v>2018-07-27-11:00</c:v>
                  </c:pt>
                  <c:pt idx="1138">
                    <c:v>2018-07-27-12:00</c:v>
                  </c:pt>
                  <c:pt idx="1139">
                    <c:v>2018-07-27-13:00</c:v>
                  </c:pt>
                  <c:pt idx="1140">
                    <c:v>2018-07-27-14:00</c:v>
                  </c:pt>
                  <c:pt idx="1141">
                    <c:v>2018-07-27-15:00</c:v>
                  </c:pt>
                  <c:pt idx="1142">
                    <c:v>2018-07-27-16:00</c:v>
                  </c:pt>
                  <c:pt idx="1143">
                    <c:v>2018-07-27-17:00</c:v>
                  </c:pt>
                  <c:pt idx="1144">
                    <c:v>2018-07-27-18:00</c:v>
                  </c:pt>
                  <c:pt idx="1145">
                    <c:v>2018-07-27-19:00</c:v>
                  </c:pt>
                  <c:pt idx="1146">
                    <c:v>2018-07-27-20:00</c:v>
                  </c:pt>
                  <c:pt idx="1147">
                    <c:v>2018-07-27-21:00</c:v>
                  </c:pt>
                  <c:pt idx="1148">
                    <c:v>2018-07-27-22:00</c:v>
                  </c:pt>
                  <c:pt idx="1149">
                    <c:v>2018-07-27-23:00</c:v>
                  </c:pt>
                  <c:pt idx="1150">
                    <c:v>2018-07-27-00:00</c:v>
                  </c:pt>
                  <c:pt idx="1151">
                    <c:v>2018-07-27-01:00</c:v>
                  </c:pt>
                  <c:pt idx="1152">
                    <c:v>2018-07-27-02:00</c:v>
                  </c:pt>
                  <c:pt idx="1153">
                    <c:v>2018-07-27-03:00</c:v>
                  </c:pt>
                  <c:pt idx="1154">
                    <c:v>2018-07-27-04:00</c:v>
                  </c:pt>
                  <c:pt idx="1155">
                    <c:v>2018-07-27-05:00</c:v>
                  </c:pt>
                  <c:pt idx="1156">
                    <c:v>2018-07-27-06:00</c:v>
                  </c:pt>
                  <c:pt idx="1157">
                    <c:v>2018-07-27-07:00</c:v>
                  </c:pt>
                  <c:pt idx="1158">
                    <c:v>2018-07-27-08:00</c:v>
                  </c:pt>
                  <c:pt idx="1159">
                    <c:v>2018-07-27-09:00</c:v>
                  </c:pt>
                  <c:pt idx="1160">
                    <c:v>2018-07-27-10:00</c:v>
                  </c:pt>
                  <c:pt idx="1161">
                    <c:v>2018-07-27-11:00</c:v>
                  </c:pt>
                  <c:pt idx="1162">
                    <c:v>2018-07-27-12:00</c:v>
                  </c:pt>
                  <c:pt idx="1163">
                    <c:v>2018-07-27-13:00</c:v>
                  </c:pt>
                  <c:pt idx="1164">
                    <c:v>2018-07-27-14:00</c:v>
                  </c:pt>
                  <c:pt idx="1165">
                    <c:v>2018-07-27-15:00</c:v>
                  </c:pt>
                  <c:pt idx="1166">
                    <c:v>2018-07-27-16:00</c:v>
                  </c:pt>
                  <c:pt idx="1167">
                    <c:v>2018-07-27-17:00</c:v>
                  </c:pt>
                  <c:pt idx="1168">
                    <c:v>2018-07-27-18:00</c:v>
                  </c:pt>
                  <c:pt idx="1169">
                    <c:v>2018-07-27-19:00</c:v>
                  </c:pt>
                  <c:pt idx="1170">
                    <c:v>2018-07-27-20:00</c:v>
                  </c:pt>
                  <c:pt idx="1171">
                    <c:v>2018-07-27-21:00</c:v>
                  </c:pt>
                  <c:pt idx="1172">
                    <c:v>2018-07-27-22:00</c:v>
                  </c:pt>
                  <c:pt idx="1173">
                    <c:v>2018-07-27-23:00</c:v>
                  </c:pt>
                  <c:pt idx="1174">
                    <c:v>2018-07-30-00:00</c:v>
                  </c:pt>
                  <c:pt idx="1175">
                    <c:v>2018-07-27-01:00</c:v>
                  </c:pt>
                  <c:pt idx="1176">
                    <c:v>2018-07-27-02:00</c:v>
                  </c:pt>
                  <c:pt idx="1177">
                    <c:v>2018-07-27-03:00</c:v>
                  </c:pt>
                  <c:pt idx="1178">
                    <c:v>2018-07-27-04:00</c:v>
                  </c:pt>
                  <c:pt idx="1179">
                    <c:v>2018-07-27-05:00</c:v>
                  </c:pt>
                  <c:pt idx="1180">
                    <c:v>2018-07-27-06:00</c:v>
                  </c:pt>
                  <c:pt idx="1181">
                    <c:v>2018-07-27-07:00</c:v>
                  </c:pt>
                  <c:pt idx="1182">
                    <c:v>2018-07-27-08:00</c:v>
                  </c:pt>
                  <c:pt idx="1183">
                    <c:v>2018-07-27-09:00</c:v>
                  </c:pt>
                  <c:pt idx="1184">
                    <c:v>2018-07-27-10:00</c:v>
                  </c:pt>
                  <c:pt idx="1185">
                    <c:v>2018-07-27-11:00</c:v>
                  </c:pt>
                  <c:pt idx="1186">
                    <c:v>2018-07-27-12:00</c:v>
                  </c:pt>
                  <c:pt idx="1187">
                    <c:v>2018-07-27-13:00</c:v>
                  </c:pt>
                  <c:pt idx="1188">
                    <c:v>2018-07-27-14:00</c:v>
                  </c:pt>
                  <c:pt idx="1189">
                    <c:v>2018-07-27-15:00</c:v>
                  </c:pt>
                  <c:pt idx="1190">
                    <c:v>2018-07-27-16:00</c:v>
                  </c:pt>
                  <c:pt idx="1191">
                    <c:v>2018-07-27-17:00</c:v>
                  </c:pt>
                  <c:pt idx="1192">
                    <c:v>2018-07-27-18:00</c:v>
                  </c:pt>
                  <c:pt idx="1193">
                    <c:v>2018-07-27-19:00</c:v>
                  </c:pt>
                  <c:pt idx="1194">
                    <c:v>2018-07-27-20:00</c:v>
                  </c:pt>
                  <c:pt idx="1195">
                    <c:v>2018-07-27-21:00</c:v>
                  </c:pt>
                  <c:pt idx="1196">
                    <c:v>2018-07-27-22:00</c:v>
                  </c:pt>
                  <c:pt idx="1197">
                    <c:v>2018-07-27-23:00</c:v>
                  </c:pt>
                  <c:pt idx="1198">
                    <c:v>2018-07-30-00:00</c:v>
                  </c:pt>
                  <c:pt idx="1199">
                    <c:v>2018-07-30-01:00</c:v>
                  </c:pt>
                  <c:pt idx="1200">
                    <c:v>2018-07-27-02:00</c:v>
                  </c:pt>
                  <c:pt idx="1201">
                    <c:v>2018-07-27-03:00</c:v>
                  </c:pt>
                  <c:pt idx="1202">
                    <c:v>2018-07-27-04:00</c:v>
                  </c:pt>
                  <c:pt idx="1203">
                    <c:v>2018-07-27-05:00</c:v>
                  </c:pt>
                  <c:pt idx="1204">
                    <c:v>2018-07-27-06:00</c:v>
                  </c:pt>
                  <c:pt idx="1205">
                    <c:v>2018-07-27-07:00</c:v>
                  </c:pt>
                  <c:pt idx="1206">
                    <c:v>2018-07-27-08:00</c:v>
                  </c:pt>
                  <c:pt idx="1207">
                    <c:v>2018-07-27-09:00</c:v>
                  </c:pt>
                  <c:pt idx="1208">
                    <c:v>2018-07-27-10:00</c:v>
                  </c:pt>
                  <c:pt idx="1209">
                    <c:v>2018-07-27-11:00</c:v>
                  </c:pt>
                  <c:pt idx="1210">
                    <c:v>2018-07-27-12:00</c:v>
                  </c:pt>
                  <c:pt idx="1211">
                    <c:v>2018-07-27-13:00</c:v>
                  </c:pt>
                  <c:pt idx="1212">
                    <c:v>2018-07-27-14:00</c:v>
                  </c:pt>
                  <c:pt idx="1213">
                    <c:v>2018-07-27-15:00</c:v>
                  </c:pt>
                  <c:pt idx="1214">
                    <c:v>2018-07-27-16:00</c:v>
                  </c:pt>
                  <c:pt idx="1215">
                    <c:v>2018-07-27-17:00</c:v>
                  </c:pt>
                  <c:pt idx="1216">
                    <c:v>2018-07-27-18:00</c:v>
                  </c:pt>
                  <c:pt idx="1217">
                    <c:v>2018-07-27-19:00</c:v>
                  </c:pt>
                  <c:pt idx="1218">
                    <c:v>2018-07-27-20:00</c:v>
                  </c:pt>
                  <c:pt idx="1219">
                    <c:v>2018-07-27-21:00</c:v>
                  </c:pt>
                  <c:pt idx="1220">
                    <c:v>2018-07-27-22:00</c:v>
                  </c:pt>
                  <c:pt idx="1221">
                    <c:v>2018-07-27-23:00</c:v>
                  </c:pt>
                  <c:pt idx="1222">
                    <c:v>2018-07-30-00:00</c:v>
                  </c:pt>
                  <c:pt idx="1223">
                    <c:v>2018-07-30-01:00</c:v>
                  </c:pt>
                  <c:pt idx="1224">
                    <c:v>2018-07-30-02:00</c:v>
                  </c:pt>
                  <c:pt idx="1225">
                    <c:v>2018-07-27-03:00</c:v>
                  </c:pt>
                  <c:pt idx="1226">
                    <c:v>2018-07-27-04:00</c:v>
                  </c:pt>
                  <c:pt idx="1227">
                    <c:v>2018-07-27-05:00</c:v>
                  </c:pt>
                  <c:pt idx="1228">
                    <c:v>2018-07-27-06:00</c:v>
                  </c:pt>
                  <c:pt idx="1229">
                    <c:v>2018-07-27-07:00</c:v>
                  </c:pt>
                  <c:pt idx="1230">
                    <c:v>2018-07-27-08:00</c:v>
                  </c:pt>
                  <c:pt idx="1231">
                    <c:v>2018-07-27-09:00</c:v>
                  </c:pt>
                  <c:pt idx="1232">
                    <c:v>2018-07-27-10:00</c:v>
                  </c:pt>
                  <c:pt idx="1233">
                    <c:v>2018-07-27-11:00</c:v>
                  </c:pt>
                  <c:pt idx="1234">
                    <c:v>2018-07-27-12:00</c:v>
                  </c:pt>
                  <c:pt idx="1235">
                    <c:v>2018-07-27-13:00</c:v>
                  </c:pt>
                  <c:pt idx="1236">
                    <c:v>2018-07-27-14:00</c:v>
                  </c:pt>
                  <c:pt idx="1237">
                    <c:v>2018-07-27-15:00</c:v>
                  </c:pt>
                  <c:pt idx="1238">
                    <c:v>2018-07-27-16:00</c:v>
                  </c:pt>
                  <c:pt idx="1239">
                    <c:v>2018-07-27-17:00</c:v>
                  </c:pt>
                  <c:pt idx="1240">
                    <c:v>2018-07-27-18:00</c:v>
                  </c:pt>
                  <c:pt idx="1241">
                    <c:v>2018-07-27-19:00</c:v>
                  </c:pt>
                  <c:pt idx="1242">
                    <c:v>2018-07-27-20:00</c:v>
                  </c:pt>
                  <c:pt idx="1243">
                    <c:v>2018-07-27-21:00</c:v>
                  </c:pt>
                  <c:pt idx="1244">
                    <c:v>2018-07-27-22:00</c:v>
                  </c:pt>
                  <c:pt idx="1245">
                    <c:v>2018-07-27-23:00</c:v>
                  </c:pt>
                  <c:pt idx="1246">
                    <c:v>2018-07-30-00:00</c:v>
                  </c:pt>
                  <c:pt idx="1247">
                    <c:v>2018-07-30-01:00</c:v>
                  </c:pt>
                  <c:pt idx="1248">
                    <c:v>2018-07-30-02:00</c:v>
                  </c:pt>
                  <c:pt idx="1249">
                    <c:v>2018-07-30-03:00</c:v>
                  </c:pt>
                  <c:pt idx="1250">
                    <c:v>2018-07-27-04:00</c:v>
                  </c:pt>
                  <c:pt idx="1251">
                    <c:v>2018-07-27-05:00</c:v>
                  </c:pt>
                  <c:pt idx="1252">
                    <c:v>2018-07-27-06:00</c:v>
                  </c:pt>
                  <c:pt idx="1253">
                    <c:v>2018-07-27-07:00</c:v>
                  </c:pt>
                  <c:pt idx="1254">
                    <c:v>2018-07-27-08:00</c:v>
                  </c:pt>
                  <c:pt idx="1255">
                    <c:v>2018-07-27-09:00</c:v>
                  </c:pt>
                  <c:pt idx="1256">
                    <c:v>2018-07-27-10:00</c:v>
                  </c:pt>
                  <c:pt idx="1257">
                    <c:v>2018-07-27-11:00</c:v>
                  </c:pt>
                  <c:pt idx="1258">
                    <c:v>2018-07-27-12:00</c:v>
                  </c:pt>
                  <c:pt idx="1259">
                    <c:v>2018-07-27-13:00</c:v>
                  </c:pt>
                  <c:pt idx="1260">
                    <c:v>2018-07-27-14:00</c:v>
                  </c:pt>
                  <c:pt idx="1261">
                    <c:v>2018-07-27-15:00</c:v>
                  </c:pt>
                  <c:pt idx="1262">
                    <c:v>2018-07-27-16:00</c:v>
                  </c:pt>
                  <c:pt idx="1263">
                    <c:v>2018-07-27-17:00</c:v>
                  </c:pt>
                  <c:pt idx="1264">
                    <c:v>2018-07-27-18:00</c:v>
                  </c:pt>
                  <c:pt idx="1265">
                    <c:v>2018-07-27-19:00</c:v>
                  </c:pt>
                  <c:pt idx="1266">
                    <c:v>2018-07-27-20:00</c:v>
                  </c:pt>
                  <c:pt idx="1267">
                    <c:v>2018-07-27-21:00</c:v>
                  </c:pt>
                  <c:pt idx="1268">
                    <c:v>2018-07-27-22:00</c:v>
                  </c:pt>
                  <c:pt idx="1269">
                    <c:v>2018-07-27-23:00</c:v>
                  </c:pt>
                  <c:pt idx="1270">
                    <c:v>2018-07-30-00:00</c:v>
                  </c:pt>
                  <c:pt idx="1271">
                    <c:v>2018-07-30-01:00</c:v>
                  </c:pt>
                  <c:pt idx="1272">
                    <c:v>2018-07-30-02:00</c:v>
                  </c:pt>
                  <c:pt idx="1273">
                    <c:v>2018-07-30-03:00</c:v>
                  </c:pt>
                  <c:pt idx="1274">
                    <c:v>2018-07-30-04:00</c:v>
                  </c:pt>
                  <c:pt idx="1275">
                    <c:v>2018-07-27-05:00</c:v>
                  </c:pt>
                  <c:pt idx="1276">
                    <c:v>2018-07-27-06:00</c:v>
                  </c:pt>
                  <c:pt idx="1277">
                    <c:v>2018-07-27-07:00</c:v>
                  </c:pt>
                  <c:pt idx="1278">
                    <c:v>2018-07-27-08:00</c:v>
                  </c:pt>
                  <c:pt idx="1279">
                    <c:v>2018-07-27-09:00</c:v>
                  </c:pt>
                  <c:pt idx="1280">
                    <c:v>2018-07-27-10:00</c:v>
                  </c:pt>
                  <c:pt idx="1281">
                    <c:v>2018-07-27-11:00</c:v>
                  </c:pt>
                  <c:pt idx="1282">
                    <c:v>2018-07-27-12:00</c:v>
                  </c:pt>
                  <c:pt idx="1283">
                    <c:v>2018-07-27-13:00</c:v>
                  </c:pt>
                  <c:pt idx="1284">
                    <c:v>2018-07-27-14:00</c:v>
                  </c:pt>
                  <c:pt idx="1285">
                    <c:v>2018-07-27-15:00</c:v>
                  </c:pt>
                  <c:pt idx="1286">
                    <c:v>2018-07-27-16:00</c:v>
                  </c:pt>
                  <c:pt idx="1287">
                    <c:v>2018-07-27-17:00</c:v>
                  </c:pt>
                  <c:pt idx="1288">
                    <c:v>2018-07-27-18:00</c:v>
                  </c:pt>
                  <c:pt idx="1289">
                    <c:v>2018-07-27-19:00</c:v>
                  </c:pt>
                  <c:pt idx="1290">
                    <c:v>2018-07-27-20:00</c:v>
                  </c:pt>
                  <c:pt idx="1291">
                    <c:v>2018-07-27-21:00</c:v>
                  </c:pt>
                  <c:pt idx="1292">
                    <c:v>2018-07-27-22:00</c:v>
                  </c:pt>
                  <c:pt idx="1293">
                    <c:v>2018-07-27-23:00</c:v>
                  </c:pt>
                  <c:pt idx="1294">
                    <c:v>2018-07-30-00:00</c:v>
                  </c:pt>
                  <c:pt idx="1295">
                    <c:v>2018-07-30-01:00</c:v>
                  </c:pt>
                  <c:pt idx="1296">
                    <c:v>2018-07-30-02:00</c:v>
                  </c:pt>
                  <c:pt idx="1297">
                    <c:v>2018-07-30-03:00</c:v>
                  </c:pt>
                  <c:pt idx="1298">
                    <c:v>2018-07-30-04:00</c:v>
                  </c:pt>
                  <c:pt idx="1299">
                    <c:v>2018-07-30-05:00</c:v>
                  </c:pt>
                  <c:pt idx="1300">
                    <c:v>2018-07-27-06:00</c:v>
                  </c:pt>
                  <c:pt idx="1301">
                    <c:v>2018-07-27-07:00</c:v>
                  </c:pt>
                  <c:pt idx="1302">
                    <c:v>2018-07-27-08:00</c:v>
                  </c:pt>
                  <c:pt idx="1303">
                    <c:v>2018-07-27-09:00</c:v>
                  </c:pt>
                  <c:pt idx="1304">
                    <c:v>2018-07-27-10:00</c:v>
                  </c:pt>
                  <c:pt idx="1305">
                    <c:v>2018-07-27-11:00</c:v>
                  </c:pt>
                  <c:pt idx="1306">
                    <c:v>2018-07-27-12:00</c:v>
                  </c:pt>
                  <c:pt idx="1307">
                    <c:v>2018-07-27-13:00</c:v>
                  </c:pt>
                  <c:pt idx="1308">
                    <c:v>2018-07-27-14:00</c:v>
                  </c:pt>
                  <c:pt idx="1309">
                    <c:v>2018-07-27-15:00</c:v>
                  </c:pt>
                  <c:pt idx="1310">
                    <c:v>2018-07-27-16:00</c:v>
                  </c:pt>
                  <c:pt idx="1311">
                    <c:v>2018-07-27-17:00</c:v>
                  </c:pt>
                  <c:pt idx="1312">
                    <c:v>2018-07-27-18:00</c:v>
                  </c:pt>
                  <c:pt idx="1313">
                    <c:v>2018-07-27-19:00</c:v>
                  </c:pt>
                  <c:pt idx="1314">
                    <c:v>2018-07-27-20:00</c:v>
                  </c:pt>
                  <c:pt idx="1315">
                    <c:v>2018-07-27-21:00</c:v>
                  </c:pt>
                  <c:pt idx="1316">
                    <c:v>2018-07-27-22:00</c:v>
                  </c:pt>
                  <c:pt idx="1317">
                    <c:v>2018-07-27-23:00</c:v>
                  </c:pt>
                  <c:pt idx="1318">
                    <c:v>2018-07-30-00:00</c:v>
                  </c:pt>
                  <c:pt idx="1319">
                    <c:v>2018-07-30-01:00</c:v>
                  </c:pt>
                  <c:pt idx="1320">
                    <c:v>2018-07-30-02:00</c:v>
                  </c:pt>
                  <c:pt idx="1321">
                    <c:v>2018-07-30-03:00</c:v>
                  </c:pt>
                  <c:pt idx="1322">
                    <c:v>2018-07-30-04:00</c:v>
                  </c:pt>
                  <c:pt idx="1323">
                    <c:v>2018-07-30-05:00</c:v>
                  </c:pt>
                  <c:pt idx="1324">
                    <c:v>2018-07-30-06:00</c:v>
                  </c:pt>
                  <c:pt idx="1325">
                    <c:v>2018-07-27-07:00</c:v>
                  </c:pt>
                  <c:pt idx="1326">
                    <c:v>2018-07-27-08:00</c:v>
                  </c:pt>
                  <c:pt idx="1327">
                    <c:v>2018-07-27-09:00</c:v>
                  </c:pt>
                  <c:pt idx="1328">
                    <c:v>2018-07-27-10:00</c:v>
                  </c:pt>
                  <c:pt idx="1329">
                    <c:v>2018-07-27-11:00</c:v>
                  </c:pt>
                  <c:pt idx="1330">
                    <c:v>2018-07-27-12:00</c:v>
                  </c:pt>
                  <c:pt idx="1331">
                    <c:v>2018-07-27-13:00</c:v>
                  </c:pt>
                  <c:pt idx="1332">
                    <c:v>2018-07-27-14:00</c:v>
                  </c:pt>
                  <c:pt idx="1333">
                    <c:v>2018-07-27-15:00</c:v>
                  </c:pt>
                  <c:pt idx="1334">
                    <c:v>2018-07-27-16:00</c:v>
                  </c:pt>
                  <c:pt idx="1335">
                    <c:v>2018-07-27-17:00</c:v>
                  </c:pt>
                  <c:pt idx="1336">
                    <c:v>2018-07-27-18:00</c:v>
                  </c:pt>
                  <c:pt idx="1337">
                    <c:v>2018-07-27-19:00</c:v>
                  </c:pt>
                  <c:pt idx="1338">
                    <c:v>2018-07-27-20:00</c:v>
                  </c:pt>
                  <c:pt idx="1339">
                    <c:v>2018-07-27-21:00</c:v>
                  </c:pt>
                  <c:pt idx="1340">
                    <c:v>2018-07-27-22:00</c:v>
                  </c:pt>
                  <c:pt idx="1341">
                    <c:v>2018-07-27-23:00</c:v>
                  </c:pt>
                  <c:pt idx="1342">
                    <c:v>2018-07-30-00:00</c:v>
                  </c:pt>
                  <c:pt idx="1343">
                    <c:v>2018-07-30-01:00</c:v>
                  </c:pt>
                  <c:pt idx="1344">
                    <c:v>2018-07-30-02:00</c:v>
                  </c:pt>
                  <c:pt idx="1345">
                    <c:v>2018-07-30-03:00</c:v>
                  </c:pt>
                  <c:pt idx="1346">
                    <c:v>2018-07-30-04:00</c:v>
                  </c:pt>
                  <c:pt idx="1347">
                    <c:v>2018-07-30-05:00</c:v>
                  </c:pt>
                  <c:pt idx="1348">
                    <c:v>2018-07-30-06:00</c:v>
                  </c:pt>
                  <c:pt idx="1349">
                    <c:v>2018-07-30-07:00</c:v>
                  </c:pt>
                  <c:pt idx="1350">
                    <c:v>2018-07-27-08:00</c:v>
                  </c:pt>
                  <c:pt idx="1351">
                    <c:v>2018-07-27-09:00</c:v>
                  </c:pt>
                  <c:pt idx="1352">
                    <c:v>2018-07-27-10:00</c:v>
                  </c:pt>
                  <c:pt idx="1353">
                    <c:v>2018-07-27-11:00</c:v>
                  </c:pt>
                  <c:pt idx="1354">
                    <c:v>2018-07-27-12:00</c:v>
                  </c:pt>
                  <c:pt idx="1355">
                    <c:v>2018-07-27-13:00</c:v>
                  </c:pt>
                  <c:pt idx="1356">
                    <c:v>2018-07-27-14:00</c:v>
                  </c:pt>
                  <c:pt idx="1357">
                    <c:v>2018-07-27-15:00</c:v>
                  </c:pt>
                  <c:pt idx="1358">
                    <c:v>2018-07-27-16:00</c:v>
                  </c:pt>
                  <c:pt idx="1359">
                    <c:v>2018-07-27-17:00</c:v>
                  </c:pt>
                  <c:pt idx="1360">
                    <c:v>2018-07-27-18:00</c:v>
                  </c:pt>
                  <c:pt idx="1361">
                    <c:v>2018-07-27-19:00</c:v>
                  </c:pt>
                  <c:pt idx="1362">
                    <c:v>2018-07-27-20:00</c:v>
                  </c:pt>
                  <c:pt idx="1363">
                    <c:v>2018-07-27-21:00</c:v>
                  </c:pt>
                  <c:pt idx="1364">
                    <c:v>2018-07-27-22:00</c:v>
                  </c:pt>
                  <c:pt idx="1365">
                    <c:v>2018-07-27-23:00</c:v>
                  </c:pt>
                  <c:pt idx="1366">
                    <c:v>2018-07-30-00:00</c:v>
                  </c:pt>
                  <c:pt idx="1367">
                    <c:v>2018-07-30-01:00</c:v>
                  </c:pt>
                  <c:pt idx="1368">
                    <c:v>2018-07-30-02:00</c:v>
                  </c:pt>
                  <c:pt idx="1369">
                    <c:v>2018-07-30-03:00</c:v>
                  </c:pt>
                  <c:pt idx="1370">
                    <c:v>2018-07-30-04:00</c:v>
                  </c:pt>
                  <c:pt idx="1371">
                    <c:v>2018-07-30-05:00</c:v>
                  </c:pt>
                  <c:pt idx="1372">
                    <c:v>2018-07-30-06:00</c:v>
                  </c:pt>
                  <c:pt idx="1373">
                    <c:v>2018-07-30-07:00</c:v>
                  </c:pt>
                  <c:pt idx="1374">
                    <c:v>2018-07-30-08:00</c:v>
                  </c:pt>
                  <c:pt idx="1375">
                    <c:v>2018-07-27-09:00</c:v>
                  </c:pt>
                  <c:pt idx="1376">
                    <c:v>2018-07-27-10:00</c:v>
                  </c:pt>
                  <c:pt idx="1377">
                    <c:v>2018-07-27-11:00</c:v>
                  </c:pt>
                  <c:pt idx="1378">
                    <c:v>2018-07-27-12:00</c:v>
                  </c:pt>
                  <c:pt idx="1379">
                    <c:v>2018-07-27-13:00</c:v>
                  </c:pt>
                  <c:pt idx="1380">
                    <c:v>2018-07-27-14:00</c:v>
                  </c:pt>
                  <c:pt idx="1381">
                    <c:v>2018-07-27-15:00</c:v>
                  </c:pt>
                  <c:pt idx="1382">
                    <c:v>2018-07-27-16:00</c:v>
                  </c:pt>
                  <c:pt idx="1383">
                    <c:v>2018-07-27-17:00</c:v>
                  </c:pt>
                  <c:pt idx="1384">
                    <c:v>2018-07-27-18:00</c:v>
                  </c:pt>
                  <c:pt idx="1385">
                    <c:v>2018-07-27-19:00</c:v>
                  </c:pt>
                  <c:pt idx="1386">
                    <c:v>2018-07-27-20:00</c:v>
                  </c:pt>
                  <c:pt idx="1387">
                    <c:v>2018-07-27-21:00</c:v>
                  </c:pt>
                  <c:pt idx="1388">
                    <c:v>2018-07-27-22:00</c:v>
                  </c:pt>
                  <c:pt idx="1389">
                    <c:v>2018-07-27-23:00</c:v>
                  </c:pt>
                  <c:pt idx="1390">
                    <c:v>2018-07-30-00:00</c:v>
                  </c:pt>
                  <c:pt idx="1391">
                    <c:v>2018-07-30-01:00</c:v>
                  </c:pt>
                  <c:pt idx="1392">
                    <c:v>2018-07-30-02:00</c:v>
                  </c:pt>
                  <c:pt idx="1393">
                    <c:v>2018-07-30-03:00</c:v>
                  </c:pt>
                  <c:pt idx="1394">
                    <c:v>2018-07-30-04:00</c:v>
                  </c:pt>
                  <c:pt idx="1395">
                    <c:v>2018-07-30-05:00</c:v>
                  </c:pt>
                  <c:pt idx="1396">
                    <c:v>2018-07-30-06:00</c:v>
                  </c:pt>
                  <c:pt idx="1397">
                    <c:v>2018-07-30-07:00</c:v>
                  </c:pt>
                  <c:pt idx="1398">
                    <c:v>2018-07-30-08:00</c:v>
                  </c:pt>
                  <c:pt idx="1399">
                    <c:v>2018-07-30-09:00</c:v>
                  </c:pt>
                  <c:pt idx="1400">
                    <c:v>2018-07-27-10:00</c:v>
                  </c:pt>
                  <c:pt idx="1401">
                    <c:v>2018-07-27-11:00</c:v>
                  </c:pt>
                  <c:pt idx="1402">
                    <c:v>2018-07-27-12:00</c:v>
                  </c:pt>
                  <c:pt idx="1403">
                    <c:v>2018-07-27-13:00</c:v>
                  </c:pt>
                  <c:pt idx="1404">
                    <c:v>2018-07-27-14:00</c:v>
                  </c:pt>
                  <c:pt idx="1405">
                    <c:v>2018-07-27-15:00</c:v>
                  </c:pt>
                  <c:pt idx="1406">
                    <c:v>2018-07-27-16:00</c:v>
                  </c:pt>
                  <c:pt idx="1407">
                    <c:v>2018-07-27-17:00</c:v>
                  </c:pt>
                  <c:pt idx="1408">
                    <c:v>2018-07-27-18:00</c:v>
                  </c:pt>
                  <c:pt idx="1409">
                    <c:v>2018-07-27-19:00</c:v>
                  </c:pt>
                  <c:pt idx="1410">
                    <c:v>2018-07-27-20:00</c:v>
                  </c:pt>
                  <c:pt idx="1411">
                    <c:v>2018-07-27-21:00</c:v>
                  </c:pt>
                  <c:pt idx="1412">
                    <c:v>2018-07-27-22:00</c:v>
                  </c:pt>
                  <c:pt idx="1413">
                    <c:v>2018-07-27-23:00</c:v>
                  </c:pt>
                  <c:pt idx="1414">
                    <c:v>2018-07-30-00:00</c:v>
                  </c:pt>
                  <c:pt idx="1415">
                    <c:v>2018-07-30-01:00</c:v>
                  </c:pt>
                  <c:pt idx="1416">
                    <c:v>2018-07-30-02:00</c:v>
                  </c:pt>
                  <c:pt idx="1417">
                    <c:v>2018-07-30-03:00</c:v>
                  </c:pt>
                  <c:pt idx="1418">
                    <c:v>2018-07-30-04:00</c:v>
                  </c:pt>
                  <c:pt idx="1419">
                    <c:v>2018-07-30-05:00</c:v>
                  </c:pt>
                  <c:pt idx="1420">
                    <c:v>2018-07-30-06:00</c:v>
                  </c:pt>
                  <c:pt idx="1421">
                    <c:v>2018-07-30-07:00</c:v>
                  </c:pt>
                  <c:pt idx="1422">
                    <c:v>2018-07-30-08:00</c:v>
                  </c:pt>
                  <c:pt idx="1423">
                    <c:v>2018-07-30-09:00</c:v>
                  </c:pt>
                  <c:pt idx="1424">
                    <c:v>2018-07-30-10:00</c:v>
                  </c:pt>
                  <c:pt idx="1425">
                    <c:v>2018-07-27-11:00</c:v>
                  </c:pt>
                  <c:pt idx="1426">
                    <c:v>2018-07-27-12:00</c:v>
                  </c:pt>
                  <c:pt idx="1427">
                    <c:v>2018-07-27-13:00</c:v>
                  </c:pt>
                  <c:pt idx="1428">
                    <c:v>2018-07-27-14:00</c:v>
                  </c:pt>
                  <c:pt idx="1429">
                    <c:v>2018-07-27-15:00</c:v>
                  </c:pt>
                  <c:pt idx="1430">
                    <c:v>2018-07-27-16:00</c:v>
                  </c:pt>
                  <c:pt idx="1431">
                    <c:v>2018-07-27-17:00</c:v>
                  </c:pt>
                  <c:pt idx="1432">
                    <c:v>2018-07-27-18:00</c:v>
                  </c:pt>
                  <c:pt idx="1433">
                    <c:v>2018-07-27-19:00</c:v>
                  </c:pt>
                  <c:pt idx="1434">
                    <c:v>2018-07-27-20:00</c:v>
                  </c:pt>
                  <c:pt idx="1435">
                    <c:v>2018-07-27-21:00</c:v>
                  </c:pt>
                  <c:pt idx="1436">
                    <c:v>2018-07-27-22:00</c:v>
                  </c:pt>
                  <c:pt idx="1437">
                    <c:v>2018-07-27-23:00</c:v>
                  </c:pt>
                  <c:pt idx="1438">
                    <c:v>2018-07-30-00:00</c:v>
                  </c:pt>
                  <c:pt idx="1439">
                    <c:v>2018-07-30-01:00</c:v>
                  </c:pt>
                  <c:pt idx="1440">
                    <c:v>2018-07-30-02:00</c:v>
                  </c:pt>
                  <c:pt idx="1441">
                    <c:v>2018-07-30-03:00</c:v>
                  </c:pt>
                  <c:pt idx="1442">
                    <c:v>2018-07-30-04:00</c:v>
                  </c:pt>
                  <c:pt idx="1443">
                    <c:v>2018-07-30-05:00</c:v>
                  </c:pt>
                  <c:pt idx="1444">
                    <c:v>2018-07-30-06:00</c:v>
                  </c:pt>
                  <c:pt idx="1445">
                    <c:v>2018-07-30-07:00</c:v>
                  </c:pt>
                  <c:pt idx="1446">
                    <c:v>2018-07-30-08:00</c:v>
                  </c:pt>
                  <c:pt idx="1447">
                    <c:v>2018-07-30-09:00</c:v>
                  </c:pt>
                  <c:pt idx="1448">
                    <c:v>2018-07-30-10:00</c:v>
                  </c:pt>
                  <c:pt idx="1449">
                    <c:v>2018-07-30-11:00</c:v>
                  </c:pt>
                  <c:pt idx="1450">
                    <c:v>2018-07-27-12:00</c:v>
                  </c:pt>
                  <c:pt idx="1451">
                    <c:v>2018-07-27-13:00</c:v>
                  </c:pt>
                  <c:pt idx="1452">
                    <c:v>2018-07-27-14:00</c:v>
                  </c:pt>
                  <c:pt idx="1453">
                    <c:v>2018-07-27-15:00</c:v>
                  </c:pt>
                  <c:pt idx="1454">
                    <c:v>2018-07-27-16:00</c:v>
                  </c:pt>
                  <c:pt idx="1455">
                    <c:v>2018-07-27-17:00</c:v>
                  </c:pt>
                  <c:pt idx="1456">
                    <c:v>2018-07-27-18:00</c:v>
                  </c:pt>
                  <c:pt idx="1457">
                    <c:v>2018-07-27-19:00</c:v>
                  </c:pt>
                  <c:pt idx="1458">
                    <c:v>2018-07-27-20:00</c:v>
                  </c:pt>
                  <c:pt idx="1459">
                    <c:v>2018-07-27-21:00</c:v>
                  </c:pt>
                  <c:pt idx="1460">
                    <c:v>2018-07-27-22:00</c:v>
                  </c:pt>
                  <c:pt idx="1461">
                    <c:v>2018-07-27-23:00</c:v>
                  </c:pt>
                  <c:pt idx="1462">
                    <c:v>2018-07-30-00:00</c:v>
                  </c:pt>
                  <c:pt idx="1463">
                    <c:v>2018-07-30-01:00</c:v>
                  </c:pt>
                  <c:pt idx="1464">
                    <c:v>2018-07-30-02:00</c:v>
                  </c:pt>
                  <c:pt idx="1465">
                    <c:v>2018-07-30-03:00</c:v>
                  </c:pt>
                  <c:pt idx="1466">
                    <c:v>2018-07-30-04:00</c:v>
                  </c:pt>
                  <c:pt idx="1467">
                    <c:v>2018-07-30-05:00</c:v>
                  </c:pt>
                  <c:pt idx="1468">
                    <c:v>2018-07-30-06:00</c:v>
                  </c:pt>
                  <c:pt idx="1469">
                    <c:v>2018-07-30-07:00</c:v>
                  </c:pt>
                  <c:pt idx="1470">
                    <c:v>2018-07-30-08:00</c:v>
                  </c:pt>
                  <c:pt idx="1471">
                    <c:v>2018-07-30-09:00</c:v>
                  </c:pt>
                  <c:pt idx="1472">
                    <c:v>2018-07-30-10:00</c:v>
                  </c:pt>
                  <c:pt idx="1473">
                    <c:v>2018-07-30-11:00</c:v>
                  </c:pt>
                  <c:pt idx="1474">
                    <c:v>2018-07-30-12:00</c:v>
                  </c:pt>
                  <c:pt idx="1475">
                    <c:v>2018-07-27-13:00</c:v>
                  </c:pt>
                  <c:pt idx="1476">
                    <c:v>2018-07-27-14:00</c:v>
                  </c:pt>
                  <c:pt idx="1477">
                    <c:v>2018-07-27-15:00</c:v>
                  </c:pt>
                  <c:pt idx="1478">
                    <c:v>2018-07-27-16:00</c:v>
                  </c:pt>
                  <c:pt idx="1479">
                    <c:v>2018-07-27-17:00</c:v>
                  </c:pt>
                  <c:pt idx="1480">
                    <c:v>2018-07-27-18:00</c:v>
                  </c:pt>
                  <c:pt idx="1481">
                    <c:v>2018-07-27-19:00</c:v>
                  </c:pt>
                  <c:pt idx="1482">
                    <c:v>2018-07-27-20:00</c:v>
                  </c:pt>
                  <c:pt idx="1483">
                    <c:v>2018-07-27-21:00</c:v>
                  </c:pt>
                  <c:pt idx="1484">
                    <c:v>2018-07-27-22:00</c:v>
                  </c:pt>
                  <c:pt idx="1485">
                    <c:v>2018-07-27-23:00</c:v>
                  </c:pt>
                  <c:pt idx="1486">
                    <c:v>2018-07-30-00:00</c:v>
                  </c:pt>
                  <c:pt idx="1487">
                    <c:v>2018-07-30-01:00</c:v>
                  </c:pt>
                  <c:pt idx="1488">
                    <c:v>2018-07-30-02:00</c:v>
                  </c:pt>
                  <c:pt idx="1489">
                    <c:v>2018-07-30-03:00</c:v>
                  </c:pt>
                  <c:pt idx="1490">
                    <c:v>2018-07-30-04:00</c:v>
                  </c:pt>
                  <c:pt idx="1491">
                    <c:v>2018-07-30-05:00</c:v>
                  </c:pt>
                  <c:pt idx="1492">
                    <c:v>2018-07-30-06:00</c:v>
                  </c:pt>
                  <c:pt idx="1493">
                    <c:v>2018-07-30-07:00</c:v>
                  </c:pt>
                  <c:pt idx="1494">
                    <c:v>2018-07-30-08:00</c:v>
                  </c:pt>
                  <c:pt idx="1495">
                    <c:v>2018-07-30-09:00</c:v>
                  </c:pt>
                  <c:pt idx="1496">
                    <c:v>2018-07-30-10:00</c:v>
                  </c:pt>
                  <c:pt idx="1497">
                    <c:v>2018-07-30-11:00</c:v>
                  </c:pt>
                  <c:pt idx="1498">
                    <c:v>2018-07-30-12:00</c:v>
                  </c:pt>
                  <c:pt idx="1499">
                    <c:v>2018-07-30-13:00</c:v>
                  </c:pt>
                  <c:pt idx="1500">
                    <c:v>2018-07-27-14:00</c:v>
                  </c:pt>
                  <c:pt idx="1501">
                    <c:v>2018-07-27-15:00</c:v>
                  </c:pt>
                  <c:pt idx="1502">
                    <c:v>2018-07-27-16:00</c:v>
                  </c:pt>
                  <c:pt idx="1503">
                    <c:v>2018-07-27-17:00</c:v>
                  </c:pt>
                  <c:pt idx="1504">
                    <c:v>2018-07-27-18:00</c:v>
                  </c:pt>
                  <c:pt idx="1505">
                    <c:v>2018-07-27-19:00</c:v>
                  </c:pt>
                  <c:pt idx="1506">
                    <c:v>2018-07-27-20:00</c:v>
                  </c:pt>
                  <c:pt idx="1507">
                    <c:v>2018-07-27-21:00</c:v>
                  </c:pt>
                  <c:pt idx="1508">
                    <c:v>2018-07-27-22:00</c:v>
                  </c:pt>
                  <c:pt idx="1509">
                    <c:v>2018-07-27-23:00</c:v>
                  </c:pt>
                  <c:pt idx="1510">
                    <c:v>2018-07-30-00:00</c:v>
                  </c:pt>
                  <c:pt idx="1511">
                    <c:v>2018-07-30-01:00</c:v>
                  </c:pt>
                  <c:pt idx="1512">
                    <c:v>2018-07-30-02:00</c:v>
                  </c:pt>
                  <c:pt idx="1513">
                    <c:v>2018-07-30-03:00</c:v>
                  </c:pt>
                  <c:pt idx="1514">
                    <c:v>2018-07-30-04:00</c:v>
                  </c:pt>
                  <c:pt idx="1515">
                    <c:v>2018-07-30-05:00</c:v>
                  </c:pt>
                  <c:pt idx="1516">
                    <c:v>2018-07-30-06:00</c:v>
                  </c:pt>
                  <c:pt idx="1517">
                    <c:v>2018-07-30-07:00</c:v>
                  </c:pt>
                  <c:pt idx="1518">
                    <c:v>2018-07-30-08:00</c:v>
                  </c:pt>
                  <c:pt idx="1519">
                    <c:v>2018-07-30-09:00</c:v>
                  </c:pt>
                  <c:pt idx="1520">
                    <c:v>2018-07-30-10:00</c:v>
                  </c:pt>
                  <c:pt idx="1521">
                    <c:v>2018-07-30-11:00</c:v>
                  </c:pt>
                  <c:pt idx="1522">
                    <c:v>2018-07-30-12:00</c:v>
                  </c:pt>
                  <c:pt idx="1523">
                    <c:v>2018-07-30-13:00</c:v>
                  </c:pt>
                  <c:pt idx="1524">
                    <c:v>2018-07-30-14:00</c:v>
                  </c:pt>
                  <c:pt idx="1525">
                    <c:v>2018-07-27-15:00</c:v>
                  </c:pt>
                  <c:pt idx="1526">
                    <c:v>2018-07-27-16:00</c:v>
                  </c:pt>
                  <c:pt idx="1527">
                    <c:v>2018-07-27-17:00</c:v>
                  </c:pt>
                  <c:pt idx="1528">
                    <c:v>2018-07-27-18:00</c:v>
                  </c:pt>
                  <c:pt idx="1529">
                    <c:v>2018-07-27-19:00</c:v>
                  </c:pt>
                  <c:pt idx="1530">
                    <c:v>2018-07-27-20:00</c:v>
                  </c:pt>
                  <c:pt idx="1531">
                    <c:v>2018-07-27-21:00</c:v>
                  </c:pt>
                  <c:pt idx="1532">
                    <c:v>2018-07-27-22:00</c:v>
                  </c:pt>
                  <c:pt idx="1533">
                    <c:v>2018-07-27-23:00</c:v>
                  </c:pt>
                  <c:pt idx="1534">
                    <c:v>2018-07-30-00:00</c:v>
                  </c:pt>
                  <c:pt idx="1535">
                    <c:v>2018-07-30-01:00</c:v>
                  </c:pt>
                  <c:pt idx="1536">
                    <c:v>2018-07-30-02:00</c:v>
                  </c:pt>
                  <c:pt idx="1537">
                    <c:v>2018-07-30-03:00</c:v>
                  </c:pt>
                  <c:pt idx="1538">
                    <c:v>2018-07-30-04:00</c:v>
                  </c:pt>
                  <c:pt idx="1539">
                    <c:v>2018-07-30-05:00</c:v>
                  </c:pt>
                  <c:pt idx="1540">
                    <c:v>2018-07-30-06:00</c:v>
                  </c:pt>
                  <c:pt idx="1541">
                    <c:v>2018-07-30-07:00</c:v>
                  </c:pt>
                  <c:pt idx="1542">
                    <c:v>2018-07-30-08:00</c:v>
                  </c:pt>
                  <c:pt idx="1543">
                    <c:v>2018-07-30-09:00</c:v>
                  </c:pt>
                  <c:pt idx="1544">
                    <c:v>2018-07-30-10:00</c:v>
                  </c:pt>
                  <c:pt idx="1545">
                    <c:v>2018-07-30-11:00</c:v>
                  </c:pt>
                  <c:pt idx="1546">
                    <c:v>2018-07-30-12:00</c:v>
                  </c:pt>
                  <c:pt idx="1547">
                    <c:v>2018-07-30-13:00</c:v>
                  </c:pt>
                  <c:pt idx="1548">
                    <c:v>2018-07-30-14:00</c:v>
                  </c:pt>
                  <c:pt idx="1549">
                    <c:v>2018-07-30-15:00</c:v>
                  </c:pt>
                  <c:pt idx="1550">
                    <c:v>2018-07-27-16:00</c:v>
                  </c:pt>
                  <c:pt idx="1551">
                    <c:v>2018-07-27-17:00</c:v>
                  </c:pt>
                  <c:pt idx="1552">
                    <c:v>2018-07-27-18:00</c:v>
                  </c:pt>
                  <c:pt idx="1553">
                    <c:v>2018-07-27-19:00</c:v>
                  </c:pt>
                  <c:pt idx="1554">
                    <c:v>2018-07-27-20:00</c:v>
                  </c:pt>
                  <c:pt idx="1555">
                    <c:v>2018-07-27-21:00</c:v>
                  </c:pt>
                  <c:pt idx="1556">
                    <c:v>2018-07-27-22:00</c:v>
                  </c:pt>
                  <c:pt idx="1557">
                    <c:v>2018-07-27-23:00</c:v>
                  </c:pt>
                  <c:pt idx="1558">
                    <c:v>2018-07-30-00:00</c:v>
                  </c:pt>
                  <c:pt idx="1559">
                    <c:v>2018-07-30-01:00</c:v>
                  </c:pt>
                  <c:pt idx="1560">
                    <c:v>2018-07-30-02:00</c:v>
                  </c:pt>
                  <c:pt idx="1561">
                    <c:v>2018-07-30-03:00</c:v>
                  </c:pt>
                  <c:pt idx="1562">
                    <c:v>2018-07-30-04:00</c:v>
                  </c:pt>
                  <c:pt idx="1563">
                    <c:v>2018-07-30-05:00</c:v>
                  </c:pt>
                  <c:pt idx="1564">
                    <c:v>2018-07-30-06:00</c:v>
                  </c:pt>
                  <c:pt idx="1565">
                    <c:v>2018-07-30-07:00</c:v>
                  </c:pt>
                  <c:pt idx="1566">
                    <c:v>2018-07-30-08:00</c:v>
                  </c:pt>
                  <c:pt idx="1567">
                    <c:v>2018-07-30-09:00</c:v>
                  </c:pt>
                  <c:pt idx="1568">
                    <c:v>2018-07-30-10:00</c:v>
                  </c:pt>
                  <c:pt idx="1569">
                    <c:v>2018-07-30-11:00</c:v>
                  </c:pt>
                  <c:pt idx="1570">
                    <c:v>2018-07-30-12:00</c:v>
                  </c:pt>
                  <c:pt idx="1571">
                    <c:v>2018-07-30-13:00</c:v>
                  </c:pt>
                  <c:pt idx="1572">
                    <c:v>2018-07-30-14:00</c:v>
                  </c:pt>
                  <c:pt idx="1573">
                    <c:v>2018-07-30-15:00</c:v>
                  </c:pt>
                  <c:pt idx="1574">
                    <c:v>2018-07-30-16:00</c:v>
                  </c:pt>
                  <c:pt idx="1575">
                    <c:v>2018-07-27-17:00</c:v>
                  </c:pt>
                  <c:pt idx="1576">
                    <c:v>2018-07-27-18:00</c:v>
                  </c:pt>
                  <c:pt idx="1577">
                    <c:v>2018-07-27-19:00</c:v>
                  </c:pt>
                  <c:pt idx="1578">
                    <c:v>2018-07-27-20:00</c:v>
                  </c:pt>
                  <c:pt idx="1579">
                    <c:v>2018-07-27-21:00</c:v>
                  </c:pt>
                  <c:pt idx="1580">
                    <c:v>2018-07-27-22:00</c:v>
                  </c:pt>
                  <c:pt idx="1581">
                    <c:v>2018-07-27-23:00</c:v>
                  </c:pt>
                  <c:pt idx="1582">
                    <c:v>2018-07-30-00:00</c:v>
                  </c:pt>
                  <c:pt idx="1583">
                    <c:v>2018-07-30-01:00</c:v>
                  </c:pt>
                  <c:pt idx="1584">
                    <c:v>2018-07-30-02:00</c:v>
                  </c:pt>
                  <c:pt idx="1585">
                    <c:v>2018-07-30-03:00</c:v>
                  </c:pt>
                  <c:pt idx="1586">
                    <c:v>2018-07-30-04:00</c:v>
                  </c:pt>
                  <c:pt idx="1587">
                    <c:v>2018-07-30-05:00</c:v>
                  </c:pt>
                  <c:pt idx="1588">
                    <c:v>2018-07-30-06:00</c:v>
                  </c:pt>
                  <c:pt idx="1589">
                    <c:v>2018-07-30-07:00</c:v>
                  </c:pt>
                  <c:pt idx="1590">
                    <c:v>2018-07-30-08:00</c:v>
                  </c:pt>
                  <c:pt idx="1591">
                    <c:v>2018-07-30-09:00</c:v>
                  </c:pt>
                  <c:pt idx="1592">
                    <c:v>2018-07-30-10:00</c:v>
                  </c:pt>
                  <c:pt idx="1593">
                    <c:v>2018-07-30-11:00</c:v>
                  </c:pt>
                  <c:pt idx="1594">
                    <c:v>2018-07-30-12:00</c:v>
                  </c:pt>
                  <c:pt idx="1595">
                    <c:v>2018-07-30-13:00</c:v>
                  </c:pt>
                  <c:pt idx="1596">
                    <c:v>2018-07-30-14:00</c:v>
                  </c:pt>
                  <c:pt idx="1597">
                    <c:v>2018-07-30-15:00</c:v>
                  </c:pt>
                  <c:pt idx="1598">
                    <c:v>2018-07-30-16:00</c:v>
                  </c:pt>
                  <c:pt idx="1599">
                    <c:v>2018-07-30-17:00</c:v>
                  </c:pt>
                  <c:pt idx="1600">
                    <c:v>2018-07-27-18:00</c:v>
                  </c:pt>
                  <c:pt idx="1601">
                    <c:v>2018-07-27-19:00</c:v>
                  </c:pt>
                  <c:pt idx="1602">
                    <c:v>2018-07-27-20:00</c:v>
                  </c:pt>
                  <c:pt idx="1603">
                    <c:v>2018-07-27-21:00</c:v>
                  </c:pt>
                  <c:pt idx="1604">
                    <c:v>2018-07-27-22:00</c:v>
                  </c:pt>
                  <c:pt idx="1605">
                    <c:v>2018-07-27-23:00</c:v>
                  </c:pt>
                  <c:pt idx="1606">
                    <c:v>2018-07-30-00:00</c:v>
                  </c:pt>
                  <c:pt idx="1607">
                    <c:v>2018-07-30-01:00</c:v>
                  </c:pt>
                  <c:pt idx="1608">
                    <c:v>2018-07-30-02:00</c:v>
                  </c:pt>
                  <c:pt idx="1609">
                    <c:v>2018-07-30-03:00</c:v>
                  </c:pt>
                  <c:pt idx="1610">
                    <c:v>2018-07-30-04:00</c:v>
                  </c:pt>
                  <c:pt idx="1611">
                    <c:v>2018-07-30-05:00</c:v>
                  </c:pt>
                  <c:pt idx="1612">
                    <c:v>2018-07-30-06:00</c:v>
                  </c:pt>
                  <c:pt idx="1613">
                    <c:v>2018-07-30-07:00</c:v>
                  </c:pt>
                  <c:pt idx="1614">
                    <c:v>2018-07-30-08:00</c:v>
                  </c:pt>
                  <c:pt idx="1615">
                    <c:v>2018-07-30-09:00</c:v>
                  </c:pt>
                  <c:pt idx="1616">
                    <c:v>2018-07-30-10:00</c:v>
                  </c:pt>
                  <c:pt idx="1617">
                    <c:v>2018-07-30-11:00</c:v>
                  </c:pt>
                  <c:pt idx="1618">
                    <c:v>2018-07-30-12:00</c:v>
                  </c:pt>
                  <c:pt idx="1619">
                    <c:v>2018-07-30-13:00</c:v>
                  </c:pt>
                  <c:pt idx="1620">
                    <c:v>2018-07-30-14:00</c:v>
                  </c:pt>
                  <c:pt idx="1621">
                    <c:v>2018-07-30-15:00</c:v>
                  </c:pt>
                  <c:pt idx="1622">
                    <c:v>2018-07-30-16:00</c:v>
                  </c:pt>
                  <c:pt idx="1623">
                    <c:v>2018-07-30-18:00</c:v>
                  </c:pt>
                  <c:pt idx="1624">
                    <c:v>2018-07-30-17:00</c:v>
                  </c:pt>
                  <c:pt idx="1625">
                    <c:v>2018-07-27-19:00</c:v>
                  </c:pt>
                  <c:pt idx="1626">
                    <c:v>2018-07-27-20:00</c:v>
                  </c:pt>
                  <c:pt idx="1627">
                    <c:v>2018-07-27-21:00</c:v>
                  </c:pt>
                  <c:pt idx="1628">
                    <c:v>2018-07-27-22:00</c:v>
                  </c:pt>
                  <c:pt idx="1629">
                    <c:v>2018-07-27-23:00</c:v>
                  </c:pt>
                  <c:pt idx="1630">
                    <c:v>2018-07-30-00:00</c:v>
                  </c:pt>
                  <c:pt idx="1631">
                    <c:v>2018-07-30-01:00</c:v>
                  </c:pt>
                  <c:pt idx="1632">
                    <c:v>2018-07-30-02:00</c:v>
                  </c:pt>
                  <c:pt idx="1633">
                    <c:v>2018-07-30-03:00</c:v>
                  </c:pt>
                  <c:pt idx="1634">
                    <c:v>2018-07-30-04:00</c:v>
                  </c:pt>
                  <c:pt idx="1635">
                    <c:v>2018-07-30-05:00</c:v>
                  </c:pt>
                  <c:pt idx="1636">
                    <c:v>2018-07-30-06:00</c:v>
                  </c:pt>
                  <c:pt idx="1637">
                    <c:v>2018-07-30-07:00</c:v>
                  </c:pt>
                  <c:pt idx="1638">
                    <c:v>2018-07-30-08:00</c:v>
                  </c:pt>
                  <c:pt idx="1639">
                    <c:v>2018-07-30-09:00</c:v>
                  </c:pt>
                  <c:pt idx="1640">
                    <c:v>2018-07-30-10:00</c:v>
                  </c:pt>
                  <c:pt idx="1641">
                    <c:v>2018-07-30-11:00</c:v>
                  </c:pt>
                  <c:pt idx="1642">
                    <c:v>2018-07-30-12:00</c:v>
                  </c:pt>
                  <c:pt idx="1643">
                    <c:v>2018-07-30-13:00</c:v>
                  </c:pt>
                  <c:pt idx="1644">
                    <c:v>2018-07-30-14:00</c:v>
                  </c:pt>
                  <c:pt idx="1645">
                    <c:v>2018-07-30-15:00</c:v>
                  </c:pt>
                  <c:pt idx="1646">
                    <c:v>2018-07-30-16:00</c:v>
                  </c:pt>
                  <c:pt idx="1647">
                    <c:v>2018-07-30-18:00</c:v>
                  </c:pt>
                  <c:pt idx="1648">
                    <c:v>2018-07-30-19:00</c:v>
                  </c:pt>
                  <c:pt idx="1649">
                    <c:v>2018-07-30-17:00</c:v>
                  </c:pt>
                  <c:pt idx="1650">
                    <c:v>2018-07-27-20:00</c:v>
                  </c:pt>
                  <c:pt idx="1651">
                    <c:v>2018-07-27-21:00</c:v>
                  </c:pt>
                  <c:pt idx="1652">
                    <c:v>2018-07-27-22:00</c:v>
                  </c:pt>
                  <c:pt idx="1653">
                    <c:v>2018-07-27-23:00</c:v>
                  </c:pt>
                  <c:pt idx="1654">
                    <c:v>2018-07-30-00:00</c:v>
                  </c:pt>
                  <c:pt idx="1655">
                    <c:v>2018-07-30-01:00</c:v>
                  </c:pt>
                  <c:pt idx="1656">
                    <c:v>2018-07-30-02:00</c:v>
                  </c:pt>
                  <c:pt idx="1657">
                    <c:v>2018-07-30-03:00</c:v>
                  </c:pt>
                  <c:pt idx="1658">
                    <c:v>2018-07-30-04:00</c:v>
                  </c:pt>
                  <c:pt idx="1659">
                    <c:v>2018-07-30-05:00</c:v>
                  </c:pt>
                  <c:pt idx="1660">
                    <c:v>2018-07-30-06:00</c:v>
                  </c:pt>
                  <c:pt idx="1661">
                    <c:v>2018-07-30-07:00</c:v>
                  </c:pt>
                  <c:pt idx="1662">
                    <c:v>2018-07-30-08:00</c:v>
                  </c:pt>
                  <c:pt idx="1663">
                    <c:v>2018-07-30-09:00</c:v>
                  </c:pt>
                  <c:pt idx="1664">
                    <c:v>2018-07-30-10:00</c:v>
                  </c:pt>
                  <c:pt idx="1665">
                    <c:v>2018-07-30-11:00</c:v>
                  </c:pt>
                  <c:pt idx="1666">
                    <c:v>2018-07-30-12:00</c:v>
                  </c:pt>
                  <c:pt idx="1667">
                    <c:v>2018-07-30-13:00</c:v>
                  </c:pt>
                  <c:pt idx="1668">
                    <c:v>2018-07-30-14:00</c:v>
                  </c:pt>
                  <c:pt idx="1669">
                    <c:v>2018-07-30-15:00</c:v>
                  </c:pt>
                  <c:pt idx="1670">
                    <c:v>2018-07-30-16:00</c:v>
                  </c:pt>
                  <c:pt idx="1671">
                    <c:v>2018-07-30-18:00</c:v>
                  </c:pt>
                  <c:pt idx="1672">
                    <c:v>2018-07-30-19:00</c:v>
                  </c:pt>
                  <c:pt idx="1673">
                    <c:v>2018-07-30-20:00</c:v>
                  </c:pt>
                  <c:pt idx="1674">
                    <c:v>2018-07-30-17:00</c:v>
                  </c:pt>
                  <c:pt idx="1675">
                    <c:v>2018-07-27-21:00</c:v>
                  </c:pt>
                  <c:pt idx="1676">
                    <c:v>2018-07-27-22:00</c:v>
                  </c:pt>
                  <c:pt idx="1677">
                    <c:v>2018-07-27-23:00</c:v>
                  </c:pt>
                  <c:pt idx="1678">
                    <c:v>2018-07-30-00:00</c:v>
                  </c:pt>
                  <c:pt idx="1679">
                    <c:v>2018-07-30-01:00</c:v>
                  </c:pt>
                  <c:pt idx="1680">
                    <c:v>2018-07-30-02:00</c:v>
                  </c:pt>
                  <c:pt idx="1681">
                    <c:v>2018-07-30-03:00</c:v>
                  </c:pt>
                  <c:pt idx="1682">
                    <c:v>2018-07-30-04:00</c:v>
                  </c:pt>
                  <c:pt idx="1683">
                    <c:v>2018-07-30-05:00</c:v>
                  </c:pt>
                  <c:pt idx="1684">
                    <c:v>2018-07-30-06:00</c:v>
                  </c:pt>
                  <c:pt idx="1685">
                    <c:v>2018-07-30-07:00</c:v>
                  </c:pt>
                  <c:pt idx="1686">
                    <c:v>2018-07-30-08:00</c:v>
                  </c:pt>
                  <c:pt idx="1687">
                    <c:v>2018-07-30-09:00</c:v>
                  </c:pt>
                  <c:pt idx="1688">
                    <c:v>2018-07-30-10:00</c:v>
                  </c:pt>
                  <c:pt idx="1689">
                    <c:v>2018-07-30-11:00</c:v>
                  </c:pt>
                  <c:pt idx="1690">
                    <c:v>2018-07-30-12:00</c:v>
                  </c:pt>
                  <c:pt idx="1691">
                    <c:v>2018-07-30-13:00</c:v>
                  </c:pt>
                  <c:pt idx="1692">
                    <c:v>2018-07-30-14:00</c:v>
                  </c:pt>
                  <c:pt idx="1693">
                    <c:v>2018-07-30-15:00</c:v>
                  </c:pt>
                  <c:pt idx="1694">
                    <c:v>2018-07-30-16:00</c:v>
                  </c:pt>
                  <c:pt idx="1695">
                    <c:v>2018-07-30-18:00</c:v>
                  </c:pt>
                  <c:pt idx="1696">
                    <c:v>2018-07-30-19:00</c:v>
                  </c:pt>
                  <c:pt idx="1697">
                    <c:v>2018-07-30-20:00</c:v>
                  </c:pt>
                  <c:pt idx="1698">
                    <c:v>2018-07-30-21:00</c:v>
                  </c:pt>
                  <c:pt idx="1699">
                    <c:v>2018-07-30-17:00</c:v>
                  </c:pt>
                  <c:pt idx="1700">
                    <c:v>2018-07-27-22:00</c:v>
                  </c:pt>
                  <c:pt idx="1701">
                    <c:v>2018-07-27-23:00</c:v>
                  </c:pt>
                  <c:pt idx="1702">
                    <c:v>2018-07-30-00:00</c:v>
                  </c:pt>
                  <c:pt idx="1703">
                    <c:v>2018-07-30-01:00</c:v>
                  </c:pt>
                  <c:pt idx="1704">
                    <c:v>2018-07-30-02:00</c:v>
                  </c:pt>
                  <c:pt idx="1705">
                    <c:v>2018-07-30-03:00</c:v>
                  </c:pt>
                  <c:pt idx="1706">
                    <c:v>2018-07-30-04:00</c:v>
                  </c:pt>
                  <c:pt idx="1707">
                    <c:v>2018-07-30-05:00</c:v>
                  </c:pt>
                  <c:pt idx="1708">
                    <c:v>2018-07-30-06:00</c:v>
                  </c:pt>
                  <c:pt idx="1709">
                    <c:v>2018-07-30-07:00</c:v>
                  </c:pt>
                  <c:pt idx="1710">
                    <c:v>2018-07-30-08:00</c:v>
                  </c:pt>
                  <c:pt idx="1711">
                    <c:v>2018-07-30-09:00</c:v>
                  </c:pt>
                  <c:pt idx="1712">
                    <c:v>2018-07-30-10:00</c:v>
                  </c:pt>
                  <c:pt idx="1713">
                    <c:v>2018-07-30-11:00</c:v>
                  </c:pt>
                  <c:pt idx="1714">
                    <c:v>2018-07-30-12:00</c:v>
                  </c:pt>
                  <c:pt idx="1715">
                    <c:v>2018-07-30-13:00</c:v>
                  </c:pt>
                  <c:pt idx="1716">
                    <c:v>2018-07-30-14:00</c:v>
                  </c:pt>
                  <c:pt idx="1717">
                    <c:v>2018-07-30-15:00</c:v>
                  </c:pt>
                  <c:pt idx="1718">
                    <c:v>2018-07-30-16:00</c:v>
                  </c:pt>
                  <c:pt idx="1719">
                    <c:v>2018-07-30-18:00</c:v>
                  </c:pt>
                  <c:pt idx="1720">
                    <c:v>2018-07-30-19:00</c:v>
                  </c:pt>
                  <c:pt idx="1721">
                    <c:v>2018-07-30-20:00</c:v>
                  </c:pt>
                  <c:pt idx="1722">
                    <c:v>2018-07-30-21:00</c:v>
                  </c:pt>
                  <c:pt idx="1723">
                    <c:v>2018-07-30-22:00</c:v>
                  </c:pt>
                  <c:pt idx="1724">
                    <c:v>2018-07-30-17:00</c:v>
                  </c:pt>
                  <c:pt idx="1725">
                    <c:v>9999-99-99-99:99</c:v>
                  </c:pt>
                  <c:pt idx="1726">
                    <c:v>9999-99-99-99:99</c:v>
                  </c:pt>
                  <c:pt idx="1727">
                    <c:v>9999-99-99-99:99</c:v>
                  </c:pt>
                </c:lvl>
                <c:lvl>
                  <c:pt idx="0">
                    <c:v>0</c:v>
                  </c:pt>
                  <c:pt idx="25">
                    <c:v>1</c:v>
                  </c:pt>
                  <c:pt idx="50">
                    <c:v>2</c:v>
                  </c:pt>
                  <c:pt idx="75">
                    <c:v>3</c:v>
                  </c:pt>
                  <c:pt idx="100">
                    <c:v>4</c:v>
                  </c:pt>
                  <c:pt idx="125">
                    <c:v>5</c:v>
                  </c:pt>
                  <c:pt idx="150">
                    <c:v>6</c:v>
                  </c:pt>
                  <c:pt idx="175">
                    <c:v>7</c:v>
                  </c:pt>
                  <c:pt idx="200">
                    <c:v>8</c:v>
                  </c:pt>
                  <c:pt idx="225">
                    <c:v>9</c:v>
                  </c:pt>
                  <c:pt idx="250">
                    <c:v>10</c:v>
                  </c:pt>
                  <c:pt idx="275">
                    <c:v>11</c:v>
                  </c:pt>
                  <c:pt idx="300">
                    <c:v>12</c:v>
                  </c:pt>
                  <c:pt idx="325">
                    <c:v>13</c:v>
                  </c:pt>
                  <c:pt idx="350">
                    <c:v>14</c:v>
                  </c:pt>
                  <c:pt idx="375">
                    <c:v>15</c:v>
                  </c:pt>
                  <c:pt idx="400">
                    <c:v>16</c:v>
                  </c:pt>
                  <c:pt idx="425">
                    <c:v>17</c:v>
                  </c:pt>
                  <c:pt idx="450">
                    <c:v>18</c:v>
                  </c:pt>
                  <c:pt idx="475">
                    <c:v>19</c:v>
                  </c:pt>
                  <c:pt idx="500">
                    <c:v>20</c:v>
                  </c:pt>
                  <c:pt idx="525">
                    <c:v>21</c:v>
                  </c:pt>
                  <c:pt idx="550">
                    <c:v>22</c:v>
                  </c:pt>
                  <c:pt idx="575">
                    <c:v>23</c:v>
                  </c:pt>
                  <c:pt idx="600">
                    <c:v>24</c:v>
                  </c:pt>
                  <c:pt idx="625">
                    <c:v>25</c:v>
                  </c:pt>
                  <c:pt idx="650">
                    <c:v>26</c:v>
                  </c:pt>
                  <c:pt idx="675">
                    <c:v>27</c:v>
                  </c:pt>
                  <c:pt idx="700">
                    <c:v>28</c:v>
                  </c:pt>
                  <c:pt idx="725">
                    <c:v>29</c:v>
                  </c:pt>
                  <c:pt idx="750">
                    <c:v>30</c:v>
                  </c:pt>
                  <c:pt idx="775">
                    <c:v>31</c:v>
                  </c:pt>
                  <c:pt idx="800">
                    <c:v>32</c:v>
                  </c:pt>
                  <c:pt idx="825">
                    <c:v>33</c:v>
                  </c:pt>
                  <c:pt idx="850">
                    <c:v>34</c:v>
                  </c:pt>
                  <c:pt idx="875">
                    <c:v>35</c:v>
                  </c:pt>
                  <c:pt idx="900">
                    <c:v>36</c:v>
                  </c:pt>
                  <c:pt idx="925">
                    <c:v>37</c:v>
                  </c:pt>
                  <c:pt idx="950">
                    <c:v>38</c:v>
                  </c:pt>
                  <c:pt idx="975">
                    <c:v>39</c:v>
                  </c:pt>
                  <c:pt idx="1000">
                    <c:v>40</c:v>
                  </c:pt>
                  <c:pt idx="1025">
                    <c:v>41</c:v>
                  </c:pt>
                  <c:pt idx="1050">
                    <c:v>42</c:v>
                  </c:pt>
                  <c:pt idx="1075">
                    <c:v>43</c:v>
                  </c:pt>
                  <c:pt idx="1100">
                    <c:v>44</c:v>
                  </c:pt>
                  <c:pt idx="1125">
                    <c:v>45</c:v>
                  </c:pt>
                  <c:pt idx="1150">
                    <c:v>46</c:v>
                  </c:pt>
                  <c:pt idx="1175">
                    <c:v>47</c:v>
                  </c:pt>
                  <c:pt idx="1200">
                    <c:v>48</c:v>
                  </c:pt>
                  <c:pt idx="1225">
                    <c:v>49</c:v>
                  </c:pt>
                  <c:pt idx="1250">
                    <c:v>50</c:v>
                  </c:pt>
                  <c:pt idx="1275">
                    <c:v>51</c:v>
                  </c:pt>
                  <c:pt idx="1300">
                    <c:v>52</c:v>
                  </c:pt>
                  <c:pt idx="1325">
                    <c:v>53</c:v>
                  </c:pt>
                  <c:pt idx="1350">
                    <c:v>54</c:v>
                  </c:pt>
                  <c:pt idx="1375">
                    <c:v>55</c:v>
                  </c:pt>
                  <c:pt idx="1400">
                    <c:v>56</c:v>
                  </c:pt>
                  <c:pt idx="1425">
                    <c:v>57</c:v>
                  </c:pt>
                  <c:pt idx="1450">
                    <c:v>58</c:v>
                  </c:pt>
                  <c:pt idx="1475">
                    <c:v>59</c:v>
                  </c:pt>
                  <c:pt idx="1500">
                    <c:v>60</c:v>
                  </c:pt>
                  <c:pt idx="1525">
                    <c:v>61</c:v>
                  </c:pt>
                  <c:pt idx="1550">
                    <c:v>62</c:v>
                  </c:pt>
                  <c:pt idx="1575">
                    <c:v>63</c:v>
                  </c:pt>
                  <c:pt idx="1600">
                    <c:v>64</c:v>
                  </c:pt>
                  <c:pt idx="1625">
                    <c:v>65</c:v>
                  </c:pt>
                  <c:pt idx="1650">
                    <c:v>66</c:v>
                  </c:pt>
                  <c:pt idx="1675">
                    <c:v>67</c:v>
                  </c:pt>
                  <c:pt idx="1700">
                    <c:v>68</c:v>
                  </c:pt>
                  <c:pt idx="1725">
                    <c:v>69</c:v>
                  </c:pt>
                  <c:pt idx="1726">
                    <c:v>70</c:v>
                  </c:pt>
                  <c:pt idx="1727">
                    <c:v>71</c:v>
                  </c:pt>
                </c:lvl>
              </c:multiLvlStrCache>
            </c:multiLvlStrRef>
          </c:cat>
          <c:val>
            <c:numRef>
              <c:f>Run_TR!$D$2:$D$1802</c:f>
              <c:numCache>
                <c:formatCode>General</c:formatCode>
                <c:ptCount val="1728"/>
                <c:pt idx="1250">
                  <c:v>4.2273859435226497E-5</c:v>
                </c:pt>
                <c:pt idx="1251">
                  <c:v>4.9716851208359003E-5</c:v>
                </c:pt>
                <c:pt idx="1252">
                  <c:v>8.7084641563705992E-5</c:v>
                </c:pt>
                <c:pt idx="1253">
                  <c:v>4.5486169256037E-5</c:v>
                </c:pt>
                <c:pt idx="1254">
                  <c:v>4.6221703541959523E-5</c:v>
                </c:pt>
                <c:pt idx="1255">
                  <c:v>8.7191251964214032E-5</c:v>
                </c:pt>
                <c:pt idx="1256">
                  <c:v>1.1107451791758657E-4</c:v>
                </c:pt>
                <c:pt idx="1257">
                  <c:v>1.2397032605804194E-4</c:v>
                </c:pt>
                <c:pt idx="1258">
                  <c:v>1.3643733291246698E-4</c:v>
                </c:pt>
                <c:pt idx="1259">
                  <c:v>3.6337014762466424E-5</c:v>
                </c:pt>
                <c:pt idx="1260">
                  <c:v>5.6494047385058284E-5</c:v>
                </c:pt>
                <c:pt idx="1261">
                  <c:v>7.1855740316093824E-5</c:v>
                </c:pt>
                <c:pt idx="1262">
                  <c:v>6.6927634179592512E-5</c:v>
                </c:pt>
                <c:pt idx="1263">
                  <c:v>3.0710085411556248E-5</c:v>
                </c:pt>
                <c:pt idx="1264">
                  <c:v>3.5910265069105723E-5</c:v>
                </c:pt>
                <c:pt idx="1265">
                  <c:v>9.1586879534588539E-5</c:v>
                </c:pt>
                <c:pt idx="1266">
                  <c:v>1.0876734842213392E-4</c:v>
                </c:pt>
                <c:pt idx="1267">
                  <c:v>1.3112592228026196E-4</c:v>
                </c:pt>
                <c:pt idx="1268">
                  <c:v>6.7830540501745296E-5</c:v>
                </c:pt>
                <c:pt idx="1269">
                  <c:v>7.9269394648307201E-5</c:v>
                </c:pt>
                <c:pt idx="1270">
                  <c:v>5.0006095989374498E-5</c:v>
                </c:pt>
                <c:pt idx="1271">
                  <c:v>7.1620168455410722E-5</c:v>
                </c:pt>
                <c:pt idx="1272">
                  <c:v>2.5093319891311701E-5</c:v>
                </c:pt>
                <c:pt idx="1273">
                  <c:v>3.366646456015586E-5</c:v>
                </c:pt>
                <c:pt idx="1274">
                  <c:v>5.2229593165975557E-5</c:v>
                </c:pt>
                <c:pt idx="1275">
                  <c:v>2.4154076527338499E-5</c:v>
                </c:pt>
                <c:pt idx="1276">
                  <c:v>7.3729963332880248E-5</c:v>
                </c:pt>
                <c:pt idx="1277">
                  <c:v>1.070989783329425E-4</c:v>
                </c:pt>
                <c:pt idx="1278">
                  <c:v>2.962694316011E-5</c:v>
                </c:pt>
                <c:pt idx="1279">
                  <c:v>6.8914531084374446E-5</c:v>
                </c:pt>
                <c:pt idx="1280">
                  <c:v>7.6482369422592564E-5</c:v>
                </c:pt>
                <c:pt idx="1281">
                  <c:v>1.3981591018818969E-4</c:v>
                </c:pt>
                <c:pt idx="1282">
                  <c:v>6.151006164145599E-5</c:v>
                </c:pt>
                <c:pt idx="1283">
                  <c:v>9.2482324362208655E-5</c:v>
                </c:pt>
                <c:pt idx="1284">
                  <c:v>1.0621848559821963E-4</c:v>
                </c:pt>
                <c:pt idx="1285">
                  <c:v>5.8813655414267829E-5</c:v>
                </c:pt>
                <c:pt idx="1286">
                  <c:v>4.5345019316299998E-5</c:v>
                </c:pt>
                <c:pt idx="1287">
                  <c:v>3.717627623700713E-5</c:v>
                </c:pt>
                <c:pt idx="1288">
                  <c:v>1.4200024997990134E-4</c:v>
                </c:pt>
                <c:pt idx="1289">
                  <c:v>4.4946556499781179E-5</c:v>
                </c:pt>
                <c:pt idx="1290">
                  <c:v>1.3980052102624524E-4</c:v>
                </c:pt>
                <c:pt idx="1291">
                  <c:v>6.4974005681506391E-5</c:v>
                </c:pt>
                <c:pt idx="1292">
                  <c:v>6.2873250044503866E-5</c:v>
                </c:pt>
                <c:pt idx="1293">
                  <c:v>3.1316439162765096E-5</c:v>
                </c:pt>
                <c:pt idx="1294">
                  <c:v>9.033183960127651E-5</c:v>
                </c:pt>
                <c:pt idx="1295">
                  <c:v>6.4391762634841102E-5</c:v>
                </c:pt>
                <c:pt idx="1296">
                  <c:v>6.2055852140474599E-5</c:v>
                </c:pt>
                <c:pt idx="1297">
                  <c:v>5.7843143622449174E-5</c:v>
                </c:pt>
                <c:pt idx="1298">
                  <c:v>6.4210307755274549E-5</c:v>
                </c:pt>
                <c:pt idx="1299">
                  <c:v>8.4079892985755496E-5</c:v>
                </c:pt>
                <c:pt idx="1300">
                  <c:v>5.8617006288841502E-5</c:v>
                </c:pt>
                <c:pt idx="1301">
                  <c:v>8.1190897617488991E-5</c:v>
                </c:pt>
                <c:pt idx="1302">
                  <c:v>1.3434420088742605E-4</c:v>
                </c:pt>
                <c:pt idx="1303">
                  <c:v>5.0398607527313397E-5</c:v>
                </c:pt>
                <c:pt idx="1304">
                  <c:v>1.025107958412263E-4</c:v>
                </c:pt>
                <c:pt idx="1305">
                  <c:v>3.4751829844026652E-5</c:v>
                </c:pt>
                <c:pt idx="1306">
                  <c:v>9.1344683823990758E-5</c:v>
                </c:pt>
                <c:pt idx="1307">
                  <c:v>9.326234066975322E-5</c:v>
                </c:pt>
                <c:pt idx="1308">
                  <c:v>1.5011793948360738E-4</c:v>
                </c:pt>
                <c:pt idx="1309">
                  <c:v>1.2351656732789609E-4</c:v>
                </c:pt>
                <c:pt idx="1310">
                  <c:v>2.7335481718182499E-5</c:v>
                </c:pt>
                <c:pt idx="1311">
                  <c:v>6.9276877184165872E-5</c:v>
                </c:pt>
                <c:pt idx="1312">
                  <c:v>5.08663620166769E-5</c:v>
                </c:pt>
                <c:pt idx="1313">
                  <c:v>3.9593433029949726E-5</c:v>
                </c:pt>
                <c:pt idx="1314">
                  <c:v>1.3872185081709149E-4</c:v>
                </c:pt>
                <c:pt idx="1315">
                  <c:v>7.7994776233936353E-5</c:v>
                </c:pt>
                <c:pt idx="1316">
                  <c:v>5.0169261157861525E-5</c:v>
                </c:pt>
                <c:pt idx="1317">
                  <c:v>3.9982595808396832E-5</c:v>
                </c:pt>
                <c:pt idx="1318">
                  <c:v>9.1707644969574501E-5</c:v>
                </c:pt>
                <c:pt idx="1319">
                  <c:v>7.8793140346533551E-5</c:v>
                </c:pt>
                <c:pt idx="1320">
                  <c:v>5.0338337132416274E-5</c:v>
                </c:pt>
                <c:pt idx="1321">
                  <c:v>4.5713029976468696E-5</c:v>
                </c:pt>
                <c:pt idx="1322">
                  <c:v>9.4388782599707889E-5</c:v>
                </c:pt>
                <c:pt idx="1323">
                  <c:v>6.238590503926412E-5</c:v>
                </c:pt>
                <c:pt idx="1324">
                  <c:v>6.6157820583612098E-5</c:v>
                </c:pt>
                <c:pt idx="1325">
                  <c:v>3.3596908906475001E-5</c:v>
                </c:pt>
                <c:pt idx="1326">
                  <c:v>1.080290048776078E-4</c:v>
                </c:pt>
                <c:pt idx="1327">
                  <c:v>9.0153207565890842E-5</c:v>
                </c:pt>
                <c:pt idx="1328">
                  <c:v>5.5803011491661898E-5</c:v>
                </c:pt>
                <c:pt idx="1329">
                  <c:v>9.9574804153236451E-5</c:v>
                </c:pt>
                <c:pt idx="1330">
                  <c:v>4.8376026825281246E-5</c:v>
                </c:pt>
                <c:pt idx="1331">
                  <c:v>4.1723475078469925E-5</c:v>
                </c:pt>
                <c:pt idx="1332">
                  <c:v>8.929583873396049E-5</c:v>
                </c:pt>
                <c:pt idx="1333">
                  <c:v>9.0262934463682321E-5</c:v>
                </c:pt>
                <c:pt idx="1334">
                  <c:v>3.7906895158809998E-5</c:v>
                </c:pt>
                <c:pt idx="1335">
                  <c:v>3.5830224078380872E-5</c:v>
                </c:pt>
                <c:pt idx="1336">
                  <c:v>1.2628557851712696E-4</c:v>
                </c:pt>
                <c:pt idx="1337">
                  <c:v>8.1892034359043288E-5</c:v>
                </c:pt>
                <c:pt idx="1338">
                  <c:v>6.2581810198025995E-5</c:v>
                </c:pt>
                <c:pt idx="1339">
                  <c:v>1.1152677097925336E-4</c:v>
                </c:pt>
                <c:pt idx="1340">
                  <c:v>9.2462343673105297E-5</c:v>
                </c:pt>
                <c:pt idx="1341">
                  <c:v>6.1212399486976454E-5</c:v>
                </c:pt>
                <c:pt idx="1342">
                  <c:v>1.2204024096718066E-4</c:v>
                </c:pt>
                <c:pt idx="1343">
                  <c:v>5.4181389714358476E-5</c:v>
                </c:pt>
                <c:pt idx="1344">
                  <c:v>4.3106463635922254E-5</c:v>
                </c:pt>
                <c:pt idx="1345">
                  <c:v>5.5710250308038694E-5</c:v>
                </c:pt>
                <c:pt idx="1346">
                  <c:v>7.3451921707600921E-5</c:v>
                </c:pt>
                <c:pt idx="1347">
                  <c:v>5.0889833801193E-5</c:v>
                </c:pt>
                <c:pt idx="1348">
                  <c:v>1.1864567886732393E-4</c:v>
                </c:pt>
                <c:pt idx="1349">
                  <c:v>6.8517289946612355E-5</c:v>
                </c:pt>
                <c:pt idx="1350">
                  <c:v>6.9581943535012975E-5</c:v>
                </c:pt>
                <c:pt idx="1351">
                  <c:v>9.9861123089795055E-5</c:v>
                </c:pt>
                <c:pt idx="1352">
                  <c:v>1.0481006574991655E-4</c:v>
                </c:pt>
                <c:pt idx="1353">
                  <c:v>5.1080584853480199E-5</c:v>
                </c:pt>
                <c:pt idx="1354">
                  <c:v>9.9888349723190311E-5</c:v>
                </c:pt>
                <c:pt idx="1355">
                  <c:v>7.3873939982149669E-5</c:v>
                </c:pt>
                <c:pt idx="1356">
                  <c:v>7.3824630817398293E-5</c:v>
                </c:pt>
                <c:pt idx="1357">
                  <c:v>6.6785765739044064E-5</c:v>
                </c:pt>
                <c:pt idx="1358">
                  <c:v>5.3441675845535005E-5</c:v>
                </c:pt>
                <c:pt idx="1359">
                  <c:v>8.323679867317111E-5</c:v>
                </c:pt>
                <c:pt idx="1360">
                  <c:v>5.7356231991434402E-5</c:v>
                </c:pt>
                <c:pt idx="1361">
                  <c:v>1.1874503252329313E-4</c:v>
                </c:pt>
                <c:pt idx="1362">
                  <c:v>6.9785351115569992E-5</c:v>
                </c:pt>
                <c:pt idx="1363">
                  <c:v>9.6545635358325052E-5</c:v>
                </c:pt>
                <c:pt idx="1364">
                  <c:v>7.2395579763906466E-5</c:v>
                </c:pt>
                <c:pt idx="1365">
                  <c:v>5.0672524594120021E-5</c:v>
                </c:pt>
                <c:pt idx="1366">
                  <c:v>1.2626967691176124E-4</c:v>
                </c:pt>
                <c:pt idx="1367">
                  <c:v>5.3866220696363727E-5</c:v>
                </c:pt>
                <c:pt idx="1368">
                  <c:v>6.5216767325182445E-5</c:v>
                </c:pt>
                <c:pt idx="1369">
                  <c:v>2.6321235964132878E-5</c:v>
                </c:pt>
                <c:pt idx="1370">
                  <c:v>5.7693754570209103E-5</c:v>
                </c:pt>
                <c:pt idx="1371">
                  <c:v>6.3818035414442E-5</c:v>
                </c:pt>
                <c:pt idx="1372">
                  <c:v>6.1831519815313919E-5</c:v>
                </c:pt>
                <c:pt idx="1373">
                  <c:v>5.4398504289565472E-5</c:v>
                </c:pt>
                <c:pt idx="1374">
                  <c:v>3.6476237710303652E-5</c:v>
                </c:pt>
                <c:pt idx="1375">
                  <c:v>7.2140837801271322E-5</c:v>
                </c:pt>
                <c:pt idx="1376">
                  <c:v>9.9120945378672047E-5</c:v>
                </c:pt>
                <c:pt idx="1377">
                  <c:v>9.536986817692945E-5</c:v>
                </c:pt>
                <c:pt idx="1378">
                  <c:v>7.1125310569187738E-5</c:v>
                </c:pt>
                <c:pt idx="1379">
                  <c:v>6.0301042594801151E-5</c:v>
                </c:pt>
                <c:pt idx="1380">
                  <c:v>8.9367809778196131E-5</c:v>
                </c:pt>
                <c:pt idx="1381">
                  <c:v>7.0337167926482453E-5</c:v>
                </c:pt>
                <c:pt idx="1382">
                  <c:v>8.6297281086445004E-5</c:v>
                </c:pt>
                <c:pt idx="1383">
                  <c:v>3.7727117160102922E-5</c:v>
                </c:pt>
                <c:pt idx="1384">
                  <c:v>1.3982622294861344E-4</c:v>
                </c:pt>
                <c:pt idx="1385">
                  <c:v>6.9482595790759674E-5</c:v>
                </c:pt>
                <c:pt idx="1386">
                  <c:v>9.594316179573073E-5</c:v>
                </c:pt>
                <c:pt idx="1387">
                  <c:v>8.3606164480443167E-5</c:v>
                </c:pt>
                <c:pt idx="1388">
                  <c:v>5.2016040712033013E-5</c:v>
                </c:pt>
                <c:pt idx="1389">
                  <c:v>1.0926377581199626E-4</c:v>
                </c:pt>
                <c:pt idx="1390">
                  <c:v>7.2632825322216499E-5</c:v>
                </c:pt>
                <c:pt idx="1391">
                  <c:v>8.3295553849893676E-5</c:v>
                </c:pt>
                <c:pt idx="1392">
                  <c:v>1.3759580269834124E-5</c:v>
                </c:pt>
                <c:pt idx="1393">
                  <c:v>4.0154332964448448E-5</c:v>
                </c:pt>
                <c:pt idx="1394">
                  <c:v>3.0671162676299248E-5</c:v>
                </c:pt>
                <c:pt idx="1395">
                  <c:v>4.8169018555199755E-5</c:v>
                </c:pt>
                <c:pt idx="1396">
                  <c:v>6.5877789893420278E-5</c:v>
                </c:pt>
                <c:pt idx="1397">
                  <c:v>3.8686510379193276E-5</c:v>
                </c:pt>
                <c:pt idx="1398">
                  <c:v>6.356116136885263E-5</c:v>
                </c:pt>
                <c:pt idx="1399">
                  <c:v>5.0821183322113749E-5</c:v>
                </c:pt>
                <c:pt idx="1400">
                  <c:v>1.0290850150340694E-4</c:v>
                </c:pt>
                <c:pt idx="1401">
                  <c:v>6.7767317887045521E-5</c:v>
                </c:pt>
                <c:pt idx="1402">
                  <c:v>6.2185430579119507E-5</c:v>
                </c:pt>
                <c:pt idx="1403">
                  <c:v>5.451429422009825E-5</c:v>
                </c:pt>
                <c:pt idx="1404">
                  <c:v>5.3141888201935054E-5</c:v>
                </c:pt>
                <c:pt idx="1405">
                  <c:v>1.3893266623199509E-4</c:v>
                </c:pt>
                <c:pt idx="1406">
                  <c:v>7.2055205237122504E-5</c:v>
                </c:pt>
                <c:pt idx="1407">
                  <c:v>5.777316619060112E-5</c:v>
                </c:pt>
                <c:pt idx="1408">
                  <c:v>1.0977669489875555E-4</c:v>
                </c:pt>
                <c:pt idx="1409">
                  <c:v>7.1382197347702513E-5</c:v>
                </c:pt>
                <c:pt idx="1410">
                  <c:v>9.4943839940242605E-5</c:v>
                </c:pt>
                <c:pt idx="1411">
                  <c:v>1.2148740051998195E-4</c:v>
                </c:pt>
                <c:pt idx="1412">
                  <c:v>8.3769147749989954E-5</c:v>
                </c:pt>
                <c:pt idx="1413">
                  <c:v>6.4081559685291722E-5</c:v>
                </c:pt>
                <c:pt idx="1414">
                  <c:v>7.5874791946262501E-5</c:v>
                </c:pt>
                <c:pt idx="1415">
                  <c:v>2.4397065317316524E-5</c:v>
                </c:pt>
                <c:pt idx="1416">
                  <c:v>5.5378517572535297E-5</c:v>
                </c:pt>
                <c:pt idx="1417">
                  <c:v>3.7283873098203872E-5</c:v>
                </c:pt>
                <c:pt idx="1418">
                  <c:v>3.3943479138543169E-5</c:v>
                </c:pt>
                <c:pt idx="1419">
                  <c:v>1.9118309865007753E-5</c:v>
                </c:pt>
                <c:pt idx="1420">
                  <c:v>9.6795276931516128E-5</c:v>
                </c:pt>
                <c:pt idx="1421">
                  <c:v>4.9216723709832945E-5</c:v>
                </c:pt>
                <c:pt idx="1422">
                  <c:v>4.8717410209064878E-5</c:v>
                </c:pt>
                <c:pt idx="1423">
                  <c:v>6.2018624703341602E-5</c:v>
                </c:pt>
                <c:pt idx="1424">
                  <c:v>5.4203766922001494E-5</c:v>
                </c:pt>
                <c:pt idx="1425">
                  <c:v>3.2444113458038174E-5</c:v>
                </c:pt>
                <c:pt idx="1426">
                  <c:v>3.4924478313770102E-5</c:v>
                </c:pt>
                <c:pt idx="1427">
                  <c:v>7.1636262646279715E-5</c:v>
                </c:pt>
                <c:pt idx="1428">
                  <c:v>1.0345436749048538E-4</c:v>
                </c:pt>
                <c:pt idx="1429">
                  <c:v>9.2995385784889074E-5</c:v>
                </c:pt>
                <c:pt idx="1430">
                  <c:v>1.3472474529407748E-4</c:v>
                </c:pt>
                <c:pt idx="1431">
                  <c:v>6.4343314079450575E-5</c:v>
                </c:pt>
                <c:pt idx="1432">
                  <c:v>1.3426722034637345E-4</c:v>
                </c:pt>
                <c:pt idx="1433">
                  <c:v>6.5357110543118473E-5</c:v>
                </c:pt>
                <c:pt idx="1434">
                  <c:v>1.2557364516396736E-4</c:v>
                </c:pt>
                <c:pt idx="1435">
                  <c:v>1.3529201260098522E-4</c:v>
                </c:pt>
                <c:pt idx="1436">
                  <c:v>7.7910223808430574E-5</c:v>
                </c:pt>
                <c:pt idx="1437">
                  <c:v>9.9947952548973357E-5</c:v>
                </c:pt>
                <c:pt idx="1438">
                  <c:v>1.1260822248004878E-4</c:v>
                </c:pt>
                <c:pt idx="1439">
                  <c:v>5.5566622904734794E-5</c:v>
                </c:pt>
                <c:pt idx="1440">
                  <c:v>4.6373133955057622E-5</c:v>
                </c:pt>
                <c:pt idx="1441">
                  <c:v>6.8570337134588031E-5</c:v>
                </c:pt>
                <c:pt idx="1442">
                  <c:v>6.97323484928345E-5</c:v>
                </c:pt>
                <c:pt idx="1443">
                  <c:v>5.625429912470275E-5</c:v>
                </c:pt>
                <c:pt idx="1444">
                  <c:v>8.4772331661042401E-5</c:v>
                </c:pt>
                <c:pt idx="1445">
                  <c:v>7.734389328106745E-5</c:v>
                </c:pt>
                <c:pt idx="1446">
                  <c:v>4.652029474527793E-5</c:v>
                </c:pt>
                <c:pt idx="1447">
                  <c:v>4.5036229494143951E-5</c:v>
                </c:pt>
                <c:pt idx="1448">
                  <c:v>5.8328689192421748E-5</c:v>
                </c:pt>
                <c:pt idx="1449">
                  <c:v>5.7416473282501E-5</c:v>
                </c:pt>
                <c:pt idx="1450">
                  <c:v>6.7743931140285067E-5</c:v>
                </c:pt>
                <c:pt idx="1451">
                  <c:v>1.0426234621263568E-4</c:v>
                </c:pt>
                <c:pt idx="1452">
                  <c:v>6.2390565290116126E-5</c:v>
                </c:pt>
                <c:pt idx="1453">
                  <c:v>5.9663097999873829E-5</c:v>
                </c:pt>
                <c:pt idx="1454">
                  <c:v>7.20465905033025E-5</c:v>
                </c:pt>
                <c:pt idx="1455">
                  <c:v>6.5225534854107835E-5</c:v>
                </c:pt>
                <c:pt idx="1456">
                  <c:v>1.5135372814256668E-4</c:v>
                </c:pt>
                <c:pt idx="1457">
                  <c:v>5.6007888360909128E-5</c:v>
                </c:pt>
                <c:pt idx="1458">
                  <c:v>1.1710603064329926E-4</c:v>
                </c:pt>
                <c:pt idx="1459">
                  <c:v>1.3383990426518727E-4</c:v>
                </c:pt>
                <c:pt idx="1460">
                  <c:v>5.0350013680145101E-5</c:v>
                </c:pt>
                <c:pt idx="1461">
                  <c:v>5.9551275171543225E-5</c:v>
                </c:pt>
                <c:pt idx="1462">
                  <c:v>7.1985738031799001E-5</c:v>
                </c:pt>
                <c:pt idx="1463">
                  <c:v>5.6668968682061004E-5</c:v>
                </c:pt>
                <c:pt idx="1464">
                  <c:v>2.6103925165443628E-5</c:v>
                </c:pt>
                <c:pt idx="1465">
                  <c:v>1.944970063050305E-5</c:v>
                </c:pt>
                <c:pt idx="1466">
                  <c:v>9.9082228189217587E-5</c:v>
                </c:pt>
                <c:pt idx="1467">
                  <c:v>5.8777575759450001E-5</c:v>
                </c:pt>
                <c:pt idx="1468">
                  <c:v>6.0321057389956076E-5</c:v>
                </c:pt>
                <c:pt idx="1469">
                  <c:v>6.0183581126693644E-5</c:v>
                </c:pt>
                <c:pt idx="1470">
                  <c:v>6.9103819441807004E-5</c:v>
                </c:pt>
                <c:pt idx="1471">
                  <c:v>6.5743245841076836E-5</c:v>
                </c:pt>
                <c:pt idx="1472">
                  <c:v>5.2298943046479753E-5</c:v>
                </c:pt>
                <c:pt idx="1473">
                  <c:v>3.4333173971389755E-5</c:v>
                </c:pt>
                <c:pt idx="1474">
                  <c:v>9.7960684797725758E-5</c:v>
                </c:pt>
                <c:pt idx="1475">
                  <c:v>8.2479173897809029E-5</c:v>
                </c:pt>
                <c:pt idx="1476">
                  <c:v>7.1334173298964648E-5</c:v>
                </c:pt>
                <c:pt idx="1477">
                  <c:v>1.1221328168176036E-4</c:v>
                </c:pt>
                <c:pt idx="1478">
                  <c:v>2.2960244677962499E-5</c:v>
                </c:pt>
                <c:pt idx="1479">
                  <c:v>8.7495296611450626E-5</c:v>
                </c:pt>
                <c:pt idx="1480">
                  <c:v>1.2241852164152095E-4</c:v>
                </c:pt>
                <c:pt idx="1481">
                  <c:v>1.0553836727922337E-4</c:v>
                </c:pt>
                <c:pt idx="1482">
                  <c:v>1.6162054248525251E-4</c:v>
                </c:pt>
                <c:pt idx="1483">
                  <c:v>9.3010157797834971E-5</c:v>
                </c:pt>
                <c:pt idx="1484">
                  <c:v>7.4014937126776149E-5</c:v>
                </c:pt>
                <c:pt idx="1485">
                  <c:v>5.1748612349911195E-5</c:v>
                </c:pt>
                <c:pt idx="1486">
                  <c:v>1.7776917729861436E-4</c:v>
                </c:pt>
                <c:pt idx="1487">
                  <c:v>8.2396207290003225E-5</c:v>
                </c:pt>
                <c:pt idx="1488">
                  <c:v>4.1483283439447174E-5</c:v>
                </c:pt>
                <c:pt idx="1489">
                  <c:v>6.451248646044393E-5</c:v>
                </c:pt>
                <c:pt idx="1490">
                  <c:v>8.3397550042718703E-5</c:v>
                </c:pt>
                <c:pt idx="1491">
                  <c:v>1.0151458172913419E-4</c:v>
                </c:pt>
                <c:pt idx="1492">
                  <c:v>1.0783097832245392E-4</c:v>
                </c:pt>
                <c:pt idx="1493">
                  <c:v>8.4547034930437885E-5</c:v>
                </c:pt>
                <c:pt idx="1494">
                  <c:v>4.9556960220798176E-5</c:v>
                </c:pt>
                <c:pt idx="1495">
                  <c:v>3.8090310226834723E-5</c:v>
                </c:pt>
                <c:pt idx="1496">
                  <c:v>6.1250757426022995E-5</c:v>
                </c:pt>
                <c:pt idx="1497">
                  <c:v>3.87229811167325E-5</c:v>
                </c:pt>
                <c:pt idx="1498">
                  <c:v>8.6380154243670011E-5</c:v>
                </c:pt>
                <c:pt idx="1499">
                  <c:v>8.1298116128891002E-5</c:v>
                </c:pt>
                <c:pt idx="1500">
                  <c:v>1.0318484419258311E-4</c:v>
                </c:pt>
                <c:pt idx="1501">
                  <c:v>9.5900096255263769E-5</c:v>
                </c:pt>
                <c:pt idx="1502">
                  <c:v>1.6663991846144251E-4</c:v>
                </c:pt>
                <c:pt idx="1503">
                  <c:v>3.2680090953362123E-5</c:v>
                </c:pt>
                <c:pt idx="1504">
                  <c:v>1.2948148832947446E-4</c:v>
                </c:pt>
                <c:pt idx="1505">
                  <c:v>9.5583413894928553E-5</c:v>
                </c:pt>
                <c:pt idx="1506">
                  <c:v>1.3025314910919395E-4</c:v>
                </c:pt>
                <c:pt idx="1507">
                  <c:v>9.9739871075144309E-5</c:v>
                </c:pt>
                <c:pt idx="1508">
                  <c:v>5.8703927606984507E-5</c:v>
                </c:pt>
                <c:pt idx="1509">
                  <c:v>8.351642941306647E-5</c:v>
                </c:pt>
                <c:pt idx="1510">
                  <c:v>1.175792294816344E-4</c:v>
                </c:pt>
                <c:pt idx="1511">
                  <c:v>1.4434007789532183E-4</c:v>
                </c:pt>
                <c:pt idx="1512">
                  <c:v>9.8732554761227369E-5</c:v>
                </c:pt>
                <c:pt idx="1513">
                  <c:v>4.4767302824766423E-5</c:v>
                </c:pt>
                <c:pt idx="1514">
                  <c:v>7.3936245826189257E-5</c:v>
                </c:pt>
                <c:pt idx="1515">
                  <c:v>4.9646412662695998E-5</c:v>
                </c:pt>
                <c:pt idx="1516">
                  <c:v>4.7002060455270383E-5</c:v>
                </c:pt>
                <c:pt idx="1517">
                  <c:v>4.7645072299928728E-5</c:v>
                </c:pt>
                <c:pt idx="1518">
                  <c:v>1.3699386272492131E-4</c:v>
                </c:pt>
                <c:pt idx="1519">
                  <c:v>4.9990231673291446E-5</c:v>
                </c:pt>
                <c:pt idx="1520">
                  <c:v>1.0281657159794175E-4</c:v>
                </c:pt>
                <c:pt idx="1521">
                  <c:v>7.2303395427297503E-5</c:v>
                </c:pt>
                <c:pt idx="1522">
                  <c:v>5.7879515225067003E-5</c:v>
                </c:pt>
                <c:pt idx="1523">
                  <c:v>8.377204721909926E-5</c:v>
                </c:pt>
                <c:pt idx="1524">
                  <c:v>4.0741253314990778E-5</c:v>
                </c:pt>
                <c:pt idx="1525">
                  <c:v>6.9370054916360814E-5</c:v>
                </c:pt>
                <c:pt idx="1526">
                  <c:v>6.0534657677635002E-5</c:v>
                </c:pt>
                <c:pt idx="1527">
                  <c:v>1.008842700684928E-4</c:v>
                </c:pt>
                <c:pt idx="1528">
                  <c:v>1.3095689246256346E-4</c:v>
                </c:pt>
                <c:pt idx="1529">
                  <c:v>1.02766036434332E-4</c:v>
                </c:pt>
                <c:pt idx="1530">
                  <c:v>1.363642695650921E-4</c:v>
                </c:pt>
                <c:pt idx="1531">
                  <c:v>1.4858780195936555E-4</c:v>
                </c:pt>
                <c:pt idx="1532">
                  <c:v>7.1286493948719121E-5</c:v>
                </c:pt>
                <c:pt idx="1533">
                  <c:v>3.399227534828227E-5</c:v>
                </c:pt>
                <c:pt idx="1534">
                  <c:v>1.3390610547503462E-4</c:v>
                </c:pt>
                <c:pt idx="1535">
                  <c:v>7.1189724621945196E-5</c:v>
                </c:pt>
                <c:pt idx="1536">
                  <c:v>1.0772741006803688E-4</c:v>
                </c:pt>
                <c:pt idx="1537">
                  <c:v>1.345792843494564E-4</c:v>
                </c:pt>
                <c:pt idx="1538">
                  <c:v>1.0133291380043369E-4</c:v>
                </c:pt>
                <c:pt idx="1539">
                  <c:v>1.6063081602624149E-4</c:v>
                </c:pt>
                <c:pt idx="1540">
                  <c:v>8.8160727500508006E-5</c:v>
                </c:pt>
                <c:pt idx="1541">
                  <c:v>1.2753442297253043E-4</c:v>
                </c:pt>
                <c:pt idx="1542">
                  <c:v>1.1035961415473163E-4</c:v>
                </c:pt>
                <c:pt idx="1543">
                  <c:v>1.4467494111158851E-5</c:v>
                </c:pt>
                <c:pt idx="1544">
                  <c:v>6.9125591835473004E-5</c:v>
                </c:pt>
                <c:pt idx="1545">
                  <c:v>6.0786951507907998E-5</c:v>
                </c:pt>
                <c:pt idx="1546">
                  <c:v>7.4047493399121748E-5</c:v>
                </c:pt>
                <c:pt idx="1547">
                  <c:v>1.07486550405156E-4</c:v>
                </c:pt>
                <c:pt idx="1548">
                  <c:v>1.195710735828471E-4</c:v>
                </c:pt>
                <c:pt idx="1549">
                  <c:v>9.1604832960002147E-5</c:v>
                </c:pt>
                <c:pt idx="1550">
                  <c:v>9.0384273789825007E-5</c:v>
                </c:pt>
                <c:pt idx="1551">
                  <c:v>1.1941206230403642E-4</c:v>
                </c:pt>
                <c:pt idx="1552">
                  <c:v>1.930327554191536E-4</c:v>
                </c:pt>
                <c:pt idx="1553">
                  <c:v>6.9539126343443072E-5</c:v>
                </c:pt>
                <c:pt idx="1554">
                  <c:v>1.3264664539747168E-4</c:v>
                </c:pt>
                <c:pt idx="1555">
                  <c:v>1.4366780487762298E-4</c:v>
                </c:pt>
                <c:pt idx="1556">
                  <c:v>7.6456322403828272E-5</c:v>
                </c:pt>
                <c:pt idx="1557">
                  <c:v>7.8382975516433335E-5</c:v>
                </c:pt>
                <c:pt idx="1558">
                  <c:v>9.8634193363977883E-5</c:v>
                </c:pt>
                <c:pt idx="1559">
                  <c:v>7.9337329225381796E-5</c:v>
                </c:pt>
                <c:pt idx="1560">
                  <c:v>1.002425621550172E-4</c:v>
                </c:pt>
                <c:pt idx="1561">
                  <c:v>4.6047931789416927E-5</c:v>
                </c:pt>
                <c:pt idx="1562">
                  <c:v>1.2699203762167575E-4</c:v>
                </c:pt>
                <c:pt idx="1563">
                  <c:v>1.0320379806216801E-4</c:v>
                </c:pt>
                <c:pt idx="1564">
                  <c:v>8.8683731519268003E-5</c:v>
                </c:pt>
                <c:pt idx="1565">
                  <c:v>6.2206888287619127E-5</c:v>
                </c:pt>
                <c:pt idx="1566">
                  <c:v>7.6634876222669995E-5</c:v>
                </c:pt>
                <c:pt idx="1567">
                  <c:v>6.1167276385276759E-5</c:v>
                </c:pt>
                <c:pt idx="1568">
                  <c:v>1.0406255751149574E-4</c:v>
                </c:pt>
                <c:pt idx="1569">
                  <c:v>5.4844691476320002E-5</c:v>
                </c:pt>
                <c:pt idx="1570">
                  <c:v>1.530370063846945E-4</c:v>
                </c:pt>
                <c:pt idx="1571">
                  <c:v>5.9569290897342996E-5</c:v>
                </c:pt>
                <c:pt idx="1572">
                  <c:v>8.9392819063505009E-5</c:v>
                </c:pt>
                <c:pt idx="1573">
                  <c:v>1.5182632000687574E-4</c:v>
                </c:pt>
                <c:pt idx="1574">
                  <c:v>1.1692204861902251E-4</c:v>
                </c:pt>
                <c:pt idx="1575">
                  <c:v>1.219758851220824E-4</c:v>
                </c:pt>
                <c:pt idx="1576">
                  <c:v>1.4111409109318634E-4</c:v>
                </c:pt>
                <c:pt idx="1577">
                  <c:v>1.0975587065331632E-4</c:v>
                </c:pt>
                <c:pt idx="1578">
                  <c:v>1.3694527342522658E-4</c:v>
                </c:pt>
                <c:pt idx="1579">
                  <c:v>1.56555313651552E-4</c:v>
                </c:pt>
                <c:pt idx="1580">
                  <c:v>7.0403053769041204E-5</c:v>
                </c:pt>
                <c:pt idx="1581">
                  <c:v>8.9647311142471451E-5</c:v>
                </c:pt>
                <c:pt idx="1582">
                  <c:v>1.009980569506298E-4</c:v>
                </c:pt>
                <c:pt idx="1583">
                  <c:v>1.1999901562376181E-4</c:v>
                </c:pt>
                <c:pt idx="1584">
                  <c:v>1.6973463789327059E-4</c:v>
                </c:pt>
                <c:pt idx="1585">
                  <c:v>3.4849639632739222E-5</c:v>
                </c:pt>
                <c:pt idx="1586">
                  <c:v>1.845288222739325E-4</c:v>
                </c:pt>
                <c:pt idx="1587">
                  <c:v>1.0506782928132475E-4</c:v>
                </c:pt>
                <c:pt idx="1588">
                  <c:v>7.3135115599143509E-5</c:v>
                </c:pt>
                <c:pt idx="1589">
                  <c:v>5.1009490562137271E-5</c:v>
                </c:pt>
                <c:pt idx="1590">
                  <c:v>8.1172551517738666E-5</c:v>
                </c:pt>
                <c:pt idx="1591">
                  <c:v>7.9857813375383774E-5</c:v>
                </c:pt>
                <c:pt idx="1592">
                  <c:v>6.5203399572056492E-5</c:v>
                </c:pt>
                <c:pt idx="1593">
                  <c:v>1.4760512567590825E-4</c:v>
                </c:pt>
                <c:pt idx="1594">
                  <c:v>9.1704612714240498E-5</c:v>
                </c:pt>
                <c:pt idx="1595">
                  <c:v>1.538020987936765E-4</c:v>
                </c:pt>
                <c:pt idx="1596">
                  <c:v>6.5080579133791399E-5</c:v>
                </c:pt>
                <c:pt idx="1597">
                  <c:v>1.8188121157436521E-4</c:v>
                </c:pt>
                <c:pt idx="1598">
                  <c:v>8.1867066910492508E-5</c:v>
                </c:pt>
                <c:pt idx="1599">
                  <c:v>6.0772366850870252E-5</c:v>
                </c:pt>
                <c:pt idx="1600">
                  <c:v>1.8918854584626382E-4</c:v>
                </c:pt>
                <c:pt idx="1601">
                  <c:v>1.2338062970229617E-4</c:v>
                </c:pt>
                <c:pt idx="1602">
                  <c:v>2.2346214336721481E-4</c:v>
                </c:pt>
                <c:pt idx="1603">
                  <c:v>1.0489508895261669E-4</c:v>
                </c:pt>
                <c:pt idx="1604">
                  <c:v>1.5302605788747331E-4</c:v>
                </c:pt>
                <c:pt idx="1605">
                  <c:v>3.4629593756107876E-5</c:v>
                </c:pt>
                <c:pt idx="1606">
                  <c:v>8.072823584370778E-5</c:v>
                </c:pt>
                <c:pt idx="1607">
                  <c:v>9.0067372184421158E-5</c:v>
                </c:pt>
                <c:pt idx="1608">
                  <c:v>1.1344879158059483E-4</c:v>
                </c:pt>
                <c:pt idx="1609">
                  <c:v>1.0297087192157052E-4</c:v>
                </c:pt>
                <c:pt idx="1610">
                  <c:v>1.5678799536544824E-4</c:v>
                </c:pt>
                <c:pt idx="1611">
                  <c:v>1.4940214532543875E-4</c:v>
                </c:pt>
                <c:pt idx="1612">
                  <c:v>7.8904282418079512E-5</c:v>
                </c:pt>
                <c:pt idx="1613">
                  <c:v>1.4267628421293918E-4</c:v>
                </c:pt>
                <c:pt idx="1614">
                  <c:v>1.6830873755679959E-4</c:v>
                </c:pt>
                <c:pt idx="1615">
                  <c:v>8.9242666945210807E-5</c:v>
                </c:pt>
                <c:pt idx="1616">
                  <c:v>2.4243231018772498E-4</c:v>
                </c:pt>
                <c:pt idx="1617">
                  <c:v>1.01298021036198E-4</c:v>
                </c:pt>
                <c:pt idx="1618">
                  <c:v>3.6507754703052076E-4</c:v>
                </c:pt>
                <c:pt idx="1619">
                  <c:v>6.5046548115788001E-5</c:v>
                </c:pt>
                <c:pt idx="1620">
                  <c:v>2.5249455120501807E-4</c:v>
                </c:pt>
                <c:pt idx="1621">
                  <c:v>2.0724462865473413E-4</c:v>
                </c:pt>
                <c:pt idx="1622">
                  <c:v>1.3965854304842E-4</c:v>
                </c:pt>
                <c:pt idx="1623">
                  <c:v>8.0501034972257993E-5</c:v>
                </c:pt>
                <c:pt idx="1624">
                  <c:v>1.0806157297338275E-4</c:v>
                </c:pt>
                <c:pt idx="1625">
                  <c:v>1.5089933003764602E-4</c:v>
                </c:pt>
                <c:pt idx="1626">
                  <c:v>1.3484232113114574E-4</c:v>
                </c:pt>
                <c:pt idx="1627">
                  <c:v>5.9526577388169298E-5</c:v>
                </c:pt>
                <c:pt idx="1628">
                  <c:v>1.4920859575795459E-4</c:v>
                </c:pt>
                <c:pt idx="1629">
                  <c:v>1.2577138318192748E-4</c:v>
                </c:pt>
                <c:pt idx="1630">
                  <c:v>1.6861315907590329E-4</c:v>
                </c:pt>
                <c:pt idx="1631">
                  <c:v>9.9603816579474464E-5</c:v>
                </c:pt>
                <c:pt idx="1632">
                  <c:v>8.2797516370192116E-5</c:v>
                </c:pt>
                <c:pt idx="1633">
                  <c:v>7.1262039455177755E-5</c:v>
                </c:pt>
                <c:pt idx="1634">
                  <c:v>1.4588975682272573E-4</c:v>
                </c:pt>
                <c:pt idx="1635">
                  <c:v>6.3632829551352242E-5</c:v>
                </c:pt>
                <c:pt idx="1636">
                  <c:v>1.3764197683485701E-4</c:v>
                </c:pt>
                <c:pt idx="1637">
                  <c:v>1.0326433221052862E-4</c:v>
                </c:pt>
                <c:pt idx="1638">
                  <c:v>1.8173739408666839E-4</c:v>
                </c:pt>
                <c:pt idx="1639">
                  <c:v>1.0272912186337639E-4</c:v>
                </c:pt>
                <c:pt idx="1640">
                  <c:v>1.5670638458686951E-4</c:v>
                </c:pt>
                <c:pt idx="1641">
                  <c:v>2.3534386855317448E-4</c:v>
                </c:pt>
                <c:pt idx="1642">
                  <c:v>1.07640706119127E-4</c:v>
                </c:pt>
                <c:pt idx="1643">
                  <c:v>3.2897358505579156E-4</c:v>
                </c:pt>
                <c:pt idx="1644">
                  <c:v>3.87014683269626E-5</c:v>
                </c:pt>
                <c:pt idx="1645">
                  <c:v>1.74978967152128E-4</c:v>
                </c:pt>
                <c:pt idx="1646">
                  <c:v>1.9128204439766751E-4</c:v>
                </c:pt>
                <c:pt idx="1647">
                  <c:v>1.7495328211225561E-4</c:v>
                </c:pt>
                <c:pt idx="1648">
                  <c:v>1.4243997213725374E-4</c:v>
                </c:pt>
                <c:pt idx="1649">
                  <c:v>2.5225743593182453E-4</c:v>
                </c:pt>
                <c:pt idx="1650">
                  <c:v>2.3298669066207378E-4</c:v>
                </c:pt>
                <c:pt idx="1651">
                  <c:v>1.9958448501711262E-4</c:v>
                </c:pt>
                <c:pt idx="1652">
                  <c:v>1.8487090210328474E-4</c:v>
                </c:pt>
                <c:pt idx="1653">
                  <c:v>7.2701071076153149E-5</c:v>
                </c:pt>
                <c:pt idx="1654">
                  <c:v>1.776631925167749E-4</c:v>
                </c:pt>
                <c:pt idx="1655">
                  <c:v>1.1176413136126946E-4</c:v>
                </c:pt>
                <c:pt idx="1656">
                  <c:v>1.3096018437863682E-4</c:v>
                </c:pt>
                <c:pt idx="1657">
                  <c:v>9.8937438451685201E-5</c:v>
                </c:pt>
                <c:pt idx="1658">
                  <c:v>1.0621367232488379E-4</c:v>
                </c:pt>
                <c:pt idx="1659">
                  <c:v>9.9138604127802253E-5</c:v>
                </c:pt>
                <c:pt idx="1660">
                  <c:v>6.3776449678698175E-5</c:v>
                </c:pt>
                <c:pt idx="1661">
                  <c:v>9.1995741058781521E-5</c:v>
                </c:pt>
                <c:pt idx="1662">
                  <c:v>1.3746174590778537E-4</c:v>
                </c:pt>
                <c:pt idx="1663">
                  <c:v>1.1737973363779025E-4</c:v>
                </c:pt>
                <c:pt idx="1664">
                  <c:v>1.6887145829969251E-4</c:v>
                </c:pt>
                <c:pt idx="1665">
                  <c:v>1.9505315140122651E-4</c:v>
                </c:pt>
                <c:pt idx="1666">
                  <c:v>1.720020954962825E-4</c:v>
                </c:pt>
                <c:pt idx="1667">
                  <c:v>1.23027322842972E-4</c:v>
                </c:pt>
                <c:pt idx="1668">
                  <c:v>2.465242832840886E-4</c:v>
                </c:pt>
                <c:pt idx="1669">
                  <c:v>7.9941521107684645E-5</c:v>
                </c:pt>
                <c:pt idx="1670">
                  <c:v>1.7712765838951249E-4</c:v>
                </c:pt>
                <c:pt idx="1671">
                  <c:v>2.13217888813233E-4</c:v>
                </c:pt>
                <c:pt idx="1672">
                  <c:v>1.2282421334930388E-4</c:v>
                </c:pt>
                <c:pt idx="1673">
                  <c:v>1.88870351848891E-4</c:v>
                </c:pt>
                <c:pt idx="1674">
                  <c:v>1.2139250611653474E-4</c:v>
                </c:pt>
                <c:pt idx="1675">
                  <c:v>2.5081670014515139E-4</c:v>
                </c:pt>
                <c:pt idx="1676">
                  <c:v>1.6926084208535036E-4</c:v>
                </c:pt>
                <c:pt idx="1677">
                  <c:v>1.6018244241422502E-4</c:v>
                </c:pt>
                <c:pt idx="1678">
                  <c:v>1.5318970372391063E-4</c:v>
                </c:pt>
                <c:pt idx="1679">
                  <c:v>1.1427793515395024E-4</c:v>
                </c:pt>
                <c:pt idx="1680">
                  <c:v>1.1672596974676705E-4</c:v>
                </c:pt>
                <c:pt idx="1681">
                  <c:v>7.820457062734915E-5</c:v>
                </c:pt>
                <c:pt idx="1682">
                  <c:v>2.0895773542406454E-4</c:v>
                </c:pt>
                <c:pt idx="1683">
                  <c:v>1.7481939880781289E-4</c:v>
                </c:pt>
                <c:pt idx="1684">
                  <c:v>1.4196224765328225E-4</c:v>
                </c:pt>
                <c:pt idx="1685">
                  <c:v>7.7256454460439137E-5</c:v>
                </c:pt>
                <c:pt idx="1686">
                  <c:v>2.0130241500737584E-4</c:v>
                </c:pt>
                <c:pt idx="1687">
                  <c:v>2.2908695427759069E-4</c:v>
                </c:pt>
                <c:pt idx="1688">
                  <c:v>1.6389638039981889E-4</c:v>
                </c:pt>
                <c:pt idx="1689">
                  <c:v>1.7478932568338023E-4</c:v>
                </c:pt>
                <c:pt idx="1690">
                  <c:v>3.0941657314542545E-4</c:v>
                </c:pt>
                <c:pt idx="1691">
                  <c:v>2.9378351609921115E-4</c:v>
                </c:pt>
                <c:pt idx="1692">
                  <c:v>2.3925823916215428E-4</c:v>
                </c:pt>
                <c:pt idx="1693">
                  <c:v>2.8810856656491513E-4</c:v>
                </c:pt>
                <c:pt idx="1694">
                  <c:v>1.7366872634738749E-4</c:v>
                </c:pt>
                <c:pt idx="1695">
                  <c:v>2.5029400421772147E-4</c:v>
                </c:pt>
                <c:pt idx="1696">
                  <c:v>2.0699500419141259E-4</c:v>
                </c:pt>
                <c:pt idx="1697">
                  <c:v>1.6177738507394676E-4</c:v>
                </c:pt>
                <c:pt idx="1698">
                  <c:v>1.6380340639443624E-4</c:v>
                </c:pt>
                <c:pt idx="1699">
                  <c:v>1.152922959590795E-4</c:v>
                </c:pt>
                <c:pt idx="1700">
                  <c:v>2.5487548373348529E-4</c:v>
                </c:pt>
                <c:pt idx="1701">
                  <c:v>9.7817428866165049E-5</c:v>
                </c:pt>
                <c:pt idx="1702">
                  <c:v>3.4298337959626213E-4</c:v>
                </c:pt>
                <c:pt idx="1703">
                  <c:v>1.7696317127047212E-4</c:v>
                </c:pt>
                <c:pt idx="1704">
                  <c:v>2.7590033096203142E-4</c:v>
                </c:pt>
                <c:pt idx="1705">
                  <c:v>2.2447306037065562E-4</c:v>
                </c:pt>
                <c:pt idx="1706">
                  <c:v>1.9286189444756022E-4</c:v>
                </c:pt>
                <c:pt idx="1707">
                  <c:v>2.5875693972920983E-4</c:v>
                </c:pt>
                <c:pt idx="1708">
                  <c:v>1.7474500600656023E-4</c:v>
                </c:pt>
                <c:pt idx="1709">
                  <c:v>2.9731902577623286E-4</c:v>
                </c:pt>
                <c:pt idx="1710">
                  <c:v>4.5479738764697686E-4</c:v>
                </c:pt>
                <c:pt idx="1711">
                  <c:v>2.1690699941245844E-4</c:v>
                </c:pt>
                <c:pt idx="1712">
                  <c:v>6.7984427096234943E-4</c:v>
                </c:pt>
                <c:pt idx="1713">
                  <c:v>2.160302210540985E-4</c:v>
                </c:pt>
                <c:pt idx="1714">
                  <c:v>4.6636186016257847E-4</c:v>
                </c:pt>
                <c:pt idx="1715">
                  <c:v>3.6314184944785644E-4</c:v>
                </c:pt>
                <c:pt idx="1716">
                  <c:v>3.1364489041152432E-4</c:v>
                </c:pt>
                <c:pt idx="1717">
                  <c:v>3.1251040036295362E-4</c:v>
                </c:pt>
                <c:pt idx="1718">
                  <c:v>2.82713110209443E-4</c:v>
                </c:pt>
                <c:pt idx="1719">
                  <c:v>1.3205217328504638E-4</c:v>
                </c:pt>
                <c:pt idx="1720">
                  <c:v>1.8285906389792214E-4</c:v>
                </c:pt>
                <c:pt idx="1721">
                  <c:v>2.7625107213680188E-4</c:v>
                </c:pt>
                <c:pt idx="1722">
                  <c:v>1.4155699864204502E-4</c:v>
                </c:pt>
                <c:pt idx="1723">
                  <c:v>1.4344873579830145E-4</c:v>
                </c:pt>
                <c:pt idx="1724">
                  <c:v>2.0578704425133927E-4</c:v>
                </c:pt>
              </c:numCache>
            </c:numRef>
          </c:val>
          <c:smooth val="0"/>
        </c:ser>
        <c:dLbls>
          <c:showLegendKey val="0"/>
          <c:showVal val="0"/>
          <c:showCatName val="0"/>
          <c:showSerName val="0"/>
          <c:showPercent val="0"/>
          <c:showBubbleSize val="0"/>
        </c:dLbls>
        <c:smooth val="0"/>
        <c:axId val="-1391724624"/>
        <c:axId val="-1391718640"/>
      </c:lineChart>
      <c:catAx>
        <c:axId val="-139172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18640"/>
        <c:crosses val="autoZero"/>
        <c:auto val="1"/>
        <c:lblAlgn val="ctr"/>
        <c:lblOffset val="100"/>
        <c:noMultiLvlLbl val="0"/>
      </c:catAx>
      <c:valAx>
        <c:axId val="-13917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246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multiLvlStrRef>
              <c:f>Run_BASE!$A$2:$A$75</c:f>
              <c:multiLvlStrCache>
                <c:ptCount val="72"/>
                <c:lvl>
                  <c:pt idx="69">
                    <c:v>69</c:v>
                  </c:pt>
                  <c:pt idx="70">
                    <c:v>70</c:v>
                  </c:pt>
                  <c:pt idx="71">
                    <c:v>71</c:v>
                  </c:pt>
                </c:lvl>
                <c:lvl>
                  <c:pt idx="0">
                    <c:v>2018-07-25-08:00</c:v>
                  </c:pt>
                  <c:pt idx="1">
                    <c:v>2018-07-25-09:00</c:v>
                  </c:pt>
                  <c:pt idx="2">
                    <c:v>2018-07-25-10:00</c:v>
                  </c:pt>
                  <c:pt idx="3">
                    <c:v>2018-07-25-11:00</c:v>
                  </c:pt>
                  <c:pt idx="4">
                    <c:v>2018-07-25-12:00</c:v>
                  </c:pt>
                  <c:pt idx="5">
                    <c:v>2018-07-25-13:00</c:v>
                  </c:pt>
                  <c:pt idx="6">
                    <c:v>2018-07-25-14:00</c:v>
                  </c:pt>
                  <c:pt idx="7">
                    <c:v>2018-07-25-15:00</c:v>
                  </c:pt>
                  <c:pt idx="8">
                    <c:v>2018-07-25-16:00</c:v>
                  </c:pt>
                  <c:pt idx="9">
                    <c:v>2018-07-25-17:00</c:v>
                  </c:pt>
                  <c:pt idx="10">
                    <c:v>2018-07-25-18:00</c:v>
                  </c:pt>
                  <c:pt idx="11">
                    <c:v>2018-07-25-19:00</c:v>
                  </c:pt>
                  <c:pt idx="12">
                    <c:v>2018-07-25-20:00</c:v>
                  </c:pt>
                  <c:pt idx="13">
                    <c:v>2018-07-25-21:00</c:v>
                  </c:pt>
                  <c:pt idx="14">
                    <c:v>2018-07-25-22:00</c:v>
                  </c:pt>
                  <c:pt idx="15">
                    <c:v>2018-07-25-23:00</c:v>
                  </c:pt>
                  <c:pt idx="16">
                    <c:v>2018-07-26-00:00</c:v>
                  </c:pt>
                  <c:pt idx="17">
                    <c:v>2018-07-26-01:00</c:v>
                  </c:pt>
                  <c:pt idx="18">
                    <c:v>2018-07-26-02:00</c:v>
                  </c:pt>
                  <c:pt idx="19">
                    <c:v>2018-07-26-03:00</c:v>
                  </c:pt>
                  <c:pt idx="20">
                    <c:v>2018-07-26-04:00</c:v>
                  </c:pt>
                  <c:pt idx="21">
                    <c:v>2018-07-26-05:00</c:v>
                  </c:pt>
                  <c:pt idx="22">
                    <c:v>2018-07-26-06:00</c:v>
                  </c:pt>
                  <c:pt idx="23">
                    <c:v>2018-07-26-07:00</c:v>
                  </c:pt>
                  <c:pt idx="24">
                    <c:v>2018-07-26-08:00</c:v>
                  </c:pt>
                  <c:pt idx="25">
                    <c:v>2018-07-26-09:00</c:v>
                  </c:pt>
                  <c:pt idx="26">
                    <c:v>2018-07-26-10:00</c:v>
                  </c:pt>
                  <c:pt idx="27">
                    <c:v>2018-07-26-11:00</c:v>
                  </c:pt>
                  <c:pt idx="28">
                    <c:v>2018-07-26-12:00</c:v>
                  </c:pt>
                  <c:pt idx="29">
                    <c:v>2018-07-26-13:00</c:v>
                  </c:pt>
                  <c:pt idx="30">
                    <c:v>2018-07-26-14:00</c:v>
                  </c:pt>
                  <c:pt idx="31">
                    <c:v>2018-07-26-15:00</c:v>
                  </c:pt>
                  <c:pt idx="32">
                    <c:v>2018-07-26-16:00</c:v>
                  </c:pt>
                  <c:pt idx="33">
                    <c:v>2018-07-26-17:00</c:v>
                  </c:pt>
                  <c:pt idx="34">
                    <c:v>2018-07-26-18:00</c:v>
                  </c:pt>
                  <c:pt idx="35">
                    <c:v>2018-07-26-19:00</c:v>
                  </c:pt>
                  <c:pt idx="36">
                    <c:v>2018-07-26-20:00</c:v>
                  </c:pt>
                  <c:pt idx="37">
                    <c:v>2018-07-26-21:00</c:v>
                  </c:pt>
                  <c:pt idx="38">
                    <c:v>2018-07-26-22:00</c:v>
                  </c:pt>
                  <c:pt idx="39">
                    <c:v>2018-07-26-23:00</c:v>
                  </c:pt>
                  <c:pt idx="40">
                    <c:v>2018-07-27-00:00</c:v>
                  </c:pt>
                  <c:pt idx="41">
                    <c:v>2018-07-27-01:00</c:v>
                  </c:pt>
                  <c:pt idx="42">
                    <c:v>2018-07-27-02:00</c:v>
                  </c:pt>
                  <c:pt idx="43">
                    <c:v>2018-07-27-03:00</c:v>
                  </c:pt>
                  <c:pt idx="44">
                    <c:v>2018-07-27-04:00</c:v>
                  </c:pt>
                  <c:pt idx="45">
                    <c:v>2018-07-27-05:00</c:v>
                  </c:pt>
                  <c:pt idx="46">
                    <c:v>2018-07-27-06:00</c:v>
                  </c:pt>
                  <c:pt idx="47">
                    <c:v>2018-07-27-07:00</c:v>
                  </c:pt>
                  <c:pt idx="48">
                    <c:v>2018-07-27-08:00</c:v>
                  </c:pt>
                  <c:pt idx="49">
                    <c:v>2018-07-27-09:00</c:v>
                  </c:pt>
                  <c:pt idx="50">
                    <c:v>2018-07-27-10:00</c:v>
                  </c:pt>
                  <c:pt idx="51">
                    <c:v>2018-07-27-11:00</c:v>
                  </c:pt>
                  <c:pt idx="52">
                    <c:v>2018-07-27-12:00</c:v>
                  </c:pt>
                  <c:pt idx="53">
                    <c:v>2018-07-27-13:00</c:v>
                  </c:pt>
                  <c:pt idx="54">
                    <c:v>2018-07-27-14:00</c:v>
                  </c:pt>
                  <c:pt idx="55">
                    <c:v>2018-07-27-15:00</c:v>
                  </c:pt>
                  <c:pt idx="56">
                    <c:v>2018-07-27-16:00</c:v>
                  </c:pt>
                  <c:pt idx="57">
                    <c:v>2018-07-27-17:00</c:v>
                  </c:pt>
                  <c:pt idx="58">
                    <c:v>2018-07-27-18:00</c:v>
                  </c:pt>
                  <c:pt idx="59">
                    <c:v>2018-07-27-19:00</c:v>
                  </c:pt>
                  <c:pt idx="60">
                    <c:v>2018-07-27-20:00</c:v>
                  </c:pt>
                  <c:pt idx="61">
                    <c:v>2018-07-27-21:00</c:v>
                  </c:pt>
                  <c:pt idx="62">
                    <c:v>2018-07-27-22:00</c:v>
                  </c:pt>
                  <c:pt idx="63">
                    <c:v>2018-07-27-23:00</c:v>
                  </c:pt>
                  <c:pt idx="64">
                    <c:v>2018-07-30-00:00</c:v>
                  </c:pt>
                  <c:pt idx="65">
                    <c:v>2018-07-30-01:00</c:v>
                  </c:pt>
                  <c:pt idx="66">
                    <c:v>2018-07-30-02:00</c:v>
                  </c:pt>
                  <c:pt idx="67">
                    <c:v>2018-07-30-03:00</c:v>
                  </c:pt>
                  <c:pt idx="68">
                    <c:v>2018-07-30-04:00</c:v>
                  </c:pt>
                  <c:pt idx="69">
                    <c:v>9999-99-99-99:99</c:v>
                  </c:pt>
                </c:lvl>
              </c:multiLvlStrCache>
            </c:multiLvlStrRef>
          </c:cat>
          <c:val>
            <c:numRef>
              <c:f>Run_BASE!$B$2:$B$75</c:f>
              <c:numCache>
                <c:formatCode>0.00000</c:formatCode>
                <c:ptCount val="72"/>
                <c:pt idx="0">
                  <c:v>1.1682575345039352</c:v>
                </c:pt>
                <c:pt idx="1">
                  <c:v>1.1690800189971899</c:v>
                </c:pt>
                <c:pt idx="2">
                  <c:v>1.1692175269126874</c:v>
                </c:pt>
                <c:pt idx="3">
                  <c:v>1.1690249741077401</c:v>
                </c:pt>
                <c:pt idx="4">
                  <c:v>1.1699250042438525</c:v>
                </c:pt>
                <c:pt idx="5">
                  <c:v>1.1697050034999874</c:v>
                </c:pt>
                <c:pt idx="6">
                  <c:v>1.1693825125694275</c:v>
                </c:pt>
                <c:pt idx="7">
                  <c:v>1.1694424748420724</c:v>
                </c:pt>
                <c:pt idx="8">
                  <c:v>1.1699849963188149</c:v>
                </c:pt>
                <c:pt idx="9">
                  <c:v>1.1684624850749949</c:v>
                </c:pt>
                <c:pt idx="10">
                  <c:v>1.1673249602317801</c:v>
                </c:pt>
                <c:pt idx="11">
                  <c:v>1.1676025092601776</c:v>
                </c:pt>
                <c:pt idx="12">
                  <c:v>1.1687700152397149</c:v>
                </c:pt>
                <c:pt idx="13">
                  <c:v>1.1700724959373476</c:v>
                </c:pt>
                <c:pt idx="14">
                  <c:v>1.171657502651215</c:v>
                </c:pt>
                <c:pt idx="15">
                  <c:v>1.1727750003337849</c:v>
                </c:pt>
                <c:pt idx="16">
                  <c:v>1.1725600063800825</c:v>
                </c:pt>
                <c:pt idx="17">
                  <c:v>1.1726324856281276</c:v>
                </c:pt>
                <c:pt idx="18">
                  <c:v>1.1734150052070624</c:v>
                </c:pt>
                <c:pt idx="19">
                  <c:v>1.17348748445511</c:v>
                </c:pt>
                <c:pt idx="20">
                  <c:v>1.1735224723815925</c:v>
                </c:pt>
                <c:pt idx="21">
                  <c:v>1.173359990119935</c:v>
                </c:pt>
                <c:pt idx="22">
                  <c:v>1.1733424961566925</c:v>
                </c:pt>
                <c:pt idx="23">
                  <c:v>1.1731449961662275</c:v>
                </c:pt>
                <c:pt idx="24">
                  <c:v>1.1731824874877925</c:v>
                </c:pt>
                <c:pt idx="25">
                  <c:v>1.1730699837207774</c:v>
                </c:pt>
                <c:pt idx="26">
                  <c:v>1.1727575361728675</c:v>
                </c:pt>
                <c:pt idx="27">
                  <c:v>1.1719225049018875</c:v>
                </c:pt>
                <c:pt idx="28">
                  <c:v>1.1712050139904024</c:v>
                </c:pt>
                <c:pt idx="29">
                  <c:v>1.1711800396442427</c:v>
                </c:pt>
                <c:pt idx="30">
                  <c:v>1.1710400283336648</c:v>
                </c:pt>
                <c:pt idx="31">
                  <c:v>1.1705974936485299</c:v>
                </c:pt>
                <c:pt idx="32">
                  <c:v>1.1686399877071376</c:v>
                </c:pt>
                <c:pt idx="33">
                  <c:v>1.1667975187301625</c:v>
                </c:pt>
                <c:pt idx="34">
                  <c:v>1.1656950116157498</c:v>
                </c:pt>
                <c:pt idx="35">
                  <c:v>1.1657399833202375</c:v>
                </c:pt>
                <c:pt idx="36">
                  <c:v>1.165872514247895</c:v>
                </c:pt>
                <c:pt idx="37">
                  <c:v>1.1648975014686573</c:v>
                </c:pt>
                <c:pt idx="38">
                  <c:v>1.1643275022506725</c:v>
                </c:pt>
                <c:pt idx="39">
                  <c:v>1.1642925143241873</c:v>
                </c:pt>
                <c:pt idx="40">
                  <c:v>1.1640450358390799</c:v>
                </c:pt>
                <c:pt idx="41">
                  <c:v>1.1639575064182275</c:v>
                </c:pt>
                <c:pt idx="42">
                  <c:v>1.16413250565529</c:v>
                </c:pt>
                <c:pt idx="43">
                  <c:v>1.164189994335175</c:v>
                </c:pt>
                <c:pt idx="44">
                  <c:v>1.1642374992370623</c:v>
                </c:pt>
                <c:pt idx="45">
                  <c:v>1.16474497318268</c:v>
                </c:pt>
                <c:pt idx="46">
                  <c:v>1.1650574803352352</c:v>
                </c:pt>
                <c:pt idx="47">
                  <c:v>1.1647900044918049</c:v>
                </c:pt>
                <c:pt idx="48">
                  <c:v>1.1645824909210225</c:v>
                </c:pt>
                <c:pt idx="49">
                  <c:v>1.16445752978325</c:v>
                </c:pt>
                <c:pt idx="50">
                  <c:v>1.16474249958992</c:v>
                </c:pt>
                <c:pt idx="51">
                  <c:v>1.1635424792766575</c:v>
                </c:pt>
                <c:pt idx="52">
                  <c:v>1.1626049876213076</c:v>
                </c:pt>
                <c:pt idx="53">
                  <c:v>1.1626524925231951</c:v>
                </c:pt>
                <c:pt idx="54">
                  <c:v>1.1626099944114676</c:v>
                </c:pt>
                <c:pt idx="55">
                  <c:v>1.1631049811840048</c:v>
                </c:pt>
                <c:pt idx="56">
                  <c:v>1.16458496451378</c:v>
                </c:pt>
                <c:pt idx="57">
                  <c:v>1.165409982204435</c:v>
                </c:pt>
                <c:pt idx="58">
                  <c:v>1.1654474735260001</c:v>
                </c:pt>
                <c:pt idx="59">
                  <c:v>1.1655700206756601</c:v>
                </c:pt>
                <c:pt idx="60">
                  <c:v>1.165647476911545</c:v>
                </c:pt>
                <c:pt idx="61">
                  <c:v>1.165652483701705</c:v>
                </c:pt>
                <c:pt idx="62">
                  <c:v>1.1658050119876848</c:v>
                </c:pt>
                <c:pt idx="63">
                  <c:v>1.16568499803543</c:v>
                </c:pt>
                <c:pt idx="64">
                  <c:v>1.1656225025653848</c:v>
                </c:pt>
                <c:pt idx="65">
                  <c:v>1.1658074855804426</c:v>
                </c:pt>
                <c:pt idx="66">
                  <c:v>1.1658774912357326</c:v>
                </c:pt>
                <c:pt idx="67">
                  <c:v>1.165914982557295</c:v>
                </c:pt>
                <c:pt idx="68">
                  <c:v>1.1657150089740751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multiLvlStrRef>
              <c:f>Run_BASE!$A$2:$A$75</c:f>
              <c:multiLvlStrCache>
                <c:ptCount val="72"/>
                <c:lvl>
                  <c:pt idx="69">
                    <c:v>69</c:v>
                  </c:pt>
                  <c:pt idx="70">
                    <c:v>70</c:v>
                  </c:pt>
                  <c:pt idx="71">
                    <c:v>71</c:v>
                  </c:pt>
                </c:lvl>
                <c:lvl>
                  <c:pt idx="0">
                    <c:v>2018-07-25-08:00</c:v>
                  </c:pt>
                  <c:pt idx="1">
                    <c:v>2018-07-25-09:00</c:v>
                  </c:pt>
                  <c:pt idx="2">
                    <c:v>2018-07-25-10:00</c:v>
                  </c:pt>
                  <c:pt idx="3">
                    <c:v>2018-07-25-11:00</c:v>
                  </c:pt>
                  <c:pt idx="4">
                    <c:v>2018-07-25-12:00</c:v>
                  </c:pt>
                  <c:pt idx="5">
                    <c:v>2018-07-25-13:00</c:v>
                  </c:pt>
                  <c:pt idx="6">
                    <c:v>2018-07-25-14:00</c:v>
                  </c:pt>
                  <c:pt idx="7">
                    <c:v>2018-07-25-15:00</c:v>
                  </c:pt>
                  <c:pt idx="8">
                    <c:v>2018-07-25-16:00</c:v>
                  </c:pt>
                  <c:pt idx="9">
                    <c:v>2018-07-25-17:00</c:v>
                  </c:pt>
                  <c:pt idx="10">
                    <c:v>2018-07-25-18:00</c:v>
                  </c:pt>
                  <c:pt idx="11">
                    <c:v>2018-07-25-19:00</c:v>
                  </c:pt>
                  <c:pt idx="12">
                    <c:v>2018-07-25-20:00</c:v>
                  </c:pt>
                  <c:pt idx="13">
                    <c:v>2018-07-25-21:00</c:v>
                  </c:pt>
                  <c:pt idx="14">
                    <c:v>2018-07-25-22:00</c:v>
                  </c:pt>
                  <c:pt idx="15">
                    <c:v>2018-07-25-23:00</c:v>
                  </c:pt>
                  <c:pt idx="16">
                    <c:v>2018-07-26-00:00</c:v>
                  </c:pt>
                  <c:pt idx="17">
                    <c:v>2018-07-26-01:00</c:v>
                  </c:pt>
                  <c:pt idx="18">
                    <c:v>2018-07-26-02:00</c:v>
                  </c:pt>
                  <c:pt idx="19">
                    <c:v>2018-07-26-03:00</c:v>
                  </c:pt>
                  <c:pt idx="20">
                    <c:v>2018-07-26-04:00</c:v>
                  </c:pt>
                  <c:pt idx="21">
                    <c:v>2018-07-26-05:00</c:v>
                  </c:pt>
                  <c:pt idx="22">
                    <c:v>2018-07-26-06:00</c:v>
                  </c:pt>
                  <c:pt idx="23">
                    <c:v>2018-07-26-07:00</c:v>
                  </c:pt>
                  <c:pt idx="24">
                    <c:v>2018-07-26-08:00</c:v>
                  </c:pt>
                  <c:pt idx="25">
                    <c:v>2018-07-26-09:00</c:v>
                  </c:pt>
                  <c:pt idx="26">
                    <c:v>2018-07-26-10:00</c:v>
                  </c:pt>
                  <c:pt idx="27">
                    <c:v>2018-07-26-11:00</c:v>
                  </c:pt>
                  <c:pt idx="28">
                    <c:v>2018-07-26-12:00</c:v>
                  </c:pt>
                  <c:pt idx="29">
                    <c:v>2018-07-26-13:00</c:v>
                  </c:pt>
                  <c:pt idx="30">
                    <c:v>2018-07-26-14:00</c:v>
                  </c:pt>
                  <c:pt idx="31">
                    <c:v>2018-07-26-15:00</c:v>
                  </c:pt>
                  <c:pt idx="32">
                    <c:v>2018-07-26-16:00</c:v>
                  </c:pt>
                  <c:pt idx="33">
                    <c:v>2018-07-26-17:00</c:v>
                  </c:pt>
                  <c:pt idx="34">
                    <c:v>2018-07-26-18:00</c:v>
                  </c:pt>
                  <c:pt idx="35">
                    <c:v>2018-07-26-19:00</c:v>
                  </c:pt>
                  <c:pt idx="36">
                    <c:v>2018-07-26-20:00</c:v>
                  </c:pt>
                  <c:pt idx="37">
                    <c:v>2018-07-26-21:00</c:v>
                  </c:pt>
                  <c:pt idx="38">
                    <c:v>2018-07-26-22:00</c:v>
                  </c:pt>
                  <c:pt idx="39">
                    <c:v>2018-07-26-23:00</c:v>
                  </c:pt>
                  <c:pt idx="40">
                    <c:v>2018-07-27-00:00</c:v>
                  </c:pt>
                  <c:pt idx="41">
                    <c:v>2018-07-27-01:00</c:v>
                  </c:pt>
                  <c:pt idx="42">
                    <c:v>2018-07-27-02:00</c:v>
                  </c:pt>
                  <c:pt idx="43">
                    <c:v>2018-07-27-03:00</c:v>
                  </c:pt>
                  <c:pt idx="44">
                    <c:v>2018-07-27-04:00</c:v>
                  </c:pt>
                  <c:pt idx="45">
                    <c:v>2018-07-27-05:00</c:v>
                  </c:pt>
                  <c:pt idx="46">
                    <c:v>2018-07-27-06:00</c:v>
                  </c:pt>
                  <c:pt idx="47">
                    <c:v>2018-07-27-07:00</c:v>
                  </c:pt>
                  <c:pt idx="48">
                    <c:v>2018-07-27-08:00</c:v>
                  </c:pt>
                  <c:pt idx="49">
                    <c:v>2018-07-27-09:00</c:v>
                  </c:pt>
                  <c:pt idx="50">
                    <c:v>2018-07-27-10:00</c:v>
                  </c:pt>
                  <c:pt idx="51">
                    <c:v>2018-07-27-11:00</c:v>
                  </c:pt>
                  <c:pt idx="52">
                    <c:v>2018-07-27-12:00</c:v>
                  </c:pt>
                  <c:pt idx="53">
                    <c:v>2018-07-27-13:00</c:v>
                  </c:pt>
                  <c:pt idx="54">
                    <c:v>2018-07-27-14:00</c:v>
                  </c:pt>
                  <c:pt idx="55">
                    <c:v>2018-07-27-15:00</c:v>
                  </c:pt>
                  <c:pt idx="56">
                    <c:v>2018-07-27-16:00</c:v>
                  </c:pt>
                  <c:pt idx="57">
                    <c:v>2018-07-27-17:00</c:v>
                  </c:pt>
                  <c:pt idx="58">
                    <c:v>2018-07-27-18:00</c:v>
                  </c:pt>
                  <c:pt idx="59">
                    <c:v>2018-07-27-19:00</c:v>
                  </c:pt>
                  <c:pt idx="60">
                    <c:v>2018-07-27-20:00</c:v>
                  </c:pt>
                  <c:pt idx="61">
                    <c:v>2018-07-27-21:00</c:v>
                  </c:pt>
                  <c:pt idx="62">
                    <c:v>2018-07-27-22:00</c:v>
                  </c:pt>
                  <c:pt idx="63">
                    <c:v>2018-07-27-23:00</c:v>
                  </c:pt>
                  <c:pt idx="64">
                    <c:v>2018-07-30-00:00</c:v>
                  </c:pt>
                  <c:pt idx="65">
                    <c:v>2018-07-30-01:00</c:v>
                  </c:pt>
                  <c:pt idx="66">
                    <c:v>2018-07-30-02:00</c:v>
                  </c:pt>
                  <c:pt idx="67">
                    <c:v>2018-07-30-03:00</c:v>
                  </c:pt>
                  <c:pt idx="68">
                    <c:v>2018-07-30-04:00</c:v>
                  </c:pt>
                  <c:pt idx="69">
                    <c:v>9999-99-99-99:99</c:v>
                  </c:pt>
                </c:lvl>
              </c:multiLvlStrCache>
            </c:multiLvlStrRef>
          </c:cat>
          <c:val>
            <c:numRef>
              <c:f>Run_BASE!$C$2:$C$75</c:f>
              <c:numCache>
                <c:formatCode>0.00000</c:formatCode>
                <c:ptCount val="72"/>
                <c:pt idx="50">
                  <c:v>1.1646664142608649</c:v>
                </c:pt>
                <c:pt idx="51">
                  <c:v>1.1634386181831375</c:v>
                </c:pt>
                <c:pt idx="52">
                  <c:v>1.1626640856266024</c:v>
                </c:pt>
                <c:pt idx="53">
                  <c:v>1.1626466810703275</c:v>
                </c:pt>
                <c:pt idx="54">
                  <c:v>1.1626290678977975</c:v>
                </c:pt>
                <c:pt idx="55">
                  <c:v>1.1631410419940951</c:v>
                </c:pt>
                <c:pt idx="56">
                  <c:v>1.16459384560585</c:v>
                </c:pt>
                <c:pt idx="57">
                  <c:v>1.1653997600078574</c:v>
                </c:pt>
                <c:pt idx="58">
                  <c:v>1.16555255651474</c:v>
                </c:pt>
                <c:pt idx="59">
                  <c:v>1.1655928790569301</c:v>
                </c:pt>
                <c:pt idx="60">
                  <c:v>1.1656179726123825</c:v>
                </c:pt>
                <c:pt idx="61">
                  <c:v>1.1656000316143027</c:v>
                </c:pt>
                <c:pt idx="62">
                  <c:v>1.1658709049224849</c:v>
                </c:pt>
                <c:pt idx="63">
                  <c:v>1.165627658367155</c:v>
                </c:pt>
                <c:pt idx="64">
                  <c:v>1.1656549572944626</c:v>
                </c:pt>
                <c:pt idx="65">
                  <c:v>1.1658319234848051</c:v>
                </c:pt>
                <c:pt idx="66">
                  <c:v>1.1657792925834674</c:v>
                </c:pt>
                <c:pt idx="67">
                  <c:v>1.1658676862716699</c:v>
                </c:pt>
                <c:pt idx="68">
                  <c:v>1.1657538712024698</c:v>
                </c:pt>
                <c:pt idx="69">
                  <c:v>1.1652449369430524</c:v>
                </c:pt>
                <c:pt idx="70">
                  <c:v>1.1654430627822874</c:v>
                </c:pt>
                <c:pt idx="71">
                  <c:v>1.1655417978763576</c:v>
                </c:pt>
              </c:numCache>
            </c:numRef>
          </c:val>
          <c:smooth val="0"/>
        </c:ser>
        <c:dLbls>
          <c:showLegendKey val="0"/>
          <c:showVal val="0"/>
          <c:showCatName val="0"/>
          <c:showSerName val="0"/>
          <c:showPercent val="0"/>
          <c:showBubbleSize val="0"/>
        </c:dLbls>
        <c:marker val="1"/>
        <c:smooth val="0"/>
        <c:axId val="-1391727888"/>
        <c:axId val="-1391731152"/>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multiLvlStrRef>
              <c:f>Run_BASE!$A$2:$A$75</c:f>
              <c:multiLvlStrCache>
                <c:ptCount val="72"/>
                <c:lvl>
                  <c:pt idx="69">
                    <c:v>69</c:v>
                  </c:pt>
                  <c:pt idx="70">
                    <c:v>70</c:v>
                  </c:pt>
                  <c:pt idx="71">
                    <c:v>71</c:v>
                  </c:pt>
                </c:lvl>
                <c:lvl>
                  <c:pt idx="0">
                    <c:v>2018-07-25-08:00</c:v>
                  </c:pt>
                  <c:pt idx="1">
                    <c:v>2018-07-25-09:00</c:v>
                  </c:pt>
                  <c:pt idx="2">
                    <c:v>2018-07-25-10:00</c:v>
                  </c:pt>
                  <c:pt idx="3">
                    <c:v>2018-07-25-11:00</c:v>
                  </c:pt>
                  <c:pt idx="4">
                    <c:v>2018-07-25-12:00</c:v>
                  </c:pt>
                  <c:pt idx="5">
                    <c:v>2018-07-25-13:00</c:v>
                  </c:pt>
                  <c:pt idx="6">
                    <c:v>2018-07-25-14:00</c:v>
                  </c:pt>
                  <c:pt idx="7">
                    <c:v>2018-07-25-15:00</c:v>
                  </c:pt>
                  <c:pt idx="8">
                    <c:v>2018-07-25-16:00</c:v>
                  </c:pt>
                  <c:pt idx="9">
                    <c:v>2018-07-25-17:00</c:v>
                  </c:pt>
                  <c:pt idx="10">
                    <c:v>2018-07-25-18:00</c:v>
                  </c:pt>
                  <c:pt idx="11">
                    <c:v>2018-07-25-19:00</c:v>
                  </c:pt>
                  <c:pt idx="12">
                    <c:v>2018-07-25-20:00</c:v>
                  </c:pt>
                  <c:pt idx="13">
                    <c:v>2018-07-25-21:00</c:v>
                  </c:pt>
                  <c:pt idx="14">
                    <c:v>2018-07-25-22:00</c:v>
                  </c:pt>
                  <c:pt idx="15">
                    <c:v>2018-07-25-23:00</c:v>
                  </c:pt>
                  <c:pt idx="16">
                    <c:v>2018-07-26-00:00</c:v>
                  </c:pt>
                  <c:pt idx="17">
                    <c:v>2018-07-26-01:00</c:v>
                  </c:pt>
                  <c:pt idx="18">
                    <c:v>2018-07-26-02:00</c:v>
                  </c:pt>
                  <c:pt idx="19">
                    <c:v>2018-07-26-03:00</c:v>
                  </c:pt>
                  <c:pt idx="20">
                    <c:v>2018-07-26-04:00</c:v>
                  </c:pt>
                  <c:pt idx="21">
                    <c:v>2018-07-26-05:00</c:v>
                  </c:pt>
                  <c:pt idx="22">
                    <c:v>2018-07-26-06:00</c:v>
                  </c:pt>
                  <c:pt idx="23">
                    <c:v>2018-07-26-07:00</c:v>
                  </c:pt>
                  <c:pt idx="24">
                    <c:v>2018-07-26-08:00</c:v>
                  </c:pt>
                  <c:pt idx="25">
                    <c:v>2018-07-26-09:00</c:v>
                  </c:pt>
                  <c:pt idx="26">
                    <c:v>2018-07-26-10:00</c:v>
                  </c:pt>
                  <c:pt idx="27">
                    <c:v>2018-07-26-11:00</c:v>
                  </c:pt>
                  <c:pt idx="28">
                    <c:v>2018-07-26-12:00</c:v>
                  </c:pt>
                  <c:pt idx="29">
                    <c:v>2018-07-26-13:00</c:v>
                  </c:pt>
                  <c:pt idx="30">
                    <c:v>2018-07-26-14:00</c:v>
                  </c:pt>
                  <c:pt idx="31">
                    <c:v>2018-07-26-15:00</c:v>
                  </c:pt>
                  <c:pt idx="32">
                    <c:v>2018-07-26-16:00</c:v>
                  </c:pt>
                  <c:pt idx="33">
                    <c:v>2018-07-26-17:00</c:v>
                  </c:pt>
                  <c:pt idx="34">
                    <c:v>2018-07-26-18:00</c:v>
                  </c:pt>
                  <c:pt idx="35">
                    <c:v>2018-07-26-19:00</c:v>
                  </c:pt>
                  <c:pt idx="36">
                    <c:v>2018-07-26-20:00</c:v>
                  </c:pt>
                  <c:pt idx="37">
                    <c:v>2018-07-26-21:00</c:v>
                  </c:pt>
                  <c:pt idx="38">
                    <c:v>2018-07-26-22:00</c:v>
                  </c:pt>
                  <c:pt idx="39">
                    <c:v>2018-07-26-23:00</c:v>
                  </c:pt>
                  <c:pt idx="40">
                    <c:v>2018-07-27-00:00</c:v>
                  </c:pt>
                  <c:pt idx="41">
                    <c:v>2018-07-27-01:00</c:v>
                  </c:pt>
                  <c:pt idx="42">
                    <c:v>2018-07-27-02:00</c:v>
                  </c:pt>
                  <c:pt idx="43">
                    <c:v>2018-07-27-03:00</c:v>
                  </c:pt>
                  <c:pt idx="44">
                    <c:v>2018-07-27-04:00</c:v>
                  </c:pt>
                  <c:pt idx="45">
                    <c:v>2018-07-27-05:00</c:v>
                  </c:pt>
                  <c:pt idx="46">
                    <c:v>2018-07-27-06:00</c:v>
                  </c:pt>
                  <c:pt idx="47">
                    <c:v>2018-07-27-07:00</c:v>
                  </c:pt>
                  <c:pt idx="48">
                    <c:v>2018-07-27-08:00</c:v>
                  </c:pt>
                  <c:pt idx="49">
                    <c:v>2018-07-27-09:00</c:v>
                  </c:pt>
                  <c:pt idx="50">
                    <c:v>2018-07-27-10:00</c:v>
                  </c:pt>
                  <c:pt idx="51">
                    <c:v>2018-07-27-11:00</c:v>
                  </c:pt>
                  <c:pt idx="52">
                    <c:v>2018-07-27-12:00</c:v>
                  </c:pt>
                  <c:pt idx="53">
                    <c:v>2018-07-27-13:00</c:v>
                  </c:pt>
                  <c:pt idx="54">
                    <c:v>2018-07-27-14:00</c:v>
                  </c:pt>
                  <c:pt idx="55">
                    <c:v>2018-07-27-15:00</c:v>
                  </c:pt>
                  <c:pt idx="56">
                    <c:v>2018-07-27-16:00</c:v>
                  </c:pt>
                  <c:pt idx="57">
                    <c:v>2018-07-27-17:00</c:v>
                  </c:pt>
                  <c:pt idx="58">
                    <c:v>2018-07-27-18:00</c:v>
                  </c:pt>
                  <c:pt idx="59">
                    <c:v>2018-07-27-19:00</c:v>
                  </c:pt>
                  <c:pt idx="60">
                    <c:v>2018-07-27-20:00</c:v>
                  </c:pt>
                  <c:pt idx="61">
                    <c:v>2018-07-27-21:00</c:v>
                  </c:pt>
                  <c:pt idx="62">
                    <c:v>2018-07-27-22:00</c:v>
                  </c:pt>
                  <c:pt idx="63">
                    <c:v>2018-07-27-23:00</c:v>
                  </c:pt>
                  <c:pt idx="64">
                    <c:v>2018-07-30-00:00</c:v>
                  </c:pt>
                  <c:pt idx="65">
                    <c:v>2018-07-30-01:00</c:v>
                  </c:pt>
                  <c:pt idx="66">
                    <c:v>2018-07-30-02:00</c:v>
                  </c:pt>
                  <c:pt idx="67">
                    <c:v>2018-07-30-03:00</c:v>
                  </c:pt>
                  <c:pt idx="68">
                    <c:v>2018-07-30-04:00</c:v>
                  </c:pt>
                  <c:pt idx="69">
                    <c:v>9999-99-99-99:99</c:v>
                  </c:pt>
                </c:lvl>
              </c:multiLvlStrCache>
            </c:multiLvlStrRef>
          </c:cat>
          <c:val>
            <c:numRef>
              <c:f>Run_BASE!$D$2:$D$75</c:f>
              <c:numCache>
                <c:formatCode>0.00000</c:formatCode>
                <c:ptCount val="72"/>
                <c:pt idx="50">
                  <c:v>1.1107325553499999E-4</c:v>
                </c:pt>
                <c:pt idx="51">
                  <c:v>1.3980269432E-4</c:v>
                </c:pt>
                <c:pt idx="52">
                  <c:v>9.1344118119999999E-5</c:v>
                </c:pt>
                <c:pt idx="53">
                  <c:v>4.1753053667500001E-5</c:v>
                </c:pt>
                <c:pt idx="54">
                  <c:v>7.3850154875000011E-5</c:v>
                </c:pt>
                <c:pt idx="55">
                  <c:v>7.0333480834999996E-5</c:v>
                </c:pt>
                <c:pt idx="56">
                  <c:v>7.2062015534999992E-5</c:v>
                </c:pt>
                <c:pt idx="57">
                  <c:v>6.4343214037499994E-5</c:v>
                </c:pt>
                <c:pt idx="58">
                  <c:v>1.5133619308499999E-4</c:v>
                </c:pt>
                <c:pt idx="59">
                  <c:v>1.05530023575E-4</c:v>
                </c:pt>
                <c:pt idx="60">
                  <c:v>1.302361488325E-4</c:v>
                </c:pt>
                <c:pt idx="61">
                  <c:v>1.4859437942749999E-4</c:v>
                </c:pt>
                <c:pt idx="62">
                  <c:v>7.6442956924999998E-5</c:v>
                </c:pt>
                <c:pt idx="63">
                  <c:v>8.9645385745000002E-5</c:v>
                </c:pt>
                <c:pt idx="64">
                  <c:v>8.0734491342500001E-5</c:v>
                </c:pt>
                <c:pt idx="65">
                  <c:v>9.9599361417500006E-5</c:v>
                </c:pt>
                <c:pt idx="66">
                  <c:v>1.30981206895E-4</c:v>
                </c:pt>
                <c:pt idx="67">
                  <c:v>7.8171491624999995E-5</c:v>
                </c:pt>
                <c:pt idx="68">
                  <c:v>1.9288063049500002E-4</c:v>
                </c:pt>
              </c:numCache>
            </c:numRef>
          </c:val>
          <c:smooth val="0"/>
        </c:ser>
        <c:dLbls>
          <c:showLegendKey val="0"/>
          <c:showVal val="0"/>
          <c:showCatName val="0"/>
          <c:showSerName val="0"/>
          <c:showPercent val="0"/>
          <c:showBubbleSize val="0"/>
        </c:dLbls>
        <c:marker val="1"/>
        <c:smooth val="0"/>
        <c:axId val="-991465696"/>
        <c:axId val="-991476032"/>
      </c:lineChart>
      <c:catAx>
        <c:axId val="-139172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31152"/>
        <c:crosses val="autoZero"/>
        <c:auto val="1"/>
        <c:lblAlgn val="ctr"/>
        <c:lblOffset val="100"/>
        <c:noMultiLvlLbl val="0"/>
      </c:catAx>
      <c:valAx>
        <c:axId val="-13917311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27888"/>
        <c:crosses val="autoZero"/>
        <c:crossBetween val="between"/>
      </c:valAx>
      <c:valAx>
        <c:axId val="-9914760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465696"/>
        <c:crosses val="max"/>
        <c:crossBetween val="between"/>
      </c:valAx>
      <c:catAx>
        <c:axId val="-991465696"/>
        <c:scaling>
          <c:orientation val="minMax"/>
        </c:scaling>
        <c:delete val="1"/>
        <c:axPos val="b"/>
        <c:numFmt formatCode="General" sourceLinked="1"/>
        <c:majorTickMark val="out"/>
        <c:minorTickMark val="none"/>
        <c:tickLblPos val="nextTo"/>
        <c:crossAx val="-991476032"/>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RunErrVsMSER!$A$5:$A$28</c:f>
              <c:strCache>
                <c:ptCount val="23"/>
                <c:pt idx="0">
                  <c:v>3332715.5</c:v>
                </c:pt>
                <c:pt idx="1">
                  <c:v>3332711.75</c:v>
                </c:pt>
                <c:pt idx="2">
                  <c:v>3332706.25</c:v>
                </c:pt>
                <c:pt idx="3">
                  <c:v>3332700.75</c:v>
                </c:pt>
                <c:pt idx="4">
                  <c:v>3332698.75</c:v>
                </c:pt>
                <c:pt idx="5">
                  <c:v>3332698.5</c:v>
                </c:pt>
                <c:pt idx="6">
                  <c:v>3332697.75</c:v>
                </c:pt>
                <c:pt idx="7">
                  <c:v>3332697</c:v>
                </c:pt>
                <c:pt idx="8">
                  <c:v>3332695.5</c:v>
                </c:pt>
                <c:pt idx="9">
                  <c:v>3332694.5</c:v>
                </c:pt>
                <c:pt idx="10">
                  <c:v>3332693.75</c:v>
                </c:pt>
                <c:pt idx="11">
                  <c:v>3332693.25</c:v>
                </c:pt>
                <c:pt idx="12">
                  <c:v>3332691.75</c:v>
                </c:pt>
                <c:pt idx="13">
                  <c:v>3332686.5</c:v>
                </c:pt>
                <c:pt idx="14">
                  <c:v>3332686.25</c:v>
                </c:pt>
                <c:pt idx="15">
                  <c:v>3332684.75</c:v>
                </c:pt>
                <c:pt idx="16">
                  <c:v>3332683.75</c:v>
                </c:pt>
                <c:pt idx="17">
                  <c:v>3332682.75</c:v>
                </c:pt>
                <c:pt idx="18">
                  <c:v>3332680.25</c:v>
                </c:pt>
                <c:pt idx="19">
                  <c:v>3332676.75</c:v>
                </c:pt>
                <c:pt idx="20">
                  <c:v>3332676.25</c:v>
                </c:pt>
                <c:pt idx="21">
                  <c:v>3332670.5</c:v>
                </c:pt>
                <c:pt idx="22">
                  <c:v>3332669.75</c:v>
                </c:pt>
              </c:strCache>
            </c:strRef>
          </c:cat>
          <c:val>
            <c:numRef>
              <c:f>RunErrVsMSER!$B$5:$B$28</c:f>
              <c:numCache>
                <c:formatCode>General</c:formatCode>
                <c:ptCount val="23"/>
                <c:pt idx="0">
                  <c:v>5.0224243130191663E-3</c:v>
                </c:pt>
                <c:pt idx="1">
                  <c:v>6.5641059535616678E-3</c:v>
                </c:pt>
                <c:pt idx="2">
                  <c:v>5.635572805706611E-3</c:v>
                </c:pt>
                <c:pt idx="3">
                  <c:v>5.2274415226604126E-3</c:v>
                </c:pt>
                <c:pt idx="4">
                  <c:v>5.479486597132069E-3</c:v>
                </c:pt>
                <c:pt idx="5">
                  <c:v>6.6671894670243623E-3</c:v>
                </c:pt>
                <c:pt idx="6">
                  <c:v>5.8527560276592054E-3</c:v>
                </c:pt>
                <c:pt idx="7">
                  <c:v>5.3070759259801863E-3</c:v>
                </c:pt>
                <c:pt idx="8">
                  <c:v>3.7549615310701152E-3</c:v>
                </c:pt>
                <c:pt idx="9">
                  <c:v>4.9216710582473148E-3</c:v>
                </c:pt>
                <c:pt idx="10">
                  <c:v>4.5014885752033247E-3</c:v>
                </c:pt>
                <c:pt idx="11">
                  <c:v>6.5484429452274647E-3</c:v>
                </c:pt>
                <c:pt idx="12">
                  <c:v>5.9232847844740439E-3</c:v>
                </c:pt>
                <c:pt idx="13">
                  <c:v>6.0661030369565435E-3</c:v>
                </c:pt>
                <c:pt idx="14">
                  <c:v>5.4350883361429861E-3</c:v>
                </c:pt>
                <c:pt idx="15">
                  <c:v>5.7122119347025897E-3</c:v>
                </c:pt>
                <c:pt idx="16">
                  <c:v>4.8337060556820615E-3</c:v>
                </c:pt>
                <c:pt idx="17">
                  <c:v>5.1786954465665438E-3</c:v>
                </c:pt>
                <c:pt idx="18">
                  <c:v>5.4252904619236965E-3</c:v>
                </c:pt>
                <c:pt idx="19">
                  <c:v>6.730489579862658E-3</c:v>
                </c:pt>
                <c:pt idx="20">
                  <c:v>5.2359290849907959E-3</c:v>
                </c:pt>
                <c:pt idx="21">
                  <c:v>5.4392737005592232E-3</c:v>
                </c:pt>
                <c:pt idx="22">
                  <c:v>4.493320066677943E-3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RunErrVsMSER!$A$5:$A$28</c:f>
              <c:strCache>
                <c:ptCount val="23"/>
                <c:pt idx="0">
                  <c:v>3332715.5</c:v>
                </c:pt>
                <c:pt idx="1">
                  <c:v>3332711.75</c:v>
                </c:pt>
                <c:pt idx="2">
                  <c:v>3332706.25</c:v>
                </c:pt>
                <c:pt idx="3">
                  <c:v>3332700.75</c:v>
                </c:pt>
                <c:pt idx="4">
                  <c:v>3332698.75</c:v>
                </c:pt>
                <c:pt idx="5">
                  <c:v>3332698.5</c:v>
                </c:pt>
                <c:pt idx="6">
                  <c:v>3332697.75</c:v>
                </c:pt>
                <c:pt idx="7">
                  <c:v>3332697</c:v>
                </c:pt>
                <c:pt idx="8">
                  <c:v>3332695.5</c:v>
                </c:pt>
                <c:pt idx="9">
                  <c:v>3332694.5</c:v>
                </c:pt>
                <c:pt idx="10">
                  <c:v>3332693.75</c:v>
                </c:pt>
                <c:pt idx="11">
                  <c:v>3332693.25</c:v>
                </c:pt>
                <c:pt idx="12">
                  <c:v>3332691.75</c:v>
                </c:pt>
                <c:pt idx="13">
                  <c:v>3332686.5</c:v>
                </c:pt>
                <c:pt idx="14">
                  <c:v>3332686.25</c:v>
                </c:pt>
                <c:pt idx="15">
                  <c:v>3332684.75</c:v>
                </c:pt>
                <c:pt idx="16">
                  <c:v>3332683.75</c:v>
                </c:pt>
                <c:pt idx="17">
                  <c:v>3332682.75</c:v>
                </c:pt>
                <c:pt idx="18">
                  <c:v>3332680.25</c:v>
                </c:pt>
                <c:pt idx="19">
                  <c:v>3332676.75</c:v>
                </c:pt>
                <c:pt idx="20">
                  <c:v>3332676.25</c:v>
                </c:pt>
                <c:pt idx="21">
                  <c:v>3332670.5</c:v>
                </c:pt>
                <c:pt idx="22">
                  <c:v>3332669.75</c:v>
                </c:pt>
              </c:strCache>
            </c:strRef>
          </c:cat>
          <c:val>
            <c:numRef>
              <c:f>RunErrVsMSER!$C$5:$C$28</c:f>
              <c:numCache>
                <c:formatCode>General</c:formatCode>
                <c:ptCount val="23"/>
                <c:pt idx="0">
                  <c:v>9.6970970139708789E-5</c:v>
                </c:pt>
                <c:pt idx="1">
                  <c:v>1.2748874525258508E-4</c:v>
                </c:pt>
                <c:pt idx="2">
                  <c:v>1.0787485057574611E-4</c:v>
                </c:pt>
                <c:pt idx="3">
                  <c:v>1.0158056807085839E-4</c:v>
                </c:pt>
                <c:pt idx="4">
                  <c:v>1.0672436975243592E-4</c:v>
                </c:pt>
                <c:pt idx="5">
                  <c:v>1.3157890091526094E-4</c:v>
                </c:pt>
                <c:pt idx="6">
                  <c:v>1.1321993534501856E-4</c:v>
                </c:pt>
                <c:pt idx="7">
                  <c:v>1.0387206064502894E-4</c:v>
                </c:pt>
                <c:pt idx="8">
                  <c:v>7.3207097662868439E-5</c:v>
                </c:pt>
                <c:pt idx="9">
                  <c:v>9.6281096076429549E-5</c:v>
                </c:pt>
                <c:pt idx="10">
                  <c:v>8.813027980935609E-5</c:v>
                </c:pt>
                <c:pt idx="11">
                  <c:v>1.2670893494259896E-4</c:v>
                </c:pt>
                <c:pt idx="12">
                  <c:v>1.150330356147988E-4</c:v>
                </c:pt>
                <c:pt idx="13">
                  <c:v>1.1810857926931055E-4</c:v>
                </c:pt>
                <c:pt idx="14">
                  <c:v>1.0729098496659868E-4</c:v>
                </c:pt>
                <c:pt idx="15">
                  <c:v>1.1018497504341888E-4</c:v>
                </c:pt>
                <c:pt idx="16">
                  <c:v>9.3902032834816202E-5</c:v>
                </c:pt>
                <c:pt idx="17">
                  <c:v>9.9870402012034072E-5</c:v>
                </c:pt>
                <c:pt idx="18">
                  <c:v>1.025639098411615E-4</c:v>
                </c:pt>
                <c:pt idx="19">
                  <c:v>1.2992761904977098E-4</c:v>
                </c:pt>
                <c:pt idx="20">
                  <c:v>1.0167282712365318E-4</c:v>
                </c:pt>
                <c:pt idx="21">
                  <c:v>1.0635341215591243E-4</c:v>
                </c:pt>
                <c:pt idx="22">
                  <c:v>8.8329740091658843E-5</c:v>
                </c:pt>
              </c:numCache>
            </c:numRef>
          </c:val>
          <c:smooth val="0"/>
        </c:ser>
        <c:dLbls>
          <c:showLegendKey val="0"/>
          <c:showVal val="0"/>
          <c:showCatName val="0"/>
          <c:showSerName val="0"/>
          <c:showPercent val="0"/>
          <c:showBubbleSize val="0"/>
        </c:dLbls>
        <c:marker val="1"/>
        <c:smooth val="0"/>
        <c:axId val="-1391721360"/>
        <c:axId val="-1391720816"/>
      </c:lineChart>
      <c:catAx>
        <c:axId val="-139172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20816"/>
        <c:crosses val="autoZero"/>
        <c:auto val="1"/>
        <c:lblAlgn val="ctr"/>
        <c:lblOffset val="100"/>
        <c:noMultiLvlLbl val="0"/>
      </c:catAx>
      <c:valAx>
        <c:axId val="-139172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21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1391718096"/>
        <c:axId val="-1391719728"/>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1391716464"/>
        <c:axId val="-1391717008"/>
      </c:lineChart>
      <c:catAx>
        <c:axId val="-139171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19728"/>
        <c:crosses val="autoZero"/>
        <c:auto val="1"/>
        <c:lblAlgn val="ctr"/>
        <c:lblOffset val="100"/>
        <c:noMultiLvlLbl val="0"/>
      </c:catAx>
      <c:valAx>
        <c:axId val="-13917197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18096"/>
        <c:crosses val="autoZero"/>
        <c:crossBetween val="between"/>
      </c:valAx>
      <c:valAx>
        <c:axId val="-139171700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716464"/>
        <c:crosses val="max"/>
        <c:crossBetween val="between"/>
      </c:valAx>
      <c:catAx>
        <c:axId val="-1391716464"/>
        <c:scaling>
          <c:orientation val="minMax"/>
        </c:scaling>
        <c:delete val="1"/>
        <c:axPos val="b"/>
        <c:numFmt formatCode="General" sourceLinked="1"/>
        <c:majorTickMark val="out"/>
        <c:minorTickMark val="none"/>
        <c:tickLblPos val="nextTo"/>
        <c:crossAx val="-13917170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1079838144"/>
        <c:axId val="-1079833792"/>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1079829440"/>
        <c:axId val="-1079836512"/>
      </c:lineChart>
      <c:catAx>
        <c:axId val="-107983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33792"/>
        <c:crosses val="autoZero"/>
        <c:auto val="1"/>
        <c:lblAlgn val="ctr"/>
        <c:lblOffset val="100"/>
        <c:noMultiLvlLbl val="0"/>
      </c:catAx>
      <c:valAx>
        <c:axId val="-1079833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38144"/>
        <c:crosses val="autoZero"/>
        <c:crossBetween val="between"/>
      </c:valAx>
      <c:valAx>
        <c:axId val="-10798365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29440"/>
        <c:crosses val="max"/>
        <c:crossBetween val="between"/>
      </c:valAx>
      <c:catAx>
        <c:axId val="-1079829440"/>
        <c:scaling>
          <c:orientation val="minMax"/>
        </c:scaling>
        <c:delete val="1"/>
        <c:axPos val="b"/>
        <c:numFmt formatCode="General" sourceLinked="1"/>
        <c:majorTickMark val="out"/>
        <c:minorTickMark val="none"/>
        <c:tickLblPos val="nextTo"/>
        <c:crossAx val="-10798365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079832160"/>
        <c:axId val="-1079839232"/>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079840320"/>
        <c:axId val="-1079837056"/>
      </c:lineChart>
      <c:catAx>
        <c:axId val="-107983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39232"/>
        <c:crosses val="autoZero"/>
        <c:auto val="1"/>
        <c:lblAlgn val="ctr"/>
        <c:lblOffset val="100"/>
        <c:noMultiLvlLbl val="0"/>
      </c:catAx>
      <c:valAx>
        <c:axId val="-107983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32160"/>
        <c:crosses val="autoZero"/>
        <c:crossBetween val="between"/>
      </c:valAx>
      <c:valAx>
        <c:axId val="-10798370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40320"/>
        <c:crosses val="max"/>
        <c:crossBetween val="between"/>
      </c:valAx>
      <c:catAx>
        <c:axId val="-1079840320"/>
        <c:scaling>
          <c:orientation val="minMax"/>
        </c:scaling>
        <c:delete val="1"/>
        <c:axPos val="b"/>
        <c:numFmt formatCode="General" sourceLinked="1"/>
        <c:majorTickMark val="out"/>
        <c:minorTickMark val="none"/>
        <c:tickLblPos val="nextTo"/>
        <c:crossAx val="-10798370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079833248"/>
        <c:axId val="-107983977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079841408"/>
        <c:axId val="-1079829984"/>
      </c:lineChart>
      <c:catAx>
        <c:axId val="-107983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39776"/>
        <c:crosses val="autoZero"/>
        <c:auto val="1"/>
        <c:lblAlgn val="ctr"/>
        <c:lblOffset val="100"/>
        <c:noMultiLvlLbl val="0"/>
      </c:catAx>
      <c:valAx>
        <c:axId val="-107983977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33248"/>
        <c:crosses val="autoZero"/>
        <c:crossBetween val="between"/>
      </c:valAx>
      <c:valAx>
        <c:axId val="-107982998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841408"/>
        <c:crosses val="max"/>
        <c:crossBetween val="between"/>
      </c:valAx>
      <c:catAx>
        <c:axId val="-1079841408"/>
        <c:scaling>
          <c:orientation val="minMax"/>
        </c:scaling>
        <c:delete val="1"/>
        <c:axPos val="b"/>
        <c:numFmt formatCode="General" sourceLinked="1"/>
        <c:majorTickMark val="out"/>
        <c:minorTickMark val="none"/>
        <c:tickLblPos val="nextTo"/>
        <c:crossAx val="-10798299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44</xdr:row>
      <xdr:rowOff>45944</xdr:rowOff>
    </xdr:from>
    <xdr:ext cx="1815353" cy="2524125"/>
    <mc:AlternateContent xmlns:mc="http://schemas.openxmlformats.org/markup-compatibility/2006">
      <mc:Choice xmlns:a14="http://schemas.microsoft.com/office/drawing/2010/main"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dr:sp macro="" textlink="">
          <xdr:nvSpPr>
            <xdr:cNvPr id="0" name=""/>
            <xdr:cNvSpPr>
              <a:spLocks noTextEdit="1"/>
            </xdr:cNvSpPr>
          </xdr:nvSpPr>
          <xdr:spPr>
            <a:xfrm>
              <a:off x="5952565" y="842794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29</xdr:row>
      <xdr:rowOff>112059</xdr:rowOff>
    </xdr:from>
    <xdr:to>
      <xdr:col>7</xdr:col>
      <xdr:colOff>113739</xdr:colOff>
      <xdr:row>41</xdr:row>
      <xdr:rowOff>67235</xdr:rowOff>
    </xdr:to>
    <mc:AlternateContent xmlns:mc="http://schemas.openxmlformats.org/markup-compatibility/2006">
      <mc:Choice xmlns:a14="http://schemas.microsoft.com/office/drawing/2010/main"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dr:sp macro="" textlink="">
          <xdr:nvSpPr>
            <xdr:cNvPr id="0" name=""/>
            <xdr:cNvSpPr>
              <a:spLocks noTextEdit="1"/>
            </xdr:cNvSpPr>
          </xdr:nvSpPr>
          <xdr:spPr>
            <a:xfrm>
              <a:off x="5949763" y="5636559"/>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10"/>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6"/>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07.879979745368" createdVersion="5" refreshedVersion="5" minRefreshableVersion="3" recordCount="3946">
  <cacheSource type="external" connectionId="3"/>
  <cacheFields count="7">
    <cacheField name="SIMULATIONID" numFmtId="0" sqlType="6">
      <sharedItems containsSemiMixedTypes="0" containsString="0" containsNumber="1" containsInteger="1" minValue="1" maxValue="101" count="43">
        <n v="10"/>
        <n v="5"/>
        <n v="4"/>
        <n v="1"/>
        <n v="20"/>
        <n v="3"/>
        <n v="9"/>
        <n v="12"/>
        <n v="15"/>
        <n v="96" u="1"/>
        <n v="100" u="1"/>
        <n v="83" u="1"/>
        <n v="40" u="1"/>
        <n v="87" u="1"/>
        <n v="66" u="1"/>
        <n v="95" u="1"/>
        <n v="2" u="1"/>
        <n v="99" u="1"/>
        <n v="6" u="1"/>
        <n v="48" u="1"/>
        <n v="82" u="1"/>
        <n v="50" u="1"/>
        <n v="86" u="1"/>
        <n v="7" u="1"/>
        <n v="94" u="1"/>
        <n v="21" u="1"/>
        <n v="98" u="1"/>
        <n v="77" u="1"/>
        <n v="22" u="1"/>
        <n v="81" u="1"/>
        <n v="8" u="1"/>
        <n v="85" u="1"/>
        <n v="89" u="1"/>
        <n v="97" u="1"/>
        <n v="101" u="1"/>
        <n v="80" u="1"/>
        <n v="49" u="1"/>
        <n v="84" u="1"/>
        <n v="11" u="1"/>
        <n v="51" u="1"/>
        <n v="88" u="1"/>
        <n v="31" u="1"/>
        <n v="32" u="1"/>
      </sharedItems>
    </cacheField>
    <cacheField name="PROCESSID" numFmtId="0" sqlType="6">
      <sharedItems containsSemiMixedTypes="0" containsString="0" containsNumber="1" containsInteger="1" minValue="32" maxValue="89824" count="589">
        <n v="1252"/>
        <n v="1936"/>
        <n v="3068"/>
        <n v="3140"/>
        <n v="3816"/>
        <n v="4052"/>
        <n v="4100"/>
        <n v="5704"/>
        <n v="5752"/>
        <n v="6168"/>
        <n v="6792"/>
        <n v="7156"/>
        <n v="7192"/>
        <n v="7232"/>
        <n v="7268"/>
        <n v="7472"/>
        <n v="7628"/>
        <n v="8244"/>
        <n v="8312"/>
        <n v="8372"/>
        <n v="9056"/>
        <n v="9236"/>
        <n v="9572"/>
        <n v="9628"/>
        <n v="10308"/>
        <n v="10328"/>
        <n v="10408"/>
        <n v="10780"/>
        <n v="10936"/>
        <n v="10952"/>
        <n v="11004"/>
        <n v="11736"/>
        <n v="11756"/>
        <n v="11908"/>
        <n v="12012"/>
        <n v="12284"/>
        <n v="13212"/>
        <n v="13404"/>
        <n v="13484"/>
        <n v="13568"/>
        <n v="13688"/>
        <n v="13928"/>
        <n v="13976"/>
        <n v="14148"/>
        <n v="14280"/>
        <n v="14296"/>
        <n v="8816" u="1"/>
        <n v="7464" u="1"/>
        <n v="10124" u="1"/>
        <n v="3700" u="1"/>
        <n v="6495" u="1"/>
        <n v="2140" u="1"/>
        <n v="1964" u="1"/>
        <n v="4935" u="1"/>
        <n v="6952" u="1"/>
        <n v="6692" u="1"/>
        <n v="6172" u="1"/>
        <n v="1444" u="1"/>
        <n v="9163" u="1"/>
        <n v="11180" u="1"/>
        <n v="5392" u="1"/>
        <n v="9620" u="1"/>
        <n v="1184" u="1"/>
        <n v="4612" u="1"/>
        <n v="4352" u="1"/>
        <n v="3964" u="1"/>
        <n v="11448" u="1"/>
        <n v="7283" u="1"/>
        <n v="9888" u="1"/>
        <n v="9368" u="1"/>
        <n v="1576" u="1"/>
        <n v="5920" u="1"/>
        <n v="462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4684" u="1"/>
        <n v="4164" u="1"/>
        <n v="3740" u="1"/>
        <n v="8135" u="1"/>
        <n v="73624" u="1"/>
        <n v="8992" u="1"/>
        <n v="528" u="1"/>
        <n v="8072" u="1"/>
        <n v="5992" u="1"/>
        <n v="5732" u="1"/>
        <n v="5212" u="1"/>
        <n v="9780" u="1"/>
        <n v="9260" u="1"/>
        <n v="984"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354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3560" u="1"/>
        <n v="11912" u="1"/>
        <n v="9832" u="1"/>
        <n v="9312" u="1"/>
        <n v="548" u="1"/>
        <n v="6932" u="1"/>
        <n v="6152" u="1"/>
        <n v="5892" u="1"/>
        <n v="11140" u="1"/>
        <n v="5372" u="1"/>
        <n v="9580" u="1"/>
        <n v="8540" u="1"/>
        <n v="61028" u="1"/>
        <n v="11408" u="1"/>
        <n v="2524" u="1"/>
        <n v="9848" u="1"/>
        <n v="7980" u="1"/>
        <n v="7460" u="1"/>
        <n v="8556" u="1"/>
        <n v="47036" u="1"/>
        <n v="2528" u="1"/>
        <n v="9344" u="1"/>
        <n v="8304" u="1"/>
        <n v="5648" u="1"/>
        <n v="8572" u="1"/>
        <n v="3832" u="1"/>
        <n v="14040" u="1"/>
        <n v="7476" u="1"/>
        <n v="6176" u="1"/>
        <n v="5656" u="1"/>
        <n v="5396" u="1"/>
        <n v="4616" u="1"/>
        <n v="3576" u="1"/>
        <n v="3056" u="1"/>
        <n v="9896" u="1"/>
        <n v="8856" u="1"/>
        <n v="1772" u="1"/>
        <n v="9644" u="1"/>
        <n v="9124" u="1"/>
        <n v="9912" u="1"/>
        <n v="2280" u="1"/>
        <n v="8012" u="1"/>
        <n v="3907" u="1"/>
        <n v="6712" u="1"/>
        <n v="5932" u="1"/>
        <n v="11740" u="1"/>
        <n v="4112" u="1"/>
        <n v="944" u="1"/>
        <n v="10968" u="1"/>
        <n v="7760" u="1"/>
        <n v="6460" u="1"/>
        <n v="1516" u="1"/>
        <n v="5940" u="1"/>
        <n v="10196" u="1"/>
        <n v="8636" u="1"/>
        <n v="232" u="1"/>
        <n v="14104" u="1"/>
        <n v="880" u="1"/>
        <n v="1908" u="1"/>
        <n v="6208" u="1"/>
        <n v="5688" u="1"/>
        <n v="1388" u="1"/>
        <n v="8195" u="1"/>
        <n v="9172" u="1"/>
        <n v="13868" u="1"/>
        <n v="11268" u="1"/>
        <n v="5176" u="1"/>
        <n v="10228" u="1"/>
        <n v="3076" u="1"/>
        <n v="99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11460" u="1"/>
        <n v="5532" u="1"/>
        <n v="10420" u="1"/>
        <n v="9900" u="1"/>
        <n v="9380" u="1"/>
        <n v="12768" u="1"/>
        <n v="2864" u="1"/>
        <n v="2344" u="1"/>
        <n v="8140" u="1"/>
        <n v="7620" u="1"/>
        <n v="7360" u="1"/>
        <n v="6320" u="1"/>
        <n v="1416" u="1"/>
        <n v="8356" u="1"/>
        <n v="11744" u="1"/>
        <n v="6651" u="1"/>
        <n v="8624" u="1"/>
        <n v="8148" u="1"/>
        <n v="7888" u="1"/>
        <n v="476" u="1"/>
        <n v="1548" u="1"/>
        <n v="10972"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13132" u="1"/>
        <n v="5848" u="1"/>
        <n v="8972" u="1"/>
        <n v="8200" u="1"/>
        <n v="7936" u="1"/>
        <n v="5856" u="1"/>
        <n v="11588" u="1"/>
        <n v="11068" u="1"/>
        <n v="5076" u="1"/>
        <n v="9508" u="1"/>
        <n v="8988" u="1"/>
        <n v="8216" u="1"/>
        <n v="7944" u="1"/>
        <n v="6644" u="1"/>
        <n v="6384" u="1"/>
        <n v="5084" u="1"/>
        <n v="10044" u="1"/>
        <n v="42336" u="1"/>
        <n v="2707" u="1"/>
        <n v="10580" u="1"/>
        <n v="8500" u="1"/>
        <n v="3424" u="1"/>
        <n v="9288"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456" maxValue="15804"/>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28" maxValue="10762"/>
    </cacheField>
    <cacheField name="MSE_T" numFmtId="0" sqlType="6">
      <sharedItems containsSemiMixedTypes="0" containsString="0" containsNumber="1" minValue="1.11926501631388E-5" maxValue="1.2289104051887999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12.838481365739" createdVersion="5" refreshedVersion="5" minRefreshableVersion="3" recordCount="7200">
  <cacheSource type="external" connectionId="8"/>
  <cacheFields count="20">
    <cacheField name="PROCESSID" numFmtId="0" sqlType="6">
      <sharedItems containsSemiMixedTypes="0" containsString="0" containsNumber="1" containsInteger="1" minValue="32" maxValue="16204" count="191">
        <n v="956"/>
        <n v="10040" u="1"/>
        <n v="11460" u="1"/>
        <n v="14092" u="1"/>
        <n v="7204" u="1"/>
        <n v="7488" u="1"/>
        <n v="11612" u="1"/>
        <n v="1196" u="1"/>
        <n v="3468" u="1"/>
        <n v="13108" u="1"/>
        <n v="14812" u="1"/>
        <n v="1596" u="1"/>
        <n v="5576" u="1"/>
        <n v="12048" u="1"/>
        <n v="10988" u="1"/>
        <n v="13544" u="1"/>
        <n v="12484" u="1"/>
        <n v="12276" u="1"/>
        <n v="13128" u="1"/>
        <n v="548" u="1"/>
        <n v="5624" u="1"/>
        <n v="7896" u="1"/>
        <n v="11576" u="1"/>
        <n v="4100" u="1"/>
        <n v="8244" u="1"/>
        <n v="12788" u="1"/>
        <n v="13924" u="1"/>
        <n v="10308" u="1"/>
        <n v="11444" u="1"/>
        <n v="12012" u="1"/>
        <n v="11804" u="1"/>
        <n v="15004" u="1"/>
        <n v="4432" u="1"/>
        <n v="11464" u="1"/>
        <n v="2740" u="1"/>
        <n v="4508" u="1"/>
        <n v="8776" u="1"/>
        <n v="9628" u="1"/>
        <n v="11900" u="1"/>
        <n v="12828" u="1"/>
        <n v="8172" u="1"/>
        <n v="9288" u="1"/>
        <n v="12128" u="1"/>
        <n v="13548" u="1"/>
        <n v="5512" u="1"/>
        <n v="13132" u="1"/>
        <n v="1244" u="1"/>
        <n v="10368" u="1"/>
        <n v="10936" u="1"/>
        <n v="11788" u="1"/>
        <n v="2944" u="1"/>
        <n v="3512" u="1"/>
        <n v="8740" u="1"/>
        <n v="12787" u="1"/>
        <n v="13284" u="1"/>
        <n v="13568" u="1"/>
        <n v="11372" u="1"/>
        <n v="13928" u="1"/>
        <n v="3692" u="1"/>
        <n v="11164" u="1"/>
        <n v="11448" u="1"/>
        <n v="15140" u="1"/>
        <n v="656" u="1"/>
        <n v="4888" u="1"/>
        <n v="9896" u="1"/>
        <n v="14156" u="1"/>
        <n v="6952" u="1"/>
        <n v="8088" u="1"/>
        <n v="1488" u="1"/>
        <n v="4052" u="1"/>
        <n v="8912" u="1"/>
        <n v="13172" u="1"/>
        <n v="9840" u="1"/>
        <n v="10408" u="1"/>
        <n v="12396" u="1"/>
        <n v="244" u="1"/>
        <n v="10768" u="1"/>
        <n v="12472" u="1"/>
        <n v="13892" u="1"/>
        <n v="1268" u="1"/>
        <n v="6536" u="1"/>
        <n v="14252" u="1"/>
        <n v="1952" u="1"/>
        <n v="3560" u="1"/>
        <n v="7568" u="1"/>
        <n v="11204" u="1"/>
        <n v="11772" u="1"/>
        <n v="16032" u="1"/>
        <n v="2088" u="1"/>
        <n v="6896" u="1"/>
        <n v="10712" u="1"/>
        <n v="3740" u="1"/>
        <n v="6792" u="1"/>
        <n v="7928" u="1"/>
        <n v="13912" u="1"/>
        <n v="3972" u="1"/>
        <n v="13136" u="1"/>
        <n v="13988" u="1"/>
        <n v="14272" u="1"/>
        <n v="4880" u="1"/>
        <n v="5164" u="1"/>
        <n v="9236" u="1"/>
        <n v="12360" u="1"/>
        <n v="13212" u="1"/>
        <n v="8536" u="1"/>
        <n v="9104" u="1"/>
        <n v="12796" u="1"/>
        <n v="13648" u="1"/>
        <n v="16204" u="1"/>
        <n v="5704" u="1"/>
        <n v="12588" u="1"/>
        <n v="6168" u="1"/>
        <n v="12948" u="1"/>
        <n v="13232" u="1"/>
        <n v="14368" u="1"/>
        <n v="2240" u="1"/>
        <n v="7484" u="1"/>
        <n v="10468" u="1"/>
        <n v="11036" u="1"/>
        <n v="14160" u="1"/>
        <n v="8272" u="1"/>
        <n v="12816" u="1"/>
        <n v="13668" u="1"/>
        <n v="14520" u="1"/>
        <n v="11756" u="1"/>
        <n v="12040" u="1"/>
        <n v="13176" u="1"/>
        <n v="13744" u="1"/>
        <n v="5648" u="1"/>
        <n v="10488" u="1"/>
        <n v="11908" u="1"/>
        <n v="8576" u="1"/>
        <n v="10280" u="1"/>
        <n v="13688" u="1"/>
        <n v="10356" u="1"/>
        <n v="1252" u="1"/>
        <n v="1936" u="1"/>
        <n v="14200" u="1"/>
        <n v="8312" u="1"/>
        <n v="10300" u="1"/>
        <n v="14844" u="1"/>
        <n v="2572" u="1"/>
        <n v="8148" u="1"/>
        <n v="2000" u="1"/>
        <n v="12724" u="1"/>
        <n v="14144" u="1"/>
        <n v="4532" u="1"/>
        <n v="5100" u="1"/>
        <n v="5952" u="1"/>
        <n v="12800" u="1"/>
        <n v="9468" u="1"/>
        <n v="7732" u="1"/>
        <n v="9828" u="1"/>
        <n v="7628" u="1"/>
        <n v="15300" u="1"/>
        <n v="15944" u="1"/>
        <n v="4296" u="1"/>
        <n v="10340" u="1"/>
        <n v="11192" u="1"/>
        <n v="13180" u="1"/>
        <n v="8428" u="1"/>
        <n v="1224" u="1"/>
        <n v="8220" u="1"/>
        <n v="11912" u="1"/>
        <n v="232" u="1"/>
        <n v="8580" u="1"/>
        <n v="13124" u="1"/>
        <n v="13976" u="1"/>
        <n v="5300" u="1"/>
        <n v="8372" u="1"/>
        <n v="10076" u="1"/>
        <n v="14620" u="1"/>
        <n v="15548" u="1"/>
        <n v="8240" u="1"/>
        <n v="9944" u="1"/>
        <n v="12500" u="1"/>
        <n v="12576" u="1"/>
        <n v="12860" u="1"/>
        <n v="14848" u="1"/>
        <n v="3496" u="1"/>
        <n v="7156" u="1"/>
        <n v="14924" u="1"/>
        <n v="1468" u="1"/>
        <n v="14148" u="1"/>
        <n v="32" u="1"/>
        <n v="1020" u="1"/>
        <n v="3392" u="1"/>
        <n v="4960" u="1"/>
        <n v="7232" u="1"/>
        <n v="9964" u="1"/>
        <n v="10248" u="1"/>
      </sharedItems>
    </cacheField>
    <cacheField name="THREADID" numFmtId="0" sqlType="6">
      <sharedItems containsSemiMixedTypes="0" containsString="0" containsNumber="1" containsInteger="1" minValue="100" maxValue="16264" count="455">
        <n v="4528"/>
        <n v="10288"/>
        <n v="3988"/>
        <n v="14124"/>
        <n v="12692"/>
        <n v="6040"/>
        <n v="13400"/>
        <n v="13576"/>
        <n v="6264"/>
        <n v="8496"/>
        <n v="9136"/>
        <n v="3268"/>
        <n v="14680"/>
        <n v="14316"/>
        <n v="14592"/>
        <n v="11532"/>
        <n v="8724"/>
        <n v="7688"/>
        <n v="2360"/>
        <n v="8524"/>
        <n v="1740"/>
        <n v="12672"/>
        <n v="6744"/>
        <n v="13012"/>
        <n v="9204"/>
        <n v="8620" u="1"/>
        <n v="10324" u="1"/>
        <n v="11460" u="1"/>
        <n v="12312" u="1"/>
        <n v="14584" u="1"/>
        <n v="14868" u="1"/>
        <n v="2720" u="1"/>
        <n v="10116" u="1"/>
        <n v="13808" u="1"/>
        <n v="4088" u="1"/>
        <n v="4364" u="1"/>
        <n v="11328" u="1"/>
        <n v="15304" u="1"/>
        <n v="15872" u="1"/>
        <n v="100" u="1"/>
        <n v="2332" u="1"/>
        <n v="4828" u="1"/>
        <n v="8564" u="1"/>
        <n v="11972" u="1"/>
        <n v="12824" u="1"/>
        <n v="14244" u="1"/>
        <n v="2848" u="1"/>
        <n v="3416" u="1"/>
        <n v="4156" u="1"/>
        <n v="5576" u="1"/>
        <n v="5860" u="1"/>
        <n v="7280" u="1"/>
        <n v="8924" u="1"/>
        <n v="10628" u="1"/>
        <n v="12616" u="1"/>
        <n v="14036" u="1"/>
        <n v="2512" u="1"/>
        <n v="4620" u="1"/>
        <n v="4904" u="1"/>
        <n v="11840" u="1"/>
        <n v="12976" u="1"/>
        <n v="14112" u="1"/>
        <n v="14396" u="1"/>
        <n v="14964" u="1"/>
        <n v="1828" u="1"/>
        <n v="2176" u="1"/>
        <n v="7072" u="1"/>
        <n v="9928" u="1"/>
        <n v="10496" u="1"/>
        <n v="14472" u="1"/>
        <n v="6684" u="1"/>
        <n v="9436" u="1"/>
        <n v="10856" u="1"/>
        <n v="11424" u="1"/>
        <n v="12276" u="1"/>
        <n v="13128" u="1"/>
        <n v="1492" u="1"/>
        <n v="8000" u="1"/>
        <n v="8660" u="1"/>
        <n v="10648" u="1"/>
        <n v="11500" u="1"/>
        <n v="11784" u="1"/>
        <n v="12352" u="1"/>
        <n v="12636" u="1"/>
        <n v="6192" u="1"/>
        <n v="8452" u="1"/>
        <n v="9304" u="1"/>
        <n v="10440" u="1"/>
        <n v="11860" u="1"/>
        <n v="14984" u="1"/>
        <n v="2252" u="1"/>
        <n v="3388" u="1"/>
        <n v="7792" u="1"/>
        <n v="8076" u="1"/>
        <n v="11936" u="1"/>
        <n v="12788" u="1"/>
        <n v="14492" u="1"/>
        <n v="15912" u="1"/>
        <n v="2768" u="1"/>
        <n v="6836" u="1"/>
        <n v="9740" u="1"/>
        <n v="11160" u="1"/>
        <n v="11444" u="1"/>
        <n v="11728" u="1"/>
        <n v="12012" u="1"/>
        <n v="12864" u="1"/>
        <n v="4176" u="1"/>
        <n v="11520" u="1"/>
        <n v="12088" u="1"/>
        <n v="12372" u="1"/>
        <n v="13224" u="1"/>
        <n v="13508" u="1"/>
        <n v="14076" u="1"/>
        <n v="4640" u="1"/>
        <n v="4924" u="1"/>
        <n v="7196" u="1"/>
        <n v="7480" u="1"/>
        <n v="10744" u="1"/>
        <n v="13584" u="1"/>
        <n v="15572" u="1"/>
        <n v="420" u="1"/>
        <n v="7376" u="1"/>
        <n v="10820" u="1"/>
        <n v="11388" u="1"/>
        <n v="11672" u="1"/>
        <n v="11956" u="1"/>
        <n v="13660" u="1"/>
        <n v="4432" u="1"/>
        <n v="5568" u="1"/>
        <n v="8624" u="1"/>
        <n v="12884" u="1"/>
        <n v="13168" u="1"/>
        <n v="14020" u="1"/>
        <n v="14304" u="1"/>
        <n v="15156" u="1"/>
        <n v="3644" u="1"/>
        <n v="8416" u="1"/>
        <n v="10120" u="1"/>
        <n v="3592" u="1"/>
        <n v="5928" u="1"/>
        <n v="7632" u="1"/>
        <n v="11332" u="1"/>
        <n v="12184" u="1"/>
        <n v="13604" u="1"/>
        <n v="2688" u="1"/>
        <n v="3256" u="1"/>
        <n v="3540" u="1"/>
        <n v="3824" u="1"/>
        <n v="9420" u="1"/>
        <n v="10272" u="1"/>
        <n v="11692" u="1"/>
        <n v="12828" u="1"/>
        <n v="4300" u="1"/>
        <n v="6856" u="1"/>
        <n v="7424" u="1"/>
        <n v="14892" u="1"/>
        <n v="1464" u="1"/>
        <n v="6752" u="1"/>
        <n v="9288" u="1"/>
        <n v="10992" u="1"/>
        <n v="11844" u="1"/>
        <n v="12696" u="1"/>
        <n v="13548" u="1"/>
        <n v="4660" u="1"/>
        <n v="12204" u="1"/>
        <n v="13908" u="1"/>
        <n v="14192" u="1"/>
        <n v="15044" u="1"/>
        <n v="15328" u="1"/>
        <n v="8588" u="1"/>
        <n v="10008" u="1"/>
        <n v="11144" u="1"/>
        <n v="11712" u="1"/>
        <n v="12564" u="1"/>
        <n v="13416" u="1"/>
        <n v="13700" u="1"/>
        <n v="14268" u="1"/>
        <n v="2996" u="1"/>
        <n v="5020" u="1"/>
        <n v="5872" u="1"/>
        <n v="8144" u="1"/>
        <n v="9232" u="1"/>
        <n v="10936" u="1"/>
        <n v="13492" u="1"/>
        <n v="10160" u="1"/>
        <n v="13284" u="1"/>
        <n v="14420" u="1"/>
        <n v="6232" u="1"/>
        <n v="6800" u="1"/>
        <n v="7652" u="1"/>
        <n v="15064" u="1"/>
        <n v="15348" u="1"/>
        <n v="2840" u="1"/>
        <n v="4140" u="1"/>
        <n v="5276" u="1"/>
        <n v="5844" u="1"/>
        <n v="10312" u="1"/>
        <n v="11732" u="1"/>
        <n v="13720" u="1"/>
        <n v="14004" u="1"/>
        <n v="15708" u="1"/>
        <n v="6024" u="1"/>
        <n v="8400" u="1"/>
        <n v="13228" u="1"/>
        <n v="13512" u="1"/>
        <n v="6488" u="1"/>
        <n v="8476" u="1"/>
        <n v="10464" u="1"/>
        <n v="10748" u="1"/>
        <n v="11884" u="1"/>
        <n v="2400" u="1"/>
        <n v="6100" u="1"/>
        <n v="6668" u="1"/>
        <n v="8552" u="1"/>
        <n v="9972" u="1"/>
        <n v="10540" u="1"/>
        <n v="10824" u="1"/>
        <n v="11392" u="1"/>
        <n v="3200" u="1"/>
        <n v="5996" u="1"/>
        <n v="12320" u="1"/>
        <n v="12888" u="1"/>
        <n v="7776" u="1"/>
        <n v="9348" u="1"/>
        <n v="11052" u="1"/>
        <n v="15028" u="1"/>
        <n v="4548" u="1"/>
        <n v="5400" u="1"/>
        <n v="7388" u="1"/>
        <n v="10560" u="1"/>
        <n v="12548" u="1"/>
        <n v="15672" u="1"/>
        <n v="1668" u="1"/>
        <n v="1952" u="1"/>
        <n v="2992" u="1"/>
        <n v="4728" u="1"/>
        <n v="10636" u="1"/>
        <n v="12908" u="1"/>
        <n v="14044" u="1"/>
        <n v="15464" u="1"/>
        <n v="2088" u="1"/>
        <n v="5476" u="1"/>
        <n v="9576" u="1"/>
        <n v="11564" u="1"/>
        <n v="12416" u="1"/>
        <n v="12700" u="1"/>
        <n v="13836" u="1"/>
        <n v="14120" u="1"/>
        <n v="14688" u="1"/>
        <n v="6508" u="1"/>
        <n v="6792" u="1"/>
        <n v="8800" u="1"/>
        <n v="12208" u="1"/>
        <n v="13060" u="1"/>
        <n v="14196" u="1"/>
        <n v="15900" u="1"/>
        <n v="7824" u="1"/>
        <n v="12568" u="1"/>
        <n v="13420" u="1"/>
        <n v="2216" u="1"/>
        <n v="3920" u="1"/>
        <n v="8668" u="1"/>
        <n v="12928" u="1"/>
        <n v="13780" u="1"/>
        <n v="7332" u="1"/>
        <n v="10448" u="1"/>
        <n v="13288" u="1"/>
        <n v="14140" u="1"/>
        <n v="15844" u="1"/>
        <n v="4388" u="1"/>
        <n v="12796" u="1"/>
        <n v="15352" u="1"/>
        <n v="8896" u="1"/>
        <n v="11452" u="1"/>
        <n v="14008" u="1"/>
        <n v="14576" u="1"/>
        <n v="2576" u="1"/>
        <n v="4180" u="1"/>
        <n v="5032" u="1"/>
        <n v="5884" u="1"/>
        <n v="8972" u="1"/>
        <n v="10960" u="1"/>
        <n v="12948" u="1"/>
        <n v="14368" u="1"/>
        <n v="14652" u="1"/>
        <n v="6632" u="1"/>
        <n v="10752" u="1"/>
        <n v="11320" u="1"/>
        <n v="14160" u="1"/>
        <n v="1692" u="1"/>
        <n v="7380" u="1"/>
        <n v="9124" u="1"/>
        <n v="9408" u="1"/>
        <n v="10544" u="1"/>
        <n v="11680" u="1"/>
        <n v="13100" u="1"/>
        <n v="15088" u="1"/>
        <n v="4436" u="1"/>
        <n v="5572" u="1"/>
        <n v="6140" u="1"/>
        <n v="10052" u="1"/>
        <n v="10620" u="1"/>
        <n v="10904" u="1"/>
        <n v="14596" u="1"/>
        <n v="764" u="1"/>
        <n v="1924" u="1"/>
        <n v="2936" u="1"/>
        <n v="3504" u="1"/>
        <n v="5752" u="1"/>
        <n v="6036" u="1"/>
        <n v="13820" u="1"/>
        <n v="6784" u="1"/>
        <n v="6112" u="1"/>
        <n v="9996" u="1"/>
        <n v="10564" u="1"/>
        <n v="11132" u="1"/>
        <n v="12836" u="1"/>
        <n v="1136" u="1"/>
        <n v="2212" u="1"/>
        <n v="4588" u="1"/>
        <n v="8936" u="1"/>
        <n v="10356" u="1"/>
        <n v="14616" u="1"/>
        <n v="7608" u="1"/>
        <n v="9012" u="1"/>
        <n v="9864" u="1"/>
        <n v="11568" u="1"/>
        <n v="11852" u="1"/>
        <n v="12136" u="1"/>
        <n v="12420" u="1"/>
        <n v="12704" u="1"/>
        <n v="15828" u="1"/>
        <n v="2392" u="1"/>
        <n v="4380" u="1"/>
        <n v="4664" u="1"/>
        <n v="7788" u="1"/>
        <n v="11644" u="1"/>
        <n v="12496" u="1"/>
        <n v="14200" u="1"/>
        <n v="15052" u="1"/>
        <n v="15904" u="1"/>
        <n v="544" u="1"/>
        <n v="6548" u="1"/>
        <n v="12004" u="1"/>
        <n v="12572" u="1"/>
        <n v="13140" u="1"/>
        <n v="13424" u="1"/>
        <n v="16264" u="1"/>
        <n v="344" u="1"/>
        <n v="1032" u="1"/>
        <n v="1600" u="1"/>
        <n v="9240" u="1"/>
        <n v="10660" u="1"/>
        <n v="12080" u="1"/>
        <n v="13784" u="1"/>
        <n v="944" u="1"/>
        <n v="2000" u="1"/>
        <n v="7192" u="1"/>
        <n v="10168" u="1"/>
        <n v="12156" u="1"/>
        <n v="5384" u="1"/>
        <n v="8540" u="1"/>
        <n v="13652" u="1"/>
        <n v="2416" u="1"/>
        <n v="4144" u="1"/>
        <n v="7268" u="1"/>
        <n v="9752" u="1"/>
        <n v="11740" u="1"/>
        <n v="14864" u="1"/>
        <n v="2080" u="1"/>
        <n v="3500" u="1"/>
        <n v="10680" u="1"/>
        <n v="12384" u="1"/>
        <n v="13236" u="1"/>
        <n v="4016" u="1"/>
        <n v="8768" u="1"/>
        <n v="10188" u="1"/>
        <n v="12744" u="1"/>
        <n v="15300" u="1"/>
        <n v="15584" u="1"/>
        <n v="10548" u="1"/>
        <n v="11116" u="1"/>
        <n v="12252" u="1"/>
        <n v="13388" u="1"/>
        <n v="14240" u="1"/>
        <n v="2492" u="1"/>
        <n v="4580" u="1"/>
        <n v="5716" u="1"/>
        <n v="10340" u="1"/>
        <n v="11760" u="1"/>
        <n v="12328" u="1"/>
        <n v="14884" u="1"/>
        <n v="3008" u="1"/>
        <n v="11268" u="1"/>
        <n v="12404" u="1"/>
        <n v="12972" u="1"/>
        <n v="13256" u="1"/>
        <n v="14108" u="1"/>
        <n v="3808" u="1"/>
        <n v="4092" u="1"/>
        <n v="6644" u="1"/>
        <n v="11912" u="1"/>
        <n v="12480" u="1"/>
        <n v="14752" u="1"/>
        <n v="1908" u="1"/>
        <n v="3756" u="1"/>
        <n v="6256" u="1"/>
        <n v="9148" u="1"/>
        <n v="11420" u="1"/>
        <n v="12272" u="1"/>
        <n v="14544" u="1"/>
        <n v="3136" u="1"/>
        <n v="11212" u="1"/>
        <n v="1288" u="1"/>
        <n v="5196" u="1"/>
        <n v="6616" u="1"/>
        <n v="9016" u="1"/>
        <n v="9584" u="1"/>
        <n v="11288" u="1"/>
        <n v="11856" u="1"/>
        <n v="13844" u="1"/>
        <n v="240" u="1"/>
        <n v="2748" u="1"/>
        <n v="5376" u="1"/>
        <n v="12784" u="1"/>
        <n v="13636" u="1"/>
        <n v="14204" u="1"/>
        <n v="15624" u="1"/>
        <n v="4136" u="1"/>
        <n v="5556" u="1"/>
        <n v="6692" u="1"/>
        <n v="10872" u="1"/>
        <n v="12292" u="1"/>
        <n v="13144" u="1"/>
        <n v="13712" u="1"/>
        <n v="14280" u="1"/>
        <n v="2928" u="1"/>
        <n v="3212" u="1"/>
        <n v="6304" u="1"/>
        <n v="10664" u="1"/>
        <n v="12084" u="1"/>
        <n v="12936" u="1"/>
        <n v="16060" u="1"/>
        <n v="5632" u="1"/>
        <n v="5916" u="1"/>
        <n v="9036" u="1"/>
        <n v="10172" u="1"/>
        <n v="10456" u="1"/>
        <n v="12444" u="1"/>
        <n v="13296" u="1"/>
        <n v="13580" u="1"/>
        <n v="14148" u="1"/>
        <n v="10248" u="1"/>
        <n v="10816" u="1"/>
        <n v="12520" u="1"/>
      </sharedItems>
    </cacheField>
    <cacheField name="SEQUENCEID" numFmtId="0" sqlType="6">
      <sharedItems containsSemiMixedTypes="0" containsString="0" containsNumber="1" containsInteger="1" minValue="0" maxValue="24" count="25">
        <n v="0"/>
        <n v="1"/>
        <n v="2"/>
        <n v="3"/>
        <n v="4"/>
        <n v="5"/>
        <n v="6"/>
        <n v="7"/>
        <n v="8"/>
        <n v="9"/>
        <n v="10"/>
        <n v="11"/>
        <n v="12"/>
        <n v="13"/>
        <n v="14"/>
        <n v="15"/>
        <n v="16"/>
        <n v="17"/>
        <n v="18"/>
        <n v="19"/>
        <n v="20"/>
        <n v="21"/>
        <n v="22"/>
        <n v="23"/>
        <n v="24"/>
      </sharedItems>
    </cacheField>
    <cacheField name="NETPROCESSID" numFmtId="0" sqlType="6">
      <sharedItems containsSemiMixedTypes="0" containsString="0" containsNumber="1" containsInteger="1" minValue="0" maxValue="16204" count="126">
        <n v="12292"/>
        <n v="0" u="1"/>
        <n v="10040" u="1"/>
        <n v="11460" u="1"/>
        <n v="1196" u="1"/>
        <n v="3468" u="1"/>
        <n v="1596" u="1"/>
        <n v="13128" u="1"/>
        <n v="548" u="1"/>
        <n v="7896" u="1"/>
        <n v="4100" u="1"/>
        <n v="8244" u="1"/>
        <n v="12788" u="1"/>
        <n v="13924" u="1"/>
        <n v="10308" u="1"/>
        <n v="11444" u="1"/>
        <n v="12012" u="1"/>
        <n v="11804" u="1"/>
        <n v="15004" u="1"/>
        <n v="2740" u="1"/>
        <n v="8776" u="1"/>
        <n v="9628" u="1"/>
        <n v="11900" u="1"/>
        <n v="8172" u="1"/>
        <n v="9288" u="1"/>
        <n v="12128" u="1"/>
        <n v="13132" u="1"/>
        <n v="1244" u="1"/>
        <n v="10936" u="1"/>
        <n v="12787" u="1"/>
        <n v="13568" u="1"/>
        <n v="11372" u="1"/>
        <n v="13928" u="1"/>
        <n v="11164" u="1"/>
        <n v="11448" u="1"/>
        <n v="15140" u="1"/>
        <n v="9896" u="1"/>
        <n v="14156" u="1"/>
        <n v="6952" u="1"/>
        <n v="8088" u="1"/>
        <n v="1488" u="1"/>
        <n v="4052" u="1"/>
        <n v="13172" u="1"/>
        <n v="9840" u="1"/>
        <n v="10408" u="1"/>
        <n v="12396" u="1"/>
        <n v="10768" u="1"/>
        <n v="12472" u="1"/>
        <n v="13892" u="1"/>
        <n v="1268" u="1"/>
        <n v="6536" u="1"/>
        <n v="14252" u="1"/>
        <n v="1952" u="1"/>
        <n v="3560" u="1"/>
        <n v="11204" u="1"/>
        <n v="11772" u="1"/>
        <n v="16032" u="1"/>
        <n v="2088" u="1"/>
        <n v="6896" u="1"/>
        <n v="10712" u="1"/>
        <n v="3740" u="1"/>
        <n v="6792" u="1"/>
        <n v="7928" u="1"/>
        <n v="13912" u="1"/>
        <n v="3972" u="1"/>
        <n v="13136" u="1"/>
        <n v="14272" u="1"/>
        <n v="4880" u="1"/>
        <n v="5164" u="1"/>
        <n v="9236" u="1"/>
        <n v="12360" u="1"/>
        <n v="13212"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9468" u="1"/>
        <n v="7732" u="1"/>
        <n v="7628" u="1"/>
        <n v="15300" u="1"/>
        <n v="15944" u="1"/>
        <n v="4296" u="1"/>
        <n v="10340" u="1"/>
        <n v="11192" u="1"/>
        <n v="13180" u="1"/>
        <n v="8220" u="1"/>
        <n v="232" u="1"/>
        <n v="13124" u="1"/>
        <n v="13976" u="1"/>
        <n v="5300" u="1"/>
        <n v="8372"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6656" maxValue="6656" count="1">
        <n v="6656"/>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440">
        <n v="3332706.25"/>
        <n v="3332676.25"/>
        <n v="3332676.75"/>
        <n v="3332693.75"/>
        <n v="3332697.75"/>
        <n v="3332697"/>
        <n v="3332680.25"/>
        <n v="3332670.5"/>
        <n v="3332682.75"/>
        <n v="3332691.75"/>
        <n v="3332686.5"/>
        <n v="3332711.75"/>
        <n v="3332715.5"/>
        <n v="3332698.75"/>
        <n v="3332684.75"/>
        <n v="3332693.25"/>
        <n v="3332698.5"/>
        <n v="3332695.5"/>
        <n v="3332700.75"/>
        <n v="3332694.5"/>
        <n v="3332686.25"/>
        <n v="3332683.75"/>
        <n v="3332669.75"/>
        <n v="1.40667275991291E-3" u="1"/>
        <n v="3.4421812742948502E-3" u="1"/>
        <n v="5.3092553280293898E-3" u="1"/>
        <n v="1.03508932515979E-2" u="1"/>
        <n v="0.35031244158744801" u="1"/>
        <n v="3.4163412638008599E-3" u="1"/>
        <n v="3.9897677488624998E-3" u="1"/>
        <n v="7.8718364238738996E-3" u="1"/>
        <n v="1.5283592976629699E-2" u="1"/>
        <n v="3.0486937612295199E-2" u="1"/>
        <n v="3.0084284953773E-3" u="1"/>
        <n v="3.9937901310622701E-3" u="1"/>
        <n v="8.7416665628552402E-3" u="1"/>
        <n v="2.2975675761699701E-2" u="1"/>
        <n v="4.2674262076616301E-2" u="1"/>
        <n v="5.8150403201579999E-2" u="1"/>
        <n v="8.9994928566738996E-4" u="1"/>
        <n v="3.1015491113066699E-3" u="1"/>
        <n v="8.6381314322352392E-3" u="1"/>
        <n v="2.25038770586252E-2" u="1"/>
        <n v="3.8119740784168202E-2" u="1"/>
        <n v="6.4356178045272799E-2" u="1"/>
        <n v="0.10138213634491" u="1"/>
        <n v="1.1016039934475E-5" u="1"/>
        <n v="1.9471190171316301E-3" u="1"/>
        <n v="3.8867346942424802E-2" u="1"/>
        <n v="7.6322459790389998E-5" u="1"/>
        <n v="1.90345896407962E-3" u="1"/>
        <n v="2.7106031775474501E-3" u="1"/>
        <n v="3.0158564914017898E-3" u="1"/>
        <n v="1.53448209166527E-2" u="1"/>
        <n v="2.2532440721988699E-2" u="1"/>
        <n v="3.7642791867256199E-2" u="1"/>
        <n v="5.1368441432714497E-2" u="1"/>
        <n v="6.6915199160575894E-2" u="1"/>
        <n v="8.6389429867267595E-2" u="1"/>
        <n v="4.4462294317781898E-4" u="1"/>
        <n v="3.0670089181512599E-3" u="1"/>
        <n v="8.21292586624622E-3" u="1"/>
        <n v="1.04233548045158E-2" u="1"/>
        <n v="1.7888940870761899E-2" u="1"/>
        <n v="2.2501410916447601E-2" u="1"/>
        <n v="2.9715454205870601E-2" u="1"/>
        <n v="6.08423799276352E-2" u="1"/>
        <n v="6.1713308095932E-2" u="1"/>
        <n v="1.5883942833170299E-3" u="1"/>
        <n v="7.0053087256383205E-5" u="1"/>
        <n v="2.9882385861128599E-3" u="1"/>
        <n v="1.00045399740338E-2" u="1"/>
        <n v="1.73080060631037E-2" u="1"/>
        <n v="2.2594336420297598E-2" u="1"/>
        <n v="1.86572468373924E-3" u="1"/>
        <n v="3.3038298133760699E-3" u="1"/>
        <n v="3.97422863170505E-3" u="1"/>
        <n v="6.9832704029977304E-3" u="1"/>
        <n v="1.0491791181266299E-2" u="1"/>
        <n v="1.53880240395665E-2" u="1"/>
        <n v="4.1017923504114203E-3" u="1"/>
        <n v="6.0566286556422702E-3" u="1"/>
        <n v="2.01588179916143E-2" u="1"/>
        <n v="2.68606469035149E-2" u="1"/>
        <n v="3.6068167537450797E-2" u="1"/>
        <n v="7.5520485639572102E-2" u="1"/>
        <n v="1.15088922902942E-2" u="1"/>
        <n v="1.1541279964149E-2" u="1"/>
        <n v="1.7584817484021201E-2" u="1"/>
        <n v="0.115814872086048" u="1"/>
        <n v="659.06604003906295" u="1"/>
        <n v="3.03932535462081E-3" u="1"/>
        <n v="3.9786188863217796E-3" u="1"/>
        <n v="8.4908008575439505E-3" u="1"/>
        <n v="5.8038525283336598E-2" u="1"/>
        <n v="5.9592876583337798E-2" u="1"/>
        <n v="7.3794566094875294E-2" u="1"/>
        <n v="3.0214919243007898E-3" u="1"/>
        <n v="4.0535959415137802E-3" u="1"/>
        <n v="2.2478383034467701E-2" u="1"/>
        <n v="4.2870700359344503E-2" u="1"/>
        <n v="7.1495920419692993E-2" u="1"/>
        <n v="8.2927334005944404E-5" u="1"/>
        <n v="4.5273881405591999E-3" u="1"/>
        <n v="2.8935341164469702E-2" u="1"/>
        <n v="3.07346433401108E-2" u="1"/>
        <n v="3.7255253642797498E-2" u="1"/>
        <n v="5.56239411234856E-2" u="1"/>
        <n v="6.4242273569107097E-2" u="1"/>
        <n v="1.13144114948227E-5" u="1"/>
        <n v="1.6078896587714601E-3" u="1"/>
        <n v="2.45746807195246E-3" u="1"/>
        <n v="3.4378890413790898E-3" u="1"/>
        <n v="8.2427337765693699E-3" u="1"/>
        <n v="3.63388127880171E-4" u="1"/>
        <n v="3.01800575107336E-3" u="1"/>
        <n v="8.3254622295498796E-3" u="1"/>
        <n v="1.09370723366737E-2" u="1"/>
        <n v="2.25128121674061E-2" u="1"/>
        <n v="3.7979118525981903E-2" u="1"/>
        <n v="0.13075289130210899" u="1"/>
        <n v="1.4107666211202699E-3" u="1"/>
        <n v="3.9897868409752802E-3" u="1"/>
        <n v="1.7809288576245301E-2" u="1"/>
        <n v="1.3925399398431199E-3" u="1"/>
        <n v="9.0716267004609108E-3" u="1"/>
        <n v="1.72464270144701E-2" u="1"/>
        <n v="2.2499192506074898E-2" u="1"/>
        <n v="2.26767994463444E-2" u="1"/>
        <n v="2.27122996002436E-2" u="1"/>
        <n v="3.8183368742466001E-2" u="1"/>
        <n v="4.5291692018508897E-2" u="1"/>
        <n v="5.6875217705965E-2" u="1"/>
        <n v="3.5967424046248202E-3" u="1"/>
        <n v="3.9636236615479001E-3" u="1"/>
        <n v="1.5215536579489699E-2" u="1"/>
        <n v="2.24683340638876E-2" u="1"/>
        <n v="3.5986114293336903E-2" u="1"/>
        <n v="2.4844959843903802E-3" u="1"/>
        <n v="4.7599021345377003E-3" u="1"/>
        <n v="3.1359547283500398E-3" u="1"/>
        <n v="8.0824280157685297E-3" u="1"/>
        <n v="1.0310555808246099E-2" u="1"/>
        <n v="1.14679774269462E-2" u="1"/>
        <n v="2.0256491377949701E-2" u="1"/>
        <n v="2.7223862707614899E-2" u="1"/>
        <n v="3.0547736212611198E-2" u="1"/>
        <n v="3.5984296351671198E-2" u="1"/>
        <n v="0.11119163036346399" u="1"/>
        <n v="0.124338671565056" u="1"/>
        <n v="9.6917196060530801E-5" u="1"/>
        <n v="1.4004986733198201E-3" u="1"/>
        <n v="1.4019998488947699E-3" u="1"/>
        <n v="9.4983465969562496E-3" u="1"/>
        <n v="7.9939942224882502E-5" u="1"/>
        <n v="1.33707222994417E-3" u="1"/>
        <n v="2.5233626365661599E-3" u="1"/>
        <n v="3.0262013897299801E-3" u="1"/>
        <n v="3.0381444375962002E-3" u="1"/>
        <n v="3.04485019296408E-3" u="1"/>
        <n v="3.8639567792415602E-3" u="1"/>
        <n v="8.2017742097377794E-3" u="1"/>
        <n v="1.11488094553351E-2" u="1"/>
        <n v="3.0936501920223201E-2" u="1"/>
        <n v="3.6040931940078701E-2" u="1"/>
        <n v="3.7194777280092198E-2" u="1"/>
        <n v="6.9442920386791201E-2" u="1"/>
        <n v="1.9411931280046699E-3" u="1"/>
        <n v="2.9258474241942202E-3" u="1"/>
        <n v="1.1277460493147399E-2" u="1"/>
        <n v="4.4225484132766703E-2" u="1"/>
        <n v="5.5689834058284801E-2" u="1"/>
        <n v="0.124162152409554" u="1"/>
        <n v="7.1389418735634495E-5" u="1"/>
        <n v="1.6000303439795999E-3" u="1"/>
        <n v="1.9330194918438801E-3" u="1"/>
        <n v="2.9666482005268301E-3" u="1"/>
        <n v="3.00177093595266E-3" u="1"/>
        <n v="4.59832511842251E-3" u="1"/>
        <n v="4.7788950614631202E-3" u="1"/>
        <n v="5.8062713593244601E-2" u="1"/>
        <n v="1.04364100843668E-2" u="1"/>
        <n v="6.9644287228584303E-2" u="1"/>
        <n v="0.114510044455528" u="1"/>
        <n v="659.066162109375" u="1"/>
        <n v="99983704" u="1"/>
        <n v="7.2502727562095997E-5" u="1"/>
        <n v="1.14963790401816E-2" u="1"/>
        <n v="3.4825425595045097E-2" u="1"/>
        <n v="4.92829643189907E-2" u="1"/>
        <n v="6.7341998219490107E-2" u="1"/>
        <n v="8.6723277345299703E-3" u="1"/>
        <n v="1.05005791410804E-2" u="1"/>
        <n v="1.0761433281004399E-2" u="1"/>
        <n v="1.12526193261147E-2" u="1"/>
        <n v="0.12049327045679099" u="1"/>
        <n v="1.4336109161377E-2" u="1"/>
        <n v="1.7666639760136601E-2" u="1"/>
        <n v="3.7701874971389798E-2" u="1"/>
        <n v="1.3975850306451299E-3" u="1"/>
        <n v="3.32746049389243E-3" u="1"/>
        <n v="4.7846185043454196E-3" u="1"/>
        <n v="7.8899646177887899E-3" u="1"/>
        <n v="8.4153041243553196E-3" u="1"/>
        <n v="1.0692243464291099E-2" u="1"/>
        <n v="3.6100439727306401E-2" u="1"/>
        <n v="6.7959867417812306E-2" u="1"/>
        <n v="6.8664595484733595E-2" u="1"/>
        <n v="0.14146538078784901" u="1"/>
        <n v="1.60215760115534E-3" u="1"/>
        <n v="6.0924282297492001E-3" u="1"/>
        <n v="1.2628244236111599E-2" u="1"/>
        <n v="4.0284588932991E-2" u="1"/>
        <n v="9.4659408205188797E-5" u="1"/>
        <n v="2.2807196364738001E-4" u="1"/>
        <n v="2.7501201257109599E-3" u="1"/>
        <n v="4.8113185912370703E-2" u="1"/>
        <n v="5.8821089565753902E-2" u="1"/>
        <n v="0.26762863993644698" u="1"/>
        <n v="833189.75" u="1"/>
        <n v="1.1877576820552301E-2" u="1"/>
        <n v="1.7812889069318799E-2" u="1"/>
        <n v="6.3527066959068201E-4" u="1"/>
        <n v="1.31679512560368E-3" u="1"/>
        <n v="3.01326555199921E-3" u="1"/>
        <n v="5.8454042300581897E-3" u="1"/>
        <n v="4.4687058776617099E-2" u="1"/>
        <n v="4.9126382917165798E-2" u="1"/>
        <n v="7.8136071562767001E-2" u="1"/>
        <n v="0.112694442272186" u="1"/>
        <n v="2.2744202578906E-4" u="1"/>
        <n v="3.0096268747001899E-3" u="1"/>
        <n v="3.0297932680696201E-3" u="1"/>
        <n v="3.5157960373908299E-3" u="1"/>
        <n v="4.0845577605068701E-3" u="1"/>
        <n v="2.2698862478136999E-2" u="1"/>
        <n v="2.6362562552094501E-2" u="1"/>
        <n v="7.2920337319374098E-2" u="1"/>
        <n v="3.0196299776434898E-3" u="1"/>
        <n v="1.9191913306713101E-2" u="1"/>
        <n v="1.977314427495E-2" u="1"/>
        <n v="2.2450482472777401E-2" u="1"/>
        <n v="3.3198992605321098E-4" u="1"/>
        <n v="2.9932782053947401E-3" u="1"/>
        <n v="3.03685874678195E-3" u="1"/>
        <n v="3.0746106058359098E-3" u="1"/>
        <n v="3.97346587851644E-3" u="1"/>
        <n v="8.1430068239569699E-3" u="1"/>
        <n v="2.24957726895809E-2" u="1"/>
        <n v="3.4613508731126799E-2" u="1"/>
        <n v="4.45838831365108E-2" u="1"/>
        <n v="4.87713478505611E-2" u="1"/>
        <n v="1.3975246110931E-3" u="1"/>
        <n v="1.5403536381199999E-3" u="1"/>
        <n v="3.0571939423680301E-3" u="1"/>
        <n v="5.5706850253045602E-3" u="1"/>
        <n v="2.65710186213255E-2" u="1"/>
        <n v="4.7367401421070099E-2" u="1"/>
        <n v="3332780.25" u="1"/>
        <n v="2.085598744452E-2" u="1"/>
        <n v="2.2532479837536801E-2" u="1"/>
        <n v="3.1851120293140397E-2" u="1"/>
        <n v="3.6043547093868297E-2" u="1"/>
        <n v="5.5239617824554402E-2" u="1"/>
        <n v="5.8186624199152E-2" u="1"/>
        <n v="0.24374139308929399" u="1"/>
        <n v="2.1358935628086298E-3" u="1"/>
        <n v="3.0119891744106999E-3" u="1"/>
        <n v="9.3915509060025198E-3" u="1"/>
        <n v="2.2559328004717799E-2" u="1"/>
        <n v="4.0530070662498502E-2" u="1"/>
        <n v="4.9228273332119002E-2" u="1"/>
        <n v="9.74057329585776E-5" u="1"/>
        <n v="3.0078948475420501E-3" u="1"/>
        <n v="3.1334829982370099E-3" u="1"/>
        <n v="3.9694658480584604E-3" u="1"/>
        <n v="1.40489614568651E-3" u="1"/>
        <n v="2.9889964498579502E-3" u="1"/>
        <n v="4.1126757860183698E-3" u="1"/>
        <n v="7.9689249396324192E-3" u="1"/>
        <n v="3.1033072620630299E-2" u="1"/>
        <n v="1.3408453669398999E-3" u="1"/>
        <n v="2.4879705160856199E-3" u="1"/>
        <n v="3.0094101093709499E-3" u="1"/>
        <n v="4.2317351326346397E-3" u="1"/>
        <n v="1.1108611710369601E-2" u="1"/>
        <n v="3.2580479979515103E-2" u="1"/>
        <n v="7.2467938065528897E-2" u="1"/>
        <n v="0.11429512500762901" u="1"/>
        <n v="0.25696560740470897" u="1"/>
        <n v="2.9596248641610098E-3" u="1"/>
        <n v="3.0591832473874101E-3" u="1"/>
        <n v="6.9194003008306E-3" u="1"/>
        <n v="2.9535794630646699E-2" u="1"/>
        <n v="0.12200907617807399" u="1"/>
        <n v="1.8454075325280401E-4" u="1"/>
        <n v="1.39846513047814E-3" u="1"/>
        <n v="1.3989728176966301E-3" u="1"/>
        <n v="3.4180120564997201E-3" u="1"/>
        <n v="1.75455901771784E-2" u="1"/>
        <n v="5.4145250469446203E-2" u="1"/>
        <n v="5.45318871736526E-2" u="1"/>
        <n v="7.6230123639106806E-2" u="1"/>
        <n v="1.39062013477087E-3" u="1"/>
        <n v="1.4017969369888299E-3" u="1"/>
        <n v="2.48329737223685E-3" u="1"/>
        <n v="3.9464952424168604E-3" u="1"/>
        <n v="1.3850997202098401E-2" u="1"/>
        <n v="1.5292624011635799E-2" u="1"/>
        <n v="1.6072748228907599E-2" u="1"/>
        <n v="3.61375398933887E-2" u="1"/>
        <n v="3332695.75" u="1"/>
        <n v="4.4733155518770201E-3" u="1"/>
        <n v="5.4849866777658497E-2" u="1"/>
        <n v="6.8663796409964596E-3" u="1"/>
        <n v="1.75455491989851E-2" u="1"/>
        <n v="2.0555919036269198E-2" u="1"/>
        <n v="2.7540927752852402E-2" u="1"/>
        <n v="7.0816077291965498E-2" u="1"/>
        <n v="8.7210784840863198E-5" u="1"/>
        <n v="1.14018577733077E-4" u="1"/>
        <n v="2.76553560979664E-4" u="1"/>
        <n v="7.0024412125349001E-3" u="1"/>
        <n v="1.7574185505509401E-2" u="1"/>
        <n v="2.2113565355539301E-2" u="1"/>
        <n v="3.2849919050931903E-2" u="1"/>
        <n v="3.0324605759233202E-3" u="1"/>
        <n v="3.9172647520899799E-3" u="1"/>
        <n v="3.8408942520618397E-2" u="1"/>
        <n v="5.7619608938694E-2" u="1"/>
        <n v="1.2279257643967899E-3" u="1"/>
        <n v="2.4764209520071702E-3" u="1"/>
        <n v="3.3336195629090101E-3" u="1"/>
        <n v="1.1242379434406801E-2" u="1"/>
        <n v="2.2574020549654999E-2" u="1"/>
        <n v="3.1958598643541301E-2" u="1"/>
        <n v="4.0571484714746503E-2" u="1"/>
        <n v="1.14042610221077E-4" u="1"/>
        <n v="2.2776419296860698E-2" u="1"/>
        <n v="0.140096619725227" u="1"/>
        <n v="0.523553907871246" u="1"/>
        <n v="3332788.5" u="1"/>
        <n v="3.0147465877234901E-3" u="1"/>
        <n v="1.12362252548337E-2" u="1"/>
        <n v="1.1237488128244899E-2" u="1"/>
        <n v="2.24979910999537E-2" u="1"/>
        <n v="6.9406494498252896E-2" u="1"/>
        <n v="1.5110269887372899E-3" u="1"/>
        <n v="6.3931094482541102E-3" u="1"/>
        <n v="8.8948598131537403E-3" u="1"/>
        <n v="1.0531181469559701E-2" u="1"/>
        <n v="1.92068479955196E-2" u="1"/>
        <n v="4.25912579521537E-3" u="1"/>
        <n v="1.15201715379953E-2" u="1"/>
        <n v="2.2569116204977001E-2" u="1"/>
        <n v="2.6401599869132E-2" u="1"/>
        <n v="3.4885127097368199E-2" u="1"/>
        <n v="5.6154452264308902E-2" u="1"/>
        <n v="6.8420514464378399E-2" u="1"/>
        <n v="6.8784775212407103E-3" u="1"/>
        <n v="7.0187780074775202E-3" u="1"/>
        <n v="8.7330099195241893E-3" u="1"/>
        <n v="1.0649603791534901E-2" u="1"/>
        <n v="1.92174389958382E-2" u="1"/>
        <n v="2.2463271394372E-2" u="1"/>
        <n v="3.4027781337499598E-2" u="1"/>
        <n v="3.50526385009289E-2" u="1"/>
        <n v="0.13907459378242501" u="1"/>
        <n v="3.00995609723032E-3" u="1"/>
        <n v="3.4438928123563502E-3" u="1"/>
        <n v="4.1631506755948101E-3" u="1"/>
        <n v="8.3025656640529598E-3" u="1"/>
        <n v="8.7112560868263193E-3" u="1"/>
        <n v="1.1516430415213099E-2" u="1"/>
        <n v="2.2488504648208601E-2" u="1"/>
        <n v="2.25627645850182E-2" u="1"/>
        <n v="4.5931581407785402E-2" u="1"/>
        <n v="1.9090729765593999E-3" u="1"/>
        <n v="5.5968053638935098E-3" u="1"/>
        <n v="5.63797494396567E-3" u="1"/>
        <n v="6.8605691194534302E-3" u="1"/>
        <n v="7.8898863866925205E-3" u="1"/>
        <n v="3.1855270266532898E-2" u="1"/>
        <n v="2.7548284269869302E-3" u="1"/>
        <n v="3.00051318481565E-3" u="1"/>
        <n v="5.0046145915985099E-3" u="1"/>
        <n v="5.84252178668976E-3" u="1"/>
        <n v="6.9227553904056497E-3" u="1"/>
        <n v="1.03827472776175E-2" u="1"/>
        <n v="2.5772130116820301E-2" u="1"/>
        <n v="2.6771625503897702E-2" u="1"/>
        <n v="4.8864398151636103E-2" u="1"/>
        <n v="6.8816736340522794E-2" u="1"/>
        <n v="0.53331744670867898" u="1"/>
        <n v="1.0407860390842001E-2" u="1"/>
        <n v="2.9702358879148999E-3" u="1"/>
        <n v="6.99910968542099E-2" u="1"/>
        <n v="0.51187664270401001" u="1"/>
        <n v="2.9992938507348299E-3" u="1"/>
        <n v="1.0360063984990101E-2" u="1"/>
        <n v="1.74205601215363E-2" u="1"/>
        <n v="2.87296026945114E-2" u="1"/>
        <n v="3.0106580816209299E-3" u="1"/>
        <n v="3.02081881090999E-3" u="1"/>
        <n v="7.0136059075593896E-3" u="1"/>
        <n v="2.0238088443875299E-2" u="1"/>
        <n v="5.7758677750825903E-2" u="1"/>
        <n v="5.5969487875699997E-3" u="1"/>
        <n v="8.4512569010257704E-3" u="1"/>
        <n v="2.2792423143982901E-2" u="1"/>
        <n v="3.6292392760515199E-2" u="1"/>
        <n v="7.0659146877005696E-4" u="1"/>
        <n v="1.3990575680509201E-3" u="1"/>
        <n v="2.9819766059517899E-3" u="1"/>
        <n v="1.0105469264090099E-2" u="1"/>
        <n v="1.0390235111117399E-2" u="1"/>
        <n v="3.6073479801416397E-2" u="1"/>
        <n v="3.02125979214907E-3" u="1"/>
        <n v="6.21872721239924E-3" u="1"/>
        <n v="8.6677838116884197E-3" u="1"/>
        <n v="2.23632045090199E-2" u="1"/>
        <n v="2.2505655884742699E-2" u="1"/>
        <n v="2.2627435624599498E-2" u="1"/>
        <n v="3.0443858355283699E-2" u="1"/>
        <n v="9.3908384442329407E-2" u="1"/>
        <n v="1.41357292886823E-3" u="1"/>
        <n v="3.0352545436471701E-3" u="1"/>
        <n v="6.6882692277431502E-2" u="1"/>
        <n v="7.1192502975463895E-2" u="1"/>
        <n v="7.42021054029465E-2" u="1"/>
        <n v="0.107953391969204" u="1"/>
        <n v="2.51037231646478E-3" u="1"/>
        <n v="1.8908673897385601E-2" u="1"/>
        <n v="0.41545334458351102" u="1"/>
        <n v="3.3334938343614301E-3" u="1"/>
        <n v="1.06531232595444E-2" u="1"/>
        <n v="1.7586076632142102E-2" u="1"/>
        <n v="3.1329814344644498E-2" u="1"/>
        <n v="4.9421489238739E-2" u="1"/>
        <n v="5.8242712169885601E-2"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4470" u="1"/>
        <n v="8816" u="1"/>
        <n v="14867" u="1"/>
        <n v="4210" u="1"/>
        <n v="8296" u="1"/>
        <n v="10313" u="1"/>
        <n v="14347" u="1"/>
        <n v="517" u="1"/>
        <n v="5967" u="1"/>
        <n v="7984" u="1"/>
        <n v="9793" u="1"/>
        <n v="5707" u="1"/>
        <n v="7724" u="1"/>
        <n v="9273" u="1"/>
        <n v="482" u="1"/>
        <n v="5447" u="1"/>
        <n v="8753" u="1"/>
        <n v="10770" u="1"/>
        <n v="14804" u="1"/>
        <n v="1832" u="1"/>
        <n v="5187" u="1"/>
        <n v="8233" u="1"/>
        <n v="10250" u="1"/>
        <n v="1767" u="1"/>
        <n v="3503" u="1"/>
        <n v="4927" u="1"/>
        <n v="9730" u="1"/>
        <n v="1702" u="1"/>
        <n v="3373" u="1"/>
        <n v="9210" u="1"/>
        <n v="11227" u="1"/>
        <n v="1637" u="1"/>
        <n v="3243" u="1"/>
        <n v="6424" u="1"/>
        <n v="8690" u="1"/>
        <n v="10707" u="1"/>
        <n v="3113" u="1"/>
        <n v="6164" u="1"/>
        <n v="10187" u="1"/>
        <n v="2983" u="1"/>
        <n v="5904" u="1"/>
        <n v="9667" u="1"/>
        <n v="11684" u="1"/>
        <n v="94" u="1"/>
        <n v="5644" u="1"/>
        <n v="9147" u="1"/>
        <n v="11164" u="1"/>
        <n v="352" u="1"/>
        <n v="5384" u="1"/>
        <n v="10644" u="1"/>
        <n v="12661" u="1"/>
        <n v="7141" u="1"/>
        <n v="10124" u="1"/>
        <n v="12141" u="1"/>
        <n v="1247" u="1"/>
        <n v="6881" u="1"/>
        <n v="9604" u="1"/>
        <n v="11621" u="1"/>
        <n v="1182" u="1"/>
        <n v="6621" u="1"/>
        <n v="11101" u="1"/>
        <n v="13118" u="1"/>
        <n v="1117" u="1"/>
        <n v="2203" u="1"/>
        <n v="6361" u="1"/>
        <n v="10581" u="1"/>
        <n v="12598" u="1"/>
        <n v="1052" u="1"/>
        <n v="2073" u="1"/>
        <n v="4090" u="1"/>
        <n v="6101" u="1"/>
        <n v="12078" u="1"/>
        <n v="3960" u="1"/>
        <n v="11558" u="1"/>
        <n v="13575" u="1"/>
        <n v="3830" u="1"/>
        <n v="7598" u="1"/>
        <n v="11038" u="1"/>
        <n v="13055" u="1"/>
        <n v="239" u="1"/>
        <n v="3700" u="1"/>
        <n v="12535" u="1"/>
        <n v="3570" u="1"/>
        <n v="7078" u="1"/>
        <n v="12015" u="1"/>
        <n v="14032" u="1"/>
        <n v="6818" u="1"/>
        <n v="11495" u="1"/>
        <n v="13512" u="1"/>
        <n v="843" u="1"/>
        <n v="4541" u="1"/>
        <n v="6558" u="1"/>
        <n v="12992" u="1"/>
        <n v="15009" u="1"/>
        <n v="4281" u="1"/>
        <n v="8438" u="1"/>
        <n v="12472" u="1"/>
        <n v="14489" u="1"/>
        <n v="20662" u="1"/>
        <n v="778" u="1"/>
        <n v="8055" u="1"/>
        <n v="11952" u="1"/>
        <n v="13969" u="1"/>
        <n v="7795" u="1"/>
        <n v="13449" u="1"/>
        <n v="713" u="1"/>
        <n v="2790" u="1"/>
        <n v="7535" u="1"/>
        <n v="8895" u="1"/>
        <n v="12929" u="1"/>
        <n v="14946" u="1"/>
        <n v="2660" u="1"/>
        <n v="5258" u="1"/>
        <n v="7275" u="1"/>
        <n v="8375" u="1"/>
        <n v="14426" u="1"/>
        <n v="2530" u="1"/>
        <n v="4998" u="1"/>
        <n v="13906" u="1"/>
        <n v="2400" u="1"/>
        <n v="4738" u="1"/>
        <n v="9352" u="1"/>
        <n v="13386" u="1"/>
        <n v="4478" u="1"/>
        <n v="8832" u="1"/>
        <n v="14883" u="1"/>
        <n v="4218" u="1"/>
        <n v="8312" u="1"/>
        <n v="14363" u="1"/>
        <n v="518" u="1"/>
        <n v="7992" u="1"/>
        <n v="9809" u="1"/>
        <n v="13843" u="1"/>
        <n v="5715" u="1"/>
        <n v="7732" u="1"/>
        <n v="9289" u="1"/>
        <n v="5455" u="1"/>
        <n v="8769" u="1"/>
        <n v="10786" u="1"/>
        <n v="14820" u="1"/>
        <n v="1834" u="1"/>
        <n v="5195" u="1"/>
        <n v="8249" u="1"/>
        <n v="10266" u="1"/>
        <n v="14300" u="1"/>
        <n v="1769" u="1"/>
        <n v="4935" u="1"/>
        <n v="9746" u="1"/>
        <n v="1704" u="1"/>
        <n v="3377" u="1"/>
        <n v="4675" u="1"/>
        <n v="9226" u="1"/>
        <n v="11243" u="1"/>
        <n v="1639" u="1"/>
        <n v="3247" u="1"/>
        <n v="6432" u="1"/>
        <n v="8706" u="1"/>
        <n v="10723" u="1"/>
        <n v="1574" u="1"/>
        <n v="3117" u="1"/>
        <n v="6172" u="1"/>
        <n v="10203" u="1"/>
        <n v="2987" u="1"/>
        <n v="5912" u="1"/>
        <n v="9683" u="1"/>
        <n v="11700" u="1"/>
        <n v="5652" u="1"/>
        <n v="9163" u="1"/>
        <n v="11180" u="1"/>
        <n v="5392" u="1"/>
        <n v="10660" u="1"/>
        <n v="10140" u="1"/>
        <n v="12157" u="1"/>
        <n v="320" u="1"/>
        <n v="1249" u="1"/>
        <n v="6889" u="1"/>
        <n v="9620" u="1"/>
        <n v="11637" u="1"/>
        <n v="1184" u="1"/>
        <n v="6629" u="1"/>
        <n v="11117" u="1"/>
        <n v="1119" u="1"/>
        <n v="2207" u="1"/>
        <n v="6369" u="1"/>
        <n v="10597" u="1"/>
        <n v="12614" u="1"/>
        <n v="16912" u="1"/>
        <n v="1054" u="1"/>
        <n v="2077" u="1"/>
        <n v="6109" u="1"/>
        <n v="10077" u="1"/>
        <n v="12094" u="1"/>
        <n v="3964" u="1"/>
        <n v="5849" u="1"/>
        <n v="11574" u="1"/>
        <n v="13591" u="1"/>
        <n v="3834" u="1"/>
        <n v="7606" u="1"/>
        <n v="11054" u="1"/>
        <n v="13071" u="1"/>
        <n v="3704" u="1"/>
        <n v="7346" u="1"/>
        <n v="12551" u="1"/>
        <n v="3574" u="1"/>
        <n v="7086" u="1"/>
        <n v="12031" u="1"/>
        <n v="14048" u="1"/>
        <n v="223" u="1"/>
        <n v="6826" u="1"/>
        <n v="11511" u="1"/>
        <n v="13528" u="1"/>
        <n v="844" u="1"/>
        <n v="4549" u="1"/>
        <n v="6566" u="1"/>
        <n v="13008" u="1"/>
        <n v="4289" u="1"/>
        <n v="12488" u="1"/>
        <n v="14505" u="1"/>
        <n v="779" u="1"/>
        <n v="8063" u="1"/>
        <n v="11968" u="1"/>
        <n v="13985" u="1"/>
        <n v="7803" u="1"/>
        <n v="13465" u="1"/>
        <n v="714" u="1"/>
        <n v="2794" u="1"/>
        <n v="7543" u="1"/>
        <n v="12945" u="1"/>
        <n v="14962" u="1"/>
        <n v="21608" u="1"/>
        <n v="2664" u="1"/>
        <n v="7283" u="1"/>
        <n v="8391" u="1"/>
        <n v="12425" u="1"/>
        <n v="14442" u="1"/>
        <n v="2534" u="1"/>
        <n v="5006" u="1"/>
        <n v="7023" u="1"/>
        <n v="13922" u="1"/>
        <n v="158" u="1"/>
        <n v="2404" u="1"/>
        <n v="4746" u="1"/>
        <n v="9368" u="1"/>
        <n v="13402" u="1"/>
        <n v="2274" u="1"/>
        <n v="4486" u="1"/>
        <n v="8848" u="1"/>
        <n v="14899" u="1"/>
        <n v="4226" u="1"/>
        <n v="8328" u="1"/>
        <n v="14379" u="1"/>
        <n v="519" u="1"/>
        <n v="8000" u="1"/>
        <n v="9825" u="1"/>
        <n v="13859" u="1"/>
        <n v="5723" u="1"/>
        <n v="7740" u="1"/>
        <n v="9305" u="1"/>
        <n v="483" u="1"/>
        <n v="5463" u="1"/>
        <n v="8785" u="1"/>
        <n v="14836" u="1"/>
        <n v="1836" u="1"/>
        <n v="5203" u="1"/>
        <n v="8265" u="1"/>
        <n v="10282" u="1"/>
        <n v="14316" u="1"/>
        <n v="1771" u="1"/>
        <n v="4943" u="1"/>
        <n v="9762" u="1"/>
        <n v="1706" u="1"/>
        <n v="3381" u="1"/>
        <n v="4683" u="1"/>
        <n v="9242" u="1"/>
        <n v="1641" u="1"/>
        <n v="3251" u="1"/>
        <n v="8722" u="1"/>
        <n v="10739" u="1"/>
        <n v="14773" u="1"/>
        <n v="1576" u="1"/>
        <n v="3121" u="1"/>
        <n v="6180" u="1"/>
        <n v="8202" u="1"/>
        <n v="10219" u="1"/>
        <n v="2991" u="1"/>
        <n v="5920" u="1"/>
        <n v="9699" u="1"/>
        <n v="11716" u="1"/>
        <n v="2861" u="1"/>
        <n v="5660" u="1"/>
        <n v="9179" u="1"/>
        <n v="11196" u="1"/>
        <n v="353" u="1"/>
        <n v="5400" u="1"/>
        <n v="10676" u="1"/>
        <n v="10156" u="1"/>
        <n v="12173" u="1"/>
        <n v="1251" u="1"/>
        <n v="6897" u="1"/>
        <n v="9636" u="1"/>
        <n v="11653" u="1"/>
        <n v="1186" u="1"/>
        <n v="6637" u="1"/>
        <n v="11133" u="1"/>
        <n v="1121" u="1"/>
        <n v="2211" u="1"/>
        <n v="6377" u="1"/>
        <n v="10613" u="1"/>
        <n v="12630" u="1"/>
        <n v="1056" u="1"/>
        <n v="2081" u="1"/>
        <n v="6117" u="1"/>
        <n v="10093" u="1"/>
        <n v="12110" u="1"/>
        <n v="3968" u="1"/>
        <n v="5857" u="1"/>
        <n v="11590" u="1"/>
        <n v="3838" u="1"/>
        <n v="11070" u="1"/>
        <n v="13087" u="1"/>
        <n v="3708" u="1"/>
        <n v="7354" u="1"/>
        <n v="10550" u="1"/>
        <n v="12567" u="1"/>
        <n v="3578" u="1"/>
        <n v="7094" u="1"/>
        <n v="12047" u="1"/>
        <n v="14064" u="1"/>
        <n v="3448" u="1"/>
        <n v="6834" u="1"/>
        <n v="11527" u="1"/>
        <n v="13544" u="1"/>
        <n v="4557" u="1"/>
        <n v="6574" u="1"/>
        <n v="13024" u="1"/>
        <n v="207" u="1"/>
        <n v="4297" u="1"/>
        <n v="12504" u="1"/>
        <n v="14521" u="1"/>
        <n v="780" u="1"/>
        <n v="8071" u="1"/>
        <n v="11984" u="1"/>
        <n v="14001" u="1"/>
        <n v="7811" u="1"/>
        <n v="13481" u="1"/>
        <n v="20663" u="1"/>
        <n v="715" u="1"/>
        <n v="2798" u="1"/>
        <n v="7551" u="1"/>
        <n v="12961" u="1"/>
        <n v="14978" u="1"/>
        <n v="2668" u="1"/>
        <n v="7291" u="1"/>
        <n v="8407" u="1"/>
        <n v="12441" u="1"/>
        <n v="14458" u="1"/>
        <n v="2538" u="1"/>
        <n v="5014" u="1"/>
        <n v="7031" u="1"/>
        <n v="13938" u="1"/>
        <n v="2408" u="1"/>
        <n v="4754" u="1"/>
        <n v="13418" u="1"/>
        <n v="2278" u="1"/>
        <n v="4494" u="1"/>
        <n v="8864" u="1"/>
        <n v="12898" u="1"/>
        <n v="14915" u="1"/>
        <n v="142" u="1"/>
        <n v="4234" u="1"/>
        <n v="8344" u="1"/>
        <n v="14395" u="1"/>
        <n v="520" u="1"/>
        <n v="4035" u="1"/>
        <n v="8008" u="1"/>
        <n v="9841" u="1"/>
        <n v="13875" u="1"/>
        <n v="5731" u="1"/>
        <n v="7748" u="1"/>
        <n v="9321" u="1"/>
        <n v="5471" u="1"/>
        <n v="8801" u="1"/>
        <n v="14852" u="1"/>
        <n v="1838" u="1"/>
        <n v="5211" u="1"/>
        <n v="8281" u="1"/>
        <n v="10298" u="1"/>
        <n v="14332" u="1"/>
        <n v="451" u="1"/>
        <n v="1773" u="1"/>
        <n v="4951" u="1"/>
        <n v="9778" u="1"/>
        <n v="1708" u="1"/>
        <n v="3385" u="1"/>
        <n v="4691" u="1"/>
        <n v="9258" u="1"/>
        <n v="1643" u="1"/>
        <n v="3255" u="1"/>
        <n v="8738" u="1"/>
        <n v="10755" u="1"/>
        <n v="14789" u="1"/>
        <n v="1578" u="1"/>
        <n v="3125" u="1"/>
        <n v="6188" u="1"/>
        <n v="8218" u="1"/>
        <n v="10235" u="1"/>
        <n v="2995" u="1"/>
        <n v="5928" u="1"/>
        <n v="9715" u="1"/>
        <n v="2865" u="1"/>
        <n v="5668" u="1"/>
        <n v="9195" u="1"/>
        <n v="11212" u="1"/>
        <n v="5408" u="1"/>
        <n v="8675" u="1"/>
        <n v="10692" u="1"/>
        <n v="5148" u="1"/>
        <n v="10172" u="1"/>
        <n v="12189" u="1"/>
        <n v="321" u="1"/>
        <n v="6905" u="1"/>
        <n v="9652" u="1"/>
        <n v="11669" u="1"/>
        <n v="1188" u="1"/>
        <n v="6645" u="1"/>
        <n v="11149" u="1"/>
        <n v="1123" u="1"/>
        <n v="2215" u="1"/>
        <n v="6385" u="1"/>
        <n v="10629" u="1"/>
        <n v="12646" u="1"/>
        <n v="1058" u="1"/>
        <n v="2085" u="1"/>
        <n v="6125" u="1"/>
        <n v="10109" u="1"/>
        <n v="12126" u="1"/>
        <n v="3972" u="1"/>
        <n v="5865" u="1"/>
        <n v="11606" u="1"/>
        <n v="16913" u="1"/>
        <n v="976" u="1"/>
        <n v="3842" u="1"/>
        <n v="11086" u="1"/>
        <n v="3712" u="1"/>
        <n v="7362" u="1"/>
        <n v="10566" u="1"/>
        <n v="12583" u="1"/>
        <n v="3582" u="1"/>
        <n v="7102" u="1"/>
        <n v="12063" u="1"/>
        <n v="3452" u="1"/>
        <n v="6842" u="1"/>
        <n v="11543" u="1"/>
        <n v="13560" u="1"/>
        <n v="6582" u="1"/>
        <n v="11023" u="1"/>
        <n v="13040" u="1"/>
        <n v="4305" u="1"/>
        <n v="6322" u="1"/>
        <n v="12520" u="1"/>
        <n v="14537" u="1"/>
        <n v="781" u="1"/>
        <n v="8079" u="1"/>
        <n v="12000" u="1"/>
        <n v="14017" u="1"/>
        <n v="7819" u="1"/>
        <n v="13497" u="1"/>
        <n v="716" u="1"/>
        <n v="2802" u="1"/>
        <n v="7559" u="1"/>
        <n v="12977" u="1"/>
        <n v="14994" u="1"/>
        <n v="2672" u="1"/>
        <n v="7299" u="1"/>
        <n v="8423" u="1"/>
        <n v="12457" u="1"/>
        <n v="14474" u="1"/>
        <n v="2542" u="1"/>
        <n v="5022" u="1"/>
        <n v="7039" u="1"/>
        <n v="13954" u="1"/>
        <n v="21609" u="1"/>
        <n v="2412" u="1"/>
        <n v="4762" u="1"/>
        <n v="13434" u="1"/>
        <n v="2282" u="1"/>
        <n v="4502" u="1"/>
        <n v="8880" u="1"/>
        <n v="12914" u="1"/>
        <n v="14931" u="1"/>
        <n v="4242" u="1"/>
        <n v="8360" u="1"/>
        <n v="14411" u="1"/>
        <n v="521" u="1"/>
        <n v="4039" u="1"/>
        <n v="8016" u="1"/>
        <n v="13891" u="1"/>
        <n v="127" u="1"/>
        <n v="7756" u="1"/>
        <n v="9337" u="1"/>
        <n v="13371" u="1"/>
        <n v="484" u="1"/>
        <n v="5479" u="1"/>
        <n v="7496" u="1"/>
        <n v="8817" u="1"/>
        <n v="14868" u="1"/>
        <n v="5219" u="1"/>
        <n v="8297" u="1"/>
        <n v="10314" u="1"/>
        <n v="14348" u="1"/>
        <n v="1775" u="1"/>
        <n v="4959" u="1"/>
        <n v="9794" u="1"/>
        <n v="1710" u="1"/>
        <n v="4699" u="1"/>
        <n v="9274" u="1"/>
        <n v="1645" u="1"/>
        <n v="3259" u="1"/>
        <n v="4439" u="1"/>
        <n v="8754" u="1"/>
        <n v="10771" u="1"/>
        <n v="14805" u="1"/>
        <n v="1580" u="1"/>
        <n v="3129" u="1"/>
        <n v="6196" u="1"/>
        <n v="8234" u="1"/>
        <n v="10251" u="1"/>
        <n v="1515" u="1"/>
        <n v="2999" u="1"/>
        <n v="5936" u="1"/>
        <n v="9731" u="1"/>
        <n v="2869" u="1"/>
        <n v="5676" u="1"/>
        <n v="9211" u="1"/>
        <n v="11228" u="1"/>
        <n v="354" u="1"/>
        <n v="5416" u="1"/>
        <n v="8691" u="1"/>
        <n v="10708" u="1"/>
        <n v="5156" u="1"/>
        <n v="10188" u="1"/>
        <n v="9668" u="1"/>
        <n v="11685" u="1"/>
        <n v="1190" u="1"/>
        <n v="6653" u="1"/>
        <n v="9148" u="1"/>
        <n v="11165" u="1"/>
        <n v="1125" u="1"/>
        <n v="6393" u="1"/>
        <n v="10645" u="1"/>
        <n v="12662" u="1"/>
        <n v="1060" u="1"/>
        <n v="2089" u="1"/>
        <n v="6133" u="1"/>
        <n v="10125" u="1"/>
        <n v="12142" u="1"/>
        <n v="16176" u="1"/>
        <n v="5873" u="1"/>
        <n v="9605" u="1"/>
        <n v="11622" u="1"/>
        <n v="977" u="1"/>
        <n v="3846" u="1"/>
        <n v="5613" u="1"/>
        <n v="11102" u="1"/>
        <n v="13119" u="1"/>
        <n v="3716" u="1"/>
        <n v="7370" u="1"/>
        <n v="10582" u="1"/>
        <n v="12599" u="1"/>
        <n v="3586" u="1"/>
        <n v="7110" u="1"/>
        <n v="12079" u="1"/>
        <n v="3456" u="1"/>
        <n v="6850" u="1"/>
        <n v="11559" u="1"/>
        <n v="13576" u="1"/>
        <n v="6590" u="1"/>
        <n v="11039" u="1"/>
        <n v="13056" u="1"/>
        <n v="4313" u="1"/>
        <n v="6330" u="1"/>
        <n v="12536" u="1"/>
        <n v="782" u="1"/>
        <n v="12016" u="1"/>
        <n v="14033" u="1"/>
        <n v="7827" u="1"/>
        <n v="11496" u="1"/>
        <n v="13513" u="1"/>
        <n v="717" u="1"/>
        <n v="7567" u="1"/>
        <n v="12993" u="1"/>
        <n v="15010" u="1"/>
        <n v="2676" u="1"/>
        <n v="7307" u="1"/>
        <n v="12473" u="1"/>
        <n v="14490" u="1"/>
        <n v="20664" u="1"/>
        <n v="2546" u="1"/>
        <n v="7047" u="1"/>
        <n v="11953" u="1"/>
        <n v="13970" u="1"/>
        <n v="2416" u="1"/>
        <n v="4770" u="1"/>
        <n v="6787" u="1"/>
        <n v="13450" u="1"/>
        <n v="2286" u="1"/>
        <n v="4510" u="1"/>
        <n v="8896" u="1"/>
        <n v="12930" u="1"/>
        <n v="14947" u="1"/>
        <n v="2156" u="1"/>
        <n v="4250" u="1"/>
        <n v="8376" u="1"/>
        <n v="14427" u="1"/>
        <n v="4043" u="1"/>
        <n v="8024" u="1"/>
        <n v="13907" u="1"/>
        <n v="7764" u="1"/>
        <n v="9353" u="1"/>
        <n v="13387" u="1"/>
        <n v="5487" u="1"/>
        <n v="7504" u="1"/>
        <n v="8833" u="1"/>
        <n v="14884" u="1"/>
        <n v="5227" u="1"/>
        <n v="8313" u="1"/>
        <n v="14364" u="1"/>
        <n v="452" u="1"/>
        <n v="1777" u="1"/>
        <n v="4967" u="1"/>
        <n v="9810" u="1"/>
        <n v="13844" u="1"/>
        <n v="4707" u="1"/>
        <n v="9290" u="1"/>
        <n v="1647" u="1"/>
        <n v="3263" u="1"/>
        <n v="4447" u="1"/>
        <n v="8770" u="1"/>
        <n v="14821" u="1"/>
        <n v="1582" u="1"/>
        <n v="3133" u="1"/>
        <n v="8250" u="1"/>
        <n v="10267" u="1"/>
        <n v="14301" u="1"/>
        <n v="1517" u="1"/>
        <n v="3003" u="1"/>
        <n v="5944" u="1"/>
        <n v="7961" u="1"/>
        <n v="9747" u="1"/>
        <n v="2873" u="1"/>
        <n v="5684" u="1"/>
        <n v="9227" u="1"/>
        <n v="11244" u="1"/>
        <n v="2743" u="1"/>
        <n v="5424" u="1"/>
        <n v="8707" u="1"/>
        <n v="10724" u="1"/>
        <n v="5164" u="1"/>
        <n v="10204" u="1"/>
        <n v="322" u="1"/>
        <n v="9684" u="1"/>
        <n v="11701" u="1"/>
        <n v="1192" u="1"/>
        <n v="6661" u="1"/>
        <n v="9164" u="1"/>
        <n v="11181" u="1"/>
        <n v="1127" u="1"/>
        <n v="6401" u="1"/>
        <n v="10661" u="1"/>
        <n v="1062" u="1"/>
        <n v="2093" u="1"/>
        <n v="6141" u="1"/>
        <n v="10141" u="1"/>
        <n v="12158" u="1"/>
        <n v="5881" u="1"/>
        <n v="9621" u="1"/>
        <n v="11638" u="1"/>
        <n v="978" u="1"/>
        <n v="3850" u="1"/>
        <n v="5621" u="1"/>
        <n v="11118" u="1"/>
        <n v="3720" u="1"/>
        <n v="10598" u="1"/>
        <n v="12615" u="1"/>
        <n v="16914" u="1"/>
        <n v="3590" u="1"/>
        <n v="7118" u="1"/>
        <n v="10078" u="1"/>
        <n v="12095" u="1"/>
        <n v="224" u="1"/>
        <n v="3460" u="1"/>
        <n v="6858" u="1"/>
        <n v="11575" u="1"/>
        <n v="13592" u="1"/>
        <n v="3330" u="1"/>
        <n v="6598" u="1"/>
        <n v="11055" u="1"/>
        <n v="13072" u="1"/>
        <n v="4321" u="1"/>
        <n v="6338" u="1"/>
        <n v="12552" u="1"/>
        <n v="783" u="1"/>
        <n v="12032" u="1"/>
        <n v="14049" u="1"/>
        <n v="7835" u="1"/>
        <n v="11512" u="1"/>
        <n v="13529" u="1"/>
        <n v="718" u="1"/>
        <n v="7575" u="1"/>
        <n v="13009" u="1"/>
        <n v="2680" u="1"/>
        <n v="7315" u="1"/>
        <n v="12489" u="1"/>
        <n v="14506" u="1"/>
        <n v="653" u="1"/>
        <n v="2550" u="1"/>
        <n v="7055" u="1"/>
        <n v="11969" u="1"/>
        <n v="13986" u="1"/>
        <n v="2420" u="1"/>
        <n v="4778" u="1"/>
        <n v="6795" u="1"/>
        <n v="13466" u="1"/>
        <n v="2290" u="1"/>
        <n v="4518" u="1"/>
        <n v="12946" u="1"/>
        <n v="14963" u="1"/>
        <n v="21610" u="1"/>
        <n v="2160" u="1"/>
        <n v="4258" u="1"/>
        <n v="8392" u="1"/>
        <n v="12426" u="1"/>
        <n v="14443" u="1"/>
        <n v="4047" u="1"/>
        <n v="8032" u="1"/>
        <n v="13923" u="1"/>
        <n v="3917" u="1"/>
        <n v="7772" u="1"/>
        <n v="9369" u="1"/>
        <n v="13403" u="1"/>
        <n v="485" u="1"/>
        <n v="5495" u="1"/>
        <n v="7512" u="1"/>
        <n v="8849" u="1"/>
        <n v="14900" u="1"/>
        <n v="5235" u="1"/>
        <n v="8329" u="1"/>
        <n v="14380" u="1"/>
        <n v="1779" u="1"/>
        <n v="4975" u="1"/>
        <n v="9826" u="1"/>
        <n v="13860" u="1"/>
        <n v="1714" u="1"/>
        <n v="4715" u="1"/>
        <n v="9306" u="1"/>
        <n v="1649" u="1"/>
        <n v="3267" u="1"/>
        <n v="4455" u="1"/>
        <n v="8786" u="1"/>
        <n v="14837" u="1"/>
        <n v="1584" u="1"/>
        <n v="3137" u="1"/>
        <n v="8266" u="1"/>
        <n v="10283" u="1"/>
        <n v="14317" u="1"/>
        <n v="1519" u="1"/>
        <n v="3007" u="1"/>
        <n v="5952" u="1"/>
        <n v="7969" u="1"/>
        <n v="9763" u="1"/>
        <n v="2877" u="1"/>
        <n v="5692" u="1"/>
        <n v="9243" u="1"/>
        <n v="355" u="1"/>
        <n v="2747" u="1"/>
        <n v="5432" u="1"/>
        <n v="8723" u="1"/>
        <n v="10740" u="1"/>
        <n v="14774" u="1"/>
        <n v="5172" u="1"/>
        <n v="8203" u="1"/>
        <n v="10220" u="1"/>
        <n v="4912" u="1"/>
        <n v="9700" u="1"/>
        <n v="11717" u="1"/>
        <n v="6669" u="1"/>
        <n v="9180" u="1"/>
        <n v="11197" u="1"/>
        <n v="290" u="1"/>
        <n v="1129" u="1"/>
        <n v="6409" u="1"/>
        <n v="10677" u="1"/>
        <n v="1064" u="1"/>
        <n v="2097" u="1"/>
        <n v="6149" u="1"/>
        <n v="10157" u="1"/>
        <n v="12174" u="1"/>
        <n v="5889" u="1"/>
        <n v="9637" u="1"/>
        <n v="11654" u="1"/>
        <n v="979" u="1"/>
        <n v="3854" u="1"/>
        <n v="5629" u="1"/>
        <n v="11134" u="1"/>
        <n v="3724" u="1"/>
        <n v="10614" u="1"/>
        <n v="12631" u="1"/>
        <n v="3594" u="1"/>
        <n v="7126" u="1"/>
        <n v="10094" u="1"/>
        <n v="12111" u="1"/>
        <n v="3464" u="1"/>
        <n v="6866" u="1"/>
        <n v="11591" u="1"/>
        <n v="3334" u="1"/>
        <n v="6606" u="1"/>
        <n v="11071" u="1"/>
        <n v="13088" u="1"/>
        <n v="208" u="1"/>
        <n v="6346" u="1"/>
        <n v="10551" u="1"/>
        <n v="12568" u="1"/>
        <n v="784" u="1"/>
        <n v="6086" u="1"/>
        <n v="12048" u="1"/>
        <n v="14065" u="1"/>
        <n v="7843" u="1"/>
        <n v="11528" u="1"/>
        <n v="13545" u="1"/>
        <n v="719" u="1"/>
        <n v="7583" u="1"/>
        <n v="13025" u="1"/>
        <n v="2684" u="1"/>
        <n v="7323" u="1"/>
        <n v="12505" u="1"/>
        <n v="14522" u="1"/>
        <n v="654" u="1"/>
        <n v="2554" u="1"/>
        <n v="7063" u="1"/>
        <n v="11985" u="1"/>
        <n v="14002" u="1"/>
        <n v="2424" u="1"/>
        <n v="4786" u="1"/>
        <n v="6803" u="1"/>
        <n v="13482" u="1"/>
        <n v="20665" u="1"/>
        <n v="2294" u="1"/>
        <n v="4526" u="1"/>
        <n v="12962" u="1"/>
        <n v="14979" u="1"/>
        <n v="143" u="1"/>
        <n v="2164" u="1"/>
        <n v="4266" u="1"/>
        <n v="8408" u="1"/>
        <n v="12442" u="1"/>
        <n v="14459" u="1"/>
        <n v="4051" u="1"/>
        <n v="8040" u="1"/>
        <n v="13939" u="1"/>
        <n v="3921" u="1"/>
        <n v="7780" u="1"/>
        <n v="13419" u="1"/>
        <n v="7520" u="1"/>
        <n v="8865" u="1"/>
        <n v="12899" u="1"/>
        <n v="14916" u="1"/>
        <n v="5243" u="1"/>
        <n v="7260" u="1"/>
        <n v="8345" u="1"/>
        <n v="14396" u="1"/>
        <n v="453" u="1"/>
        <n v="4983" u="1"/>
        <n v="9842" u="1"/>
        <n v="13876" u="1"/>
        <n v="1716" u="1"/>
        <n v="4723" u="1"/>
        <n v="9322" u="1"/>
        <n v="1651" u="1"/>
        <n v="3271" u="1"/>
        <n v="4463" u="1"/>
        <n v="8802" u="1"/>
        <n v="14853" u="1"/>
        <n v="103" u="1"/>
        <n v="1586" u="1"/>
        <n v="3141" u="1"/>
        <n v="4203" u="1"/>
        <n v="8282" u="1"/>
        <n v="10299" u="1"/>
        <n v="14333" u="1"/>
        <n v="1521" u="1"/>
        <n v="3011" u="1"/>
        <n v="5960" u="1"/>
        <n v="7977" u="1"/>
        <n v="9779" u="1"/>
        <n v="1456" u="1"/>
        <n v="2881" u="1"/>
        <n v="5700" u="1"/>
        <n v="9259" u="1"/>
        <n v="2751" u="1"/>
        <n v="5440" u="1"/>
        <n v="8739" u="1"/>
        <n v="10756" u="1"/>
        <n v="14790" u="1"/>
        <n v="5180" u="1"/>
        <n v="8219" u="1"/>
        <n v="10236" u="1"/>
        <n v="323" u="1"/>
        <n v="4920" u="1"/>
        <n v="9716" u="1"/>
        <n v="9196" u="1"/>
        <n v="11213" u="1"/>
        <n v="1131" u="1"/>
        <n v="6417" u="1"/>
        <n v="8676" u="1"/>
        <n v="10693" u="1"/>
        <n v="1066" u="1"/>
        <n v="6157" u="1"/>
        <n v="10173" u="1"/>
        <n v="12190" u="1"/>
        <n v="5897" u="1"/>
        <n v="9653" u="1"/>
        <n v="11670" u="1"/>
        <n v="980" u="1"/>
        <n v="3858" u="1"/>
        <n v="5637" u="1"/>
        <n v="11150" u="1"/>
        <n v="3728" u="1"/>
        <n v="5377" u="1"/>
        <n v="10630" u="1"/>
        <n v="12647" u="1"/>
        <n v="3598" u="1"/>
        <n v="7134" u="1"/>
        <n v="10110" u="1"/>
        <n v="12127" u="1"/>
        <n v="3468" u="1"/>
        <n v="6874" u="1"/>
        <n v="11607" u="1"/>
        <n v="16915" u="1"/>
        <n v="3338" u="1"/>
        <n v="6614" u="1"/>
        <n v="11087" u="1"/>
        <n v="13104" u="1"/>
        <n v="6354" u="1"/>
        <n v="10567" u="1"/>
        <n v="12584" u="1"/>
        <n v="785" u="1"/>
        <n v="6094" u="1"/>
        <n v="12064" u="1"/>
        <n v="192" u="1"/>
        <n v="11544" u="1"/>
        <n v="13561" u="1"/>
        <n v="720" u="1"/>
        <n v="7591" u="1"/>
        <n v="11024" u="1"/>
        <n v="13041" u="1"/>
        <n v="7331" u="1"/>
        <n v="12521" u="1"/>
        <n v="14538" u="1"/>
        <n v="655" u="1"/>
        <n v="2558" u="1"/>
        <n v="7071" u="1"/>
        <n v="12001" u="1"/>
        <n v="14018" u="1"/>
        <n v="2428" u="1"/>
        <n v="4794" u="1"/>
        <n v="6811" u="1"/>
        <n v="13498" u="1"/>
        <n v="2298" u="1"/>
        <n v="4534" u="1"/>
        <n v="6551" u="1"/>
        <n v="12978" u="1"/>
        <n v="14995" u="1"/>
        <n v="2168" u="1"/>
        <n v="4274" u="1"/>
        <n v="8424" u="1"/>
        <n v="12458" u="1"/>
        <n v="14475" u="1"/>
        <n v="2043" u="1"/>
        <n v="4055" u="1"/>
        <n v="8048" u="1"/>
        <n v="13955" u="1"/>
        <n v="3925" u="1"/>
        <n v="7788" u="1"/>
        <n v="13435" u="1"/>
        <n v="486" u="1"/>
        <n v="7528" u="1"/>
        <n v="8881" u="1"/>
        <n v="12915" u="1"/>
        <n v="14932" u="1"/>
        <n v="5251" u="1"/>
        <n v="7268" u="1"/>
        <n v="8361" u="1"/>
        <n v="14412" u="1"/>
        <n v="4991" u="1"/>
        <n v="13892" u="1"/>
        <n v="1718" u="1"/>
        <n v="4731" u="1"/>
        <n v="9338" u="1"/>
        <n v="13372" u="1"/>
        <n v="1653" u="1"/>
        <n v="4471" u="1"/>
        <n v="8818" u="1"/>
        <n v="14869" u="1"/>
        <n v="1588" u="1"/>
        <n v="3145" u="1"/>
        <n v="4211" u="1"/>
        <n v="8298" u="1"/>
        <n v="10315" u="1"/>
        <n v="14349" u="1"/>
        <n v="1523" u="1"/>
        <n v="3015" u="1"/>
        <n v="5968" u="1"/>
        <n v="7985" u="1"/>
        <n v="9795" u="1"/>
        <n v="13829" u="1"/>
        <n v="95" u="1"/>
        <n v="1458" u="1"/>
        <n v="2885" u="1"/>
        <n v="5708" u="1"/>
        <n v="7725" u="1"/>
        <n v="9275" u="1"/>
        <n v="2755" u="1"/>
        <n v="5448" u="1"/>
        <n v="8755" u="1"/>
        <n v="10772" u="1"/>
        <n v="14806" u="1"/>
        <n v="2625" u="1"/>
        <n v="5188" u="1"/>
        <n v="8235" u="1"/>
        <n v="10252" u="1"/>
        <n v="4928" u="1"/>
        <n v="9732" u="1"/>
        <n v="9212" u="1"/>
        <n v="11229" u="1"/>
        <n v="291" u="1"/>
        <n v="1133" u="1"/>
        <n v="6425" u="1"/>
        <n v="8692" u="1"/>
        <n v="10709" u="1"/>
        <n v="1068" u="1"/>
        <n v="6165" u="1"/>
        <n v="10189" u="1"/>
        <n v="5905" u="1"/>
        <n v="9669" u="1"/>
        <n v="11686" u="1"/>
        <n v="981" u="1"/>
        <n v="5645" u="1"/>
        <n v="9149" u="1"/>
        <n v="11166" u="1"/>
        <n v="3732" u="1"/>
        <n v="5385" u="1"/>
        <n v="10646" u="1"/>
        <n v="12663" u="1"/>
        <n v="3602" u="1"/>
        <n v="10126" u="1"/>
        <n v="12143" u="1"/>
        <n v="16177" u="1"/>
        <n v="3472" u="1"/>
        <n v="6882" u="1"/>
        <n v="9606" u="1"/>
        <n v="11623" u="1"/>
        <n v="3342" u="1"/>
        <n v="6622" u="1"/>
        <n v="11103" u="1"/>
        <n v="13120" u="1"/>
        <n v="3212" u="1"/>
        <n v="6362" u="1"/>
        <n v="10583" u="1"/>
        <n v="12600" u="1"/>
        <n v="6102" u="1"/>
        <n v="12080" u="1"/>
        <n v="11560" u="1"/>
        <n v="13577" u="1"/>
        <n v="721" u="1"/>
        <n v="7599" u="1"/>
        <n v="13057" u="1"/>
        <n v="7339" u="1"/>
        <n v="12537" u="1"/>
        <n v="656" u="1"/>
        <n v="2562" u="1"/>
        <n v="7079" u="1"/>
        <n v="12017" u="1"/>
        <n v="14034" u="1"/>
        <n v="2432" u="1"/>
        <n v="6819" u="1"/>
        <n v="11497" u="1"/>
        <n v="13514" u="1"/>
        <n v="2302" u="1"/>
        <n v="4542" u="1"/>
        <n v="6559" u="1"/>
        <n v="12994" u="1"/>
        <n v="15011" u="1"/>
        <n v="2172" u="1"/>
        <n v="4282" u="1"/>
        <n v="12474" u="1"/>
        <n v="14491" u="1"/>
        <n v="20666" u="1"/>
        <n v="2045" u="1"/>
        <n v="4059" u="1"/>
        <n v="8056" u="1"/>
        <n v="11954" u="1"/>
        <n v="13971" u="1"/>
        <n v="3929" u="1"/>
        <n v="7796" u="1"/>
        <n v="13451" u="1"/>
        <n v="3799" u="1"/>
        <n v="7536" u="1"/>
        <n v="8897" u="1"/>
        <n v="12931" u="1"/>
        <n v="14948" u="1"/>
        <n v="5259" u="1"/>
        <n v="7276" u="1"/>
        <n v="8377" u="1"/>
        <n v="14428" u="1"/>
        <n v="454" u="1"/>
        <n v="4999" u="1"/>
        <n v="13908" u="1"/>
        <n v="1720" u="1"/>
        <n v="4739" u="1"/>
        <n v="9354" u="1"/>
        <n v="13388" u="1"/>
        <n v="1655" u="1"/>
        <n v="4479" u="1"/>
        <n v="8834" u="1"/>
        <n v="14885" u="1"/>
        <n v="1590" u="1"/>
        <n v="3149" u="1"/>
        <n v="4219" u="1"/>
        <n v="8314" u="1"/>
        <n v="14365" u="1"/>
        <n v="1525" u="1"/>
        <n v="3019" u="1"/>
        <n v="7993" u="1"/>
        <n v="9811" u="1"/>
        <n v="13845" u="1"/>
        <n v="1460" u="1"/>
        <n v="2889" u="1"/>
        <n v="5716" u="1"/>
        <n v="7733" u="1"/>
        <n v="9291" u="1"/>
        <n v="2759" u="1"/>
        <n v="5456" u="1"/>
        <n v="8771" u="1"/>
        <n v="14822" u="1"/>
        <n v="87" u="1"/>
        <n v="2629" u="1"/>
        <n v="5196" u="1"/>
        <n v="8251" u="1"/>
        <n v="10268" u="1"/>
        <n v="14302" u="1"/>
        <n v="324" u="1"/>
        <n v="4936" u="1"/>
        <n v="9748" u="1"/>
        <n v="4676" u="1"/>
        <n v="9228" u="1"/>
        <n v="11245" u="1"/>
        <n v="6433" u="1"/>
        <n v="8708" u="1"/>
        <n v="10725" u="1"/>
        <n v="1070" u="1"/>
        <n v="6173" u="1"/>
        <n v="10205" u="1"/>
        <n v="5913" u="1"/>
        <n v="9685" u="1"/>
        <n v="11702" u="1"/>
        <n v="982" u="1"/>
        <n v="5653" u="1"/>
        <n v="9165" u="1"/>
        <n v="11182" u="1"/>
        <n v="3736" u="1"/>
        <n v="5393" u="1"/>
        <n v="10662" u="1"/>
        <n v="3606" u="1"/>
        <n v="10142" u="1"/>
        <n v="12159" u="1"/>
        <n v="225" u="1"/>
        <n v="3476" u="1"/>
        <n v="6890" u="1"/>
        <n v="9622" u="1"/>
        <n v="11639" u="1"/>
        <n v="3346" u="1"/>
        <n v="6630" u="1"/>
        <n v="11119" u="1"/>
        <n v="3216" u="1"/>
        <n v="6370" u="1"/>
        <n v="10599" u="1"/>
        <n v="12616" u="1"/>
        <n v="6110" u="1"/>
        <n v="10079" u="1"/>
        <n v="12096" u="1"/>
        <n v="5850" u="1"/>
        <n v="11576" u="1"/>
        <n v="13593" u="1"/>
        <n v="722" u="1"/>
        <n v="7607" u="1"/>
        <n v="11056" u="1"/>
        <n v="13073" u="1"/>
        <n v="7347" u="1"/>
        <n v="12553" u="1"/>
        <n v="657" u="1"/>
        <n v="2566" u="1"/>
        <n v="7087" u="1"/>
        <n v="12033" u="1"/>
        <n v="14050" u="1"/>
        <n v="2436" u="1"/>
        <n v="6827" u="1"/>
        <n v="11513" u="1"/>
        <n v="13530" u="1"/>
        <n v="2306" u="1"/>
        <n v="4550" u="1"/>
        <n v="6567" u="1"/>
        <n v="13010" u="1"/>
        <n v="2176" u="1"/>
        <n v="4290" u="1"/>
        <n v="12490" u="1"/>
        <n v="14507" u="1"/>
        <n v="2047" u="1"/>
        <n v="4063" u="1"/>
        <n v="8064" u="1"/>
        <n v="11970" u="1"/>
        <n v="13987" u="1"/>
        <n v="3933" u="1"/>
        <n v="7804" u="1"/>
        <n v="13467" u="1"/>
        <n v="487" u="1"/>
        <n v="3803" u="1"/>
        <n v="7544" u="1"/>
        <n v="12947" u="1"/>
        <n v="14964" u="1"/>
        <n v="7284" u="1"/>
        <n v="8393" u="1"/>
        <n v="12427" u="1"/>
        <n v="14444" u="1"/>
        <n v="5007" u="1"/>
        <n v="7024" u="1"/>
        <n v="13924" u="1"/>
        <n v="4747" u="1"/>
        <n v="9370" u="1"/>
        <n v="13404" u="1"/>
        <n v="422" u="1"/>
        <n v="1657" u="1"/>
        <n v="4487" u="1"/>
        <n v="8850" u="1"/>
        <n v="14901" u="1"/>
        <n v="1592" u="1"/>
        <n v="3153" u="1"/>
        <n v="4227" u="1"/>
        <n v="8330" u="1"/>
        <n v="14381" u="1"/>
        <n v="1527" u="1"/>
        <n v="3023" u="1"/>
        <n v="8001" u="1"/>
        <n v="9827" u="1"/>
        <n v="13861" u="1"/>
        <n v="1462" u="1"/>
        <n v="2893" u="1"/>
        <n v="5724" u="1"/>
        <n v="7741" u="1"/>
        <n v="9307" u="1"/>
        <n v="1397" u="1"/>
        <n v="2763" u="1"/>
        <n v="5464" u="1"/>
        <n v="8787" u="1"/>
        <n v="14838" u="1"/>
        <n v="2633" u="1"/>
        <n v="5204" u="1"/>
        <n v="8267" u="1"/>
        <n v="10284" u="1"/>
        <n v="14318" u="1"/>
        <n v="4944" u="1"/>
        <n v="9764" u="1"/>
        <n v="4684" u="1"/>
        <n v="9244" u="1"/>
        <n v="292" u="1"/>
        <n v="8724" u="1"/>
        <n v="10741" u="1"/>
        <n v="14775" u="1"/>
        <n v="1072" u="1"/>
        <n v="6181" u="1"/>
        <n v="8204" u="1"/>
        <n v="10221" u="1"/>
        <n v="5921" u="1"/>
        <n v="9701" u="1"/>
        <n v="11718" u="1"/>
        <n v="983" u="1"/>
        <n v="5661" u="1"/>
        <n v="9181" u="1"/>
        <n v="11198" u="1"/>
        <n v="3740" u="1"/>
        <n v="5401" u="1"/>
        <n v="10678" u="1"/>
        <n v="918" u="1"/>
        <n v="3610" u="1"/>
        <n v="10158" u="1"/>
        <n v="12175" u="1"/>
        <n v="3480" u="1"/>
        <n v="6898" u="1"/>
        <n v="9638" u="1"/>
        <n v="11655" u="1"/>
        <n v="3350" u="1"/>
        <n v="6638" u="1"/>
        <n v="11135" u="1"/>
        <n v="209" u="1"/>
        <n v="3220" u="1"/>
        <n v="6378" u="1"/>
        <n v="10615" u="1"/>
        <n v="12632" u="1"/>
        <n v="6118" u="1"/>
        <n v="10095" u="1"/>
        <n v="12112" u="1"/>
        <n v="5858" u="1"/>
        <n v="11592" u="1"/>
        <n v="723" u="1"/>
        <n v="11072" u="1"/>
        <n v="13089" u="1"/>
        <n v="7355" u="1"/>
        <n v="10552" u="1"/>
        <n v="12569" u="1"/>
        <n v="658" u="1"/>
        <n v="7095" u="1"/>
        <n v="12049" u="1"/>
        <n v="14066" u="1"/>
        <n v="2440" u="1"/>
        <n v="6835" u="1"/>
        <n v="11529" u="1"/>
        <n v="13546" u="1"/>
        <n v="2310" u="1"/>
        <n v="4558" u="1"/>
        <n v="6575" u="1"/>
        <n v="13026" u="1"/>
        <n v="144" u="1"/>
        <n v="2180" u="1"/>
        <n v="4298" u="1"/>
        <n v="12506" u="1"/>
        <n v="14523" u="1"/>
        <n v="2050" u="1"/>
        <n v="4067" u="1"/>
        <n v="8072" u="1"/>
        <n v="11986" u="1"/>
        <n v="14003" u="1"/>
        <n v="1984" u="1"/>
        <n v="3937" u="1"/>
        <n v="7812" u="1"/>
        <n v="13483" u="1"/>
        <n v="20667" u="1"/>
        <n v="3807" u="1"/>
        <n v="7552" u="1"/>
        <n v="12963" u="1"/>
        <n v="14980" u="1"/>
        <n v="7292" u="1"/>
        <n v="8409" u="1"/>
        <n v="12443" u="1"/>
        <n v="14460" u="1"/>
        <n v="455" u="1"/>
        <n v="5015" u="1"/>
        <n v="7032" u="1"/>
        <n v="13940" u="1"/>
        <n v="4755" u="1"/>
        <n v="13420" u="1"/>
        <n v="1659" u="1"/>
        <n v="4495" u="1"/>
        <n v="8866" u="1"/>
        <n v="12900" u="1"/>
        <n v="14917" u="1"/>
        <n v="1594" u="1"/>
        <n v="4235" u="1"/>
        <n v="8346" u="1"/>
        <n v="14397" u="1"/>
        <n v="1529" u="1"/>
        <n v="3027" u="1"/>
        <n v="8009" u="1"/>
        <n v="9843" u="1"/>
        <n v="13877" u="1"/>
        <n v="1464" u="1"/>
        <n v="2897" u="1"/>
        <n v="5732" u="1"/>
        <n v="7749" u="1"/>
        <n v="9323" u="1"/>
        <n v="1399" u="1"/>
        <n v="2767" u="1"/>
        <n v="5472" u="1"/>
        <n v="8803" u="1"/>
        <n v="14854" u="1"/>
        <n v="2637" u="1"/>
        <n v="5212" u="1"/>
        <n v="8283" u="1"/>
        <n v="10300" u="1"/>
        <n v="14334" u="1"/>
        <n v="325" u="1"/>
        <n v="2507" u="1"/>
        <n v="4952" u="1"/>
        <n v="9780" u="1"/>
        <n v="4692" u="1"/>
        <n v="9260" u="1"/>
        <n v="8740" u="1"/>
        <n v="10757" u="1"/>
        <n v="14791" u="1"/>
        <n v="1074" u="1"/>
        <n v="6189" u="1"/>
        <n v="8220" u="1"/>
        <n v="10237" u="1"/>
        <n v="260" u="1"/>
        <n v="5929" u="1"/>
        <n v="9717" u="1"/>
        <n v="984" u="1"/>
        <n v="5669" u="1"/>
        <n v="9197" u="1"/>
        <n v="11214" u="1"/>
        <n v="5409" u="1"/>
        <n v="8677" u="1"/>
        <n v="10694" u="1"/>
        <n v="919" u="1"/>
        <n v="3614" u="1"/>
        <n v="5149" u="1"/>
        <n v="10174" u="1"/>
        <n v="12191" u="1"/>
        <n v="3484" u="1"/>
        <n v="6906" u="1"/>
        <n v="9654" u="1"/>
        <n v="11671" u="1"/>
        <n v="3354" u="1"/>
        <n v="6646" u="1"/>
        <n v="9134" u="1"/>
        <n v="11151" u="1"/>
        <n v="3224" u="1"/>
        <n v="6386" u="1"/>
        <n v="10631" u="1"/>
        <n v="12648" u="1"/>
        <n v="3094" u="1"/>
        <n v="6126" u="1"/>
        <n v="10111" u="1"/>
        <n v="12128" u="1"/>
        <n v="193" u="1"/>
        <n v="5866" u="1"/>
        <n v="11608" u="1"/>
        <n v="724" u="1"/>
        <n v="11088" u="1"/>
        <n v="13105" u="1"/>
        <n v="7363" u="1"/>
        <n v="10568" u="1"/>
        <n v="12585" u="1"/>
        <n v="659" u="1"/>
        <n v="7103" u="1"/>
        <n v="12065" u="1"/>
        <n v="2444" u="1"/>
        <n v="6843" u="1"/>
        <n v="11545" u="1"/>
        <n v="13562" u="1"/>
        <n v="2314" u="1"/>
        <n v="6583" u="1"/>
        <n v="11025" u="1"/>
        <n v="13042" u="1"/>
        <n v="2184" u="1"/>
        <n v="4306" u="1"/>
        <n v="6323" u="1"/>
        <n v="12522" u="1"/>
        <n v="14539" u="1"/>
        <n v="2054" u="1"/>
        <n v="4071" u="1"/>
        <n v="8080" u="1"/>
        <n v="12002" u="1"/>
        <n v="14019" u="1"/>
        <n v="128" u="1"/>
        <n v="1986" u="1"/>
        <n v="3941" u="1"/>
        <n v="7820" u="1"/>
        <n v="11482" u="1"/>
        <n v="13499" u="1"/>
        <n v="3811" u="1"/>
        <n v="7560" u="1"/>
        <n v="12979" u="1"/>
        <n v="14996" u="1"/>
        <n v="3681" u="1"/>
        <n v="7300" u="1"/>
        <n v="8425" u="1"/>
        <n v="12459" u="1"/>
        <n v="14476" u="1"/>
        <n v="5023" u="1"/>
        <n v="7040" u="1"/>
        <n v="13956" u="1"/>
        <n v="4763" u="1"/>
        <n v="13436" u="1"/>
        <n v="423" u="1"/>
        <n v="1661" u="1"/>
        <n v="4503" u="1"/>
        <n v="8882" u="1"/>
        <n v="12916" u="1"/>
        <n v="14933" u="1"/>
        <n v="1596" u="1"/>
        <n v="4243" u="1"/>
        <n v="8362" u="1"/>
        <n v="14413" u="1"/>
        <n v="1531" u="1"/>
        <n v="3031" u="1"/>
        <n v="8017" u="1"/>
        <n v="13893" u="1"/>
        <n v="1466" u="1"/>
        <n v="2901" u="1"/>
        <n v="7757" u="1"/>
        <n v="9339" u="1"/>
        <n v="13373" u="1"/>
        <n v="1401" u="1"/>
        <n v="2771" u="1"/>
        <n v="5480" u="1"/>
        <n v="7497" u="1"/>
        <n v="8819" u="1"/>
        <n v="14870" u="1"/>
        <n v="2641" u="1"/>
        <n v="5220" u="1"/>
        <n v="8299" u="1"/>
        <n v="10316" u="1"/>
        <n v="14350" u="1"/>
        <n v="24418" u="1"/>
        <n v="2511" u="1"/>
        <n v="4960" u="1"/>
        <n v="9796" u="1"/>
        <n v="13830" u="1"/>
        <n v="4700" u="1"/>
        <n v="9276" u="1"/>
        <n v="293" u="1"/>
        <n v="4440" u="1"/>
        <n v="8756" u="1"/>
        <n v="10773" u="1"/>
        <n v="14807" u="1"/>
        <n v="6197" u="1"/>
        <n v="8236" u="1"/>
        <n v="10253" u="1"/>
        <n v="5937" u="1"/>
        <n v="9733" u="1"/>
        <n v="985" u="1"/>
        <n v="5677" u="1"/>
        <n v="9213" u="1"/>
        <n v="11230" u="1"/>
        <n v="5417" u="1"/>
        <n v="8693" u="1"/>
        <n v="10710" u="1"/>
        <n v="920" u="1"/>
        <n v="3618" u="1"/>
        <n v="5157" u="1"/>
        <n v="10190" u="1"/>
        <n v="3488" u="1"/>
        <n v="9670" u="1"/>
        <n v="11687" u="1"/>
        <n v="3358" u="1"/>
        <n v="6654" u="1"/>
        <n v="9150" u="1"/>
        <n v="11167" u="1"/>
        <n v="3228" u="1"/>
        <n v="6394" u="1"/>
        <n v="10647" u="1"/>
        <n v="12664" u="1"/>
        <n v="3098" u="1"/>
        <n v="6134" u="1"/>
        <n v="10127" u="1"/>
        <n v="12144" u="1"/>
        <n v="16178" u="1"/>
        <n v="5874" u="1"/>
        <n v="9607" u="1"/>
        <n v="11624" u="1"/>
        <n v="725" u="1"/>
        <n v="5614" u="1"/>
        <n v="11104" u="1"/>
        <n v="13121" u="1"/>
        <n v="7371" u="1"/>
        <n v="10584" u="1"/>
        <n v="12601" u="1"/>
        <n v="660" u="1"/>
        <n v="7111" u="1"/>
        <n v="12081" u="1"/>
        <n v="2448" u="1"/>
        <n v="6851" u="1"/>
        <n v="11561" u="1"/>
        <n v="13578" u="1"/>
        <n v="595" u="1"/>
        <n v="2318" u="1"/>
        <n v="6591" u="1"/>
        <n v="11041" u="1"/>
        <n v="13058" u="1"/>
        <n v="2188" u="1"/>
        <n v="4314" u="1"/>
        <n v="6331" u="1"/>
        <n v="12538" u="1"/>
        <n v="2058" u="1"/>
        <n v="4075" u="1"/>
        <n v="12018" u="1"/>
        <n v="14035" u="1"/>
        <n v="1988" u="1"/>
        <n v="3945" u="1"/>
        <n v="7828" u="1"/>
        <n v="11498" u="1"/>
        <n v="13515" u="1"/>
        <n v="3815" u="1"/>
        <n v="7568" u="1"/>
        <n v="12995" u="1"/>
        <n v="120" u="1"/>
        <n v="3685" u="1"/>
        <n v="7308" u="1"/>
        <n v="12475" u="1"/>
        <n v="14492" u="1"/>
        <n v="20668" u="1"/>
        <n v="456" u="1"/>
        <n v="7048" u="1"/>
        <n v="11955" u="1"/>
        <n v="13972" u="1"/>
        <n v="4771" u="1"/>
        <n v="6788" u="1"/>
        <n v="13452" u="1"/>
        <n v="4511" u="1"/>
        <n v="8898" u="1"/>
        <n v="12932" u="1"/>
        <n v="14949" u="1"/>
        <n v="1598" u="1"/>
        <n v="4251" u="1"/>
        <n v="8378" u="1"/>
        <n v="14429" u="1"/>
        <n v="1533" u="1"/>
        <n v="3035" u="1"/>
        <n v="8025" u="1"/>
        <n v="13909" u="1"/>
        <n v="1468" u="1"/>
        <n v="2905" u="1"/>
        <n v="7765" u="1"/>
        <n v="9355" u="1"/>
        <n v="13389" u="1"/>
        <n v="1403" u="1"/>
        <n v="2775" u="1"/>
        <n v="5488" u="1"/>
        <n v="7505" u="1"/>
        <n v="8835" u="1"/>
        <n v="14886" u="1"/>
        <n v="2645" u="1"/>
        <n v="5228" u="1"/>
        <n v="8315" u="1"/>
        <n v="14366" u="1"/>
        <n v="326" u="1"/>
        <n v="2515" u="1"/>
        <n v="4968" u="1"/>
        <n v="9812" u="1"/>
        <n v="13846" u="1"/>
        <n v="4708" u="1"/>
        <n v="9292" u="1"/>
        <n v="4448" u="1"/>
        <n v="8772" u="1"/>
        <n v="14823" u="1"/>
        <n v="8252" u="1"/>
        <n v="10269" u="1"/>
        <n v="14303" u="1"/>
        <n v="261" u="1"/>
        <n v="5945" u="1"/>
        <n v="7962" u="1"/>
        <n v="9749" u="1"/>
        <n v="986" u="1"/>
        <n v="5685" u="1"/>
        <n v="9229" u="1"/>
        <n v="11246" u="1"/>
        <n v="5425" u="1"/>
        <n v="8709" u="1"/>
        <n v="10726" u="1"/>
        <n v="921" u="1"/>
        <n v="3622" u="1"/>
        <n v="5165" u="1"/>
        <n v="10206" u="1"/>
        <n v="3492" u="1"/>
        <n v="9686" u="1"/>
        <n v="11703" u="1"/>
        <n v="3362" u="1"/>
        <n v="6662" u="1"/>
        <n v="9166" u="1"/>
        <n v="11183" u="1"/>
        <n v="3232" u="1"/>
        <n v="6402" u="1"/>
        <n v="10663" u="1"/>
        <n v="3102" u="1"/>
        <n v="6142" u="1"/>
        <n v="10143" u="1"/>
        <n v="12160" u="1"/>
        <n v="5882" u="1"/>
        <n v="9623" u="1"/>
        <n v="11640" u="1"/>
        <n v="726" u="1"/>
        <n v="5622" u="1"/>
        <n v="11120" u="1"/>
        <n v="10600" u="1"/>
        <n v="12617" u="1"/>
        <n v="661" u="1"/>
        <n v="7119" u="1"/>
        <n v="10080" u="1"/>
        <n v="12097" u="1"/>
        <n v="6859" u="1"/>
        <n v="11577" u="1"/>
        <n v="13594" u="1"/>
        <n v="596" u="1"/>
        <n v="2322" u="1"/>
        <n v="6599" u="1"/>
        <n v="11057" u="1"/>
        <n v="13074" u="1"/>
        <n v="2192" u="1"/>
        <n v="4322" u="1"/>
        <n v="6339" u="1"/>
        <n v="12554" u="1"/>
        <n v="2062" u="1"/>
        <n v="4079" u="1"/>
        <n v="12034" u="1"/>
        <n v="14051" u="1"/>
        <n v="1990" u="1"/>
        <n v="3949" u="1"/>
        <n v="7836" u="1"/>
        <n v="11514" u="1"/>
        <n v="13531" u="1"/>
        <n v="3819" u="1"/>
        <n v="7576" u="1"/>
        <n v="13011" u="1"/>
        <n v="3689" u="1"/>
        <n v="7316" u="1"/>
        <n v="12491" u="1"/>
        <n v="14508" u="1"/>
        <n v="7056" u="1"/>
        <n v="11971" u="1"/>
        <n v="13988" u="1"/>
        <n v="4779" u="1"/>
        <n v="6796" u="1"/>
        <n v="13468" u="1"/>
        <n v="424" u="1"/>
        <n v="4519" u="1"/>
        <n v="12948" u="1"/>
        <n v="14965" u="1"/>
        <n v="1600" u="1"/>
        <n v="4259" u="1"/>
        <n v="8394" u="1"/>
        <n v="12428" u="1"/>
        <n v="14445" u="1"/>
        <n v="1535" u="1"/>
        <n v="8033" u="1"/>
        <n v="13925" u="1"/>
        <n v="1470" u="1"/>
        <n v="2909" u="1"/>
        <n v="7773" u="1"/>
        <n v="9371" u="1"/>
        <n v="13405" u="1"/>
        <n v="1405" u="1"/>
        <n v="2779" u="1"/>
        <n v="5496" u="1"/>
        <n v="7513" u="1"/>
        <n v="8851" u="1"/>
        <n v="14902" u="1"/>
        <n v="1340" u="1"/>
        <n v="2649" u="1"/>
        <n v="5236" u="1"/>
        <n v="8331" u="1"/>
        <n v="14382" u="1"/>
        <n v="2519" u="1"/>
        <n v="4976" u="1"/>
        <n v="9828" u="1"/>
        <n v="13862" u="1"/>
        <n v="4716" u="1"/>
        <n v="9308" u="1"/>
        <n v="24419" u="1"/>
        <n v="294" u="1"/>
        <n v="4456" u="1"/>
        <n v="8788" u="1"/>
        <n v="14839" u="1"/>
        <n v="8268" u="1"/>
        <n v="10285" u="1"/>
        <n v="14319" u="1"/>
        <n v="5953" u="1"/>
        <n v="7970" u="1"/>
        <n v="9765" u="1"/>
        <n v="987" u="1"/>
        <n v="5693" u="1"/>
        <n v="9245" u="1"/>
        <n v="5433" u="1"/>
        <n v="8725" u="1"/>
        <n v="10742" u="1"/>
        <n v="14776" u="1"/>
        <n v="922" u="1"/>
        <n v="5173" u="1"/>
        <n v="8205" u="1"/>
        <n v="10222" u="1"/>
        <n v="3496" u="1"/>
        <n v="4913" u="1"/>
        <n v="9702" u="1"/>
        <n v="11719" u="1"/>
        <n v="3366" u="1"/>
        <n v="6670" u="1"/>
        <n v="9182" u="1"/>
        <n v="11199" u="1"/>
        <n v="210" u="1"/>
        <n v="3236" u="1"/>
        <n v="6410" u="1"/>
        <n v="10679" u="1"/>
        <n v="3106" u="1"/>
        <n v="6150" u="1"/>
        <n v="10159" u="1"/>
        <n v="12176" u="1"/>
        <n v="2976" u="1"/>
        <n v="5890" u="1"/>
        <n v="9639" u="1"/>
        <n v="11656" u="1"/>
        <n v="5630" u="1"/>
        <n v="11136" u="1"/>
        <n v="10616" u="1"/>
        <n v="12633" u="1"/>
        <n v="662" u="1"/>
        <n v="7127" u="1"/>
        <n v="10096" u="1"/>
        <n v="12113" u="1"/>
        <n v="6867" u="1"/>
        <n v="11593" u="1"/>
        <n v="597" u="1"/>
        <n v="2326" u="1"/>
        <n v="6607" u="1"/>
        <n v="11073" u="1"/>
        <n v="13090" u="1"/>
        <n v="2196" u="1"/>
        <n v="6347" u="1"/>
        <n v="10553" u="1"/>
        <n v="12570" u="1"/>
        <n v="2066" u="1"/>
        <n v="4083" u="1"/>
        <n v="6087" u="1"/>
        <n v="12050" u="1"/>
        <n v="14067" u="1"/>
        <n v="1992" u="1"/>
        <n v="3953" u="1"/>
        <n v="7844" u="1"/>
        <n v="11530" u="1"/>
        <n v="13547" u="1"/>
        <n v="1927" u="1"/>
        <n v="3823" u="1"/>
        <n v="7584" u="1"/>
        <n v="13027" u="1"/>
        <n v="3693" u="1"/>
        <n v="7324" u="1"/>
        <n v="12507" u="1"/>
        <n v="14524" u="1"/>
        <n v="457" u="1"/>
        <n v="3563" u="1"/>
        <n v="7064" u="1"/>
        <n v="11987" u="1"/>
        <n v="14004" u="1"/>
        <n v="4787" u="1"/>
        <n v="6804" u="1"/>
        <n v="13484" u="1"/>
        <n v="20669" u="1"/>
        <n v="4527" u="1"/>
        <n v="12964" u="1"/>
        <n v="14981" u="1"/>
        <n v="1602" u="1"/>
        <n v="4267" u="1"/>
        <n v="8410" u="1"/>
        <n v="12444" u="1"/>
        <n v="14461" u="1"/>
        <n v="392" u="1"/>
        <n v="1537" u="1"/>
        <n v="8041" u="1"/>
        <n v="13941" u="1"/>
        <n v="1472" u="1"/>
        <n v="2913" u="1"/>
        <n v="7781" u="1"/>
        <n v="13421" u="1"/>
        <n v="1407" u="1"/>
        <n v="2783" u="1"/>
        <n v="7521" u="1"/>
        <n v="8867" u="1"/>
        <n v="12901" u="1"/>
        <n v="14918" u="1"/>
        <n v="1342" u="1"/>
        <n v="2653" u="1"/>
        <n v="5244" u="1"/>
        <n v="7261" u="1"/>
        <n v="8347" u="1"/>
        <n v="14398" u="1"/>
        <n v="2523" u="1"/>
        <n v="4984" u="1"/>
        <n v="9844" u="1"/>
        <n v="13878" u="1"/>
        <n v="2393" u="1"/>
        <n v="4724" u="1"/>
        <n v="9324" u="1"/>
        <n v="4464" u="1"/>
        <n v="8804" u="1"/>
        <n v="14855" u="1"/>
        <n v="4204" u="1"/>
        <n v="8284" u="1"/>
        <n v="10301" u="1"/>
        <n v="14335" u="1"/>
        <n v="262" u="1"/>
        <n v="5961" u="1"/>
        <n v="7978" u="1"/>
        <n v="9781" u="1"/>
        <n v="988" u="1"/>
        <n v="5701" u="1"/>
        <n v="9261" u="1"/>
        <n v="5441" u="1"/>
        <n v="8741" u="1"/>
        <n v="10758" u="1"/>
        <n v="14792" u="1"/>
        <n v="923" u="1"/>
        <n v="5181" u="1"/>
        <n v="8221" u="1"/>
        <n v="10238" u="1"/>
        <n v="3500" u="1"/>
        <n v="4921" u="1"/>
        <n v="9718" u="1"/>
        <n v="3370" u="1"/>
        <n v="9198" u="1"/>
        <n v="11215" u="1"/>
        <n v="3240" u="1"/>
        <n v="6418" u="1"/>
        <n v="8678" u="1"/>
        <n v="10695" u="1"/>
        <n v="3110" u="1"/>
        <n v="6158" u="1"/>
        <n v="10175" u="1"/>
        <n v="12192" u="1"/>
        <n v="194" u="1"/>
        <n v="2980" u="1"/>
        <n v="5898" u="1"/>
        <n v="9655" u="1"/>
        <n v="11672" u="1"/>
        <n v="5638" u="1"/>
        <n v="9135" u="1"/>
        <n v="11152" u="1"/>
        <n v="5378" u="1"/>
        <n v="10632" u="1"/>
        <n v="12649" u="1"/>
        <n v="663" u="1"/>
        <n v="7135" u="1"/>
        <n v="10112" u="1"/>
        <n v="12129" u="1"/>
        <n v="6875" u="1"/>
        <n v="11609" u="1"/>
        <n v="598" u="1"/>
        <n v="2330" u="1"/>
        <n v="6615" u="1"/>
        <n v="11089" u="1"/>
        <n v="13106" u="1"/>
        <n v="2200" u="1"/>
        <n v="6355" u="1"/>
        <n v="10569" u="1"/>
        <n v="12586" u="1"/>
        <n v="2070" u="1"/>
        <n v="4087" u="1"/>
        <n v="6095" u="1"/>
        <n v="12066" u="1"/>
        <n v="129" u="1"/>
        <n v="1994" u="1"/>
        <n v="3957" u="1"/>
        <n v="11546" u="1"/>
        <n v="13563" u="1"/>
        <n v="1929" u="1"/>
        <n v="3827" u="1"/>
        <n v="7592" u="1"/>
        <n v="11026" u="1"/>
        <n v="13043" u="1"/>
        <n v="3697" u="1"/>
        <n v="7332" u="1"/>
        <n v="12523" u="1"/>
        <n v="14540" u="1"/>
        <n v="3567" u="1"/>
        <n v="7072" u="1"/>
        <n v="12003" u="1"/>
        <n v="14020" u="1"/>
        <n v="19724" u="1"/>
        <n v="6812" u="1"/>
        <n v="11483" u="1"/>
        <n v="13500" u="1"/>
        <n v="425" u="1"/>
        <n v="4535" u="1"/>
        <n v="6552" u="1"/>
        <n v="12980" u="1"/>
        <n v="14997" u="1"/>
        <n v="4275" u="1"/>
        <n v="8426" u="1"/>
        <n v="12460" u="1"/>
        <n v="14477" u="1"/>
        <n v="1539" u="1"/>
        <n v="8049" u="1"/>
        <n v="13957" u="1"/>
        <n v="1474" u="1"/>
        <n v="2917" u="1"/>
        <n v="7789" u="1"/>
        <n v="13437" u="1"/>
        <n v="1409" u="1"/>
        <n v="2787" u="1"/>
        <n v="7529" u="1"/>
        <n v="8883" u="1"/>
        <n v="12917" u="1"/>
        <n v="14934" u="1"/>
        <n v="1344" u="1"/>
        <n v="2657" u="1"/>
        <n v="5252" u="1"/>
        <n v="7269" u="1"/>
        <n v="8363" u="1"/>
        <n v="14414" u="1"/>
        <n v="2527" u="1"/>
        <n v="4992" u="1"/>
        <n v="13894" u="1"/>
        <n v="2397" u="1"/>
        <n v="4732" u="1"/>
        <n v="9340" u="1"/>
        <n v="13374" u="1"/>
        <n v="295" u="1"/>
        <n v="4472" u="1"/>
        <n v="8820" u="1"/>
        <n v="14871" u="1"/>
        <n v="4212" u="1"/>
        <n v="8300" u="1"/>
        <n v="14351" u="1"/>
        <n v="24420" u="1"/>
        <n v="7986" u="1"/>
        <n v="9797" u="1"/>
        <n v="13831" u="1"/>
        <n v="989" u="1"/>
        <n v="5709" u="1"/>
        <n v="7726" u="1"/>
        <n v="9277" u="1"/>
        <n v="5449" u="1"/>
        <n v="8757" u="1"/>
        <n v="10774" u="1"/>
        <n v="14808" u="1"/>
        <n v="924" u="1"/>
        <n v="8237" u="1"/>
        <n v="10254" u="1"/>
        <n v="3504" u="1"/>
        <n v="4929" u="1"/>
        <n v="9734" u="1"/>
        <n v="859" u="1"/>
        <n v="3374" u="1"/>
        <n v="9214" u="1"/>
        <n v="11231" u="1"/>
        <n v="3244" u="1"/>
        <n v="6426" u="1"/>
        <n v="8694" u="1"/>
        <n v="10711" u="1"/>
        <n v="3114" u="1"/>
        <n v="6166" u="1"/>
        <n v="10191" u="1"/>
        <n v="2984" u="1"/>
        <n v="5906" u="1"/>
        <n v="9671" u="1"/>
        <n v="11688" u="1"/>
        <n v="5646" u="1"/>
        <n v="9151" u="1"/>
        <n v="11168" u="1"/>
        <n v="178" u="1"/>
        <n v="5386" u="1"/>
        <n v="10648" u="1"/>
        <n v="664" u="1"/>
        <n v="10128" u="1"/>
        <n v="12145" u="1"/>
        <n v="16179" u="1"/>
        <n v="6883" u="1"/>
        <n v="9608" u="1"/>
        <n v="11625" u="1"/>
        <n v="599" u="1"/>
        <n v="6623" u="1"/>
        <n v="11105" u="1"/>
        <n v="13122" u="1"/>
        <n v="2204" u="1"/>
        <n v="6363" u="1"/>
        <n v="10585" u="1"/>
        <n v="12602" u="1"/>
        <n v="2074" u="1"/>
        <n v="4091" u="1"/>
        <n v="6103" u="1"/>
        <n v="12082" u="1"/>
        <n v="1996" u="1"/>
        <n v="3961" u="1"/>
        <n v="11562" u="1"/>
        <n v="13579" u="1"/>
        <n v="1931" u="1"/>
        <n v="3831" u="1"/>
        <n v="7600" u="1"/>
        <n v="11042" u="1"/>
        <n v="13059" u="1"/>
        <n v="3701" u="1"/>
        <n v="7340" u="1"/>
        <n v="12539" u="1"/>
        <n v="458" u="1"/>
        <n v="3571" u="1"/>
        <n v="7080" u="1"/>
        <n v="12019" u="1"/>
        <n v="14036" u="1"/>
        <n v="6820" u="1"/>
        <n v="11499" u="1"/>
        <n v="13516" u="1"/>
        <n v="4543" u="1"/>
        <n v="6560" u="1"/>
        <n v="12996" u="1"/>
        <n v="4283" u="1"/>
        <n v="12476" u="1"/>
        <n v="14493" u="1"/>
        <n v="20670" u="1"/>
        <n v="393" u="1"/>
        <n v="1541" u="1"/>
        <n v="8057" u="1"/>
        <n v="11956" u="1"/>
        <n v="13973" u="1"/>
        <n v="1476" u="1"/>
        <n v="7797" u="1"/>
        <n v="13453" u="1"/>
        <n v="1411" u="1"/>
        <n v="2791" u="1"/>
        <n v="7537" u="1"/>
        <n v="8899" u="1"/>
        <n v="12933" u="1"/>
        <n v="14950" u="1"/>
        <n v="88" u="1"/>
        <n v="1346" u="1"/>
        <n v="2661" u="1"/>
        <n v="5260" u="1"/>
        <n v="7277" u="1"/>
        <n v="8379" u="1"/>
        <n v="14430" u="1"/>
        <n v="1281" u="1"/>
        <n v="2531" u="1"/>
        <n v="5000" u="1"/>
        <n v="13910" u="1"/>
        <n v="2401" u="1"/>
        <n v="4740" u="1"/>
        <n v="9356" u="1"/>
        <n v="13390" u="1"/>
        <n v="4480" u="1"/>
        <n v="8836" u="1"/>
        <n v="14887" u="1"/>
        <n v="4220" u="1"/>
        <n v="8316" u="1"/>
        <n v="14367" u="1"/>
        <n v="263" u="1"/>
        <n v="7994" u="1"/>
        <n v="9813" u="1"/>
        <n v="13847" u="1"/>
        <n v="990" u="1"/>
        <n v="5717" u="1"/>
        <n v="7734" u="1"/>
        <n v="9293" u="1"/>
        <n v="5457" u="1"/>
        <n v="8773" u="1"/>
        <n v="14824" u="1"/>
        <n v="925" u="1"/>
        <n v="5197" u="1"/>
        <n v="8253" u="1"/>
        <n v="10270" u="1"/>
        <n v="14304" u="1"/>
        <n v="4937" u="1"/>
        <n v="9750" u="1"/>
        <n v="860" u="1"/>
        <n v="3378" u="1"/>
        <n v="4677" u="1"/>
        <n v="9230" u="1"/>
        <n v="11247" u="1"/>
        <n v="3248" u="1"/>
        <n v="6434" u="1"/>
        <n v="8710" u="1"/>
        <n v="10727" u="1"/>
        <n v="3118" u="1"/>
        <n v="6174" u="1"/>
        <n v="10207" u="1"/>
        <n v="2988" u="1"/>
        <n v="5914" u="1"/>
        <n v="9687" u="1"/>
        <n v="11704" u="1"/>
        <n v="5654" u="1"/>
        <n v="9167" u="1"/>
        <n v="11184" u="1"/>
        <n v="5394" u="1"/>
        <n v="10664" u="1"/>
        <n v="665" u="1"/>
        <n v="10144" u="1"/>
        <n v="12161" u="1"/>
        <n v="6891" u="1"/>
        <n v="9624" u="1"/>
        <n v="11641" u="1"/>
        <n v="600" u="1"/>
        <n v="6631" u="1"/>
        <n v="11121" u="1"/>
        <n v="2208" u="1"/>
        <n v="6371" u="1"/>
        <n v="10601" u="1"/>
        <n v="12618" u="1"/>
        <n v="2078" u="1"/>
        <n v="6111" u="1"/>
        <n v="10081" u="1"/>
        <n v="12098" u="1"/>
        <n v="1998" u="1"/>
        <n v="3965" u="1"/>
        <n v="5851" u="1"/>
        <n v="11578" u="1"/>
        <n v="13595" u="1"/>
        <n v="1933" u="1"/>
        <n v="3835" u="1"/>
        <n v="7608" u="1"/>
        <n v="11058" u="1"/>
        <n v="13075" u="1"/>
        <n v="1868" u="1"/>
        <n v="3705" u="1"/>
        <n v="7348" u="1"/>
        <n v="12555" u="1"/>
        <n v="3575" u="1"/>
        <n v="7088" u="1"/>
        <n v="12035" u="1"/>
        <n v="14052" u="1"/>
        <n v="6828" u="1"/>
        <n v="11515" u="1"/>
        <n v="13532" u="1"/>
        <n v="426" u="1"/>
        <n v="4551" u="1"/>
        <n v="6568" u="1"/>
        <n v="13012" u="1"/>
        <n v="19725" u="1"/>
        <n v="4291" u="1"/>
        <n v="12492" u="1"/>
        <n v="14509" u="1"/>
        <n v="1543" u="1"/>
        <n v="8065" u="1"/>
        <n v="11972" u="1"/>
        <n v="13989" u="1"/>
        <n v="1478" u="1"/>
        <n v="7805" u="1"/>
        <n v="13469" u="1"/>
        <n v="1413" u="1"/>
        <n v="2795" u="1"/>
        <n v="7545" u="1"/>
        <n v="12949" u="1"/>
        <n v="14966" u="1"/>
        <n v="1348" u="1"/>
        <n v="2665" u="1"/>
        <n v="7285" u="1"/>
        <n v="8395" u="1"/>
        <n v="12429" u="1"/>
        <n v="14446" u="1"/>
        <n v="1283" u="1"/>
        <n v="2535" u="1"/>
        <n v="5008" u="1"/>
        <n v="7025" u="1"/>
        <n v="13926" u="1"/>
        <n v="80" u="1"/>
        <n v="2405" u="1"/>
        <n v="4748" u="1"/>
        <n v="9372" u="1"/>
        <n v="13406" u="1"/>
        <n v="296" u="1"/>
        <n v="2275" u="1"/>
        <n v="4488" u="1"/>
        <n v="8852" u="1"/>
        <n v="14903" u="1"/>
        <n v="4228" u="1"/>
        <n v="8332" u="1"/>
        <n v="14383" u="1"/>
        <n v="8002" u="1"/>
        <n v="9829" u="1"/>
        <n v="13863" u="1"/>
        <n v="991" u="1"/>
        <n v="5725" u="1"/>
        <n v="7742" u="1"/>
        <n v="9309" u="1"/>
        <n v="24421" u="1"/>
        <n v="5465" u="1"/>
        <n v="8789" u="1"/>
        <n v="14840" u="1"/>
        <n v="926" u="1"/>
        <n v="5205" u="1"/>
        <n v="8269" u="1"/>
        <n v="10286" u="1"/>
        <n v="14320" u="1"/>
        <n v="4945" u="1"/>
        <n v="9766" u="1"/>
        <n v="861" u="1"/>
        <n v="3382" u="1"/>
        <n v="4685" u="1"/>
        <n v="9246" u="1"/>
        <n v="3252" u="1"/>
        <n v="8726" u="1"/>
        <n v="10743" u="1"/>
        <n v="14777" u="1"/>
        <n v="3122" u="1"/>
        <n v="6182" u="1"/>
        <n v="8206" u="1"/>
        <n v="10223" u="1"/>
        <n v="2992" u="1"/>
        <n v="5922" u="1"/>
        <n v="9703" u="1"/>
        <n v="11720" u="1"/>
        <n v="2862" u="1"/>
        <n v="5662" u="1"/>
        <n v="9183" u="1"/>
        <n v="11200" u="1"/>
        <n v="5402" u="1"/>
        <n v="10680" u="1"/>
        <n v="666" u="1"/>
        <n v="5142" u="1"/>
        <n v="10160" u="1"/>
        <n v="12177" u="1"/>
        <n v="6899" u="1"/>
        <n v="9640" u="1"/>
        <n v="11657" u="1"/>
        <n v="601" u="1"/>
        <n v="6639" u="1"/>
        <n v="11137" u="1"/>
        <n v="2212" u="1"/>
        <n v="6379" u="1"/>
        <n v="10617" u="1"/>
        <n v="12634" u="1"/>
        <n v="536" u="1"/>
        <n v="2082" u="1"/>
        <n v="6119" u="1"/>
        <n v="10097" u="1"/>
        <n v="12114" u="1"/>
        <n v="2000" u="1"/>
        <n v="3969" u="1"/>
        <n v="5859" u="1"/>
        <n v="11594" u="1"/>
        <n v="1935" u="1"/>
        <n v="3839" u="1"/>
        <n v="11074" u="1"/>
        <n v="13091" u="1"/>
        <n v="1870" u="1"/>
        <n v="3709" u="1"/>
        <n v="7356" u="1"/>
        <n v="10554" u="1"/>
        <n v="12571" u="1"/>
        <n v="3579" u="1"/>
        <n v="7096" u="1"/>
        <n v="12051" u="1"/>
        <n v="14068" u="1"/>
        <n v="3449" u="1"/>
        <n v="6836" u="1"/>
        <n v="11531" u="1"/>
        <n v="13548" u="1"/>
        <n v="4559" u="1"/>
        <n v="6576" u="1"/>
        <n v="13028" u="1"/>
        <n v="4299" u="1"/>
        <n v="6316" u="1"/>
        <n v="12508" u="1"/>
        <n v="14525" u="1"/>
        <n v="394" u="1"/>
        <n v="8073" u="1"/>
        <n v="11988" u="1"/>
        <n v="14005" u="1"/>
        <n v="1480" u="1"/>
        <n v="7813" u="1"/>
        <n v="13485" u="1"/>
        <n v="20671" u="1"/>
        <n v="1415" u="1"/>
        <n v="2799" u="1"/>
        <n v="7553" u="1"/>
        <n v="12965" u="1"/>
        <n v="14982" u="1"/>
        <n v="1350" u="1"/>
        <n v="2669" u="1"/>
        <n v="7293" u="1"/>
        <n v="8411" u="1"/>
        <n v="12445" u="1"/>
        <n v="14462" u="1"/>
        <n v="1285" u="1"/>
        <n v="2539" u="1"/>
        <n v="5016" u="1"/>
        <n v="7033" u="1"/>
        <n v="13942" u="1"/>
        <n v="2409" u="1"/>
        <n v="4756" u="1"/>
        <n v="13422" u="1"/>
        <n v="2279" u="1"/>
        <n v="4496" u="1"/>
        <n v="8868" u="1"/>
        <n v="12902" u="1"/>
        <n v="14919" u="1"/>
        <n v="72" u="1"/>
        <n v="4236" u="1"/>
        <n v="8348" u="1"/>
        <n v="14399" u="1"/>
        <n v="264" u="1"/>
        <n v="4036" u="1"/>
        <n v="8010" u="1"/>
        <n v="9845" u="1"/>
        <n v="13879" u="1"/>
        <n v="5733" u="1"/>
        <n v="7750" u="1"/>
        <n v="9325" u="1"/>
        <n v="13359" u="1"/>
        <n v="5473" u="1"/>
        <n v="7490" u="1"/>
        <n v="14856" u="1"/>
        <n v="927" u="1"/>
        <n v="5213" u="1"/>
        <n v="8285" u="1"/>
        <n v="10302" u="1"/>
        <n v="14336" u="1"/>
        <n v="4953" u="1"/>
        <n v="9782" u="1"/>
        <n v="862" u="1"/>
        <n v="3386" u="1"/>
        <n v="4693" u="1"/>
        <n v="9262" u="1"/>
        <n v="3256" u="1"/>
        <n v="8742" u="1"/>
        <n v="10759" u="1"/>
        <n v="14793" u="1"/>
        <n v="3126" u="1"/>
        <n v="6190" u="1"/>
        <n v="8222" u="1"/>
        <n v="10239" u="1"/>
        <n v="195" u="1"/>
        <n v="2996" u="1"/>
        <n v="5930" u="1"/>
        <n v="9719" u="1"/>
        <n v="2866" u="1"/>
        <n v="5670" u="1"/>
        <n v="9199" u="1"/>
        <n v="11216" u="1"/>
        <n v="5410" u="1"/>
        <n v="8679" u="1"/>
        <n v="10696" u="1"/>
        <n v="667" u="1"/>
        <n v="5150" u="1"/>
        <n v="10176" u="1"/>
        <n v="12193" u="1"/>
        <n v="6907" u="1"/>
        <n v="9656" u="1"/>
        <n v="11673" u="1"/>
        <n v="15707" u="1"/>
        <n v="602" u="1"/>
        <n v="6647" u="1"/>
        <n v="9136" u="1"/>
        <n v="11153" u="1"/>
        <n v="6387" u="1"/>
        <n v="10633" u="1"/>
        <n v="12650" u="1"/>
        <n v="537" u="1"/>
        <n v="2086" u="1"/>
        <n v="6127" u="1"/>
        <n v="10113" u="1"/>
        <n v="12130" u="1"/>
        <n v="2002" u="1"/>
        <n v="3973" u="1"/>
        <n v="5867" u="1"/>
        <n v="11610" u="1"/>
        <n v="1937" u="1"/>
        <n v="3843" u="1"/>
        <n v="11090" u="1"/>
        <n v="13107" u="1"/>
        <n v="1872" u="1"/>
        <n v="3713" u="1"/>
        <n v="7364" u="1"/>
        <n v="10570" u="1"/>
        <n v="12587" u="1"/>
        <n v="3583" u="1"/>
        <n v="7104" u="1"/>
        <n v="12067" u="1"/>
        <n v="3453" u="1"/>
        <n v="6844" u="1"/>
        <n v="11547" u="1"/>
        <n v="13564" u="1"/>
        <n v="427" u="1"/>
        <n v="6584" u="1"/>
        <n v="11027" u="1"/>
        <n v="13044" u="1"/>
        <n v="4307" u="1"/>
        <n v="6324" u="1"/>
        <n v="12524" u="1"/>
        <n v="14541" u="1"/>
        <n v="12004" u="1"/>
        <n v="14021" u="1"/>
        <n v="19726" u="1"/>
        <n v="1482" u="1"/>
        <n v="7821" u="1"/>
        <n v="11484" u="1"/>
        <n v="13501" u="1"/>
        <n v="1417" u="1"/>
        <n v="7561" u="1"/>
        <n v="12981" u="1"/>
        <n v="14998" u="1"/>
        <n v="1352" u="1"/>
        <n v="2673" u="1"/>
        <n v="7301" u="1"/>
        <n v="8427" u="1"/>
        <n v="12461" u="1"/>
        <n v="14478" u="1"/>
        <n v="1287" u="1"/>
        <n v="2543" u="1"/>
        <n v="5024" u="1"/>
        <n v="7041" u="1"/>
        <n v="13958" u="1"/>
        <n v="1222" u="1"/>
        <n v="2413" u="1"/>
        <n v="4764" u="1"/>
        <n v="13438" u="1"/>
        <n v="2283" u="1"/>
        <n v="4504" u="1"/>
        <n v="8884" u="1"/>
        <n v="12918" u="1"/>
        <n v="14935" u="1"/>
        <n v="4244" u="1"/>
        <n v="8364" u="1"/>
        <n v="14415" u="1"/>
        <n v="4040" u="1"/>
        <n v="8018" u="1"/>
        <n v="13895" u="1"/>
        <n v="7758" u="1"/>
        <n v="9341" u="1"/>
        <n v="13375" u="1"/>
        <n v="244" u="1"/>
        <n v="5481" u="1"/>
        <n v="7498" u="1"/>
        <n v="8821" u="1"/>
        <n v="14872" u="1"/>
        <n v="928" u="1"/>
        <n v="5221" u="1"/>
        <n v="8301" u="1"/>
        <n v="14352" u="1"/>
        <n v="24422" u="1"/>
        <n v="4961" u="1"/>
        <n v="9798" u="1"/>
        <n v="13832" u="1"/>
        <n v="863" u="1"/>
        <n v="4701" u="1"/>
        <n v="9278" u="1"/>
        <n v="3260" u="1"/>
        <n v="4441" u="1"/>
        <n v="8758" u="1"/>
        <n v="10775" u="1"/>
        <n v="14809" u="1"/>
        <n v="3130" u="1"/>
        <n v="6198" u="1"/>
        <n v="8238" u="1"/>
        <n v="10255" u="1"/>
        <n v="3000" u="1"/>
        <n v="5938" u="1"/>
        <n v="9735" u="1"/>
        <n v="2870" u="1"/>
        <n v="5678" u="1"/>
        <n v="9215" u="1"/>
        <n v="11232" u="1"/>
        <n v="179" u="1"/>
        <n v="5418" u="1"/>
        <n v="8695" u="1"/>
        <n v="10712" u="1"/>
        <n v="668" u="1"/>
        <n v="5158" u="1"/>
        <n v="10192" u="1"/>
        <n v="9672" u="1"/>
        <n v="11689" u="1"/>
        <n v="603" u="1"/>
        <n v="6655" u="1"/>
        <n v="9152" u="1"/>
        <n v="11169" u="1"/>
        <n v="6395" u="1"/>
        <n v="10649" u="1"/>
        <n v="538" u="1"/>
        <n v="2090" u="1"/>
        <n v="6135" u="1"/>
        <n v="10129" u="1"/>
        <n v="12146" u="1"/>
        <n v="16180" u="1"/>
        <n v="2004" u="1"/>
        <n v="5875" u="1"/>
        <n v="9609" u="1"/>
        <n v="11626" u="1"/>
        <n v="1939" u="1"/>
        <n v="3847" u="1"/>
        <n v="5615" u="1"/>
        <n v="11106" u="1"/>
        <n v="13123" u="1"/>
        <n v="121" u="1"/>
        <n v="1874" u="1"/>
        <n v="3717" u="1"/>
        <n v="7372" u="1"/>
        <n v="10586" u="1"/>
        <n v="12603" u="1"/>
        <n v="1809" u="1"/>
        <n v="3587" u="1"/>
        <n v="7112" u="1"/>
        <n v="12083" u="1"/>
        <n v="3457" u="1"/>
        <n v="6852" u="1"/>
        <n v="11563" u="1"/>
        <n v="13580" u="1"/>
        <n v="6592" u="1"/>
        <n v="11043" u="1"/>
        <n v="13060" u="1"/>
        <n v="4315" u="1"/>
        <n v="6332" u="1"/>
        <n v="12540" u="1"/>
        <n v="395" u="1"/>
        <n v="12020" u="1"/>
        <n v="14037" u="1"/>
        <n v="1484" u="1"/>
        <n v="7829" u="1"/>
        <n v="11500" u="1"/>
        <n v="13517" u="1"/>
        <n v="1419" u="1"/>
        <n v="7569" u="1"/>
        <n v="12997" u="1"/>
        <n v="1354" u="1"/>
        <n v="2677" u="1"/>
        <n v="7309" u="1"/>
        <n v="12477" u="1"/>
        <n v="14494" u="1"/>
        <n v="1289" u="1"/>
        <n v="2547" u="1"/>
        <n v="7049" u="1"/>
        <n v="11957" u="1"/>
        <n v="13974" u="1"/>
        <n v="1224" u="1"/>
        <n v="2417" u="1"/>
        <n v="4772" u="1"/>
        <n v="6789" u="1"/>
        <n v="13454" u="1"/>
        <n v="2287" u="1"/>
        <n v="4512" u="1"/>
        <n v="8900" u="1"/>
        <n v="12934" u="1"/>
        <n v="14951" u="1"/>
        <n v="2157" u="1"/>
        <n v="4252" u="1"/>
        <n v="8380" u="1"/>
        <n v="14431" u="1"/>
        <n v="265" u="1"/>
        <n v="4044" u="1"/>
        <n v="8026" u="1"/>
        <n v="13911" u="1"/>
        <n v="7766" u="1"/>
        <n v="9357" u="1"/>
        <n v="13391" u="1"/>
        <n v="5489" u="1"/>
        <n v="7506" u="1"/>
        <n v="8837" u="1"/>
        <n v="14888" u="1"/>
        <n v="929" u="1"/>
        <n v="5229" u="1"/>
        <n v="8317" u="1"/>
        <n v="14368" u="1"/>
        <n v="4969" u="1"/>
        <n v="9814" u="1"/>
        <n v="13848" u="1"/>
        <n v="864" u="1"/>
        <n v="4709" u="1"/>
        <n v="9294" u="1"/>
        <n v="3264" u="1"/>
        <n v="4449" u="1"/>
        <n v="8774" u="1"/>
        <n v="14825" u="1"/>
        <n v="3134" u="1"/>
        <n v="8254" u="1"/>
        <n v="10271" u="1"/>
        <n v="14305" u="1"/>
        <n v="3004" u="1"/>
        <n v="5946" u="1"/>
        <n v="7963" u="1"/>
        <n v="9751" u="1"/>
        <n v="2874" u="1"/>
        <n v="5686" u="1"/>
        <n v="9231" u="1"/>
        <n v="11248" u="1"/>
        <n v="2744" u="1"/>
        <n v="5426" u="1"/>
        <n v="8711" u="1"/>
        <n v="10728" u="1"/>
        <n v="5166" u="1"/>
        <n v="10208" u="1"/>
        <n v="163" u="1"/>
        <n v="9688" u="1"/>
        <n v="11705" u="1"/>
        <n v="604" u="1"/>
        <n v="6663" u="1"/>
        <n v="9168" u="1"/>
        <n v="11185" u="1"/>
        <n v="6403" u="1"/>
        <n v="10665" u="1"/>
        <n v="539" u="1"/>
        <n v="2094" u="1"/>
        <n v="6143" u="1"/>
        <n v="10145" u="1"/>
        <n v="12162" u="1"/>
        <n v="2006" u="1"/>
        <n v="5883" u="1"/>
        <n v="9625" u="1"/>
        <n v="11642" u="1"/>
        <n v="1941" u="1"/>
        <n v="3851" u="1"/>
        <n v="5623" u="1"/>
        <n v="11122" u="1"/>
        <n v="1876" u="1"/>
        <n v="3721" u="1"/>
        <n v="10602" u="1"/>
        <n v="12619" u="1"/>
        <n v="1811" u="1"/>
        <n v="3591" u="1"/>
        <n v="7120" u="1"/>
        <n v="10082" u="1"/>
        <n v="12099" u="1"/>
        <n v="113" u="1"/>
        <n v="3461" u="1"/>
        <n v="6860" u="1"/>
        <n v="11579" u="1"/>
        <n v="13596" u="1"/>
        <n v="428" u="1"/>
        <n v="3331" u="1"/>
        <n v="6600" u="1"/>
        <n v="11059" u="1"/>
        <n v="13076" u="1"/>
        <n v="4323" u="1"/>
        <n v="6340" u="1"/>
        <n v="12556" u="1"/>
        <n v="12036" u="1"/>
        <n v="14053" u="1"/>
        <n v="1486" u="1"/>
        <n v="7837" u="1"/>
        <n v="11516" u="1"/>
        <n v="13533" u="1"/>
        <n v="363" u="1"/>
        <n v="1421" u="1"/>
        <n v="7577" u="1"/>
        <n v="13013" u="1"/>
        <n v="19727" u="1"/>
        <n v="1356" u="1"/>
        <n v="2681" u="1"/>
        <n v="7317" u="1"/>
        <n v="12493" u="1"/>
        <n v="14510" u="1"/>
        <n v="1291" u="1"/>
        <n v="2551" u="1"/>
        <n v="7057" u="1"/>
        <n v="11973" u="1"/>
        <n v="13990" u="1"/>
        <n v="1226" u="1"/>
        <n v="2421" u="1"/>
        <n v="4780" u="1"/>
        <n v="6797" u="1"/>
        <n v="13470" u="1"/>
        <n v="2291" u="1"/>
        <n v="4520" u="1"/>
        <n v="12950" u="1"/>
        <n v="14967" u="1"/>
        <n v="2161" u="1"/>
        <n v="4260" u="1"/>
        <n v="8396" u="1"/>
        <n v="12430" u="1"/>
        <n v="14447" u="1"/>
        <n v="4048" u="1"/>
        <n v="8034" u="1"/>
        <n v="13927" u="1"/>
        <n v="3918" u="1"/>
        <n v="7774" u="1"/>
        <n v="9373" u="1"/>
        <n v="13407" u="1"/>
        <n v="5497" u="1"/>
        <n v="7514" u="1"/>
        <n v="8853" u="1"/>
        <n v="14904" u="1"/>
        <n v="930" u="1"/>
        <n v="5237" u="1"/>
        <n v="8333" u="1"/>
        <n v="14384" u="1"/>
        <n v="4977" u="1"/>
        <n v="9830" u="1"/>
        <n v="13864" u="1"/>
        <n v="865" u="1"/>
        <n v="4717" u="1"/>
        <n v="9310" u="1"/>
        <n v="24423" u="1"/>
        <n v="3268" u="1"/>
        <n v="4457" u="1"/>
        <n v="8790" u="1"/>
        <n v="14841" u="1"/>
        <n v="800" u="1"/>
        <n v="3138" u="1"/>
        <n v="8270" u="1"/>
        <n v="10287" u="1"/>
        <n v="14321" u="1"/>
        <n v="3008" u="1"/>
        <n v="5954" u="1"/>
        <n v="7971" u="1"/>
        <n v="9767" u="1"/>
        <n v="2878" u="1"/>
        <n v="5694" u="1"/>
        <n v="9247" u="1"/>
        <n v="2748" u="1"/>
        <n v="5434" u="1"/>
        <n v="8727" u="1"/>
        <n v="10744" u="1"/>
        <n v="14778" u="1"/>
        <n v="5174" u="1"/>
        <n v="8207" u="1"/>
        <n v="10224" u="1"/>
        <n v="4914" u="1"/>
        <n v="9704" u="1"/>
        <n v="11721" u="1"/>
        <n v="605" u="1"/>
        <n v="6671" u="1"/>
        <n v="9184" u="1"/>
        <n v="11201" u="1"/>
        <n v="6411" u="1"/>
        <n v="10681" u="1"/>
        <n v="540" u="1"/>
        <n v="6151" u="1"/>
        <n v="10161" u="1"/>
        <n v="12178" u="1"/>
        <n v="2008" u="1"/>
        <n v="5891" u="1"/>
        <n v="9641" u="1"/>
        <n v="11658" u="1"/>
        <n v="1943" u="1"/>
        <n v="3855" u="1"/>
        <n v="5631" u="1"/>
        <n v="11138" u="1"/>
        <n v="1878" u="1"/>
        <n v="3725" u="1"/>
        <n v="10618" u="1"/>
        <n v="12635" u="1"/>
        <n v="1813" u="1"/>
        <n v="3595" u="1"/>
        <n v="7128" u="1"/>
        <n v="10098" u="1"/>
        <n v="12115" u="1"/>
        <n v="3465" u="1"/>
        <n v="6868" u="1"/>
        <n v="11595" u="1"/>
        <n v="3335" u="1"/>
        <n v="6608" u="1"/>
        <n v="11075" u="1"/>
        <n v="13092" u="1"/>
        <n v="105" u="1"/>
        <n v="6348" u="1"/>
        <n v="10555" u="1"/>
        <n v="12572" u="1"/>
        <n v="396" u="1"/>
        <n v="6088" u="1"/>
        <n v="12052" u="1"/>
        <n v="14069" u="1"/>
        <n v="7845" u="1"/>
        <n v="11532" u="1"/>
        <n v="13549" u="1"/>
        <n v="1423" u="1"/>
        <n v="7585" u="1"/>
        <n v="11012" u="1"/>
        <n v="13029" u="1"/>
        <n v="1358" u="1"/>
        <n v="7325" u="1"/>
        <n v="12509" u="1"/>
        <n v="14526" u="1"/>
        <n v="1293" u="1"/>
        <n v="2555" u="1"/>
        <n v="7065" u="1"/>
        <n v="11989" u="1"/>
        <n v="14006" u="1"/>
        <n v="1228" u="1"/>
        <n v="2425" u="1"/>
        <n v="4788" u="1"/>
        <n v="6805" u="1"/>
        <n v="13486" u="1"/>
        <n v="1163" u="1"/>
        <n v="2295" u="1"/>
        <n v="4528" u="1"/>
        <n v="12966" u="1"/>
        <n v="14983" u="1"/>
        <n v="2165" u="1"/>
        <n v="4268" u="1"/>
        <n v="8412" u="1"/>
        <n v="12446" u="1"/>
        <n v="14463" u="1"/>
        <n v="266" u="1"/>
        <n v="4052" u="1"/>
        <n v="8042" u="1"/>
        <n v="13943" u="1"/>
        <n v="3922" u="1"/>
        <n v="7782" u="1"/>
        <n v="13423" u="1"/>
        <n v="7522" u="1"/>
        <n v="8869" u="1"/>
        <n v="12903" u="1"/>
        <n v="14920" u="1"/>
        <n v="931" u="1"/>
        <n v="5245" u="1"/>
        <n v="7262" u="1"/>
        <n v="8349" u="1"/>
        <n v="14400" u="1"/>
        <n v="4985" u="1"/>
        <n v="9846" u="1"/>
        <n v="13880" u="1"/>
        <n v="866" u="1"/>
        <n v="4725" u="1"/>
        <n v="9326" u="1"/>
        <n v="13360" u="1"/>
        <n v="4465" u="1"/>
        <n v="8806" u="1"/>
        <n v="14857" u="1"/>
        <n v="801" u="1"/>
        <n v="3142" u="1"/>
        <n v="4205" u="1"/>
        <n v="8286" u="1"/>
        <n v="10303" u="1"/>
        <n v="14337" u="1"/>
        <n v="3012" u="1"/>
        <n v="5962" u="1"/>
        <n v="7979" u="1"/>
        <n v="9783" u="1"/>
        <n v="2882" u="1"/>
        <n v="5702" u="1"/>
        <n v="9263" u="1"/>
        <n v="2752" u="1"/>
        <n v="5442" u="1"/>
        <n v="8743" u="1"/>
        <n v="10760" u="1"/>
        <n v="14794" u="1"/>
        <n v="5182" u="1"/>
        <n v="8223" u="1"/>
        <n v="10240" u="1"/>
        <n v="4922" u="1"/>
        <n v="9720" u="1"/>
        <n v="606" u="1"/>
        <n v="9200" u="1"/>
        <n v="11217" u="1"/>
        <n v="6419" u="1"/>
        <n v="8680" u="1"/>
        <n v="10697" u="1"/>
        <n v="541" u="1"/>
        <n v="6159" u="1"/>
        <n v="10177" u="1"/>
        <n v="12194" u="1"/>
        <n v="2010" u="1"/>
        <n v="5899" u="1"/>
        <n v="9657" u="1"/>
        <n v="11674" u="1"/>
        <n v="15708" u="1"/>
        <n v="1945" u="1"/>
        <n v="5639" u="1"/>
        <n v="9137" u="1"/>
        <n v="11154" u="1"/>
        <n v="1880" u="1"/>
        <n v="3729" u="1"/>
        <n v="5379" u="1"/>
        <n v="10634" u="1"/>
        <n v="12651" u="1"/>
        <n v="1815" u="1"/>
        <n v="3599" u="1"/>
        <n v="7136" u="1"/>
        <n v="10114" u="1"/>
        <n v="12131" u="1"/>
        <n v="1750" u="1"/>
        <n v="3469" u="1"/>
        <n v="6876" u="1"/>
        <n v="11611" u="1"/>
        <n v="3339" u="1"/>
        <n v="6616" u="1"/>
        <n v="11091" u="1"/>
        <n v="13108" u="1"/>
        <n v="6356" u="1"/>
        <n v="10571" u="1"/>
        <n v="12588" u="1"/>
        <n v="6096" u="1"/>
        <n v="12068" u="1"/>
        <n v="11548" u="1"/>
        <n v="13565" u="1"/>
        <n v="364" u="1"/>
        <n v="1425" u="1"/>
        <n v="7593" u="1"/>
        <n v="11028" u="1"/>
        <n v="13045" u="1"/>
        <n v="1360" u="1"/>
        <n v="7333" u="1"/>
        <n v="12525" u="1"/>
        <n v="1295" u="1"/>
        <n v="2559" u="1"/>
        <n v="7073" u="1"/>
        <n v="12005" u="1"/>
        <n v="14022" u="1"/>
        <n v="19728" u="1"/>
        <n v="1230" u="1"/>
        <n v="6813" u="1"/>
        <n v="11485" u="1"/>
        <n v="13502" u="1"/>
        <n v="1165" u="1"/>
        <n v="2299" u="1"/>
        <n v="4536" u="1"/>
        <n v="6553" u="1"/>
        <n v="12982" u="1"/>
        <n v="14999" u="1"/>
        <n v="2169" u="1"/>
        <n v="4276" u="1"/>
        <n v="8428" u="1"/>
        <n v="12462" u="1"/>
        <n v="14479" u="1"/>
        <n v="4056" u="1"/>
        <n v="8050" u="1"/>
        <n v="13959" u="1"/>
        <n v="3926" u="1"/>
        <n v="7790" u="1"/>
        <n v="13439" u="1"/>
        <n v="245" u="1"/>
        <n v="7530" u="1"/>
        <n v="8885" u="1"/>
        <n v="12919" u="1"/>
        <n v="14936" u="1"/>
        <n v="932" u="1"/>
        <n v="5253" u="1"/>
        <n v="7270" u="1"/>
        <n v="8365" u="1"/>
        <n v="14416" u="1"/>
        <n v="4993" u="1"/>
        <n v="13896" u="1"/>
        <n v="867" u="1"/>
        <n v="4733" u="1"/>
        <n v="9342" u="1"/>
        <n v="13376" u="1"/>
        <n v="4473" u="1"/>
        <n v="8822" u="1"/>
        <n v="14873" u="1"/>
        <n v="802" u="1"/>
        <n v="3146" u="1"/>
        <n v="4213" u="1"/>
        <n v="8302" u="1"/>
        <n v="14353" u="1"/>
        <n v="24424" u="1"/>
        <n v="3016" u="1"/>
        <n v="7987" u="1"/>
        <n v="9799" u="1"/>
        <n v="13833" u="1"/>
        <n v="2886" u="1"/>
        <n v="5710" u="1"/>
        <n v="7727" u="1"/>
        <n v="9279" u="1"/>
        <n v="180" u="1"/>
        <n v="2756" u="1"/>
        <n v="5450" u="1"/>
        <n v="8759" u="1"/>
        <n v="10776" u="1"/>
        <n v="14810" u="1"/>
        <n v="2626" u="1"/>
        <n v="5190" u="1"/>
        <n v="8239" u="1"/>
        <n v="10256" u="1"/>
        <n v="4930" u="1"/>
        <n v="9736" u="1"/>
        <n v="607" u="1"/>
        <n v="9216" u="1"/>
        <n v="11233" u="1"/>
        <n v="6427" u="1"/>
        <n v="8696" u="1"/>
        <n v="10713" u="1"/>
        <n v="542" u="1"/>
        <n v="6167" u="1"/>
        <n v="10193" u="1"/>
        <n v="2012" u="1"/>
        <n v="5907" u="1"/>
        <n v="9673" u="1"/>
        <n v="11690" u="1"/>
        <n v="1947" u="1"/>
        <n v="5647" u="1"/>
        <n v="9153" u="1"/>
        <n v="11170" u="1"/>
        <n v="1882" u="1"/>
        <n v="3733" u="1"/>
        <n v="5387" u="1"/>
        <n v="10650" u="1"/>
        <n v="1817" u="1"/>
        <n v="3603" u="1"/>
        <n v="10130" u="1"/>
        <n v="12147" u="1"/>
        <n v="1752" u="1"/>
        <n v="3473" u="1"/>
        <n v="6884" u="1"/>
        <n v="9610" u="1"/>
        <n v="11627" u="1"/>
        <n v="3343" u="1"/>
        <n v="6624" u="1"/>
        <n v="11107" u="1"/>
        <n v="13124" u="1"/>
        <n v="3213" u="1"/>
        <n v="6364" u="1"/>
        <n v="10587" u="1"/>
        <n v="12604" u="1"/>
        <n v="397" u="1"/>
        <n v="6104" u="1"/>
        <n v="12084" u="1"/>
        <n v="11564" u="1"/>
        <n v="13581" u="1"/>
        <n v="1427" u="1"/>
        <n v="7601" u="1"/>
        <n v="11044" u="1"/>
        <n v="13061" u="1"/>
        <n v="1362" u="1"/>
        <n v="7341" u="1"/>
        <n v="12541" u="1"/>
        <n v="1297" u="1"/>
        <n v="2563" u="1"/>
        <n v="7081" u="1"/>
        <n v="12021" u="1"/>
        <n v="14038" u="1"/>
        <n v="1232" u="1"/>
        <n v="2433" u="1"/>
        <n v="6821" u="1"/>
        <n v="11501" u="1"/>
        <n v="13518" u="1"/>
        <n v="1167" u="1"/>
        <n v="2303" u="1"/>
        <n v="4544" u="1"/>
        <n v="6561" u="1"/>
        <n v="12998" u="1"/>
        <n v="2173" u="1"/>
        <n v="4284" u="1"/>
        <n v="12478" u="1"/>
        <n v="14495" u="1"/>
        <n v="267" u="1"/>
        <n v="4060" u="1"/>
        <n v="8058" u="1"/>
        <n v="11958" u="1"/>
        <n v="13975" u="1"/>
        <n v="3930" u="1"/>
        <n v="7798" u="1"/>
        <n v="13455" u="1"/>
        <n v="3800" u="1"/>
        <n v="7538" u="1"/>
        <n v="8901" u="1"/>
        <n v="12935" u="1"/>
        <n v="14952" u="1"/>
        <n v="5261" u="1"/>
        <n v="7278" u="1"/>
        <n v="8381" u="1"/>
        <n v="14432" u="1"/>
        <n v="229" u="1"/>
        <n v="5001" u="1"/>
        <n v="13912" u="1"/>
        <n v="868" u="1"/>
        <n v="4741" u="1"/>
        <n v="9358" u="1"/>
        <n v="13392" u="1"/>
        <n v="4481" u="1"/>
        <n v="8838" u="1"/>
        <n v="14889" u="1"/>
        <n v="23479" u="1"/>
        <n v="803" u="1"/>
        <n v="3150" u="1"/>
        <n v="4221" u="1"/>
        <n v="8318" u="1"/>
        <n v="14369" u="1"/>
        <n v="3020" u="1"/>
        <n v="7995" u="1"/>
        <n v="9815" u="1"/>
        <n v="13849" u="1"/>
        <n v="2890" u="1"/>
        <n v="5718" u="1"/>
        <n v="7735" u="1"/>
        <n v="9295" u="1"/>
        <n v="2760" u="1"/>
        <n v="5458" u="1"/>
        <n v="8775" u="1"/>
        <n v="14826" u="1"/>
        <n v="2630" u="1"/>
        <n v="5198" u="1"/>
        <n v="8255" u="1"/>
        <n v="10272" u="1"/>
        <n v="14306" u="1"/>
        <n v="164" u="1"/>
        <n v="4938" u="1"/>
        <n v="9752" u="1"/>
        <n v="608" u="1"/>
        <n v="4678" u="1"/>
        <n v="9232" u="1"/>
        <n v="11249" u="1"/>
        <n v="6435" u="1"/>
        <n v="8712" u="1"/>
        <n v="10729" u="1"/>
        <n v="543" u="1"/>
        <n v="6175" u="1"/>
        <n v="10209" u="1"/>
        <n v="2014" u="1"/>
        <n v="5915" u="1"/>
        <n v="9689" u="1"/>
        <n v="11706" u="1"/>
        <n v="495" u="1"/>
        <n v="1949" u="1"/>
        <n v="5655" u="1"/>
        <n v="9169" u="1"/>
        <n v="11186" u="1"/>
        <n v="1884" u="1"/>
        <n v="3737" u="1"/>
        <n v="5395" u="1"/>
        <n v="10666" u="1"/>
        <n v="1819" u="1"/>
        <n v="3607" u="1"/>
        <n v="10146" u="1"/>
        <n v="12163" u="1"/>
        <n v="1754" u="1"/>
        <n v="3477" u="1"/>
        <n v="6892" u="1"/>
        <n v="9626" u="1"/>
        <n v="11643" u="1"/>
        <n v="3347" u="1"/>
        <n v="6632" u="1"/>
        <n v="11123" u="1"/>
        <n v="3217" u="1"/>
        <n v="6372" u="1"/>
        <n v="10603" u="1"/>
        <n v="12620" u="1"/>
        <n v="6112" u="1"/>
        <n v="10083" u="1"/>
        <n v="12100" u="1"/>
        <n v="5852" u="1"/>
        <n v="11580" u="1"/>
        <n v="13597" u="1"/>
        <n v="365" u="1"/>
        <n v="7609" u="1"/>
        <n v="11060" u="1"/>
        <n v="13077" u="1"/>
        <n v="1364" u="1"/>
        <n v="7349" u="1"/>
        <n v="12557" u="1"/>
        <n v="1299" u="1"/>
        <n v="2567" u="1"/>
        <n v="7089" u="1"/>
        <n v="12037" u="1"/>
        <n v="14054" u="1"/>
        <n v="81" u="1"/>
        <n v="1234" u="1"/>
        <n v="2437" u="1"/>
        <n v="6829" u="1"/>
        <n v="11517" u="1"/>
        <n v="13534" u="1"/>
        <n v="1169" u="1"/>
        <n v="2307" u="1"/>
        <n v="4552" u="1"/>
        <n v="6569" u="1"/>
        <n v="13014" u="1"/>
        <n v="19729" u="1"/>
        <n v="1104" u="1"/>
        <n v="2177" u="1"/>
        <n v="4292" u="1"/>
        <n v="12494" u="1"/>
        <n v="14511" u="1"/>
        <n v="4064" u="1"/>
        <n v="8066" u="1"/>
        <n v="11974" u="1"/>
        <n v="13991" u="1"/>
        <n v="3934" u="1"/>
        <n v="7806" u="1"/>
        <n v="13471" u="1"/>
        <n v="3804" u="1"/>
        <n v="7546" u="1"/>
        <n v="12951" u="1"/>
        <n v="14968" u="1"/>
        <n v="7286" u="1"/>
        <n v="8397" u="1"/>
        <n v="12431" u="1"/>
        <n v="14448" u="1"/>
        <n v="5009" u="1"/>
        <n v="7026" u="1"/>
        <n v="13928" u="1"/>
        <n v="869" u="1"/>
        <n v="4749" u="1"/>
        <n v="9374" u="1"/>
        <n v="13408" u="1"/>
        <n v="4489" u="1"/>
        <n v="8854" u="1"/>
        <n v="14905" u="1"/>
        <n v="804" u="1"/>
        <n v="3154" u="1"/>
        <n v="4229" u="1"/>
        <n v="8334" u="1"/>
        <n v="14385" u="1"/>
        <n v="3024" u="1"/>
        <n v="8003" u="1"/>
        <n v="9831" u="1"/>
        <n v="13865" u="1"/>
        <n v="2894" u="1"/>
        <n v="5726" u="1"/>
        <n v="7743" u="1"/>
        <n v="9311" u="1"/>
        <n v="24425" u="1"/>
        <n v="2764" u="1"/>
        <n v="5466" u="1"/>
        <n v="8791" u="1"/>
        <n v="14842" u="1"/>
        <n v="2634" u="1"/>
        <n v="5206" u="1"/>
        <n v="8271" u="1"/>
        <n v="10288" u="1"/>
        <n v="14322" u="1"/>
        <n v="4946" u="1"/>
        <n v="9768" u="1"/>
        <n v="609" u="1"/>
        <n v="4686" u="1"/>
        <n v="9248" u="1"/>
        <n v="148" u="1"/>
        <n v="8728" u="1"/>
        <n v="10745" u="1"/>
        <n v="14779" u="1"/>
        <n v="544" u="1"/>
        <n v="6183" u="1"/>
        <n v="8208" u="1"/>
        <n v="10225" u="1"/>
        <n v="5923" u="1"/>
        <n v="9705" u="1"/>
        <n v="11722" u="1"/>
        <n v="1951" u="1"/>
        <n v="5663" u="1"/>
        <n v="9185" u="1"/>
        <n v="11202" u="1"/>
        <n v="1886" u="1"/>
        <n v="3741" u="1"/>
        <n v="5403" u="1"/>
        <n v="8665" u="1"/>
        <n v="10682" u="1"/>
        <n v="1821" u="1"/>
        <n v="3611" u="1"/>
        <n v="5143" u="1"/>
        <n v="10162" u="1"/>
        <n v="12179" u="1"/>
        <n v="1756" u="1"/>
        <n v="3481" u="1"/>
        <n v="6900" u="1"/>
        <n v="9642" u="1"/>
        <n v="11659" u="1"/>
        <n v="1691" u="1"/>
        <n v="3351" u="1"/>
        <n v="6640" u="1"/>
        <n v="11139" u="1"/>
        <n v="3221" u="1"/>
        <n v="6380" u="1"/>
        <n v="10619" u="1"/>
        <n v="12636" u="1"/>
        <n v="398" u="1"/>
        <n v="6120" u="1"/>
        <n v="10099" u="1"/>
        <n v="12116" u="1"/>
        <n v="5860" u="1"/>
        <n v="11596" u="1"/>
        <n v="11076" u="1"/>
        <n v="13093" u="1"/>
        <n v="1366" u="1"/>
        <n v="7357" u="1"/>
        <n v="10556" u="1"/>
        <n v="12573" u="1"/>
        <n v="1301" u="1"/>
        <n v="7097" u="1"/>
        <n v="12053" u="1"/>
        <n v="14070" u="1"/>
        <n v="1236" u="1"/>
        <n v="2441" u="1"/>
        <n v="6837" u="1"/>
        <n v="11533" u="1"/>
        <n v="13550" u="1"/>
        <n v="1171" u="1"/>
        <n v="2311" u="1"/>
        <n v="6577" u="1"/>
        <n v="11013" u="1"/>
        <n v="13030" u="1"/>
        <n v="73" u="1"/>
        <n v="1106" u="1"/>
        <n v="2181" u="1"/>
        <n v="4300" u="1"/>
        <n v="6317" u="1"/>
        <n v="12510" u="1"/>
        <n v="14527" u="1"/>
        <n v="2051" u="1"/>
        <n v="4068" u="1"/>
        <n v="8074" u="1"/>
        <n v="11990" u="1"/>
        <n v="14007" u="1"/>
        <n v="3938" u="1"/>
        <n v="7814" u="1"/>
        <n v="13487" u="1"/>
        <n v="3808" u="1"/>
        <n v="7554" u="1"/>
        <n v="12967" u="1"/>
        <n v="14984" u="1"/>
        <n v="7294" u="1"/>
        <n v="8413" u="1"/>
        <n v="12447" u="1"/>
        <n v="14464" u="1"/>
        <n v="5017" u="1"/>
        <n v="7034" u="1"/>
        <n v="13944" u="1"/>
        <n v="870" u="1"/>
        <n v="4757" u="1"/>
        <n v="13424" u="1"/>
        <n v="4497" u="1"/>
        <n v="8870" u="1"/>
        <n v="12904" u="1"/>
        <n v="14921" u="1"/>
        <n v="805" u="1"/>
        <n v="4237" u="1"/>
        <n v="8350" u="1"/>
        <n v="14401" u="1"/>
        <n v="3028" u="1"/>
        <n v="8011" u="1"/>
        <n v="9847" u="1"/>
        <n v="13881" u="1"/>
        <n v="23480" u="1"/>
        <n v="2898" u="1"/>
        <n v="7751" u="1"/>
        <n v="9327" u="1"/>
        <n v="2768" u="1"/>
        <n v="5474" u="1"/>
        <n v="7491" u="1"/>
        <n v="8807" u="1"/>
        <n v="14858" u="1"/>
        <n v="2638" u="1"/>
        <n v="5214" u="1"/>
        <n v="8287" u="1"/>
        <n v="10304" u="1"/>
        <n v="14338" u="1"/>
        <n v="2508" u="1"/>
        <n v="4954" u="1"/>
        <n v="9784" u="1"/>
        <n v="4694" u="1"/>
        <n v="9264" u="1"/>
        <n v="8744" u="1"/>
        <n v="10761" u="1"/>
        <n v="14795" u="1"/>
        <n v="545" u="1"/>
        <n v="6191" u="1"/>
        <n v="8224" u="1"/>
        <n v="10241" u="1"/>
        <n v="5931" u="1"/>
        <n v="9721" u="1"/>
        <n v="496" u="1"/>
        <n v="1953" u="1"/>
        <n v="5671" u="1"/>
        <n v="9201" u="1"/>
        <n v="11218" u="1"/>
        <n v="1888" u="1"/>
        <n v="5411" u="1"/>
        <n v="8681" u="1"/>
        <n v="10698" u="1"/>
        <n v="1823" u="1"/>
        <n v="3615" u="1"/>
        <n v="5151" u="1"/>
        <n v="10178" u="1"/>
        <n v="1758" u="1"/>
        <n v="3485" u="1"/>
        <n v="9658" u="1"/>
        <n v="11675" u="1"/>
        <n v="15709" u="1"/>
        <n v="1693" u="1"/>
        <n v="3355" u="1"/>
        <n v="6648" u="1"/>
        <n v="9138" u="1"/>
        <n v="11155" u="1"/>
        <n v="3225" u="1"/>
        <n v="6388" u="1"/>
        <n v="10635" u="1"/>
        <n v="12652" u="1"/>
        <n v="3095" u="1"/>
        <n v="6128" u="1"/>
        <n v="10115" u="1"/>
        <n v="12132" u="1"/>
        <n v="5868" u="1"/>
        <n v="11612" u="1"/>
        <n v="366" u="1"/>
        <n v="11092" u="1"/>
        <n v="13109" u="1"/>
        <n v="1368" u="1"/>
        <n v="7365" u="1"/>
        <n v="10572" u="1"/>
        <n v="12589" u="1"/>
        <n v="1303" u="1"/>
        <n v="7105" u="1"/>
        <n v="12069" u="1"/>
        <n v="1238" u="1"/>
        <n v="2445" u="1"/>
        <n v="6845" u="1"/>
        <n v="11549" u="1"/>
        <n v="13566" u="1"/>
        <n v="1173" u="1"/>
        <n v="2315" u="1"/>
        <n v="6585" u="1"/>
        <n v="11029" u="1"/>
        <n v="13046" u="1"/>
        <n v="1108" u="1"/>
        <n v="2185" u="1"/>
        <n v="4308" u="1"/>
        <n v="6325" u="1"/>
        <n v="12526" u="1"/>
        <n v="2055" u="1"/>
        <n v="4072" u="1"/>
        <n v="12006" u="1"/>
        <n v="14023" u="1"/>
        <n v="19730" u="1"/>
        <n v="3942" u="1"/>
        <n v="7822" u="1"/>
        <n v="11486" u="1"/>
        <n v="13503" u="1"/>
        <n v="246" u="1"/>
        <n v="3812" u="1"/>
        <n v="7562" u="1"/>
        <n v="12983" u="1"/>
        <n v="15000" u="1"/>
        <n v="3682" u="1"/>
        <n v="7302" u="1"/>
        <n v="8429" u="1"/>
        <n v="12463" u="1"/>
        <n v="14480" u="1"/>
        <n v="5025" u="1"/>
        <n v="7042" u="1"/>
        <n v="13960" u="1"/>
        <n v="871" u="1"/>
        <n v="4765" u="1"/>
        <n v="13440" u="1"/>
        <n v="4505" u="1"/>
        <n v="8886" u="1"/>
        <n v="12920" u="1"/>
        <n v="14937" u="1"/>
        <n v="806" u="1"/>
        <n v="4245" u="1"/>
        <n v="8366" u="1"/>
        <n v="14417" u="1"/>
        <n v="3032" u="1"/>
        <n v="8019" u="1"/>
        <n v="13897" u="1"/>
        <n v="2902" u="1"/>
        <n v="7759" u="1"/>
        <n v="9343" u="1"/>
        <n v="13377" u="1"/>
        <n v="2772" u="1"/>
        <n v="5482" u="1"/>
        <n v="7499" u="1"/>
        <n v="8823" u="1"/>
        <n v="14874" u="1"/>
        <n v="2642" u="1"/>
        <n v="5222" u="1"/>
        <n v="8303" u="1"/>
        <n v="14354" u="1"/>
        <n v="24426" u="1"/>
        <n v="2512" u="1"/>
        <n v="4962" u="1"/>
        <n v="9800" u="1"/>
        <n v="13834" u="1"/>
        <n v="4702" u="1"/>
        <n v="9280" u="1"/>
        <n v="4442" u="1"/>
        <n v="8760" u="1"/>
        <n v="10777" u="1"/>
        <n v="14811" u="1"/>
        <n v="6199" u="1"/>
        <n v="8240" u="1"/>
        <n v="10257" u="1"/>
        <n v="5939" u="1"/>
        <n v="9737" u="1"/>
        <n v="1955" u="1"/>
        <n v="5679" u="1"/>
        <n v="9217" u="1"/>
        <n v="11234" u="1"/>
        <n v="1890" u="1"/>
        <n v="5419" u="1"/>
        <n v="8697" u="1"/>
        <n v="10714" u="1"/>
        <n v="1825" u="1"/>
        <n v="3619" u="1"/>
        <n v="5159" u="1"/>
        <n v="10194" u="1"/>
        <n v="1760" u="1"/>
        <n v="3489" u="1"/>
        <n v="9674" u="1"/>
        <n v="11691" u="1"/>
        <n v="1695" u="1"/>
        <n v="3359" u="1"/>
        <n v="6656" u="1"/>
        <n v="9154" u="1"/>
        <n v="11171" u="1"/>
        <n v="3229" u="1"/>
        <n v="6396" u="1"/>
        <n v="10651" u="1"/>
        <n v="399" u="1"/>
        <n v="3099" u="1"/>
        <n v="6136" u="1"/>
        <n v="10131" u="1"/>
        <n v="12148" u="1"/>
        <n v="5876" u="1"/>
        <n v="9611" u="1"/>
        <n v="11628" u="1"/>
        <n v="5616" u="1"/>
        <n v="11108" u="1"/>
        <n v="13125" u="1"/>
        <n v="7373" u="1"/>
        <n v="10588" u="1"/>
        <n v="12605" u="1"/>
        <n v="334" u="1"/>
        <n v="1305" u="1"/>
        <n v="7113" u="1"/>
        <n v="12085" u="1"/>
        <n v="1240" u="1"/>
        <n v="2449" u="1"/>
        <n v="6853" u="1"/>
        <n v="11565" u="1"/>
        <n v="13582" u="1"/>
        <n v="1175" u="1"/>
        <n v="2319" u="1"/>
        <n v="6593" u="1"/>
        <n v="11045" u="1"/>
        <n v="13062" u="1"/>
        <n v="1110" u="1"/>
        <n v="2189" u="1"/>
        <n v="4316" u="1"/>
        <n v="6333" u="1"/>
        <n v="12542" u="1"/>
        <n v="18785" u="1"/>
        <n v="1045" u="1"/>
        <n v="2059" u="1"/>
        <n v="4076" u="1"/>
        <n v="12022" u="1"/>
        <n v="14039" u="1"/>
        <n v="3946" u="1"/>
        <n v="7830" u="1"/>
        <n v="11502" u="1"/>
        <n v="13519" u="1"/>
        <n v="3816" u="1"/>
        <n v="7570" u="1"/>
        <n v="12999" u="1"/>
        <n v="3686" u="1"/>
        <n v="7310" u="1"/>
        <n v="12479" u="1"/>
        <n v="14496" u="1"/>
        <n v="230" u="1"/>
        <n v="7050" u="1"/>
        <n v="11959" u="1"/>
        <n v="13976" u="1"/>
        <n v="872" u="1"/>
        <n v="4773" u="1"/>
        <n v="6790" u="1"/>
        <n v="13456" u="1"/>
        <n v="4513" u="1"/>
        <n v="8902" u="1"/>
        <n v="12936" u="1"/>
        <n v="14953" u="1"/>
        <n v="807" u="1"/>
        <n v="4253" u="1"/>
        <n v="8382" u="1"/>
        <n v="14433" u="1"/>
        <n v="3036" u="1"/>
        <n v="8027" u="1"/>
        <n v="13913" u="1"/>
        <n v="742" u="1"/>
        <n v="2906" u="1"/>
        <n v="7767" u="1"/>
        <n v="9359" u="1"/>
        <n v="13393" u="1"/>
        <n v="2776" u="1"/>
        <n v="5490" u="1"/>
        <n v="7507" u="1"/>
        <n v="8839" u="1"/>
        <n v="14890" u="1"/>
        <n v="23481" u="1"/>
        <n v="2646" u="1"/>
        <n v="5230" u="1"/>
        <n v="8319" u="1"/>
        <n v="14370" u="1"/>
        <n v="165" u="1"/>
        <n v="2516" u="1"/>
        <n v="4970" u="1"/>
        <n v="9816" u="1"/>
        <n v="13850" u="1"/>
        <n v="4710" u="1"/>
        <n v="9296" u="1"/>
        <n v="4450" u="1"/>
        <n v="8776" u="1"/>
        <n v="14827" u="1"/>
        <n v="547" u="1"/>
        <n v="8256" u="1"/>
        <n v="10273" u="1"/>
        <n v="14307" u="1"/>
        <n v="5947" u="1"/>
        <n v="7964" u="1"/>
        <n v="9753" u="1"/>
        <n v="497" u="1"/>
        <n v="5687" u="1"/>
        <n v="9233" u="1"/>
        <n v="11250" u="1"/>
        <n v="1892" u="1"/>
        <n v="5427" u="1"/>
        <n v="8713" u="1"/>
        <n v="10730" u="1"/>
        <n v="1827" u="1"/>
        <n v="3623" u="1"/>
        <n v="5167" u="1"/>
        <n v="10210" u="1"/>
        <n v="114" u="1"/>
        <n v="1762" u="1"/>
        <n v="3493" u="1"/>
        <n v="9690" u="1"/>
        <n v="11707" u="1"/>
        <n v="1697" u="1"/>
        <n v="3363" u="1"/>
        <n v="6664" u="1"/>
        <n v="9170" u="1"/>
        <n v="11187" u="1"/>
        <n v="1632" u="1"/>
        <n v="3233" u="1"/>
        <n v="6404" u="1"/>
        <n v="10667" u="1"/>
        <n v="3103" u="1"/>
        <n v="6144" u="1"/>
        <n v="10147" u="1"/>
        <n v="12164" u="1"/>
        <n v="5884" u="1"/>
        <n v="9627" u="1"/>
        <n v="11644" u="1"/>
        <n v="367" u="1"/>
        <n v="5624" u="1"/>
        <n v="11124" u="1"/>
        <n v="10604" u="1"/>
        <n v="12621" u="1"/>
        <n v="1307" u="1"/>
        <n v="7121" u="1"/>
        <n v="10084" u="1"/>
        <n v="12101" u="1"/>
        <n v="1242" u="1"/>
        <n v="6861" u="1"/>
        <n v="11581" u="1"/>
        <n v="13598" u="1"/>
        <n v="1177" u="1"/>
        <n v="2323" u="1"/>
        <n v="6601" u="1"/>
        <n v="11061" u="1"/>
        <n v="13078" u="1"/>
        <n v="1112" u="1"/>
        <n v="2193" u="1"/>
        <n v="4324" u="1"/>
        <n v="6341" u="1"/>
        <n v="12558" u="1"/>
        <n v="1047" u="1"/>
        <n v="2063" u="1"/>
        <n v="4080" u="1"/>
        <n v="6081" u="1"/>
        <n v="12038" u="1"/>
        <n v="14055" u="1"/>
        <n v="3950" u="1"/>
        <n v="7838" u="1"/>
        <n v="11518" u="1"/>
        <n v="13535" u="1"/>
        <n v="3820" u="1"/>
        <n v="7578" u="1"/>
        <n v="13015" u="1"/>
        <n v="19731" u="1"/>
        <n v="3690" u="1"/>
        <n v="7318" u="1"/>
        <n v="12495" u="1"/>
        <n v="14512" u="1"/>
        <n v="7058" u="1"/>
        <n v="11975" u="1"/>
        <n v="13992" u="1"/>
        <n v="873" u="1"/>
        <n v="4781" u="1"/>
        <n v="6798" u="1"/>
        <n v="13472" u="1"/>
        <n v="214" u="1"/>
        <n v="4521" u="1"/>
        <n v="12952" u="1"/>
        <n v="14969" u="1"/>
        <n v="808" u="1"/>
        <n v="4261" u="1"/>
        <n v="8398" u="1"/>
        <n v="12432" u="1"/>
        <n v="14449" u="1"/>
        <n v="8035" u="1"/>
        <n v="13929" u="1"/>
        <n v="743" u="1"/>
        <n v="2910" u="1"/>
        <n v="7775" u="1"/>
        <n v="9375" u="1"/>
        <n v="13409" u="1"/>
        <n v="2780" u="1"/>
        <n v="5498" u="1"/>
        <n v="7515" u="1"/>
        <n v="8855" u="1"/>
        <n v="14906" u="1"/>
        <n v="2650" u="1"/>
        <n v="5238" u="1"/>
        <n v="7255" u="1"/>
        <n v="8335" u="1"/>
        <n v="14386" u="1"/>
        <n v="2520" u="1"/>
        <n v="4978" u="1"/>
        <n v="9832" u="1"/>
        <n v="13866" u="1"/>
        <n v="2390" u="1"/>
        <n v="4718" u="1"/>
        <n v="9312" u="1"/>
        <n v="24427" u="1"/>
        <n v="149" u="1"/>
        <n v="4458" u="1"/>
        <n v="8792" u="1"/>
        <n v="14843" u="1"/>
        <n v="548" u="1"/>
        <n v="8272" u="1"/>
        <n v="10289" u="1"/>
        <n v="14323" u="1"/>
        <n v="5955" u="1"/>
        <n v="7972" u="1"/>
        <n v="9769" u="1"/>
        <n v="5695" u="1"/>
        <n v="9249" u="1"/>
        <n v="1894" u="1"/>
        <n v="5435" u="1"/>
        <n v="8729" u="1"/>
        <n v="10746" u="1"/>
        <n v="14780" u="1"/>
        <n v="1829" u="1"/>
        <n v="5175" u="1"/>
        <n v="8209" u="1"/>
        <n v="10226" u="1"/>
        <n v="1764" u="1"/>
        <n v="3497" u="1"/>
        <n v="4915" u="1"/>
        <n v="9706" u="1"/>
        <n v="11723" u="1"/>
        <n v="1699" u="1"/>
        <n v="3367" u="1"/>
        <n v="6672" u="1"/>
        <n v="9186" u="1"/>
        <n v="11203" u="1"/>
        <n v="15237" u="1"/>
        <n v="106" u="1"/>
        <n v="1634" u="1"/>
        <n v="3237" u="1"/>
        <n v="6412" u="1"/>
        <n v="8666" u="1"/>
        <n v="10683" u="1"/>
        <n v="3107" u="1"/>
        <n v="6152" u="1"/>
        <n v="10163" u="1"/>
        <n v="12180" u="1"/>
        <n v="2977" u="1"/>
        <n v="5892" u="1"/>
        <n v="9643" u="1"/>
        <n v="11660" u="1"/>
        <n v="5632" u="1"/>
        <n v="11140" u="1"/>
        <n v="10620" u="1"/>
        <n v="12637" u="1"/>
        <n v="335" u="1"/>
        <n v="1309" u="1"/>
        <n v="7129" u="1"/>
        <n v="10100" u="1"/>
        <n v="12117" u="1"/>
        <n v="1244" u="1"/>
        <n v="6869" u="1"/>
        <n v="11597" u="1"/>
        <n v="1179" u="1"/>
        <n v="2327" u="1"/>
        <n v="6609" u="1"/>
        <n v="11077" u="1"/>
        <n v="13094" u="1"/>
        <n v="1114" u="1"/>
        <n v="2197" u="1"/>
        <n v="6349" u="1"/>
        <n v="10557" u="1"/>
        <n v="12574" u="1"/>
        <n v="1049" u="1"/>
        <n v="2067" u="1"/>
        <n v="4084" u="1"/>
        <n v="6089" u="1"/>
        <n v="12054" u="1"/>
        <n v="14071" u="1"/>
        <n v="3954" u="1"/>
        <n v="11534" u="1"/>
        <n v="13551" u="1"/>
        <n v="18786" u="1"/>
        <n v="3824" u="1"/>
        <n v="7586" u="1"/>
        <n v="11014" u="1"/>
        <n v="13031" u="1"/>
        <n v="3694" u="1"/>
        <n v="7326" u="1"/>
        <n v="12511" u="1"/>
        <n v="14528" u="1"/>
        <n v="3564" u="1"/>
        <n v="7066" u="1"/>
        <n v="11991" u="1"/>
        <n v="14008" u="1"/>
        <n v="4789" u="1"/>
        <n v="6806" u="1"/>
        <n v="13488" u="1"/>
        <n v="4529" u="1"/>
        <n v="12968" u="1"/>
        <n v="14985" u="1"/>
        <n v="809" u="1"/>
        <n v="4269" u="1"/>
        <n v="8414" u="1"/>
        <n v="12448" u="1"/>
        <n v="14465" u="1"/>
        <n v="8043" u="1"/>
        <n v="13945" u="1"/>
        <n v="744" u="1"/>
        <n v="2914" u="1"/>
        <n v="7783" u="1"/>
        <n v="13425" u="1"/>
        <n v="2784" u="1"/>
        <n v="7523" u="1"/>
        <n v="8871" u="1"/>
        <n v="12905" u="1"/>
        <n v="14922" u="1"/>
        <n v="2654" u="1"/>
        <n v="5246" u="1"/>
        <n v="7263" u="1"/>
        <n v="8351" u="1"/>
        <n v="14402" u="1"/>
        <n v="2524" u="1"/>
        <n v="4986" u="1"/>
        <n v="13882" u="1"/>
        <n v="23482" u="1"/>
        <n v="2394" u="1"/>
        <n v="4726" u="1"/>
        <n v="9328" u="1"/>
        <n v="13362" u="1"/>
        <n v="4466" u="1"/>
        <n v="8808" u="1"/>
        <n v="14859" u="1"/>
        <n v="549" u="1"/>
        <n v="4206" u="1"/>
        <n v="8288" u="1"/>
        <n v="10305" u="1"/>
        <n v="14339" u="1"/>
        <n v="5963" u="1"/>
        <n v="7980" u="1"/>
        <n v="9785" u="1"/>
        <n v="498" u="1"/>
        <n v="5703" u="1"/>
        <n v="9265" u="1"/>
        <n v="1896" u="1"/>
        <n v="5443" u="1"/>
        <n v="8745" u="1"/>
        <n v="10762" u="1"/>
        <n v="14796" u="1"/>
        <n v="1831" u="1"/>
        <n v="5183" u="1"/>
        <n v="8225" u="1"/>
        <n v="10242" u="1"/>
        <n v="1766" u="1"/>
        <n v="3501" u="1"/>
        <n v="4923" u="1"/>
        <n v="9722" u="1"/>
        <n v="1701" u="1"/>
        <n v="3371" u="1"/>
        <n v="9202" u="1"/>
        <n v="11219" u="1"/>
        <n v="1636" u="1"/>
        <n v="3241" u="1"/>
        <n v="6420" u="1"/>
        <n v="8682" u="1"/>
        <n v="10699" u="1"/>
        <n v="3111" u="1"/>
        <n v="6160" u="1"/>
        <n v="10179" u="1"/>
        <n v="98" u="1"/>
        <n v="2981" u="1"/>
        <n v="5900" u="1"/>
        <n v="9659" u="1"/>
        <n v="11676" u="1"/>
        <n v="15710" u="1"/>
        <n v="368" u="1"/>
        <n v="5640" u="1"/>
        <n v="9139" u="1"/>
        <n v="11156" u="1"/>
        <n v="5380" u="1"/>
        <n v="10636" u="1"/>
        <n v="12653" u="1"/>
        <n v="7137" u="1"/>
        <n v="10116" u="1"/>
        <n v="12133" u="1"/>
        <n v="1246" u="1"/>
        <n v="6877" u="1"/>
        <n v="11613" u="1"/>
        <n v="1181" u="1"/>
        <n v="2331" u="1"/>
        <n v="6617" u="1"/>
        <n v="11093" u="1"/>
        <n v="13110" u="1"/>
        <n v="1116" u="1"/>
        <n v="2201" u="1"/>
        <n v="6357" u="1"/>
        <n v="10573" u="1"/>
        <n v="12590" u="1"/>
        <n v="1051" u="1"/>
        <n v="2071" u="1"/>
        <n v="4088" u="1"/>
        <n v="6097" u="1"/>
        <n v="12070" u="1"/>
        <n v="3958" u="1"/>
        <n v="11550" u="1"/>
        <n v="13567" u="1"/>
        <n v="247" u="1"/>
        <n v="3828" u="1"/>
        <n v="7594" u="1"/>
        <n v="11030" u="1"/>
        <n v="13047" u="1"/>
        <n v="3698" u="1"/>
        <n v="7334" u="1"/>
        <n v="12527" u="1"/>
        <n v="7074" u="1"/>
        <n v="12007" u="1"/>
        <n v="14024" u="1"/>
        <n v="19732" u="1"/>
        <n v="6814" u="1"/>
        <n v="11487" u="1"/>
        <n v="13504" u="1"/>
        <n v="4537" u="1"/>
        <n v="6554" u="1"/>
        <n v="12984" u="1"/>
        <n v="15001" u="1"/>
        <n v="810" u="1"/>
        <n v="4277" u="1"/>
        <n v="8430" u="1"/>
        <n v="12464" u="1"/>
        <n v="14481" u="1"/>
        <n v="8051" u="1"/>
        <n v="13961" u="1"/>
        <n v="745" u="1"/>
        <n v="2918" u="1"/>
        <n v="7791" u="1"/>
        <n v="13441" u="1"/>
        <n v="2788" u="1"/>
        <n v="7531" u="1"/>
        <n v="8887" u="1"/>
        <n v="12921" u="1"/>
        <n v="14938" u="1"/>
        <n v="2658" u="1"/>
        <n v="5254" u="1"/>
        <n v="7271" u="1"/>
        <n v="8367" u="1"/>
        <n v="14418" u="1"/>
        <n v="2528" u="1"/>
        <n v="4994" u="1"/>
        <n v="13898" u="1"/>
        <n v="2398" u="1"/>
        <n v="4734" u="1"/>
        <n v="9344" u="1"/>
        <n v="13378" u="1"/>
        <n v="4474" u="1"/>
        <n v="8824" u="1"/>
        <n v="14875" u="1"/>
        <n v="550" u="1"/>
        <n v="4214" u="1"/>
        <n v="8304" u="1"/>
        <n v="14355" u="1"/>
        <n v="7988" u="1"/>
        <n v="9801" u="1"/>
        <n v="13835" u="1"/>
        <n v="5711" u="1"/>
        <n v="7728" u="1"/>
        <n v="9281" u="1"/>
        <n v="5451" u="1"/>
        <n v="8761" u="1"/>
        <n v="10778" u="1"/>
        <n v="14812" u="1"/>
        <n v="466" u="1"/>
        <n v="1833" u="1"/>
        <n v="5191" u="1"/>
        <n v="8241" u="1"/>
        <n v="10258" u="1"/>
        <n v="1768" u="1"/>
        <n v="3505" u="1"/>
        <n v="4931" u="1"/>
        <n v="9738" u="1"/>
        <n v="1703" u="1"/>
        <n v="3375" u="1"/>
        <n v="9218" u="1"/>
        <n v="11235" u="1"/>
        <n v="1638" u="1"/>
        <n v="3245" u="1"/>
        <n v="6428" u="1"/>
        <n v="8698" u="1"/>
        <n v="10715" u="1"/>
        <n v="3115" u="1"/>
        <n v="6168" u="1"/>
        <n v="10195" u="1"/>
        <n v="2985" u="1"/>
        <n v="5908" u="1"/>
        <n v="9675" u="1"/>
        <n v="11692" u="1"/>
        <n v="5648" u="1"/>
        <n v="9155" u="1"/>
        <n v="11172" u="1"/>
        <n v="5388" u="1"/>
        <n v="10652" u="1"/>
        <n v="336" u="1"/>
        <n v="10132" u="1"/>
        <n v="12149" u="1"/>
        <n v="1248" u="1"/>
        <n v="6885" u="1"/>
        <n v="9612" u="1"/>
        <n v="11629" u="1"/>
        <n v="1183" u="1"/>
        <n v="6625" u="1"/>
        <n v="11109" u="1"/>
        <n v="13126" u="1"/>
        <n v="1118" u="1"/>
        <n v="2205" u="1"/>
        <n v="6365" u="1"/>
        <n v="10589" u="1"/>
        <n v="12606" u="1"/>
        <n v="1053" u="1"/>
        <n v="2075" u="1"/>
        <n v="4092" u="1"/>
        <n v="6105" u="1"/>
        <n v="12086" u="1"/>
        <n v="1006" u="1"/>
        <n v="3962" u="1"/>
        <n v="11566" u="1"/>
        <n v="13583" u="1"/>
        <n v="3832" u="1"/>
        <n v="7602" u="1"/>
        <n v="11046" u="1"/>
        <n v="13063" u="1"/>
        <n v="3702" u="1"/>
        <n v="7342" u="1"/>
        <n v="12543" u="1"/>
        <n v="18787" u="1"/>
        <n v="231" u="1"/>
        <n v="3572" u="1"/>
        <n v="7082" u="1"/>
        <n v="12023" u="1"/>
        <n v="14040" u="1"/>
        <n v="6822" u="1"/>
        <n v="11503" u="1"/>
        <n v="13520" u="1"/>
        <n v="4545" u="1"/>
        <n v="6562" u="1"/>
        <n v="13000" u="1"/>
        <n v="811" u="1"/>
        <n v="4285" u="1"/>
        <n v="12480" u="1"/>
        <n v="14497" u="1"/>
        <n v="8059" u="1"/>
        <n v="11960" u="1"/>
        <n v="13977" u="1"/>
        <n v="746" u="1"/>
        <n v="7799" u="1"/>
        <n v="13457" u="1"/>
        <n v="2792" u="1"/>
        <n v="7539" u="1"/>
        <n v="8903" u="1"/>
        <n v="12937" u="1"/>
        <n v="14954" u="1"/>
        <n v="2662" u="1"/>
        <n v="5262" u="1"/>
        <n v="7279" u="1"/>
        <n v="8383" u="1"/>
        <n v="14434" u="1"/>
        <n v="166" u="1"/>
        <n v="2532" u="1"/>
        <n v="5002" u="1"/>
        <n v="13914" u="1"/>
        <n v="2402" u="1"/>
        <n v="4742" u="1"/>
        <n v="9360" u="1"/>
        <n v="13394" u="1"/>
        <n v="2272" u="1"/>
        <n v="4482" u="1"/>
        <n v="8840" u="1"/>
        <n v="14891" u="1"/>
        <n v="23483" u="1"/>
        <n v="4222" u="1"/>
        <n v="8320" u="1"/>
        <n v="14371" u="1"/>
        <n v="7996" u="1"/>
        <n v="9817" u="1"/>
        <n v="13851" u="1"/>
        <n v="499" u="1"/>
        <n v="5719" u="1"/>
        <n v="7736" u="1"/>
        <n v="9297" u="1"/>
        <n v="5459" u="1"/>
        <n v="8777" u="1"/>
        <n v="14828" u="1"/>
        <n v="1835" u="1"/>
        <n v="5199" u="1"/>
        <n v="8257" u="1"/>
        <n v="10274" u="1"/>
        <n v="14308" u="1"/>
        <n v="1770" u="1"/>
        <n v="4939" u="1"/>
        <n v="9754" u="1"/>
        <n v="1705" u="1"/>
        <n v="3379" u="1"/>
        <n v="4679" u="1"/>
        <n v="9234" u="1"/>
        <n v="11251" u="1"/>
        <n v="1640" u="1"/>
        <n v="3249" u="1"/>
        <n v="6436" u="1"/>
        <n v="8714" u="1"/>
        <n v="10731" u="1"/>
        <n v="1575" u="1"/>
        <n v="3119" u="1"/>
        <n v="6176" u="1"/>
        <n v="10211" u="1"/>
        <n v="2989" u="1"/>
        <n v="5916" u="1"/>
        <n v="9691" u="1"/>
        <n v="11708" u="1"/>
        <n v="369" u="1"/>
        <n v="2859" u="1"/>
        <n v="5656" u="1"/>
        <n v="9171" u="1"/>
        <n v="11188" u="1"/>
        <n v="5396" u="1"/>
        <n v="10668" u="1"/>
        <n v="10148" u="1"/>
        <n v="12165" u="1"/>
        <n v="1250" u="1"/>
        <n v="6893" u="1"/>
        <n v="9628" u="1"/>
        <n v="11645" u="1"/>
        <n v="304" u="1"/>
        <n v="1185" u="1"/>
        <n v="6633" u="1"/>
        <n v="11125" u="1"/>
        <n v="1120" u="1"/>
        <n v="2209" u="1"/>
        <n v="6373" u="1"/>
        <n v="10605" u="1"/>
        <n v="12622" u="1"/>
        <n v="1055" u="1"/>
        <n v="2079" u="1"/>
        <n v="6113" u="1"/>
        <n v="10085" u="1"/>
        <n v="12102" u="1"/>
        <n v="1007" u="1"/>
        <n v="3966" u="1"/>
        <n v="5853" u="1"/>
        <n v="11582" u="1"/>
        <n v="13599" u="1"/>
        <n v="3836" u="1"/>
        <n v="7610" u="1"/>
        <n v="11062" u="1"/>
        <n v="13079" u="1"/>
        <n v="3706" u="1"/>
        <n v="7350" u="1"/>
        <n v="12559" u="1"/>
        <n v="3576" u="1"/>
        <n v="7090" u="1"/>
        <n v="12039" u="1"/>
        <n v="14056" u="1"/>
        <n v="3446" u="1"/>
        <n v="6830" u="1"/>
        <n v="11519" u="1"/>
        <n v="13536" u="1"/>
        <n v="215" u="1"/>
        <n v="4553" u="1"/>
        <n v="6570" u="1"/>
        <n v="13016" u="1"/>
        <n v="812" u="1"/>
        <n v="4293" u="1"/>
        <n v="12496" u="1"/>
        <n v="14513" u="1"/>
        <n v="8067" u="1"/>
        <n v="11976" u="1"/>
        <n v="13993" u="1"/>
        <n v="747" u="1"/>
        <n v="7807" u="1"/>
        <n v="13473" u="1"/>
        <n v="2796" u="1"/>
        <n v="7547" u="1"/>
        <n v="12953" u="1"/>
        <n v="14970" u="1"/>
        <n v="2666" u="1"/>
        <n v="7287" u="1"/>
        <n v="8399" u="1"/>
        <n v="12433" u="1"/>
        <n v="14450" u="1"/>
        <n v="2536" u="1"/>
        <n v="5010" u="1"/>
        <n v="7027" u="1"/>
        <n v="13930" u="1"/>
        <n v="2406" u="1"/>
        <n v="4750" u="1"/>
        <n v="9376" u="1"/>
        <n v="13410" u="1"/>
        <n v="150" u="1"/>
        <n v="2276" u="1"/>
        <n v="4490" u="1"/>
        <n v="8856" u="1"/>
        <n v="12890" u="1"/>
        <n v="14907" u="1"/>
        <n v="4230" u="1"/>
        <n v="8336" u="1"/>
        <n v="14387" u="1"/>
        <n v="4033" u="1"/>
        <n v="8004" u="1"/>
        <n v="9833" u="1"/>
        <n v="13867" u="1"/>
        <n v="5727" u="1"/>
        <n v="7744" u="1"/>
        <n v="9313" u="1"/>
        <n v="5467" u="1"/>
        <n v="8793" u="1"/>
        <n v="14844" u="1"/>
        <n v="467" u="1"/>
        <n v="1837" u="1"/>
        <n v="5207" u="1"/>
        <n v="8273" u="1"/>
        <n v="10290" u="1"/>
        <n v="14324" u="1"/>
        <n v="1772" u="1"/>
        <n v="4947" u="1"/>
        <n v="9770" u="1"/>
        <n v="1707" u="1"/>
        <n v="3383" u="1"/>
        <n v="4687" u="1"/>
        <n v="9250" u="1"/>
        <n v="1642" u="1"/>
        <n v="3253" u="1"/>
        <n v="8730" u="1"/>
        <n v="10747" u="1"/>
        <n v="14781" u="1"/>
        <n v="1577" u="1"/>
        <n v="3123" u="1"/>
        <n v="6184" u="1"/>
        <n v="8210" u="1"/>
        <n v="10227" u="1"/>
        <n v="2993" u="1"/>
        <n v="5924" u="1"/>
        <n v="9707" u="1"/>
        <n v="11724" u="1"/>
        <n v="2863" u="1"/>
        <n v="5664" u="1"/>
        <n v="9187" u="1"/>
        <n v="11204" u="1"/>
        <n v="15238" u="1"/>
        <n v="5404" u="1"/>
        <n v="8667" u="1"/>
        <n v="10684" u="1"/>
        <n v="337" u="1"/>
        <n v="5144" u="1"/>
        <n v="10164" u="1"/>
        <n v="12181" u="1"/>
        <n v="6901" u="1"/>
        <n v="9644" u="1"/>
        <n v="11661" u="1"/>
        <n v="1187" u="1"/>
        <n v="6641" u="1"/>
        <n v="11141" u="1"/>
        <n v="1122" u="1"/>
        <n v="2213" u="1"/>
        <n v="6381" u="1"/>
        <n v="10621" u="1"/>
        <n v="12638" u="1"/>
        <n v="1057" u="1"/>
        <n v="2083" u="1"/>
        <n v="6121" u="1"/>
        <n v="10101" u="1"/>
        <n v="12118" u="1"/>
        <n v="1008" u="1"/>
        <n v="3970" u="1"/>
        <n v="5861" u="1"/>
        <n v="11598" u="1"/>
        <n v="3840" u="1"/>
        <n v="11078" u="1"/>
        <n v="13095" u="1"/>
        <n v="3710" u="1"/>
        <n v="7358" u="1"/>
        <n v="10558" u="1"/>
        <n v="12575" u="1"/>
        <n v="3580" u="1"/>
        <n v="7098" u="1"/>
        <n v="12055" u="1"/>
        <n v="14072" u="1"/>
        <n v="3450" u="1"/>
        <n v="6838" u="1"/>
        <n v="11535" u="1"/>
        <n v="13552" u="1"/>
        <n v="18788" u="1"/>
        <n v="6578" u="1"/>
        <n v="11015" u="1"/>
        <n v="13032" u="1"/>
        <n v="813" u="1"/>
        <n v="4301" u="1"/>
        <n v="6318" u="1"/>
        <n v="12512" u="1"/>
        <n v="14529" u="1"/>
        <n v="8075" u="1"/>
        <n v="11992" u="1"/>
        <n v="14009" u="1"/>
        <n v="748" u="1"/>
        <n v="7815" u="1"/>
        <n v="13489" u="1"/>
        <n v="2800" u="1"/>
        <n v="7555" u="1"/>
        <n v="12969" u="1"/>
        <n v="14986" u="1"/>
        <n v="683" u="1"/>
        <n v="2670" u="1"/>
        <n v="8415" u="1"/>
        <n v="12449" u="1"/>
        <n v="14466" u="1"/>
        <n v="2540" u="1"/>
        <n v="5018" u="1"/>
        <n v="7035" u="1"/>
        <n v="13946" u="1"/>
        <n v="2410" u="1"/>
        <n v="4758" u="1"/>
        <n v="13426" u="1"/>
        <n v="2280" u="1"/>
        <n v="4498" u="1"/>
        <n v="8872" u="1"/>
        <n v="12906" u="1"/>
        <n v="14923" u="1"/>
        <n v="4238" u="1"/>
        <n v="8352" u="1"/>
        <n v="14403" u="1"/>
        <n v="134" u="1"/>
        <n v="4037" u="1"/>
        <n v="8012" u="1"/>
        <n v="13883" u="1"/>
        <n v="23484" u="1"/>
        <n v="500" u="1"/>
        <n v="7752" u="1"/>
        <n v="9329" u="1"/>
        <n v="13363" u="1"/>
        <n v="5475" u="1"/>
        <n v="7492" u="1"/>
        <n v="8809" u="1"/>
        <n v="14860" u="1"/>
        <n v="5215" u="1"/>
        <n v="8289" u="1"/>
        <n v="10306" u="1"/>
        <n v="14340" u="1"/>
        <n v="1774" u="1"/>
        <n v="4955" u="1"/>
        <n v="9786" u="1"/>
        <n v="1709" u="1"/>
        <n v="3387" u="1"/>
        <n v="4695" u="1"/>
        <n v="9266" u="1"/>
        <n v="1644" u="1"/>
        <n v="3257" u="1"/>
        <n v="8746" u="1"/>
        <n v="10763" u="1"/>
        <n v="14797" u="1"/>
        <n v="1579" u="1"/>
        <n v="3127" u="1"/>
        <n v="6192" u="1"/>
        <n v="8226" u="1"/>
        <n v="10243" u="1"/>
        <n v="2997" u="1"/>
        <n v="5932" u="1"/>
        <n v="9723" u="1"/>
        <n v="370" u="1"/>
        <n v="2867" u="1"/>
        <n v="5672" u="1"/>
        <n v="9203" u="1"/>
        <n v="11220" u="1"/>
        <n v="5412" u="1"/>
        <n v="8683" u="1"/>
        <n v="10700" u="1"/>
        <n v="5152" u="1"/>
        <n v="10180" u="1"/>
        <n v="9660" u="1"/>
        <n v="11677" u="1"/>
        <n v="305" u="1"/>
        <n v="1189" u="1"/>
        <n v="6649" u="1"/>
        <n v="9140" u="1"/>
        <n v="11157" u="1"/>
        <n v="1124" u="1"/>
        <n v="6389" u="1"/>
        <n v="10637" u="1"/>
        <n v="12654" u="1"/>
        <n v="1059" u="1"/>
        <n v="2087" u="1"/>
        <n v="6129" u="1"/>
        <n v="10117" u="1"/>
        <n v="12134" u="1"/>
        <n v="1009" u="1"/>
        <n v="3974" u="1"/>
        <n v="5869" u="1"/>
        <n v="11614" u="1"/>
        <n v="3844" u="1"/>
        <n v="11094" u="1"/>
        <n v="13111" u="1"/>
        <n v="3714" u="1"/>
        <n v="7366" u="1"/>
        <n v="10574" u="1"/>
        <n v="12591" u="1"/>
        <n v="3584" u="1"/>
        <n v="7106" u="1"/>
        <n v="12071" u="1"/>
        <n v="3454" u="1"/>
        <n v="6846" u="1"/>
        <n v="11551" u="1"/>
        <n v="13568" u="1"/>
        <n v="6586" u="1"/>
        <n v="11031" u="1"/>
        <n v="13048" u="1"/>
        <n v="814" u="1"/>
        <n v="4309" u="1"/>
        <n v="6326" u="1"/>
        <n v="12528" u="1"/>
        <n v="12008" u="1"/>
        <n v="14025" u="1"/>
        <n v="749" u="1"/>
        <n v="7823" u="1"/>
        <n v="11488" u="1"/>
        <n v="13505" u="1"/>
        <n v="7563" u="1"/>
        <n v="12985" u="1"/>
        <n v="15002" u="1"/>
        <n v="684" u="1"/>
        <n v="2674" u="1"/>
        <n v="7303" u="1"/>
        <n v="8431" u="1"/>
        <n v="12465" u="1"/>
        <n v="14482" u="1"/>
        <n v="2544" u="1"/>
        <n v="5026" u="1"/>
        <n v="7043" u="1"/>
        <n v="13962" u="1"/>
        <n v="2414" u="1"/>
        <n v="4766" u="1"/>
        <n v="13442" u="1"/>
        <n v="2284" u="1"/>
        <n v="4506" u="1"/>
        <n v="8888" u="1"/>
        <n v="12922" u="1"/>
        <n v="14939" u="1"/>
        <n v="4246" u="1"/>
        <n v="8368" u="1"/>
        <n v="14419" u="1"/>
        <n v="4041" u="1"/>
        <n v="8020" u="1"/>
        <n v="13899" u="1"/>
        <n v="7760" u="1"/>
        <n v="9345" u="1"/>
        <n v="13379" u="1"/>
        <n v="5483" u="1"/>
        <n v="7500" u="1"/>
        <n v="8825" u="1"/>
        <n v="14876" u="1"/>
        <n v="468" u="1"/>
        <n v="5223" u="1"/>
        <n v="8305" u="1"/>
        <n v="14356" u="1"/>
        <n v="1776" u="1"/>
        <n v="4963" u="1"/>
        <n v="9802" u="1"/>
        <n v="13836" u="1"/>
        <n v="1711" u="1"/>
        <n v="4703" u="1"/>
        <n v="9282" u="1"/>
        <n v="1646" u="1"/>
        <n v="3261" u="1"/>
        <n v="4443" u="1"/>
        <n v="8762" u="1"/>
        <n v="10779" u="1"/>
        <n v="14813" u="1"/>
        <n v="1581" u="1"/>
        <n v="3131" u="1"/>
        <n v="6200" u="1"/>
        <n v="8242" u="1"/>
        <n v="10259" u="1"/>
        <n v="1516" u="1"/>
        <n v="3001" u="1"/>
        <n v="5940" u="1"/>
        <n v="9739" u="1"/>
        <n v="2871" u="1"/>
        <n v="5680" u="1"/>
        <n v="9219" u="1"/>
        <n v="11236" u="1"/>
        <n v="5420" u="1"/>
        <n v="8699" u="1"/>
        <n v="10716" u="1"/>
        <n v="338" u="1"/>
        <n v="5160" u="1"/>
        <n v="10196" u="1"/>
        <n v="9676" u="1"/>
        <n v="11693" u="1"/>
        <n v="1191" u="1"/>
        <n v="6657" u="1"/>
        <n v="9156" u="1"/>
        <n v="11173" u="1"/>
        <n v="1126" u="1"/>
        <n v="6397" u="1"/>
        <n v="10653" u="1"/>
        <n v="1061" u="1"/>
        <n v="2091" u="1"/>
        <n v="6137" u="1"/>
        <n v="10133" u="1"/>
        <n v="12150" u="1"/>
        <n v="1010" u="1"/>
        <n v="5877" u="1"/>
        <n v="9613" u="1"/>
        <n v="11630" u="1"/>
        <n v="3848" u="1"/>
        <n v="5617" u="1"/>
        <n v="11110" u="1"/>
        <n v="13127" u="1"/>
        <n v="3718" u="1"/>
        <n v="7374" u="1"/>
        <n v="10590" u="1"/>
        <n v="12607" u="1"/>
        <n v="232" u="1"/>
        <n v="3588" u="1"/>
        <n v="7114" u="1"/>
        <n v="12087" u="1"/>
        <n v="3458" u="1"/>
        <n v="6854" u="1"/>
        <n v="11567" u="1"/>
        <n v="13584" u="1"/>
        <n v="3328" u="1"/>
        <n v="6594" u="1"/>
        <n v="11047" u="1"/>
        <n v="13064" u="1"/>
        <n v="4317" u="1"/>
        <n v="6334" u="1"/>
        <n v="12544" u="1"/>
        <n v="18789" u="1"/>
        <n v="12024" u="1"/>
        <n v="14041" u="1"/>
        <n v="750" u="1"/>
        <n v="7831" u="1"/>
        <n v="11504" u="1"/>
        <n v="13521" u="1"/>
        <n v="7571" u="1"/>
        <n v="13001" u="1"/>
        <n v="685" u="1"/>
        <n v="2678" u="1"/>
        <n v="7311" u="1"/>
        <n v="12481" u="1"/>
        <n v="14498" u="1"/>
        <n v="2548" u="1"/>
        <n v="7051" u="1"/>
        <n v="11961" u="1"/>
        <n v="13978" u="1"/>
        <n v="2418" u="1"/>
        <n v="4774" u="1"/>
        <n v="6791" u="1"/>
        <n v="13458" u="1"/>
        <n v="2288" u="1"/>
        <n v="4514" u="1"/>
        <n v="8904" u="1"/>
        <n v="12938" u="1"/>
        <n v="14955" u="1"/>
        <n v="2158" u="1"/>
        <n v="4254" u="1"/>
        <n v="8384" u="1"/>
        <n v="14435" u="1"/>
        <n v="4045" u="1"/>
        <n v="8028" u="1"/>
        <n v="13915" u="1"/>
        <n v="501" u="1"/>
        <n v="3915" u="1"/>
        <n v="7768" u="1"/>
        <n v="9361" u="1"/>
        <n v="13395" u="1"/>
        <n v="5491" u="1"/>
        <n v="7508" u="1"/>
        <n v="8841" u="1"/>
        <n v="14892" u="1"/>
        <n v="23485" u="1"/>
        <n v="5231" u="1"/>
        <n v="8321" u="1"/>
        <n v="14372" u="1"/>
        <n v="1778" u="1"/>
        <n v="4971" u="1"/>
        <n v="9818" u="1"/>
        <n v="13852" u="1"/>
        <n v="436" u="1"/>
        <n v="1713" u="1"/>
        <n v="4711" u="1"/>
        <n v="9298" u="1"/>
        <n v="1648" u="1"/>
        <n v="3265" u="1"/>
        <n v="4451" u="1"/>
        <n v="8778" u="1"/>
        <n v="14829" u="1"/>
        <n v="1583" u="1"/>
        <n v="3135" u="1"/>
        <n v="8258" u="1"/>
        <n v="10275" u="1"/>
        <n v="14309" u="1"/>
        <n v="1518" u="1"/>
        <n v="3005" u="1"/>
        <n v="5948" u="1"/>
        <n v="7965" u="1"/>
        <n v="9755" u="1"/>
        <n v="2875" u="1"/>
        <n v="5688" u="1"/>
        <n v="9235" u="1"/>
        <n v="11252" u="1"/>
        <n v="2745" u="1"/>
        <n v="5428" u="1"/>
        <n v="8715" u="1"/>
        <n v="10732" u="1"/>
        <n v="5168" u="1"/>
        <n v="8195" u="1"/>
        <n v="10212" u="1"/>
        <n v="4908" u="1"/>
        <n v="9692" u="1"/>
        <n v="11709" u="1"/>
        <n v="306" u="1"/>
        <n v="6665" u="1"/>
        <n v="9172" u="1"/>
        <n v="11189" u="1"/>
        <n v="1128" u="1"/>
        <n v="6405" u="1"/>
        <n v="10669" u="1"/>
        <n v="1063" u="1"/>
        <n v="2095" u="1"/>
        <n v="6145" u="1"/>
        <n v="10149" u="1"/>
        <n v="12166" u="1"/>
        <n v="1011" u="1"/>
        <n v="5885" u="1"/>
        <n v="9629" u="1"/>
        <n v="11646" u="1"/>
        <n v="3852" u="1"/>
        <n v="5625" u="1"/>
        <n v="3722" u="1"/>
        <n v="10606" u="1"/>
        <n v="12623" u="1"/>
        <n v="3592" u="1"/>
        <n v="7122" u="1"/>
        <n v="10086" u="1"/>
        <n v="12103" u="1"/>
        <n v="3462" u="1"/>
        <n v="6862" u="1"/>
        <n v="11583" u="1"/>
        <n v="13600" u="1"/>
        <n v="216" u="1"/>
        <n v="3332" u="1"/>
        <n v="6602" u="1"/>
        <n v="11063" u="1"/>
        <n v="13080" u="1"/>
        <n v="4325" u="1"/>
        <n v="6342" u="1"/>
        <n v="10543" u="1"/>
        <n v="12560" u="1"/>
        <n v="6082" u="1"/>
        <n v="12040" u="1"/>
        <n v="14057" u="1"/>
        <n v="751" u="1"/>
        <n v="7839" u="1"/>
        <n v="11520" u="1"/>
        <n v="13537" u="1"/>
        <n v="7579" u="1"/>
        <n v="686" u="1"/>
        <n v="2682" u="1"/>
        <n v="7319" u="1"/>
        <n v="12497" u="1"/>
        <n v="14514" u="1"/>
        <n v="2552" u="1"/>
        <n v="7059" u="1"/>
        <n v="11977" u="1"/>
        <n v="13994" u="1"/>
        <n v="2422" u="1"/>
        <n v="4782" u="1"/>
        <n v="6799" u="1"/>
        <n v="13474" u="1"/>
        <n v="151" u="1"/>
        <n v="2292" u="1"/>
        <n v="4522" u="1"/>
        <n v="12954" u="1"/>
        <n v="14971" u="1"/>
        <n v="2162" u="1"/>
        <n v="4262" u="1"/>
        <n v="8400" u="1"/>
        <n v="12434" u="1"/>
        <n v="14451" u="1"/>
        <n v="4049" u="1"/>
        <n v="8036" u="1"/>
        <n v="13931" u="1"/>
        <n v="3919" u="1"/>
        <n v="7776" u="1"/>
        <n v="9377" u="1"/>
        <n v="13411" u="1"/>
        <n v="22540" u="1"/>
        <n v="7516" u="1"/>
        <n v="8857" u="1"/>
        <n v="12891" u="1"/>
        <n v="14908" u="1"/>
        <n v="469" u="1"/>
        <n v="5239" u="1"/>
        <n v="7256" u="1"/>
        <n v="8337" u="1"/>
        <n v="14388" u="1"/>
        <n v="4979" u="1"/>
        <n v="9834" u="1"/>
        <n v="13868" u="1"/>
        <n v="1715" u="1"/>
        <n v="4719" u="1"/>
        <n v="9314" u="1"/>
        <n v="1650" u="1"/>
        <n v="3269" u="1"/>
        <n v="4459" u="1"/>
        <n v="8794" u="1"/>
        <n v="14845" u="1"/>
        <n v="1585" u="1"/>
        <n v="3139" u="1"/>
        <n v="8274" u="1"/>
        <n v="10291" u="1"/>
        <n v="14325" u="1"/>
        <n v="1520" u="1"/>
        <n v="3009" u="1"/>
        <n v="5956" u="1"/>
        <n v="7973" u="1"/>
        <n v="9771" u="1"/>
        <n v="2879" u="1"/>
        <n v="5696" u="1"/>
        <n v="9251" u="1"/>
        <n v="2749" u="1"/>
        <n v="5436" u="1"/>
        <n v="8731" u="1"/>
        <n v="10748" u="1"/>
        <n v="14782" u="1"/>
        <n v="339" u="1"/>
        <n v="5176" u="1"/>
        <n v="8211" u="1"/>
        <n v="10228" u="1"/>
        <n v="4916" u="1"/>
        <n v="9708" u="1"/>
        <n v="11725" u="1"/>
        <n v="9188" u="1"/>
        <n v="11205" u="1"/>
        <n v="15239" u="1"/>
        <n v="1130" u="1"/>
        <n v="6413" u="1"/>
        <n v="8668" u="1"/>
        <n v="10685" u="1"/>
        <n v="1065" u="1"/>
        <n v="6153" u="1"/>
        <n v="10165" u="1"/>
        <n v="12182" u="1"/>
        <n v="1012" u="1"/>
        <n v="5893" u="1"/>
        <n v="9645" u="1"/>
        <n v="11662" u="1"/>
        <n v="3856" u="1"/>
        <n v="5633" u="1"/>
        <n v="11142" u="1"/>
        <n v="947" u="1"/>
        <n v="3726" u="1"/>
        <n v="10622" u="1"/>
        <n v="12639" u="1"/>
        <n v="3596" u="1"/>
        <n v="7130" u="1"/>
        <n v="10102" u="1"/>
        <n v="12119" u="1"/>
        <n v="3466" u="1"/>
        <n v="6870" u="1"/>
        <n v="11599" u="1"/>
        <n v="3336" u="1"/>
        <n v="6610" u="1"/>
        <n v="11079" u="1"/>
        <n v="13096" u="1"/>
        <n v="6350" u="1"/>
        <n v="10559" u="1"/>
        <n v="12576" u="1"/>
        <n v="200" u="1"/>
        <n v="6090" u="1"/>
        <n v="12056" u="1"/>
        <n v="752" u="1"/>
        <n v="11536" u="1"/>
        <n v="13553" u="1"/>
        <n v="18790" u="1"/>
        <n v="7587" u="1"/>
        <n v="11016" u="1"/>
        <n v="13033" u="1"/>
        <n v="687" u="1"/>
        <n v="7327" u="1"/>
        <n v="12513" u="1"/>
        <n v="14530" u="1"/>
        <n v="2556" u="1"/>
        <n v="7067" u="1"/>
        <n v="11993" u="1"/>
        <n v="14010" u="1"/>
        <n v="2426" u="1"/>
        <n v="4790" u="1"/>
        <n v="6807" u="1"/>
        <n v="13490" u="1"/>
        <n v="2296" u="1"/>
        <n v="4530" u="1"/>
        <n v="12970" u="1"/>
        <n v="14987" u="1"/>
        <n v="2166" u="1"/>
        <n v="4270" u="1"/>
        <n v="8416" u="1"/>
        <n v="12450" u="1"/>
        <n v="14467" u="1"/>
        <n v="135" u="1"/>
        <n v="4053" u="1"/>
        <n v="8044" u="1"/>
        <n v="13947" u="1"/>
        <n v="502" u="1"/>
        <n v="3923" u="1"/>
        <n v="7784" u="1"/>
        <n v="13427" u="1"/>
        <n v="7524" u="1"/>
        <n v="8873" u="1"/>
        <n v="12907" u="1"/>
        <n v="14924" u="1"/>
        <n v="5247" u="1"/>
        <n v="7264" u="1"/>
        <n v="8353" u="1"/>
        <n v="14404" u="1"/>
        <n v="4987" u="1"/>
        <n v="13884" u="1"/>
        <n v="23486" u="1"/>
        <n v="437" u="1"/>
        <n v="1717" u="1"/>
        <n v="4727" u="1"/>
        <n v="9330" u="1"/>
        <n v="13364" u="1"/>
        <n v="1652" u="1"/>
        <n v="4467" u="1"/>
        <n v="8810" u="1"/>
        <n v="14861" u="1"/>
        <n v="1587" u="1"/>
        <n v="3143" u="1"/>
        <n v="4207" u="1"/>
        <n v="8290" u="1"/>
        <n v="10307" u="1"/>
        <n v="14341" u="1"/>
        <n v="99" u="1"/>
        <n v="1522" u="1"/>
        <n v="3013" u="1"/>
        <n v="5964" u="1"/>
        <n v="7981" u="1"/>
        <n v="9787" u="1"/>
        <n v="1457" u="1"/>
        <n v="2883" u="1"/>
        <n v="5704" u="1"/>
        <n v="9267" u="1"/>
        <n v="2753" u="1"/>
        <n v="5444" u="1"/>
        <n v="8747" u="1"/>
        <n v="10764" u="1"/>
        <n v="14798" u="1"/>
        <n v="5184" u="1"/>
        <n v="8227" u="1"/>
        <n v="10244" u="1"/>
        <n v="4924" u="1"/>
        <n v="9724" u="1"/>
        <n v="307" u="1"/>
        <n v="9204" u="1"/>
        <n v="11221" u="1"/>
        <n v="1132" u="1"/>
        <n v="6421" u="1"/>
        <n v="8684" u="1"/>
        <n v="10701" u="1"/>
        <n v="1067" u="1"/>
        <n v="6161" u="1"/>
        <n v="10181" u="1"/>
        <n v="1013" u="1"/>
        <n v="5901" u="1"/>
        <n v="9661" u="1"/>
        <n v="11678" u="1"/>
        <n v="5641" u="1"/>
        <n v="9141" u="1"/>
        <n v="11158" u="1"/>
        <n v="948" u="1"/>
        <n v="3730" u="1"/>
        <n v="5381" u="1"/>
        <n v="10638" u="1"/>
        <n v="12655" u="1"/>
        <n v="3600" u="1"/>
        <n v="7138" u="1"/>
        <n v="10118" u="1"/>
        <n v="12135" u="1"/>
        <n v="3470" u="1"/>
        <n v="6878" u="1"/>
        <n v="11615" u="1"/>
        <n v="3340" u="1"/>
        <n v="6618" u="1"/>
        <n v="11095" u="1"/>
        <n v="13112" u="1"/>
        <n v="6358" u="1"/>
        <n v="10575" u="1"/>
        <n v="12592" u="1"/>
        <n v="6098" u="1"/>
        <n v="12072" u="1"/>
        <n v="753" u="1"/>
        <n v="11552" u="1"/>
        <n v="13569" u="1"/>
        <n v="7595" u="1"/>
        <n v="11032" u="1"/>
        <n v="13049" u="1"/>
        <n v="688" u="1"/>
        <n v="7335" u="1"/>
        <n v="12529" u="1"/>
        <n v="2560" u="1"/>
        <n v="7075" u="1"/>
        <n v="12009" u="1"/>
        <n v="14026" u="1"/>
        <n v="2430" u="1"/>
        <n v="6815" u="1"/>
        <n v="11489" u="1"/>
        <n v="13506" u="1"/>
        <n v="2300" u="1"/>
        <n v="4538" u="1"/>
        <n v="6555" u="1"/>
        <n v="12986" u="1"/>
        <n v="15003" u="1"/>
        <n v="2170" u="1"/>
        <n v="4278" u="1"/>
        <n v="8432" u="1"/>
        <n v="12466" u="1"/>
        <n v="14483" u="1"/>
        <n v="2044" u="1"/>
        <n v="4057" u="1"/>
        <n v="8052" u="1"/>
        <n v="13963" u="1"/>
        <n v="3927" u="1"/>
        <n v="7792" u="1"/>
        <n v="13443" u="1"/>
        <n v="7532" u="1"/>
        <n v="8889" u="1"/>
        <n v="12923" u="1"/>
        <n v="14940" u="1"/>
        <n v="470" u="1"/>
        <n v="5255" u="1"/>
        <n v="7272" u="1"/>
        <n v="8369" u="1"/>
        <n v="14420" u="1"/>
        <n v="22541" u="1"/>
        <n v="4995" u="1"/>
        <n v="13900" u="1"/>
        <n v="1719" u="1"/>
        <n v="4735" u="1"/>
        <n v="9346" u="1"/>
        <n v="13380" u="1"/>
        <n v="1654" u="1"/>
        <n v="4475" u="1"/>
        <n v="8826" u="1"/>
        <n v="14877" u="1"/>
        <n v="1589" u="1"/>
        <n v="3147" u="1"/>
        <n v="4215" u="1"/>
        <n v="8306" u="1"/>
        <n v="14357" u="1"/>
        <n v="1524" u="1"/>
        <n v="3017" u="1"/>
        <n v="7989" u="1"/>
        <n v="9803" u="1"/>
        <n v="13837" u="1"/>
        <n v="1459" u="1"/>
        <n v="2887" u="1"/>
        <n v="5712" u="1"/>
        <n v="7729" u="1"/>
        <n v="9283" u="1"/>
        <n v="91" u="1"/>
        <n v="2757" u="1"/>
        <n v="5452" u="1"/>
        <n v="8763" u="1"/>
        <n v="10780" u="1"/>
        <n v="14814" u="1"/>
        <n v="340" u="1"/>
        <n v="2627" u="1"/>
        <n v="5192" u="1"/>
        <n v="8243" u="1"/>
        <n v="10260" u="1"/>
        <n v="4932" u="1"/>
        <n v="9740" u="1"/>
        <n v="9220" u="1"/>
        <n v="11237" u="1"/>
        <n v="1134" u="1"/>
        <n v="6429" u="1"/>
        <n v="8700" u="1"/>
        <n v="10717" u="1"/>
        <n v="275" u="1"/>
        <n v="1069" u="1"/>
        <n v="6169" u="1"/>
        <n v="10197" u="1"/>
        <n v="1014" u="1"/>
        <n v="5909" u="1"/>
        <n v="9677" u="1"/>
        <n v="11694" u="1"/>
        <n v="5649" u="1"/>
        <n v="9157" u="1"/>
        <n v="11174" u="1"/>
        <n v="949" u="1"/>
        <n v="3734" u="1"/>
        <n v="5389" u="1"/>
        <n v="10654" u="1"/>
        <n v="3604" u="1"/>
        <n v="10134" u="1"/>
        <n v="12151" u="1"/>
        <n v="3474" u="1"/>
        <n v="6886" u="1"/>
        <n v="9614" u="1"/>
        <n v="11631" u="1"/>
        <n v="3344" u="1"/>
        <n v="6626" u="1"/>
        <n v="11111" u="1"/>
        <n v="13128" u="1"/>
        <n v="3214" u="1"/>
        <n v="6366" u="1"/>
        <n v="10591" u="1"/>
        <n v="12608" u="1"/>
        <n v="6106" u="1"/>
        <n v="12088" u="1"/>
        <n v="754" u="1"/>
        <n v="11568" u="1"/>
        <n v="13585" u="1"/>
        <n v="7603" u="1"/>
        <n v="11048" u="1"/>
        <n v="13065" u="1"/>
        <n v="689" u="1"/>
        <n v="7343" u="1"/>
        <n v="12545" u="1"/>
        <n v="18791" u="1"/>
        <n v="2564" u="1"/>
        <n v="7083" u="1"/>
        <n v="12025" u="1"/>
        <n v="14042" u="1"/>
        <n v="624" u="1"/>
        <n v="2434" u="1"/>
        <n v="6823" u="1"/>
        <n v="11505" u="1"/>
        <n v="13522" u="1"/>
        <n v="2304" u="1"/>
        <n v="4546" u="1"/>
        <n v="6563" u="1"/>
        <n v="13002" u="1"/>
        <n v="2174" u="1"/>
        <n v="4286" u="1"/>
        <n v="12482" u="1"/>
        <n v="14499" u="1"/>
        <n v="2046" u="1"/>
        <n v="4061" u="1"/>
        <n v="8060" u="1"/>
        <n v="11962" u="1"/>
        <n v="13979" u="1"/>
        <n v="3931" u="1"/>
        <n v="7800" u="1"/>
        <n v="13459" u="1"/>
        <n v="3801" u="1"/>
        <n v="7540" u="1"/>
        <n v="8905" u="1"/>
        <n v="12939" u="1"/>
        <n v="14956" u="1"/>
        <n v="5263" u="1"/>
        <n v="7280" u="1"/>
        <n v="8385" u="1"/>
        <n v="14436" u="1"/>
        <n v="5003" u="1"/>
        <n v="7020" u="1"/>
        <n v="13916" u="1"/>
        <n v="438" u="1"/>
        <n v="4743" u="1"/>
        <n v="9362" u="1"/>
        <n v="13396" u="1"/>
        <n v="1656" u="1"/>
        <n v="4483" u="1"/>
        <n v="8842" u="1"/>
        <n v="14893" u="1"/>
        <n v="23487" u="1"/>
        <n v="1591" u="1"/>
        <n v="3151" u="1"/>
        <n v="4223" u="1"/>
        <n v="8322" u="1"/>
        <n v="14373" u="1"/>
        <n v="1526" u="1"/>
        <n v="3021" u="1"/>
        <n v="7997" u="1"/>
        <n v="9819" u="1"/>
        <n v="13853" u="1"/>
        <n v="1461" u="1"/>
        <n v="2891" u="1"/>
        <n v="5720" u="1"/>
        <n v="7737" u="1"/>
        <n v="9299" u="1"/>
        <n v="2761" u="1"/>
        <n v="5460" u="1"/>
        <n v="8779" u="1"/>
        <n v="14830" u="1"/>
        <n v="2631" u="1"/>
        <n v="5200" u="1"/>
        <n v="8259" u="1"/>
        <n v="10276" u="1"/>
        <n v="14310" u="1"/>
        <n v="83" u="1"/>
        <n v="4940" u="1"/>
        <n v="9756" u="1"/>
        <n v="308" u="1"/>
        <n v="4680" u="1"/>
        <n v="9236" u="1"/>
        <n v="11253" u="1"/>
        <n v="6437" u="1"/>
        <n v="8716" u="1"/>
        <n v="10733" u="1"/>
        <n v="1071" u="1"/>
        <n v="6177" u="1"/>
        <n v="8196" u="1"/>
        <n v="10213" u="1"/>
        <n v="1015" u="1"/>
        <n v="5917" u="1"/>
        <n v="9693" u="1"/>
        <n v="11710" u="1"/>
        <n v="5657" u="1"/>
        <n v="9173" u="1"/>
        <n v="11190" u="1"/>
        <n v="950" u="1"/>
        <n v="3738" u="1"/>
        <n v="5397" u="1"/>
        <n v="10670" u="1"/>
        <n v="3608" u="1"/>
        <n v="10150" u="1"/>
        <n v="12167" u="1"/>
        <n v="3478" u="1"/>
        <n v="6894" u="1"/>
        <n v="9630" u="1"/>
        <n v="11647" u="1"/>
        <n v="217" u="1"/>
        <n v="3348" u="1"/>
        <n v="6634" u="1"/>
        <n v="11127" u="1"/>
        <n v="3218" u="1"/>
        <n v="6374" u="1"/>
        <n v="10607" u="1"/>
        <n v="12624" u="1"/>
        <n v="6114" u="1"/>
        <n v="10087" u="1"/>
        <n v="12104" u="1"/>
        <n v="755" u="1"/>
        <n v="5854" u="1"/>
        <n v="11584" u="1"/>
        <n v="13601" u="1"/>
        <n v="7611" u="1"/>
        <n v="11064" u="1"/>
        <n v="13081" u="1"/>
        <n v="17846" u="1"/>
        <n v="690" u="1"/>
        <n v="7351" u="1"/>
        <n v="10544" u="1"/>
        <n v="12561" u="1"/>
        <n v="7091" u="1"/>
        <n v="12041" u="1"/>
        <n v="14058" u="1"/>
        <n v="625" u="1"/>
        <n v="2438" u="1"/>
        <n v="6831" u="1"/>
        <n v="11521" u="1"/>
        <n v="13538" u="1"/>
        <n v="2308" u="1"/>
        <n v="4554" u="1"/>
        <n v="6571" u="1"/>
        <n v="13018" u="1"/>
        <n v="2178" u="1"/>
        <n v="4294" u="1"/>
        <n v="12498" u="1"/>
        <n v="14515" u="1"/>
        <n v="2048" u="1"/>
        <n v="4065" u="1"/>
        <n v="8068" u="1"/>
        <n v="11978" u="1"/>
        <n v="13995" u="1"/>
        <n v="3935" u="1"/>
        <n v="7808" u="1"/>
        <n v="13475" u="1"/>
        <n v="3805" u="1"/>
        <n v="7548" u="1"/>
        <n v="12955" u="1"/>
        <n v="14972" u="1"/>
        <n v="471" u="1"/>
        <n v="7288" u="1"/>
        <n v="8401" u="1"/>
        <n v="12435" u="1"/>
        <n v="14452" u="1"/>
        <n v="5011" u="1"/>
        <n v="7028" u="1"/>
        <n v="13932" u="1"/>
        <n v="4751" u="1"/>
        <n v="13412" u="1"/>
        <n v="22542" u="1"/>
        <n v="1658" u="1"/>
        <n v="4491" u="1"/>
        <n v="8858" u="1"/>
        <n v="12892" u="1"/>
        <n v="14909" u="1"/>
        <n v="1593" u="1"/>
        <n v="4231" u="1"/>
        <n v="8338" u="1"/>
        <n v="14389" u="1"/>
        <n v="1528" u="1"/>
        <n v="3025" u="1"/>
        <n v="8005" u="1"/>
        <n v="9835" u="1"/>
        <n v="13869" u="1"/>
        <n v="1463" u="1"/>
        <n v="2895" u="1"/>
        <n v="5728" u="1"/>
        <n v="7745" u="1"/>
        <n v="9315" u="1"/>
        <n v="1398" u="1"/>
        <n v="2765" u="1"/>
        <n v="5468" u="1"/>
        <n v="8795" u="1"/>
        <n v="14846" u="1"/>
        <n v="2635" u="1"/>
        <n v="5208" u="1"/>
        <n v="8275" u="1"/>
        <n v="10292" u="1"/>
        <n v="14326" u="1"/>
        <n v="4948" u="1"/>
        <n v="9772" u="1"/>
        <n v="4688" u="1"/>
        <n v="9252" u="1"/>
        <n v="8732" u="1"/>
        <n v="10749" u="1"/>
        <n v="14783" u="1"/>
        <n v="276" u="1"/>
        <n v="1073" u="1"/>
        <n v="6185" u="1"/>
        <n v="8212" u="1"/>
        <n v="10229" u="1"/>
        <n v="1016" u="1"/>
        <n v="5925" u="1"/>
        <n v="9709" u="1"/>
        <n v="5665" u="1"/>
        <n v="9189" u="1"/>
        <n v="11206" u="1"/>
        <n v="15240" u="1"/>
        <n v="951" u="1"/>
        <n v="5405" u="1"/>
        <n v="8669" u="1"/>
        <n v="10686" u="1"/>
        <n v="3612" u="1"/>
        <n v="5145" u="1"/>
        <n v="10166" u="1"/>
        <n v="12183" u="1"/>
        <n v="3482" u="1"/>
        <n v="6902" u="1"/>
        <n v="9646" u="1"/>
        <n v="11663" u="1"/>
        <n v="3352" u="1"/>
        <n v="6642" u="1"/>
        <n v="11143" u="1"/>
        <n v="3222" u="1"/>
        <n v="6382" u="1"/>
        <n v="10623" u="1"/>
        <n v="12640" u="1"/>
        <n v="201" u="1"/>
        <n v="6122" u="1"/>
        <n v="10103" u="1"/>
        <n v="12120" u="1"/>
        <n v="756" u="1"/>
        <n v="5862" u="1"/>
        <n v="11600" u="1"/>
        <n v="11080" u="1"/>
        <n v="13097" u="1"/>
        <n v="691" u="1"/>
        <n v="7359" u="1"/>
        <n v="10560" u="1"/>
        <n v="12577" u="1"/>
        <n v="7099" u="1"/>
        <n v="12057" u="1"/>
        <n v="626" u="1"/>
        <n v="2442" u="1"/>
        <n v="6839" u="1"/>
        <n v="11537" u="1"/>
        <n v="13554" u="1"/>
        <n v="18792" u="1"/>
        <n v="2312" u="1"/>
        <n v="6579" u="1"/>
        <n v="11017" u="1"/>
        <n v="13034" u="1"/>
        <n v="2182" u="1"/>
        <n v="4302" u="1"/>
        <n v="6319" u="1"/>
        <n v="12514" u="1"/>
        <n v="14531" u="1"/>
        <n v="136" u="1"/>
        <n v="2052" u="1"/>
        <n v="4069" u="1"/>
        <n v="8076" u="1"/>
        <n v="11994" u="1"/>
        <n v="14011" u="1"/>
        <n v="1985" u="1"/>
        <n v="3939" u="1"/>
        <n v="7816" u="1"/>
        <n v="13491" u="1"/>
        <n v="3809" u="1"/>
        <n v="7556" u="1"/>
        <n v="12971" u="1"/>
        <n v="14988" u="1"/>
        <n v="7296" u="1"/>
        <n v="8417" u="1"/>
        <n v="12451" u="1"/>
        <n v="14468" u="1"/>
        <n v="5019" u="1"/>
        <n v="7036" u="1"/>
        <n v="13948" u="1"/>
        <n v="439" u="1"/>
        <n v="4759" u="1"/>
        <n v="13428" u="1"/>
        <n v="1660" u="1"/>
        <n v="4499" u="1"/>
        <n v="8874" u="1"/>
        <n v="12908" u="1"/>
        <n v="14925" u="1"/>
        <n v="1595" u="1"/>
        <n v="4239" u="1"/>
        <n v="8354" u="1"/>
        <n v="14405" u="1"/>
        <n v="1530" u="1"/>
        <n v="3029" u="1"/>
        <n v="8013" u="1"/>
        <n v="13885" u="1"/>
        <n v="23488" u="1"/>
        <n v="1465" u="1"/>
        <n v="2899" u="1"/>
        <n v="7753" u="1"/>
        <n v="9331" u="1"/>
        <n v="13365" u="1"/>
        <n v="1400" u="1"/>
        <n v="2769" u="1"/>
        <n v="5476" u="1"/>
        <n v="7493" u="1"/>
        <n v="8811" u="1"/>
        <n v="14862" u="1"/>
        <n v="2639" u="1"/>
        <n v="5216" u="1"/>
        <n v="8291" u="1"/>
        <n v="10308" u="1"/>
        <n v="14342" u="1"/>
        <n v="2509" u="1"/>
        <n v="4956" u="1"/>
        <n v="9788" u="1"/>
        <n v="309" u="1"/>
        <n v="4696" u="1"/>
        <n v="9268" u="1"/>
        <n v="8748" u="1"/>
        <n v="10765" u="1"/>
        <n v="14799" u="1"/>
        <n v="1075" u="1"/>
        <n v="6193" u="1"/>
        <n v="8228" u="1"/>
        <n v="10245" u="1"/>
        <n v="1017" u="1"/>
        <n v="5933" u="1"/>
        <n v="9725" u="1"/>
        <n v="5673" u="1"/>
        <n v="9205" u="1"/>
        <n v="11222" u="1"/>
        <n v="952" u="1"/>
        <n v="5413" u="1"/>
        <n v="8685" u="1"/>
        <n v="10702" u="1"/>
        <n v="3616" u="1"/>
        <n v="5153" u="1"/>
        <n v="10182" u="1"/>
        <n v="3486" u="1"/>
        <n v="9662" u="1"/>
        <n v="11679" u="1"/>
        <n v="3356" u="1"/>
        <n v="6650" u="1"/>
        <n v="9142" u="1"/>
        <n v="11159" u="1"/>
        <n v="3226" u="1"/>
        <n v="6390" u="1"/>
        <n v="10639" u="1"/>
        <n v="12656" u="1"/>
        <n v="3096" u="1"/>
        <n v="6130" u="1"/>
        <n v="10119" u="1"/>
        <n v="12136" u="1"/>
        <n v="5870" u="1"/>
        <n v="11616" u="1"/>
        <n v="185" u="1"/>
        <n v="11096" u="1"/>
        <n v="13113" u="1"/>
        <n v="692" u="1"/>
        <n v="7367" u="1"/>
        <n v="10576" u="1"/>
        <n v="12593" u="1"/>
        <n v="7107" u="1"/>
        <n v="12073" u="1"/>
        <n v="17847" u="1"/>
        <n v="627" u="1"/>
        <n v="2446" u="1"/>
        <n v="6847" u="1"/>
        <n v="11553" u="1"/>
        <n v="13570" u="1"/>
        <n v="2316" u="1"/>
        <n v="6587" u="1"/>
        <n v="11033" u="1"/>
        <n v="13050" u="1"/>
        <n v="2186" u="1"/>
        <n v="4310" u="1"/>
        <n v="6327" u="1"/>
        <n v="12530" u="1"/>
        <n v="2056" u="1"/>
        <n v="4073" u="1"/>
        <n v="12010" u="1"/>
        <n v="14027" u="1"/>
        <n v="1987" u="1"/>
        <n v="3943" u="1"/>
        <n v="7824" u="1"/>
        <n v="11490" u="1"/>
        <n v="13507" u="1"/>
        <n v="124" u="1"/>
        <n v="3813" u="1"/>
        <n v="7564" u="1"/>
        <n v="12987" u="1"/>
        <n v="15004" u="1"/>
        <n v="472" u="1"/>
        <n v="3683" u="1"/>
        <n v="7304" u="1"/>
        <n v="8433" u="1"/>
        <n v="12467" u="1"/>
        <n v="14484" u="1"/>
        <n v="5027" u="1"/>
        <n v="7044" u="1"/>
        <n v="13964" u="1"/>
        <n v="4767" u="1"/>
        <n v="13444" u="1"/>
        <n v="1662" u="1"/>
        <n v="4507" u="1"/>
        <n v="8890" u="1"/>
        <n v="12924" u="1"/>
        <n v="14941" u="1"/>
        <n v="407" u="1"/>
        <n v="1597" u="1"/>
        <n v="4247" u="1"/>
        <n v="8370" u="1"/>
        <n v="14421" u="1"/>
        <n v="22543" u="1"/>
        <n v="1532" u="1"/>
        <n v="3033" u="1"/>
        <n v="8021" u="1"/>
        <n v="13901" u="1"/>
        <n v="1467" u="1"/>
        <n v="2903" u="1"/>
        <n v="7761" u="1"/>
        <n v="9347" u="1"/>
        <n v="13381" u="1"/>
        <n v="1402" u="1"/>
        <n v="2773" u="1"/>
        <n v="5484" u="1"/>
        <n v="7501" u="1"/>
        <n v="8827" u="1"/>
        <n v="14878" u="1"/>
        <n v="2643" u="1"/>
        <n v="5224" u="1"/>
        <n v="8307" u="1"/>
        <n v="14358" u="1"/>
        <n v="2513" u="1"/>
        <n v="4964" u="1"/>
        <n v="9804" u="1"/>
        <n v="13838" u="1"/>
        <n v="4704" u="1"/>
        <n v="9284" u="1"/>
        <n v="4444" u="1"/>
        <n v="8764" u="1"/>
        <n v="10781" u="1"/>
        <n v="14815" u="1"/>
        <n v="277" u="1"/>
        <n v="6201" u="1"/>
        <n v="8244" u="1"/>
        <n v="10261" u="1"/>
        <n v="1018" u="1"/>
        <n v="5941" u="1"/>
        <n v="9741" u="1"/>
        <n v="5681" u="1"/>
        <n v="9221" u="1"/>
        <n v="11238" u="1"/>
        <n v="953" u="1"/>
        <n v="5421" u="1"/>
        <n v="8701" u="1"/>
        <n v="10718" u="1"/>
        <n v="3620" u="1"/>
        <n v="5161" u="1"/>
        <n v="10198" u="1"/>
        <n v="888" u="1"/>
        <n v="3490" u="1"/>
        <n v="9678" u="1"/>
        <n v="11695" u="1"/>
        <n v="3360" u="1"/>
        <n v="6658" u="1"/>
        <n v="9158" u="1"/>
        <n v="11175" u="1"/>
        <n v="3230" u="1"/>
        <n v="6398" u="1"/>
        <n v="10655" u="1"/>
        <n v="3100" u="1"/>
        <n v="6138" u="1"/>
        <n v="10135" u="1"/>
        <n v="12152" u="1"/>
        <n v="5878" u="1"/>
        <n v="9615" u="1"/>
        <n v="11632" u="1"/>
        <n v="5618" u="1"/>
        <n v="11112" u="1"/>
        <n v="13129" u="1"/>
        <n v="693" u="1"/>
        <n v="7375" u="1"/>
        <n v="10592" u="1"/>
        <n v="12609" u="1"/>
        <n v="7115" u="1"/>
        <n v="12089" u="1"/>
        <n v="628" u="1"/>
        <n v="2450" u="1"/>
        <n v="6855" u="1"/>
        <n v="11569" u="1"/>
        <n v="13586" u="1"/>
        <n v="2320" u="1"/>
        <n v="6595" u="1"/>
        <n v="11049" u="1"/>
        <n v="13066" u="1"/>
        <n v="2190" u="1"/>
        <n v="4318" u="1"/>
        <n v="6335" u="1"/>
        <n v="12546" u="1"/>
        <n v="18793" u="1"/>
        <n v="2060" u="1"/>
        <n v="4077" u="1"/>
        <n v="12026" u="1"/>
        <n v="14043" u="1"/>
        <n v="1989" u="1"/>
        <n v="3947" u="1"/>
        <n v="7832" u="1"/>
        <n v="11506" u="1"/>
        <n v="13523" u="1"/>
        <n v="3817" u="1"/>
        <n v="7572" u="1"/>
        <n v="13003" u="1"/>
        <n v="3687" u="1"/>
        <n v="7312" u="1"/>
        <n v="12483" u="1"/>
        <n v="14500" u="1"/>
        <n v="116" u="1"/>
        <n v="7052" u="1"/>
        <n v="11963" u="1"/>
        <n v="13980" u="1"/>
        <n v="440" u="1"/>
        <n v="4775" u="1"/>
        <n v="6792" u="1"/>
        <n v="13460" u="1"/>
        <n v="4515" u="1"/>
        <n v="8906" u="1"/>
        <n v="12940" u="1"/>
        <n v="14957" u="1"/>
        <n v="1599" u="1"/>
        <n v="4255" u="1"/>
        <n v="8386" u="1"/>
        <n v="12420" u="1"/>
        <n v="14437" u="1"/>
        <n v="1534" u="1"/>
        <n v="8029" u="1"/>
        <n v="13917" u="1"/>
        <n v="1469" u="1"/>
        <n v="2907" u="1"/>
        <n v="7769" u="1"/>
        <n v="9363" u="1"/>
        <n v="13397" u="1"/>
        <n v="1404" u="1"/>
        <n v="2777" u="1"/>
        <n v="5492" u="1"/>
        <n v="7509" u="1"/>
        <n v="8843" u="1"/>
        <n v="14894" u="1"/>
        <n v="1339" u="1"/>
        <n v="2647" u="1"/>
        <n v="8323" u="1"/>
        <n v="14374" u="1"/>
        <n v="2517" u="1"/>
        <n v="4972" u="1"/>
        <n v="9820" u="1"/>
        <n v="13854" u="1"/>
        <n v="310" u="1"/>
        <n v="4712" u="1"/>
        <n v="9300" u="1"/>
        <n v="4452" u="1"/>
        <n v="8780" u="1"/>
        <n v="14831" u="1"/>
        <n v="8260" u="1"/>
        <n v="10277" u="1"/>
        <n v="14311" u="1"/>
        <n v="1019" u="1"/>
        <n v="5949" u="1"/>
        <n v="7966" u="1"/>
        <n v="9757" u="1"/>
        <n v="5689" u="1"/>
        <n v="9237" u="1"/>
        <n v="11254" u="1"/>
        <n v="954" u="1"/>
        <n v="5429" u="1"/>
        <n v="8717" u="1"/>
        <n v="10734" u="1"/>
        <n v="14768" u="1"/>
        <n v="5169" u="1"/>
        <n v="8197" u="1"/>
        <n v="10214" u="1"/>
        <n v="889" u="1"/>
        <n v="3494" u="1"/>
        <n v="4909" u="1"/>
        <n v="9694" u="1"/>
        <n v="11711" u="1"/>
        <n v="3364" u="1"/>
        <n v="6666" u="1"/>
        <n v="9174" u="1"/>
        <n v="11191" u="1"/>
        <n v="3234" u="1"/>
        <n v="6406" u="1"/>
        <n v="10671" u="1"/>
        <n v="3104" u="1"/>
        <n v="6146" u="1"/>
        <n v="10151" u="1"/>
        <n v="12168" u="1"/>
        <n v="5886" u="1"/>
        <n v="9631" u="1"/>
        <n v="11648" u="1"/>
        <n v="5626" u="1"/>
        <n v="11128" u="1"/>
        <n v="694" u="1"/>
        <n v="10608" u="1"/>
        <n v="12625" u="1"/>
        <n v="7123" u="1"/>
        <n v="10088" u="1"/>
        <n v="12105" u="1"/>
        <n v="629" u="1"/>
        <n v="6863" u="1"/>
        <n v="11585" u="1"/>
        <n v="13602" u="1"/>
        <n v="2324" u="1"/>
        <n v="6603" u="1"/>
        <n v="11065" u="1"/>
        <n v="13082" u="1"/>
        <n v="17848" u="1"/>
        <n v="2194" u="1"/>
        <n v="6343" u="1"/>
        <n v="10545" u="1"/>
        <n v="12562" u="1"/>
        <n v="2064" u="1"/>
        <n v="4081" u="1"/>
        <n v="6083" u="1"/>
        <n v="12042" u="1"/>
        <n v="14059" u="1"/>
        <n v="1991" u="1"/>
        <n v="3951" u="1"/>
        <n v="7840" u="1"/>
        <n v="11522" u="1"/>
        <n v="13539" u="1"/>
        <n v="1926" u="1"/>
        <n v="3821" u="1"/>
        <n v="7580" u="1"/>
        <n v="13019" u="1"/>
        <n v="3691" u="1"/>
        <n v="7320" u="1"/>
        <n v="12499" u="1"/>
        <n v="14516" u="1"/>
        <n v="7060" u="1"/>
        <n v="11979" u="1"/>
        <n v="13996" u="1"/>
        <n v="4783" u="1"/>
        <n v="6800" u="1"/>
        <n v="13476" u="1"/>
        <n v="4523" u="1"/>
        <n v="12956" u="1"/>
        <n v="14973" u="1"/>
        <n v="408" u="1"/>
        <n v="1601" u="1"/>
        <n v="4263" u="1"/>
        <n v="8402" u="1"/>
        <n v="12436" u="1"/>
        <n v="14453" u="1"/>
        <n v="1536" u="1"/>
        <n v="8037" u="1"/>
        <n v="13933" u="1"/>
        <n v="1471" u="1"/>
        <n v="2911" u="1"/>
        <n v="7777" u="1"/>
        <n v="13413" u="1"/>
        <n v="22544" u="1"/>
        <n v="1406" u="1"/>
        <n v="2781" u="1"/>
        <n v="7517" u="1"/>
        <n v="8859" u="1"/>
        <n v="12893" u="1"/>
        <n v="14910" u="1"/>
        <n v="1341" u="1"/>
        <n v="2651" u="1"/>
        <n v="5240" u="1"/>
        <n v="7257" u="1"/>
        <n v="8339" u="1"/>
        <n v="14390" u="1"/>
        <n v="2521" u="1"/>
        <n v="4980" u="1"/>
        <n v="9836" u="1"/>
        <n v="13870" u="1"/>
        <n v="2391" u="1"/>
        <n v="4720" u="1"/>
        <n v="9316" u="1"/>
        <n v="4460" u="1"/>
        <n v="8796" u="1"/>
        <n v="14847" u="1"/>
        <n v="278" u="1"/>
        <n v="8276" u="1"/>
        <n v="10293" u="1"/>
        <n v="14327" u="1"/>
        <n v="1020" u="1"/>
        <n v="5957" u="1"/>
        <n v="7974" u="1"/>
        <n v="9773" u="1"/>
        <n v="5697" u="1"/>
        <n v="9253" u="1"/>
        <n v="955" u="1"/>
        <n v="5437" u="1"/>
        <n v="8733" u="1"/>
        <n v="10750" u="1"/>
        <n v="14784" u="1"/>
        <n v="5177" u="1"/>
        <n v="8213" u="1"/>
        <n v="10230" u="1"/>
        <n v="890" u="1"/>
        <n v="3498" u="1"/>
        <n v="4917" u="1"/>
        <n v="9710" u="1"/>
        <n v="3368" u="1"/>
        <n v="9190" u="1"/>
        <n v="11207" u="1"/>
        <n v="15241" u="1"/>
        <n v="3238" u="1"/>
        <n v="6414" u="1"/>
        <n v="8670" u="1"/>
        <n v="10687" u="1"/>
        <n v="202" u="1"/>
        <n v="3108" u="1"/>
        <n v="6154" u="1"/>
        <n v="10167" u="1"/>
        <n v="12184" u="1"/>
        <n v="2978" u="1"/>
        <n v="5894" u="1"/>
        <n v="9647" u="1"/>
        <n v="11664" u="1"/>
        <n v="5634" u="1"/>
        <n v="11144" u="1"/>
        <n v="695" u="1"/>
        <n v="10624" u="1"/>
        <n v="12641" u="1"/>
        <n v="7131" u="1"/>
        <n v="10104" u="1"/>
        <n v="12121" u="1"/>
        <n v="630" u="1"/>
        <n v="6871" u="1"/>
        <n v="11601" u="1"/>
        <n v="2328" u="1"/>
        <n v="6611" u="1"/>
        <n v="11081" u="1"/>
        <n v="13098" u="1"/>
        <n v="565" u="1"/>
        <n v="2198" u="1"/>
        <n v="6351" u="1"/>
        <n v="10561" u="1"/>
        <n v="12578" u="1"/>
        <n v="2068" u="1"/>
        <n v="4085" u="1"/>
        <n v="6091" u="1"/>
        <n v="12058" u="1"/>
        <n v="1993" u="1"/>
        <n v="3955" u="1"/>
        <n v="11538" u="1"/>
        <n v="13555" u="1"/>
        <n v="1928" u="1"/>
        <n v="3825" u="1"/>
        <n v="7588" u="1"/>
        <n v="11018" u="1"/>
        <n v="13035" u="1"/>
        <n v="3695" u="1"/>
        <n v="7328" u="1"/>
        <n v="12515" u="1"/>
        <n v="14532" u="1"/>
        <n v="3565" u="1"/>
        <n v="7068" u="1"/>
        <n v="11995" u="1"/>
        <n v="14012" u="1"/>
        <n v="441" u="1"/>
        <n v="4791" u="1"/>
        <n v="6808" u="1"/>
        <n v="13492" u="1"/>
        <n v="4531" u="1"/>
        <n v="12972" u="1"/>
        <n v="14989" u="1"/>
        <n v="1603" u="1"/>
        <n v="4271" u="1"/>
        <n v="8418" u="1"/>
        <n v="12452" u="1"/>
        <n v="14469" u="1"/>
        <n v="1538" u="1"/>
        <n v="8045" u="1"/>
        <n v="13949" u="1"/>
        <n v="1473" u="1"/>
        <n v="2915" u="1"/>
        <n v="7785" u="1"/>
        <n v="13429" u="1"/>
        <n v="1408" u="1"/>
        <n v="2785" u="1"/>
        <n v="7525" u="1"/>
        <n v="8875" u="1"/>
        <n v="12909" u="1"/>
        <n v="14926" u="1"/>
        <n v="1343" u="1"/>
        <n v="2655" u="1"/>
        <n v="5248" u="1"/>
        <n v="7265" u="1"/>
        <n v="8355" u="1"/>
        <n v="14406" u="1"/>
        <n v="2525" u="1"/>
        <n v="4988" u="1"/>
        <n v="13886" u="1"/>
        <n v="311" u="1"/>
        <n v="2395" u="1"/>
        <n v="4728" u="1"/>
        <n v="9332" u="1"/>
        <n v="13366" u="1"/>
        <n v="4468" u="1"/>
        <n v="8812" u="1"/>
        <n v="14863" u="1"/>
        <n v="4208" u="1"/>
        <n v="8292" u="1"/>
        <n v="10309" u="1"/>
        <n v="14343" u="1"/>
        <n v="5965" u="1"/>
        <n v="7982" u="1"/>
        <n v="9789" u="1"/>
        <n v="251" u="1"/>
        <n v="5705" u="1"/>
        <n v="9269" u="1"/>
        <n v="956" u="1"/>
        <n v="5445" u="1"/>
        <n v="8749" u="1"/>
        <n v="10766" u="1"/>
        <n v="14800" u="1"/>
        <n v="5185" u="1"/>
        <n v="8229" u="1"/>
        <n v="10246" u="1"/>
        <n v="891" u="1"/>
        <n v="3502" u="1"/>
        <n v="4925" u="1"/>
        <n v="9726" u="1"/>
        <n v="3372" u="1"/>
        <n v="9206" u="1"/>
        <n v="11223" u="1"/>
        <n v="3242" u="1"/>
        <n v="6422" u="1"/>
        <n v="8686" u="1"/>
        <n v="10703" u="1"/>
        <n v="3112" u="1"/>
        <n v="6162" u="1"/>
        <n v="10183" u="1"/>
        <n v="2982" u="1"/>
        <n v="5902" u="1"/>
        <n v="9663" u="1"/>
        <n v="11680" u="1"/>
        <n v="186" u="1"/>
        <n v="5642" u="1"/>
        <n v="9143" u="1"/>
        <n v="11160" u="1"/>
        <n v="696" u="1"/>
        <n v="5382" u="1"/>
        <n v="10640" u="1"/>
        <n v="12657" u="1"/>
        <n v="7139" u="1"/>
        <n v="10120" u="1"/>
        <n v="12137" u="1"/>
        <n v="631" u="1"/>
        <n v="6879" u="1"/>
        <n v="11617" u="1"/>
        <n v="2332" u="1"/>
        <n v="6619" u="1"/>
        <n v="11097" u="1"/>
        <n v="13114" u="1"/>
        <n v="566" u="1"/>
        <n v="2202" u="1"/>
        <n v="6359" u="1"/>
        <n v="10577" u="1"/>
        <n v="12594" u="1"/>
        <n v="2072" u="1"/>
        <n v="4089" u="1"/>
        <n v="6099" u="1"/>
        <n v="12074" u="1"/>
        <n v="17849" u="1"/>
        <n v="1995" u="1"/>
        <n v="3959" u="1"/>
        <n v="11554" u="1"/>
        <n v="13571" u="1"/>
        <n v="1930" u="1"/>
        <n v="3829" u="1"/>
        <n v="7596" u="1"/>
        <n v="11034" u="1"/>
        <n v="13051" u="1"/>
        <n v="3699" u="1"/>
        <n v="7336" u="1"/>
        <n v="12531" u="1"/>
        <n v="3569" u="1"/>
        <n v="7076" u="1"/>
        <n v="12011" u="1"/>
        <n v="14028" u="1"/>
        <n v="6816" u="1"/>
        <n v="11491" u="1"/>
        <n v="13508" u="1"/>
        <n v="4539" u="1"/>
        <n v="6556" u="1"/>
        <n v="12988" u="1"/>
        <n v="15005" u="1"/>
        <n v="409" u="1"/>
        <n v="4279" u="1"/>
        <n v="8434" u="1"/>
        <n v="12468" u="1"/>
        <n v="14485" u="1"/>
        <n v="1540" u="1"/>
        <n v="8053" u="1"/>
        <n v="13965" u="1"/>
        <n v="1475" u="1"/>
        <n v="2919" u="1"/>
        <n v="7793" u="1"/>
        <n v="13445" u="1"/>
        <n v="92" u="1"/>
        <n v="1410" u="1"/>
        <n v="2789" u="1"/>
        <n v="7533" u="1"/>
        <n v="12925" u="1"/>
        <n v="14942" u="1"/>
        <n v="1345" u="1"/>
        <n v="2659" u="1"/>
        <n v="5256" u="1"/>
        <n v="7273" u="1"/>
        <n v="8371" u="1"/>
        <n v="14422" u="1"/>
        <n v="22545" u="1"/>
        <n v="1280" u="1"/>
        <n v="2529" u="1"/>
        <n v="4996" u="1"/>
        <n v="13902" u="1"/>
        <n v="2399" u="1"/>
        <n v="4736" u="1"/>
        <n v="9348" u="1"/>
        <n v="13382" u="1"/>
        <n v="4476" u="1"/>
        <n v="8828" u="1"/>
        <n v="14879" u="1"/>
        <n v="279" u="1"/>
        <n v="4216" u="1"/>
        <n v="8308" u="1"/>
        <n v="14359" u="1"/>
        <n v="7990" u="1"/>
        <n v="9805" u="1"/>
        <n v="13839" u="1"/>
        <n v="5713" u="1"/>
        <n v="7730" u="1"/>
        <n v="9285" u="1"/>
        <n v="957" u="1"/>
        <n v="5453" u="1"/>
        <n v="8765" u="1"/>
        <n v="10782" u="1"/>
        <n v="14816" u="1"/>
        <n v="5193" u="1"/>
        <n v="8245" u="1"/>
        <n v="10262" u="1"/>
        <n v="892" u="1"/>
        <n v="3506" u="1"/>
        <n v="4933" u="1"/>
        <n v="9742" u="1"/>
        <n v="3376" u="1"/>
        <n v="4673" u="1"/>
        <n v="9222" u="1"/>
        <n v="11239" u="1"/>
        <n v="3246" u="1"/>
        <n v="6430" u="1"/>
        <n v="8702" u="1"/>
        <n v="10719" u="1"/>
        <n v="3116" u="1"/>
        <n v="6170" u="1"/>
        <n v="10199" u="1"/>
        <n v="2986" u="1"/>
        <n v="5910" u="1"/>
        <n v="9679" u="1"/>
        <n v="11696" u="1"/>
        <n v="5650" u="1"/>
        <n v="9159" u="1"/>
        <n v="11176" u="1"/>
        <n v="697" u="1"/>
        <n v="5390" u="1"/>
        <n v="10656" u="1"/>
        <n v="170" u="1"/>
        <n v="10136" u="1"/>
        <n v="12153" u="1"/>
        <n v="632" u="1"/>
        <n v="6887" u="1"/>
        <n v="9616" u="1"/>
        <n v="11633" u="1"/>
        <n v="6627" u="1"/>
        <n v="11113" u="1"/>
        <n v="13130" u="1"/>
        <n v="567" u="1"/>
        <n v="2206" u="1"/>
        <n v="6367" u="1"/>
        <n v="10593" u="1"/>
        <n v="12610" u="1"/>
        <n v="2076" u="1"/>
        <n v="4093" u="1"/>
        <n v="6107" u="1"/>
        <n v="10073" u="1"/>
        <n v="12090" u="1"/>
        <n v="1997" u="1"/>
        <n v="3963" u="1"/>
        <n v="5847" u="1"/>
        <n v="11570" u="1"/>
        <n v="13587" u="1"/>
        <n v="1932" u="1"/>
        <n v="3833" u="1"/>
        <n v="7604" u="1"/>
        <n v="11050" u="1"/>
        <n v="13067" u="1"/>
        <n v="1867" u="1"/>
        <n v="3703" u="1"/>
        <n v="7344" u="1"/>
        <n v="12547" u="1"/>
        <n v="3573" u="1"/>
        <n v="7084" u="1"/>
        <n v="12027" u="1"/>
        <n v="14044" u="1"/>
        <n v="442" u="1"/>
        <n v="6824" u="1"/>
        <n v="11507" u="1"/>
        <n v="13524" u="1"/>
        <n v="4547" u="1"/>
        <n v="6564" u="1"/>
        <n v="13004" u="1"/>
        <n v="4287" u="1"/>
        <n v="12484" u="1"/>
        <n v="14501" u="1"/>
        <n v="1542" u="1"/>
        <n v="8061" u="1"/>
        <n v="11964" u="1"/>
        <n v="13981" u="1"/>
        <n v="1477" u="1"/>
        <n v="7801" u="1"/>
        <n v="13461" u="1"/>
        <n v="1412" u="1"/>
        <n v="2793" u="1"/>
        <n v="7541" u="1"/>
        <n v="8907" u="1"/>
        <n v="12941" u="1"/>
        <n v="14958" u="1"/>
        <n v="1347" u="1"/>
        <n v="2663" u="1"/>
        <n v="7281" u="1"/>
        <n v="8387" u="1"/>
        <n v="12421" u="1"/>
        <n v="14438" u="1"/>
        <n v="84" u="1"/>
        <n v="1282" u="1"/>
        <n v="2533" u="1"/>
        <n v="5004" u="1"/>
        <n v="7021" u="1"/>
        <n v="13918" u="1"/>
        <n v="2403" u="1"/>
        <n v="4744" u="1"/>
        <n v="9364" u="1"/>
        <n v="13398" u="1"/>
        <n v="2273" u="1"/>
        <n v="4484" u="1"/>
        <n v="8844" u="1"/>
        <n v="14895" u="1"/>
        <n v="4224" u="1"/>
        <n v="8324" u="1"/>
        <n v="14375" u="1"/>
        <n v="7998" u="1"/>
        <n v="9821" u="1"/>
        <n v="13855" u="1"/>
        <n v="5721" u="1"/>
        <n v="7738" u="1"/>
        <n v="9301" u="1"/>
        <n v="958" u="1"/>
        <n v="5461" u="1"/>
        <n v="8781" u="1"/>
        <n v="14832" u="1"/>
        <n v="5201" u="1"/>
        <n v="8261" u="1"/>
        <n v="10278" u="1"/>
        <n v="14312" u="1"/>
        <n v="893" u="1"/>
        <n v="4941" u="1"/>
        <n v="9758" u="1"/>
        <n v="3380" u="1"/>
        <n v="4681" u="1"/>
        <n v="9238" u="1"/>
        <n v="11255" u="1"/>
        <n v="3250" u="1"/>
        <n v="8718" u="1"/>
        <n v="10735" u="1"/>
        <n v="14769" u="1"/>
        <n v="3120" u="1"/>
        <n v="6178" u="1"/>
        <n v="8198" u="1"/>
        <n v="10215" u="1"/>
        <n v="2990" u="1"/>
        <n v="5918" u="1"/>
        <n v="9695" u="1"/>
        <n v="11712" u="1"/>
        <n v="2860" u="1"/>
        <n v="5658" u="1"/>
        <n v="9175" u="1"/>
        <n v="11192" u="1"/>
        <n v="5398" u="1"/>
        <n v="10672" u="1"/>
        <n v="10152" u="1"/>
        <n v="12169" u="1"/>
        <n v="633" u="1"/>
        <n v="6895" u="1"/>
        <n v="9632" u="1"/>
        <n v="11649" u="1"/>
        <n v="6635" u="1"/>
        <n v="11129" u="1"/>
        <n v="568" u="1"/>
        <n v="2210" u="1"/>
        <n v="6375" u="1"/>
        <n v="10609" u="1"/>
        <n v="12626" u="1"/>
        <n v="2080" u="1"/>
        <n v="6115" u="1"/>
        <n v="10089" u="1"/>
        <n v="12106" u="1"/>
        <n v="1999" u="1"/>
        <n v="3967" u="1"/>
        <n v="5855" u="1"/>
        <n v="11586" u="1"/>
        <n v="1934" u="1"/>
        <n v="3837" u="1"/>
        <n v="11066" u="1"/>
        <n v="13083" u="1"/>
        <n v="17850" u="1"/>
        <n v="1869" u="1"/>
        <n v="3707" u="1"/>
        <n v="7352" u="1"/>
        <n v="10546" u="1"/>
        <n v="12563" u="1"/>
        <n v="3577" u="1"/>
        <n v="7092" u="1"/>
        <n v="12043" u="1"/>
        <n v="14060" u="1"/>
        <n v="3447" u="1"/>
        <n v="6832" u="1"/>
        <n v="11523" u="1"/>
        <n v="13540" u="1"/>
        <n v="4555" u="1"/>
        <n v="6572" u="1"/>
        <n v="13020" u="1"/>
        <n v="410" u="1"/>
        <n v="4295" u="1"/>
        <n v="12500" u="1"/>
        <n v="14517" u="1"/>
        <n v="1544" u="1"/>
        <n v="8069" u="1"/>
        <n v="11980" u="1"/>
        <n v="13997" u="1"/>
        <n v="1479" u="1"/>
        <n v="7809" u="1"/>
        <n v="13477" u="1"/>
        <n v="1414" u="1"/>
        <n v="2797" u="1"/>
        <n v="7549" u="1"/>
        <n v="12957" u="1"/>
        <n v="14974" u="1"/>
        <n v="1349" u="1"/>
        <n v="2667" u="1"/>
        <n v="7289" u="1"/>
        <n v="8403" u="1"/>
        <n v="12437" u="1"/>
        <n v="14454" u="1"/>
        <n v="1284" u="1"/>
        <n v="2537" u="1"/>
        <n v="5012" u="1"/>
        <n v="7029" u="1"/>
        <n v="13934" u="1"/>
        <n v="2407" u="1"/>
        <n v="4752" u="1"/>
        <n v="13414" u="1"/>
        <n v="22546" u="1"/>
        <n v="76" u="1"/>
        <n v="2277" u="1"/>
        <n v="4492" u="1"/>
        <n v="8860" u="1"/>
        <n v="12894" u="1"/>
        <n v="14911" u="1"/>
        <n v="280" u="1"/>
        <n v="4232" u="1"/>
        <n v="8340" u="1"/>
        <n v="14391" u="1"/>
        <n v="4034" u="1"/>
        <n v="8006" u="1"/>
        <n v="9837" u="1"/>
        <n v="13871" u="1"/>
        <n v="5729" u="1"/>
        <n v="7746" u="1"/>
        <n v="9317" u="1"/>
        <n v="959" u="1"/>
        <n v="5469" u="1"/>
        <n v="8797" u="1"/>
        <n v="14848" u="1"/>
        <n v="5209" u="1"/>
        <n v="8277" u="1"/>
        <n v="10294" u="1"/>
        <n v="14328" u="1"/>
        <n v="894" u="1"/>
        <n v="4949" u="1"/>
        <n v="9774" u="1"/>
        <n v="3384" u="1"/>
        <n v="4689" u="1"/>
        <n v="9254" u="1"/>
        <n v="3254" u="1"/>
        <n v="8734" u="1"/>
        <n v="10751" u="1"/>
        <n v="14785" u="1"/>
        <n v="203" u="1"/>
        <n v="3124" u="1"/>
        <n v="6186" u="1"/>
        <n v="8214" u="1"/>
        <n v="10231" u="1"/>
        <n v="2994" u="1"/>
        <n v="5926" u="1"/>
        <n v="9711" u="1"/>
        <n v="2864" u="1"/>
        <n v="5666" u="1"/>
        <n v="9191" u="1"/>
        <n v="11208" u="1"/>
        <n v="5406" u="1"/>
        <n v="8671" u="1"/>
        <n v="10688" u="1"/>
        <n v="10168" u="1"/>
        <n v="12185" u="1"/>
        <n v="634" u="1"/>
        <n v="6903" u="1"/>
        <n v="9648" u="1"/>
        <n v="11665" u="1"/>
        <n v="6643" u="1"/>
        <n v="11145" u="1"/>
        <n v="569" u="1"/>
        <n v="2214" u="1"/>
        <n v="6383" u="1"/>
        <n v="10625" u="1"/>
        <n v="12642" u="1"/>
        <n v="2084" u="1"/>
        <n v="6123" u="1"/>
        <n v="10105" u="1"/>
        <n v="12122" u="1"/>
        <n v="2001" u="1"/>
        <n v="3971" u="1"/>
        <n v="5863" u="1"/>
        <n v="11602" u="1"/>
        <n v="1936" u="1"/>
        <n v="3841" u="1"/>
        <n v="11082" u="1"/>
        <n v="13099" u="1"/>
        <n v="1871" u="1"/>
        <n v="3711" u="1"/>
        <n v="7360" u="1"/>
        <n v="10562" u="1"/>
        <n v="12579" u="1"/>
        <n v="3581" u="1"/>
        <n v="7100" u="1"/>
        <n v="12059" u="1"/>
        <n v="443" u="1"/>
        <n v="3451" u="1"/>
        <n v="6840" u="1"/>
        <n v="11539" u="1"/>
        <n v="13556" u="1"/>
        <n v="6580" u="1"/>
        <n v="11019" u="1"/>
        <n v="13036" u="1"/>
        <n v="4303" u="1"/>
        <n v="6320" u="1"/>
        <n v="12516" u="1"/>
        <n v="14533" u="1"/>
        <n v="8077" u="1"/>
        <n v="11996" u="1"/>
        <n v="14013" u="1"/>
        <n v="378" u="1"/>
        <n v="1481" u="1"/>
        <n v="7817" u="1"/>
        <n v="13493" u="1"/>
        <n v="1416" u="1"/>
        <n v="2801" u="1"/>
        <n v="7557" u="1"/>
        <n v="12973" u="1"/>
        <n v="14990" u="1"/>
        <n v="1351" u="1"/>
        <n v="2671" u="1"/>
        <n v="7297" u="1"/>
        <n v="8419" u="1"/>
        <n v="12453" u="1"/>
        <n v="14470" u="1"/>
        <n v="1286" u="1"/>
        <n v="2541" u="1"/>
        <n v="5020" u="1"/>
        <n v="7037" u="1"/>
        <n v="13950" u="1"/>
        <n v="21601" u="1"/>
        <n v="1221" u="1"/>
        <n v="2411" u="1"/>
        <n v="4760" u="1"/>
        <n v="13430" u="1"/>
        <n v="2281" u="1"/>
        <n v="4500" u="1"/>
        <n v="8876" u="1"/>
        <n v="12910" u="1"/>
        <n v="14927" u="1"/>
        <n v="4240" u="1"/>
        <n v="8356" u="1"/>
        <n v="14407" u="1"/>
        <n v="4038" u="1"/>
        <n v="8014" u="1"/>
        <n v="13887" u="1"/>
        <n v="252" u="1"/>
        <n v="7754" u="1"/>
        <n v="9333" u="1"/>
        <n v="13367" u="1"/>
        <n v="960" u="1"/>
        <n v="5477" u="1"/>
        <n v="7494" u="1"/>
        <n v="8813" u="1"/>
        <n v="14864" u="1"/>
        <n v="5217" u="1"/>
        <n v="8293" u="1"/>
        <n v="10310" u="1"/>
        <n v="14344" u="1"/>
        <n v="895" u="1"/>
        <n v="4957" u="1"/>
        <n v="9790" u="1"/>
        <n v="3388" u="1"/>
        <n v="4697" u="1"/>
        <n v="9270" u="1"/>
        <n v="830" u="1"/>
        <n v="3258" u="1"/>
        <n v="8750" u="1"/>
        <n v="10767" u="1"/>
        <n v="14801" u="1"/>
        <n v="3128" u="1"/>
        <n v="6194" u="1"/>
        <n v="8230" u="1"/>
        <n v="10247" u="1"/>
        <n v="2998" u="1"/>
        <n v="5934" u="1"/>
        <n v="9727" u="1"/>
        <n v="187" u="1"/>
        <n v="2868" u="1"/>
        <n v="5674" u="1"/>
        <n v="9207" u="1"/>
        <n v="11224" u="1"/>
        <n v="5414" u="1"/>
        <n v="8687" u="1"/>
        <n v="10704" u="1"/>
        <n v="5154" u="1"/>
        <n v="10184" u="1"/>
        <n v="635" u="1"/>
        <n v="9664" u="1"/>
        <n v="11681" u="1"/>
        <n v="6651" u="1"/>
        <n v="9144" u="1"/>
        <n v="11161" u="1"/>
        <n v="570" u="1"/>
        <n v="6391" u="1"/>
        <n v="10641" u="1"/>
        <n v="12658" u="1"/>
        <n v="2088" u="1"/>
        <n v="6131" u="1"/>
        <n v="10121" u="1"/>
        <n v="12138" u="1"/>
        <n v="2003" u="1"/>
        <n v="3975" u="1"/>
        <n v="5871" u="1"/>
        <n v="11618" u="1"/>
        <n v="125" u="1"/>
        <n v="1938" u="1"/>
        <n v="3845" u="1"/>
        <n v="11098" u="1"/>
        <n v="13115" u="1"/>
        <n v="1873" u="1"/>
        <n v="3715" u="1"/>
        <n v="7368" u="1"/>
        <n v="10578" u="1"/>
        <n v="12595" u="1"/>
        <n v="1808" u="1"/>
        <n v="3585" u="1"/>
        <n v="7108" u="1"/>
        <n v="12075" u="1"/>
        <n v="17851" u="1"/>
        <n v="3455" u="1"/>
        <n v="6848" u="1"/>
        <n v="11555" u="1"/>
        <n v="13572" u="1"/>
        <n v="6588" u="1"/>
        <n v="11035" u="1"/>
        <n v="13052" u="1"/>
        <n v="411" u="1"/>
        <n v="4311" u="1"/>
        <n v="6328" u="1"/>
        <n v="12532" u="1"/>
        <n v="12012" u="1"/>
        <n v="14029" u="1"/>
        <n v="1483" u="1"/>
        <n v="7825" u="1"/>
        <n v="11492" u="1"/>
        <n v="13509" u="1"/>
        <n v="1418" u="1"/>
        <n v="7565" u="1"/>
        <n v="12989" u="1"/>
        <n v="15006" u="1"/>
        <n v="1353" u="1"/>
        <n v="2675" u="1"/>
        <n v="7305" u="1"/>
        <n v="8435" u="1"/>
        <n v="12469" u="1"/>
        <n v="14486" u="1"/>
        <n v="1288" u="1"/>
        <n v="2545" u="1"/>
        <n v="5028" u="1"/>
        <n v="7045" u="1"/>
        <n v="13966" u="1"/>
        <n v="1223" u="1"/>
        <n v="2415" u="1"/>
        <n v="4768" u="1"/>
        <n v="13446" u="1"/>
        <n v="2285" u="1"/>
        <n v="4508" u="1"/>
        <n v="8892" u="1"/>
        <n v="12926" u="1"/>
        <n v="14943" u="1"/>
        <n v="281" u="1"/>
        <n v="2155" u="1"/>
        <n v="4248" u="1"/>
        <n v="8372" u="1"/>
        <n v="14423" u="1"/>
        <n v="22547" u="1"/>
        <n v="4042" u="1"/>
        <n v="8022" u="1"/>
        <n v="13903" u="1"/>
        <n v="7762" u="1"/>
        <n v="9349" u="1"/>
        <n v="13383" u="1"/>
        <n v="961" u="1"/>
        <n v="5485" u="1"/>
        <n v="7502" u="1"/>
        <n v="8829" u="1"/>
        <n v="14880" u="1"/>
        <n v="236" u="1"/>
        <n v="5225" u="1"/>
        <n v="8309" u="1"/>
        <n v="14360" u="1"/>
        <n v="896" u="1"/>
        <n v="4965" u="1"/>
        <n v="9806" u="1"/>
        <n v="13840" u="1"/>
        <n v="4705" u="1"/>
        <n v="9286" u="1"/>
        <n v="831" u="1"/>
        <n v="3262" u="1"/>
        <n v="4445" u="1"/>
        <n v="8766" u="1"/>
        <n v="10783" u="1"/>
        <n v="14817" u="1"/>
        <n v="3132" u="1"/>
        <n v="6202" u="1"/>
        <n v="8246" u="1"/>
        <n v="10263" u="1"/>
        <n v="3002" u="1"/>
        <n v="5942" u="1"/>
        <n v="7959" u="1"/>
        <n v="9743" u="1"/>
        <n v="2872" u="1"/>
        <n v="5682" u="1"/>
        <n v="9223" u="1"/>
        <n v="11240" u="1"/>
        <n v="2742" u="1"/>
        <n v="5422" u="1"/>
        <n v="8703" u="1"/>
        <n v="10720" u="1"/>
        <n v="171" u="1"/>
        <n v="5162" u="1"/>
        <n v="10200" u="1"/>
        <n v="636" u="1"/>
        <n v="9680" u="1"/>
        <n v="11697" u="1"/>
        <n v="6659" u="1"/>
        <n v="9160" u="1"/>
        <n v="11177" u="1"/>
        <n v="571" u="1"/>
        <n v="6399" u="1"/>
        <n v="10657" u="1"/>
        <n v="2092" u="1"/>
        <n v="6139" u="1"/>
        <n v="10137" u="1"/>
        <n v="12154" u="1"/>
        <n v="2005" u="1"/>
        <n v="5879" u="1"/>
        <n v="9617" u="1"/>
        <n v="11634" u="1"/>
        <n v="1940" u="1"/>
        <n v="3849" u="1"/>
        <n v="5619" u="1"/>
        <n v="11114" u="1"/>
        <n v="13131" u="1"/>
        <n v="1875" u="1"/>
        <n v="3719" u="1"/>
        <n v="7376" u="1"/>
        <n v="10594" u="1"/>
        <n v="12611" u="1"/>
        <n v="117" u="1"/>
        <n v="1810" u="1"/>
        <n v="3589" u="1"/>
        <n v="7116" u="1"/>
        <n v="10074" u="1"/>
        <n v="12091" u="1"/>
        <n v="3459" u="1"/>
        <n v="6856" u="1"/>
        <n v="11571" u="1"/>
        <n v="13588" u="1"/>
        <n v="3329" u="1"/>
        <n v="6596" u="1"/>
        <n v="11051" u="1"/>
        <n v="13068" u="1"/>
        <n v="4319" u="1"/>
        <n v="6336" u="1"/>
        <n v="12548" u="1"/>
        <n v="12028" u="1"/>
        <n v="14045" u="1"/>
        <n v="379" u="1"/>
        <n v="1485" u="1"/>
        <n v="7833" u="1"/>
        <n v="11508" u="1"/>
        <n v="13525" u="1"/>
        <n v="1420" u="1"/>
        <n v="7573" u="1"/>
        <n v="13005" u="1"/>
        <n v="1355" u="1"/>
        <n v="2679" u="1"/>
        <n v="7313" u="1"/>
        <n v="12485" u="1"/>
        <n v="14502" u="1"/>
        <n v="1290" u="1"/>
        <n v="2549" u="1"/>
        <n v="7053" u="1"/>
        <n v="11965" u="1"/>
        <n v="13982" u="1"/>
        <n v="1225" u="1"/>
        <n v="2419" u="1"/>
        <n v="4776" u="1"/>
        <n v="6793" u="1"/>
        <n v="13462" u="1"/>
        <n v="2289" u="1"/>
        <n v="4516" u="1"/>
        <n v="8908" u="1"/>
        <n v="12942" u="1"/>
        <n v="14959" u="1"/>
        <n v="21602" u="1"/>
        <n v="2159" u="1"/>
        <n v="4256" u="1"/>
        <n v="8388" u="1"/>
        <n v="12422" u="1"/>
        <n v="14439" u="1"/>
        <n v="4046" u="1"/>
        <n v="8030" u="1"/>
        <n v="13919" u="1"/>
        <n v="3916" u="1"/>
        <n v="7770" u="1"/>
        <n v="9365" u="1"/>
        <n v="13399" u="1"/>
        <n v="5493" u="1"/>
        <n v="7510" u="1"/>
        <n v="8845" u="1"/>
        <n v="14896" u="1"/>
        <n v="5233" u="1"/>
        <n v="8325" u="1"/>
        <n v="14376" u="1"/>
        <n v="897" u="1"/>
        <n v="4973" u="1"/>
        <n v="9822" u="1"/>
        <n v="13856" u="1"/>
        <n v="4713" u="1"/>
        <n v="9302" u="1"/>
        <n v="832" u="1"/>
        <n v="3266" u="1"/>
        <n v="4453" u="1"/>
        <n v="8782" u="1"/>
        <n v="14833" u="1"/>
        <n v="3136" u="1"/>
        <n v="8262" u="1"/>
        <n v="10279" u="1"/>
        <n v="14313" u="1"/>
        <n v="3006" u="1"/>
        <n v="5950" u="1"/>
        <n v="7967" u="1"/>
        <n v="9759" u="1"/>
        <n v="2876" u="1"/>
        <n v="5690" u="1"/>
        <n v="9239" u="1"/>
        <n v="2746" u="1"/>
        <n v="5430" u="1"/>
        <n v="10736" u="1"/>
        <n v="14770" u="1"/>
        <n v="5170" u="1"/>
        <n v="8199" u="1"/>
        <n v="10216" u="1"/>
        <n v="637" u="1"/>
        <n v="4910" u="1"/>
        <n v="9696" u="1"/>
        <n v="11713" u="1"/>
        <n v="6667" u="1"/>
        <n v="9176" u="1"/>
        <n v="11193" u="1"/>
        <n v="572" u="1"/>
        <n v="6407" u="1"/>
        <n v="10673" u="1"/>
        <n v="2096" u="1"/>
        <n v="6147" u="1"/>
        <n v="10153" u="1"/>
        <n v="12170" u="1"/>
        <n v="2007" u="1"/>
        <n v="5887" u="1"/>
        <n v="9633" u="1"/>
        <n v="11650" u="1"/>
        <n v="1942" u="1"/>
        <n v="3853" u="1"/>
        <n v="5627" u="1"/>
        <n v="11130" u="1"/>
        <n v="1877" u="1"/>
        <n v="3723" u="1"/>
        <n v="10610" u="1"/>
        <n v="12627" u="1"/>
        <n v="1812" u="1"/>
        <n v="3593" u="1"/>
        <n v="7124" u="1"/>
        <n v="10090" u="1"/>
        <n v="12107" u="1"/>
        <n v="3463" u="1"/>
        <n v="6864" u="1"/>
        <n v="11587" u="1"/>
        <n v="109" u="1"/>
        <n v="3333" u="1"/>
        <n v="6604" u="1"/>
        <n v="11067" u="1"/>
        <n v="13084" u="1"/>
        <n v="17852" u="1"/>
        <n v="412" u="1"/>
        <n v="6344" u="1"/>
        <n v="10547" u="1"/>
        <n v="12564" u="1"/>
        <n v="6084" u="1"/>
        <n v="12044" u="1"/>
        <n v="14061" u="1"/>
        <n v="7841" u="1"/>
        <n v="11524" u="1"/>
        <n v="13541" u="1"/>
        <n v="1422" u="1"/>
        <n v="7581" u="1"/>
        <n v="13021" u="1"/>
        <n v="1357" u="1"/>
        <n v="2683" u="1"/>
        <n v="7321" u="1"/>
        <n v="12501" u="1"/>
        <n v="14518" u="1"/>
        <n v="1292" u="1"/>
        <n v="2553" u="1"/>
        <n v="7061" u="1"/>
        <n v="11981" u="1"/>
        <n v="13998" u="1"/>
        <n v="1227" u="1"/>
        <n v="2423" u="1"/>
        <n v="4784" u="1"/>
        <n v="6801" u="1"/>
        <n v="13478" u="1"/>
        <n v="2293" u="1"/>
        <n v="4524" u="1"/>
        <n v="12958" u="1"/>
        <n v="14975" u="1"/>
        <n v="282" u="1"/>
        <n v="2163" u="1"/>
        <n v="4264" u="1"/>
        <n v="8404" u="1"/>
        <n v="12438" u="1"/>
        <n v="14455" u="1"/>
        <n v="4050" u="1"/>
        <n v="8038" u="1"/>
        <n v="13935" u="1"/>
        <n v="3920" u="1"/>
        <n v="7778" u="1"/>
        <n v="13415" u="1"/>
        <n v="22548" u="1"/>
        <n v="7518" u="1"/>
        <n v="8861" u="1"/>
        <n v="12895" u="1"/>
        <n v="14912" u="1"/>
        <n v="5241" u="1"/>
        <n v="7258" u="1"/>
        <n v="8341" u="1"/>
        <n v="14392" u="1"/>
        <n v="898" u="1"/>
        <n v="4981" u="1"/>
        <n v="9838" u="1"/>
        <n v="13872" u="1"/>
        <n v="4721" u="1"/>
        <n v="9318" u="1"/>
        <n v="833" u="1"/>
        <n v="3270" u="1"/>
        <n v="4461" u="1"/>
        <n v="8798" u="1"/>
        <n v="14849" u="1"/>
        <n v="3140" u="1"/>
        <n v="8278" u="1"/>
        <n v="10295" u="1"/>
        <n v="14329" u="1"/>
        <n v="3010" u="1"/>
        <n v="5958" u="1"/>
        <n v="7975" u="1"/>
        <n v="9775" u="1"/>
        <n v="2880" u="1"/>
        <n v="5698" u="1"/>
        <n v="9255" u="1"/>
        <n v="2750" u="1"/>
        <n v="5438" u="1"/>
        <n v="8735" u="1"/>
        <n v="10752" u="1"/>
        <n v="14786" u="1"/>
        <n v="5178" u="1"/>
        <n v="8215" u="1"/>
        <n v="10232" u="1"/>
        <n v="638" u="1"/>
        <n v="4918" u="1"/>
        <n v="9712" u="1"/>
        <n v="9192" u="1"/>
        <n v="11209" u="1"/>
        <n v="573" u="1"/>
        <n v="6415" u="1"/>
        <n v="8672" u="1"/>
        <n v="10689" u="1"/>
        <n v="6155" u="1"/>
        <n v="10169" u="1"/>
        <n v="12186" u="1"/>
        <n v="510" u="1"/>
        <n v="2009" u="1"/>
        <n v="5895" u="1"/>
        <n v="9649" u="1"/>
        <n v="11666" u="1"/>
        <n v="1944" u="1"/>
        <n v="3857" u="1"/>
        <n v="5635" u="1"/>
        <n v="11146" u="1"/>
        <n v="1879" u="1"/>
        <n v="3727" u="1"/>
        <n v="10626" u="1"/>
        <n v="12643" u="1"/>
        <n v="1814" u="1"/>
        <n v="3597" u="1"/>
        <n v="7132" u="1"/>
        <n v="10106" u="1"/>
        <n v="12123" u="1"/>
        <n v="3467" u="1"/>
        <n v="6872" u="1"/>
        <n v="11603" u="1"/>
        <n v="16907" u="1"/>
        <n v="3337" u="1"/>
        <n v="6612" u="1"/>
        <n v="11083" u="1"/>
        <n v="13100" u="1"/>
        <n v="6352" u="1"/>
        <n v="10563" u="1"/>
        <n v="12580" u="1"/>
        <n v="6092" u="1"/>
        <n v="12060" u="1"/>
        <n v="380" u="1"/>
        <n v="11540" u="1"/>
        <n v="13557" u="1"/>
        <n v="1424" u="1"/>
        <n v="7589" u="1"/>
        <n v="11020" u="1"/>
        <n v="13037" u="1"/>
        <n v="1359" u="1"/>
        <n v="7329" u="1"/>
        <n v="12517" u="1"/>
        <n v="14534" u="1"/>
        <n v="1294" u="1"/>
        <n v="2557" u="1"/>
        <n v="7069" u="1"/>
        <n v="11997" u="1"/>
        <n v="14014" u="1"/>
        <n v="1229" u="1"/>
        <n v="2427" u="1"/>
        <n v="4792" u="1"/>
        <n v="6809" u="1"/>
        <n v="13494" u="1"/>
        <n v="2297" u="1"/>
        <n v="4532" u="1"/>
        <n v="12974" u="1"/>
        <n v="14991" u="1"/>
        <n v="2167" u="1"/>
        <n v="4272" u="1"/>
        <n v="8420" u="1"/>
        <n v="12454" u="1"/>
        <n v="14471" u="1"/>
        <n v="4054" u="1"/>
        <n v="8046" u="1"/>
        <n v="13951" u="1"/>
        <n v="21603" u="1"/>
        <n v="253" u="1"/>
        <n v="3924" u="1"/>
        <n v="7786" u="1"/>
        <n v="13431" u="1"/>
        <n v="7526" u="1"/>
        <n v="8877" u="1"/>
        <n v="12911" u="1"/>
        <n v="14928" u="1"/>
        <n v="5249" u="1"/>
        <n v="7266" u="1"/>
        <n v="8357" u="1"/>
        <n v="14408" u="1"/>
        <n v="899" u="1"/>
        <n v="4989" u="1"/>
        <n v="13888" u="1"/>
        <n v="4729" u="1"/>
        <n v="9334" u="1"/>
        <n v="13368" u="1"/>
        <n v="834" u="1"/>
        <n v="4469" u="1"/>
        <n v="8814" u="1"/>
        <n v="14865" u="1"/>
        <n v="3144" u="1"/>
        <n v="4209" u="1"/>
        <n v="8294" u="1"/>
        <n v="10311" u="1"/>
        <n v="14345" u="1"/>
        <n v="3014" u="1"/>
        <n v="5966" u="1"/>
        <n v="7983" u="1"/>
        <n v="9791" u="1"/>
        <n v="188" u="1"/>
        <n v="2884" u="1"/>
        <n v="5706" u="1"/>
        <n v="9271" u="1"/>
        <n v="2754" u="1"/>
        <n v="5446" u="1"/>
        <n v="8751" u="1"/>
        <n v="10768" u="1"/>
        <n v="14802" u="1"/>
        <n v="2624" u="1"/>
        <n v="5186" u="1"/>
        <n v="8231" u="1"/>
        <n v="10248" u="1"/>
        <n v="4926" u="1"/>
        <n v="9728" u="1"/>
        <n v="9208" u="1"/>
        <n v="11225" u="1"/>
        <n v="574" u="1"/>
        <n v="6423" u="1"/>
        <n v="8688" u="1"/>
        <n v="10705" u="1"/>
        <n v="6163" u="1"/>
        <n v="10185" u="1"/>
        <n v="2011" u="1"/>
        <n v="5903" u="1"/>
        <n v="9665" u="1"/>
        <n v="11682" u="1"/>
        <n v="1946" u="1"/>
        <n v="5643" u="1"/>
        <n v="9145" u="1"/>
        <n v="11162" u="1"/>
        <n v="1881" u="1"/>
        <n v="3731" u="1"/>
        <n v="5383" u="1"/>
        <n v="10642" u="1"/>
        <n v="12659" u="1"/>
        <n v="1816" u="1"/>
        <n v="3601" u="1"/>
        <n v="7140" u="1"/>
        <n v="10122" u="1"/>
        <n v="12139" u="1"/>
        <n v="1751" u="1"/>
        <n v="3471" u="1"/>
        <n v="6880" u="1"/>
        <n v="11619" u="1"/>
        <n v="3341" u="1"/>
        <n v="6620" u="1"/>
        <n v="11099" u="1"/>
        <n v="13116" u="1"/>
        <n v="413" u="1"/>
        <n v="3211" u="1"/>
        <n v="6360" u="1"/>
        <n v="10579" u="1"/>
        <n v="12596" u="1"/>
        <n v="6100" u="1"/>
        <n v="12076" u="1"/>
        <n v="17853" u="1"/>
        <n v="11556" u="1"/>
        <n v="13573" u="1"/>
        <n v="1426" u="1"/>
        <n v="7597" u="1"/>
        <n v="11036" u="1"/>
        <n v="13053" u="1"/>
        <n v="348" u="1"/>
        <n v="1361" u="1"/>
        <n v="7337" u="1"/>
        <n v="12533" u="1"/>
        <n v="1296" u="1"/>
        <n v="2561" u="1"/>
        <n v="7077" u="1"/>
        <n v="12013" u="1"/>
        <n v="14030" u="1"/>
        <n v="1231" u="1"/>
        <n v="2431" u="1"/>
        <n v="6817" u="1"/>
        <n v="11493" u="1"/>
        <n v="13510" u="1"/>
        <n v="1166" u="1"/>
        <n v="2301" u="1"/>
        <n v="4540" u="1"/>
        <n v="6557" u="1"/>
        <n v="12990" u="1"/>
        <n v="15007" u="1"/>
        <n v="2171" u="1"/>
        <n v="4280" u="1"/>
        <n v="8436" u="1"/>
        <n v="12470" u="1"/>
        <n v="14487" u="1"/>
        <n v="4058" u="1"/>
        <n v="8054" u="1"/>
        <n v="13967" u="1"/>
        <n v="3928" u="1"/>
        <n v="7794" u="1"/>
        <n v="13447" u="1"/>
        <n v="3798" u="1"/>
        <n v="7534" u="1"/>
        <n v="8893" u="1"/>
        <n v="12927" u="1"/>
        <n v="14944" u="1"/>
        <n v="237" u="1"/>
        <n v="5257" u="1"/>
        <n v="7274" u="1"/>
        <n v="8373" u="1"/>
        <n v="14424" u="1"/>
        <n v="22549" u="1"/>
        <n v="900" u="1"/>
        <n v="4997" u="1"/>
        <n v="13904" u="1"/>
        <n v="4737" u="1"/>
        <n v="9350" u="1"/>
        <n v="13384" u="1"/>
        <n v="835" u="1"/>
        <n v="4477" u="1"/>
        <n v="8830" u="1"/>
        <n v="14881" u="1"/>
        <n v="3148" u="1"/>
        <n v="4217" u="1"/>
        <n v="8310" u="1"/>
        <n v="14361" u="1"/>
        <n v="3018" u="1"/>
        <n v="7991" u="1"/>
        <n v="9807" u="1"/>
        <n v="13841" u="1"/>
        <n v="2888" u="1"/>
        <n v="5714" u="1"/>
        <n v="7731" u="1"/>
        <n v="9287" u="1"/>
        <n v="2758" u="1"/>
        <n v="5454" u="1"/>
        <n v="8767" u="1"/>
        <n v="10784" u="1"/>
        <n v="14818" u="1"/>
        <n v="172" u="1"/>
        <n v="2628" u="1"/>
        <n v="5194" u="1"/>
        <n v="8247" u="1"/>
        <n v="10264" u="1"/>
        <n v="14298" u="1"/>
        <n v="4934" u="1"/>
        <n v="9744" u="1"/>
        <n v="4674" u="1"/>
        <n v="9224" u="1"/>
        <n v="11241" u="1"/>
        <n v="575" u="1"/>
        <n v="6431" u="1"/>
        <n v="8704" u="1"/>
        <n v="10721" u="1"/>
        <n v="6171" u="1"/>
        <n v="10201" u="1"/>
        <n v="511" u="1"/>
        <n v="2013" u="1"/>
        <n v="5911" u="1"/>
        <n v="9681" u="1"/>
        <n v="11698" u="1"/>
        <n v="1948" u="1"/>
        <n v="5651" u="1"/>
        <n v="9161" u="1"/>
        <n v="11178" u="1"/>
        <n v="1883" u="1"/>
        <n v="3735" u="1"/>
        <n v="5391" u="1"/>
        <n v="10658" u="1"/>
        <n v="1818" u="1"/>
        <n v="3605" u="1"/>
        <n v="10138" u="1"/>
        <n v="12155" u="1"/>
        <n v="1753" u="1"/>
        <n v="3475" u="1"/>
        <n v="6888" u="1"/>
        <n v="9618" u="1"/>
        <n v="11635" u="1"/>
        <n v="3345" u="1"/>
        <n v="6628" u="1"/>
        <n v="11115" u="1"/>
        <n v="13132" u="1"/>
        <n v="3215" u="1"/>
        <n v="6368" u="1"/>
        <n v="10595" u="1"/>
        <n v="12612" u="1"/>
        <n v="16908" u="1"/>
        <n v="6108" u="1"/>
        <n v="10075" u="1"/>
        <n v="12092" u="1"/>
        <n v="381" u="1"/>
        <n v="5848" u="1"/>
        <n v="11572" u="1"/>
        <n v="13589" u="1"/>
        <n v="7605" u="1"/>
        <n v="11052" u="1"/>
        <n v="13069" u="1"/>
        <n v="1363" u="1"/>
        <n v="7345" u="1"/>
        <n v="12549" u="1"/>
        <n v="1298" u="1"/>
        <n v="2565" u="1"/>
        <n v="7085" u="1"/>
        <n v="12029" u="1"/>
        <n v="14046" u="1"/>
        <n v="1233" u="1"/>
        <n v="2435" u="1"/>
        <n v="6825" u="1"/>
        <n v="11509" u="1"/>
        <n v="13526" u="1"/>
        <n v="1168" u="1"/>
        <n v="2305" u="1"/>
        <n v="4548" u="1"/>
        <n v="6565" u="1"/>
        <n v="13006" u="1"/>
        <n v="2175" u="1"/>
        <n v="4288" u="1"/>
        <n v="12486" u="1"/>
        <n v="14503" u="1"/>
        <n v="4062" u="1"/>
        <n v="8062" u="1"/>
        <n v="11966" u="1"/>
        <n v="13983" u="1"/>
        <n v="3932" u="1"/>
        <n v="7802" u="1"/>
        <n v="13463" u="1"/>
        <n v="3802" u="1"/>
        <n v="7542" u="1"/>
        <n v="12943" u="1"/>
        <n v="14960" u="1"/>
        <n v="21604" u="1"/>
        <n v="7282" u="1"/>
        <n v="8389" u="1"/>
        <n v="12423" u="1"/>
        <n v="14440" u="1"/>
        <n v="901" u="1"/>
        <n v="5005" u="1"/>
        <n v="7022" u="1"/>
        <n v="13920" u="1"/>
        <n v="4745" u="1"/>
        <n v="9366" u="1"/>
        <n v="13400" u="1"/>
        <n v="836" u="1"/>
        <n v="4485" u="1"/>
        <n v="8846" u="1"/>
        <n v="14897" u="1"/>
        <n v="3152" u="1"/>
        <n v="4225" u="1"/>
        <n v="8326" u="1"/>
        <n v="14377" u="1"/>
        <n v="771" u="1"/>
        <n v="3022" u="1"/>
        <n v="7999" u="1"/>
        <n v="9823" u="1"/>
        <n v="13857" u="1"/>
        <n v="2892" u="1"/>
        <n v="5722" u="1"/>
        <n v="7739" u="1"/>
        <n v="9303" u="1"/>
        <n v="2762" u="1"/>
        <n v="5462" u="1"/>
        <n v="8783" u="1"/>
        <n v="14834" u="1"/>
        <n v="2632" u="1"/>
        <n v="5202" u="1"/>
        <n v="8263" u="1"/>
        <n v="10280" u="1"/>
        <n v="14314" u="1"/>
        <n v="4942" u="1"/>
        <n v="9760" u="1"/>
        <n v="156" u="1"/>
        <n v="4682" u="1"/>
        <n v="9240" u="1"/>
        <n v="576" u="1"/>
        <n v="8720" u="1"/>
        <n v="10737" u="1"/>
        <n v="14771" u="1"/>
        <n v="6179" u="1"/>
        <n v="8200" u="1"/>
        <n v="10217" u="1"/>
        <n v="5919" u="1"/>
        <n v="9697" u="1"/>
        <n v="11714" u="1"/>
        <n v="1950" u="1"/>
        <n v="5659" u="1"/>
        <n v="9177" u="1"/>
        <n v="11194" u="1"/>
        <n v="1885" u="1"/>
        <n v="3739" u="1"/>
        <n v="5399" u="1"/>
        <n v="10674" u="1"/>
        <n v="1820" u="1"/>
        <n v="3609" u="1"/>
        <n v="10154" u="1"/>
        <n v="12171" u="1"/>
        <n v="1755" u="1"/>
        <n v="3479" u="1"/>
        <n v="6896" u="1"/>
        <n v="9634" u="1"/>
        <n v="11651" u="1"/>
        <n v="3349" u="1"/>
        <n v="6636" u="1"/>
        <n v="11131" u="1"/>
        <n v="414" u="1"/>
        <n v="3219" u="1"/>
        <n v="6376" u="1"/>
        <n v="10611" u="1"/>
        <n v="12628" u="1"/>
        <n v="6116" u="1"/>
        <n v="10091" u="1"/>
        <n v="12108" u="1"/>
        <n v="5856" u="1"/>
        <n v="11588" u="1"/>
        <n v="11068" u="1"/>
        <n v="13085" u="1"/>
        <n v="17854" u="1"/>
        <n v="349" u="1"/>
        <n v="1365" u="1"/>
        <n v="7353" u="1"/>
        <n v="10548" u="1"/>
        <n v="12565" u="1"/>
        <n v="1300" u="1"/>
        <n v="7093" u="1"/>
        <n v="12045" u="1"/>
        <n v="14062" u="1"/>
        <n v="1235" u="1"/>
        <n v="2439" u="1"/>
        <n v="6833" u="1"/>
        <n v="11525" u="1"/>
        <n v="13542" u="1"/>
        <n v="77" u="1"/>
        <n v="1170" u="1"/>
        <n v="2309" u="1"/>
        <n v="4556" u="1"/>
        <n v="6573" u="1"/>
        <n v="13022" u="1"/>
        <n v="1105" u="1"/>
        <n v="2179" u="1"/>
        <n v="4296" u="1"/>
        <n v="12502" u="1"/>
        <n v="14519" u="1"/>
        <n v="2049" u="1"/>
        <n v="4066" u="1"/>
        <n v="8070" u="1"/>
        <n v="11982" u="1"/>
        <n v="13999" u="1"/>
        <n v="3936" u="1"/>
        <n v="7810" u="1"/>
        <n v="13479" u="1"/>
        <n v="3806" u="1"/>
        <n v="7550" u="1"/>
        <n v="12959" u="1"/>
        <n v="14976" u="1"/>
        <n v="7290" u="1"/>
        <n v="8405" u="1"/>
        <n v="12439" u="1"/>
        <n v="14456" u="1"/>
        <n v="902" u="1"/>
        <n v="5013" u="1"/>
        <n v="7030" u="1"/>
        <n v="13936" u="1"/>
        <n v="4753" u="1"/>
        <n v="13416" u="1"/>
        <n v="837" u="1"/>
        <n v="4493" u="1"/>
        <n v="8862" u="1"/>
        <n v="12896" u="1"/>
        <n v="14913" u="1"/>
        <n v="4233" u="1"/>
        <n v="8342" u="1"/>
        <n v="14393" u="1"/>
        <n v="772" u="1"/>
        <n v="3026" u="1"/>
        <n v="8007" u="1"/>
        <n v="9839" u="1"/>
        <n v="13873" u="1"/>
        <n v="2896" u="1"/>
        <n v="5730" u="1"/>
        <n v="7747" u="1"/>
        <n v="9319" u="1"/>
        <n v="2766" u="1"/>
        <n v="5470" u="1"/>
        <n v="8799" u="1"/>
        <n v="14850" u="1"/>
        <n v="2636" u="1"/>
        <n v="5210" u="1"/>
        <n v="8279" u="1"/>
        <n v="10296" u="1"/>
        <n v="14330" u="1"/>
        <n v="4950" u="1"/>
        <n v="9776" u="1"/>
        <n v="4690" u="1"/>
        <n v="9256" u="1"/>
        <n v="577" u="1"/>
        <n v="8736" u="1"/>
        <n v="10753" u="1"/>
        <n v="14787" u="1"/>
        <n v="6187" u="1"/>
        <n v="8216" u="1"/>
        <n v="10233" u="1"/>
        <n v="512" u="1"/>
        <n v="5927" u="1"/>
        <n v="9713" u="1"/>
        <n v="1952" u="1"/>
        <n v="5667" u="1"/>
        <n v="9193" u="1"/>
        <n v="11210" u="1"/>
        <n v="1887" u="1"/>
        <n v="5407" u="1"/>
        <n v="8673" u="1"/>
        <n v="10690" u="1"/>
        <n v="1822" u="1"/>
        <n v="3613" u="1"/>
        <n v="5147" u="1"/>
        <n v="10170" u="1"/>
        <n v="12187" u="1"/>
        <n v="1757" u="1"/>
        <n v="3483" u="1"/>
        <n v="6904" u="1"/>
        <n v="9650" u="1"/>
        <n v="11667" u="1"/>
        <n v="1692" u="1"/>
        <n v="3353" u="1"/>
        <n v="6644" u="1"/>
        <n v="11147" u="1"/>
        <n v="3223" u="1"/>
        <n v="6384" u="1"/>
        <n v="10627" u="1"/>
        <n v="12644" u="1"/>
        <n v="6124" u="1"/>
        <n v="10107" u="1"/>
        <n v="12124" u="1"/>
        <n v="382" u="1"/>
        <n v="5864" u="1"/>
        <n v="11604" u="1"/>
        <n v="16909" u="1"/>
        <n v="11084" u="1"/>
        <n v="13101" u="1"/>
        <n v="1367" u="1"/>
        <n v="7361" u="1"/>
        <n v="10564" u="1"/>
        <n v="12581" u="1"/>
        <n v="1302" u="1"/>
        <n v="7101" u="1"/>
        <n v="12061" u="1"/>
        <n v="1237" u="1"/>
        <n v="2443" u="1"/>
        <n v="6841" u="1"/>
        <n v="11541" u="1"/>
        <n v="13558" u="1"/>
        <n v="1172" u="1"/>
        <n v="2313" u="1"/>
        <n v="6581" u="1"/>
        <n v="11021" u="1"/>
        <n v="13038" u="1"/>
        <n v="1107" u="1"/>
        <n v="2183" u="1"/>
        <n v="4304" u="1"/>
        <n v="6321" u="1"/>
        <n v="12518" u="1"/>
        <n v="14535" u="1"/>
        <n v="2053" u="1"/>
        <n v="4070" u="1"/>
        <n v="8078" u="1"/>
        <n v="11998" u="1"/>
        <n v="14015" u="1"/>
        <n v="254" u="1"/>
        <n v="3940" u="1"/>
        <n v="7818" u="1"/>
        <n v="13495" u="1"/>
        <n v="3810" u="1"/>
        <n v="7558" u="1"/>
        <n v="12975" u="1"/>
        <n v="14992" u="1"/>
        <n v="7298" u="1"/>
        <n v="8421" u="1"/>
        <n v="12455" u="1"/>
        <n v="14472" u="1"/>
        <n v="5021" u="1"/>
        <n v="7038" u="1"/>
        <n v="13952" u="1"/>
        <n v="21605" u="1"/>
        <n v="4761" u="1"/>
        <n v="13432" u="1"/>
        <n v="838" u="1"/>
        <n v="4501" u="1"/>
        <n v="8878" u="1"/>
        <n v="12912" u="1"/>
        <n v="14929" u="1"/>
        <n v="4241" u="1"/>
        <n v="8358" u="1"/>
        <n v="14409" u="1"/>
        <n v="773" u="1"/>
        <n v="3030" u="1"/>
        <n v="8015" u="1"/>
        <n v="13889" u="1"/>
        <n v="2900" u="1"/>
        <n v="7755" u="1"/>
        <n v="9335" u="1"/>
        <n v="13369" u="1"/>
        <n v="2770" u="1"/>
        <n v="5478" u="1"/>
        <n v="7495" u="1"/>
        <n v="8815" u="1"/>
        <n v="14866" u="1"/>
        <n v="2640" u="1"/>
        <n v="5218" u="1"/>
        <n v="8295" u="1"/>
        <n v="10312" u="1"/>
        <n v="14346" u="1"/>
        <n v="2510" u="1"/>
        <n v="4958" u="1"/>
        <n v="9792" u="1"/>
        <n v="4698" u="1"/>
        <n v="9272" u="1"/>
        <n v="578" u="1"/>
        <n v="4438" u="1"/>
        <n v="8752" u="1"/>
        <n v="10769" u="1"/>
        <n v="14803" u="1"/>
        <n v="6195" u="1"/>
        <n v="8232" u="1"/>
        <n v="10249" u="1"/>
        <n v="513" u="1"/>
        <n v="5935" u="1"/>
        <n v="9729" u="1"/>
        <n v="1954" u="1"/>
        <n v="5675" u="1"/>
        <n v="9209" u="1"/>
        <n v="11226" u="1"/>
        <n v="480" u="1"/>
        <n v="1889" u="1"/>
        <n v="5415" u="1"/>
        <n v="8689" u="1"/>
        <n v="10706" u="1"/>
        <n v="1824" u="1"/>
        <n v="3617" u="1"/>
        <n v="5155" u="1"/>
        <n v="10186" u="1"/>
        <n v="1759" u="1"/>
        <n v="3487" u="1"/>
        <n v="9666" u="1"/>
        <n v="11683" u="1"/>
        <n v="1694" u="1"/>
        <n v="3357" u="1"/>
        <n v="6652" u="1"/>
        <n v="9146" u="1"/>
        <n v="11163" u="1"/>
        <n v="3227" u="1"/>
        <n v="6392" u="1"/>
        <n v="10643" u="1"/>
        <n v="12660" u="1"/>
        <n v="3097" u="1"/>
        <n v="6132" u="1"/>
        <n v="10123" u="1"/>
        <n v="12140" u="1"/>
        <n v="5872" u="1"/>
        <n v="11620" u="1"/>
        <n v="5612" u="1"/>
        <n v="11100" u="1"/>
        <n v="13117" u="1"/>
        <n v="350" u="1"/>
        <n v="7369" u="1"/>
        <n v="10580" u="1"/>
        <n v="12597" u="1"/>
        <n v="1304" u="1"/>
        <n v="7109" u="1"/>
        <n v="12077" u="1"/>
        <n v="1239" u="1"/>
        <n v="2447" u="1"/>
        <n v="6849" u="1"/>
        <n v="11557" u="1"/>
        <n v="13574" u="1"/>
        <n v="1174" u="1"/>
        <n v="2317" u="1"/>
        <n v="6589" u="1"/>
        <n v="11037" u="1"/>
        <n v="13054" u="1"/>
        <n v="1109" u="1"/>
        <n v="2187" u="1"/>
        <n v="4312" u="1"/>
        <n v="6329" u="1"/>
        <n v="12534" u="1"/>
        <n v="2057" u="1"/>
        <n v="4074" u="1"/>
        <n v="12014" u="1"/>
        <n v="14031" u="1"/>
        <n v="3944" u="1"/>
        <n v="7826" u="1"/>
        <n v="11494" u="1"/>
        <n v="13511" u="1"/>
        <n v="3814" u="1"/>
        <n v="7566" u="1"/>
        <n v="12991" u="1"/>
        <n v="15008" u="1"/>
        <n v="238" u="1"/>
        <n v="3684" u="1"/>
        <n v="7306" u="1"/>
        <n v="8437" u="1"/>
        <n v="12471" u="1"/>
        <n v="14488" u="1"/>
        <n v="5029" u="1"/>
        <n v="7046" u="1"/>
        <n v="11951" u="1"/>
        <n v="13968" u="1"/>
        <n v="4769" u="1"/>
        <n v="6786" u="1"/>
        <n v="13448" u="1"/>
        <n v="839" u="1"/>
        <n v="4509" u="1"/>
        <n v="8894" u="1"/>
        <n v="12928" u="1"/>
        <n v="14945" u="1"/>
        <n v="4249" u="1"/>
        <n v="8374" u="1"/>
        <n v="14425" u="1"/>
        <n v="774" u="1"/>
        <n v="3034" u="1"/>
        <n v="8023" u="1"/>
        <n v="13905" u="1"/>
        <n v="2904" u="1"/>
        <n v="7763" u="1"/>
        <n v="9351" u="1"/>
        <n v="13385" u="1"/>
        <n v="2774" u="1"/>
        <n v="5486" u="1"/>
        <n v="7503" u="1"/>
        <n v="8831" u="1"/>
        <n v="14882" u="1"/>
        <n v="173" u="1"/>
        <n v="2644" u="1"/>
        <n v="5226" u="1"/>
        <n v="8311" u="1"/>
        <n v="14362" u="1"/>
        <n v="2514" u="1"/>
        <n v="4966" u="1"/>
        <n v="9808" u="1"/>
        <n v="13842" u="1"/>
        <n v="4706" u="1"/>
        <n v="9288" u="1"/>
        <n v="579" u="1"/>
        <n v="4446" u="1"/>
        <n v="8768" u="1"/>
        <n v="10785" u="1"/>
        <n v="14819" u="1"/>
        <n v="8248" u="1"/>
        <n v="10265" u="1"/>
        <n v="14299" u="1"/>
        <n v="514" u="1"/>
        <n v="5943" u="1"/>
        <n v="7960" u="1"/>
        <n v="9745" u="1"/>
        <n v="5683" u="1"/>
        <n v="9225" u="1"/>
        <n v="11242" u="1"/>
        <n v="1891" u="1"/>
        <n v="5423" u="1"/>
        <n v="8705" u="1"/>
        <n v="10722" u="1"/>
        <n v="1826" u="1"/>
        <n v="3621" u="1"/>
        <n v="5163" u="1"/>
        <n v="10202" u="1"/>
        <n v="1761" u="1"/>
        <n v="3491" u="1"/>
        <n v="9682" u="1"/>
        <n v="11699" u="1"/>
        <n v="1696" u="1"/>
        <n v="3361" u="1"/>
        <n v="6660" u="1"/>
        <n v="9162" u="1"/>
        <n v="11179" u="1"/>
        <n v="3231" u="1"/>
        <n v="6400" u="1"/>
        <n v="10659" u="1"/>
        <n v="3101" u="1"/>
        <n v="6140" u="1"/>
        <n v="10139" u="1"/>
        <n v="12156" u="1"/>
        <n v="383" u="1"/>
        <n v="5880" u="1"/>
        <n v="9619" u="1"/>
        <n v="11636" u="1"/>
        <n v="5620" u="1"/>
        <n v="11116" u="1"/>
        <n v="13133" u="1"/>
        <n v="10596" u="1"/>
        <n v="12613" u="1"/>
        <n v="16910" u="1"/>
        <n v="1306" u="1"/>
        <n v="7117" u="1"/>
        <n v="10076" u="1"/>
        <n v="12093" u="1"/>
        <n v="1241" u="1"/>
        <n v="6857" u="1"/>
        <n v="11573" u="1"/>
        <n v="13590" u="1"/>
        <n v="1176" u="1"/>
        <n v="2321" u="1"/>
        <n v="6597" u="1"/>
        <n v="11053" u="1"/>
        <n v="13070" u="1"/>
        <n v="1111" u="1"/>
        <n v="2191" u="1"/>
        <n v="4320" u="1"/>
        <n v="6337" u="1"/>
        <n v="12550" u="1"/>
        <n v="1046" u="1"/>
        <n v="2061" u="1"/>
        <n v="4078" u="1"/>
        <n v="12030" u="1"/>
        <n v="14047" u="1"/>
        <n v="3948" u="1"/>
        <n v="7834" u="1"/>
        <n v="11510" u="1"/>
        <n v="13527" u="1"/>
        <n v="3818" u="1"/>
        <n v="7574" u="1"/>
        <n v="13007" u="1"/>
        <n v="3688" u="1"/>
        <n v="7314" u="1"/>
        <n v="12487" u="1"/>
        <n v="14504" u="1"/>
        <n v="7054" u="1"/>
        <n v="11967" u="1"/>
        <n v="13984" u="1"/>
        <n v="222" u="1"/>
        <n v="4777" u="1"/>
        <n v="6794" u="1"/>
        <n v="13464" u="1"/>
        <n v="840" u="1"/>
        <n v="4517" u="1"/>
        <n v="12944" u="1"/>
        <n v="14961" u="1"/>
        <n v="21606" u="1"/>
        <n v="4257" u="1"/>
        <n v="8390" u="1"/>
        <n v="12424" u="1"/>
        <n v="14441" u="1"/>
        <n v="775" u="1"/>
        <n v="8031" u="1"/>
        <n v="13921" u="1"/>
        <n v="2908" u="1"/>
        <n v="7771" u="1"/>
        <n v="9367" u="1"/>
        <n v="13401" u="1"/>
        <n v="2778" u="1"/>
        <n v="5494" u="1"/>
        <n v="7511" u="1"/>
        <n v="8847" u="1"/>
        <n v="14898" u="1"/>
        <n v="2648" u="1"/>
        <n v="5234" u="1"/>
        <n v="8327" u="1"/>
        <n v="14378" u="1"/>
        <n v="2518" u="1"/>
        <n v="4974" u="1"/>
        <n v="9824" u="1"/>
        <n v="13858" u="1"/>
        <n v="157" u="1"/>
        <n v="4714" u="1"/>
        <n v="9304" u="1"/>
        <n v="580" u="1"/>
        <n v="4454" u="1"/>
        <n v="8784" u="1"/>
        <n v="14835" u="1"/>
        <n v="8264" u="1"/>
        <n v="10281" u="1"/>
        <n v="14315" u="1"/>
        <n v="515" u="1"/>
        <n v="5951" u="1"/>
        <n v="7968" u="1"/>
        <n v="9761" u="1"/>
        <n v="5691" u="1"/>
        <n v="9241" u="1"/>
        <n v="481" u="1"/>
        <n v="1893" u="1"/>
        <n v="5431" u="1"/>
        <n v="8721" u="1"/>
        <n v="10738" u="1"/>
        <n v="14772" u="1"/>
        <n v="1828" u="1"/>
        <n v="5171" u="1"/>
        <n v="8201" u="1"/>
        <n v="10218" u="1"/>
        <n v="1763" u="1"/>
        <n v="3495" u="1"/>
        <n v="4911" u="1"/>
        <n v="9698" u="1"/>
        <n v="11715" u="1"/>
        <n v="110" u="1"/>
        <n v="1698" u="1"/>
        <n v="3365" u="1"/>
        <n v="6668" u="1"/>
        <n v="9178" u="1"/>
        <n v="11195" u="1"/>
        <n v="1633" u="1"/>
        <n v="3235" u="1"/>
        <n v="6408" u="1"/>
        <n v="10675" u="1"/>
        <n v="3105" u="1"/>
        <n v="6148" u="1"/>
        <n v="10155" u="1"/>
        <n v="12172" u="1"/>
        <n v="5888" u="1"/>
        <n v="9635" u="1"/>
        <n v="11652" u="1"/>
        <n v="5628" u="1"/>
        <n v="11132" u="1"/>
        <n v="351" u="1"/>
        <n v="10612" u="1"/>
        <n v="12629" u="1"/>
        <n v="1308" u="1"/>
        <n v="7125" u="1"/>
        <n v="10092" u="1"/>
        <n v="12109" u="1"/>
        <n v="1243" u="1"/>
        <n v="6865" u="1"/>
        <n v="11589" u="1"/>
        <n v="1178" u="1"/>
        <n v="2325" u="1"/>
        <n v="6605" u="1"/>
        <n v="11069" u="1"/>
        <n v="13086" u="1"/>
        <n v="1113" u="1"/>
        <n v="2195" u="1"/>
        <n v="6345" u="1"/>
        <n v="10549" u="1"/>
        <n v="12566" u="1"/>
        <n v="1048" u="1"/>
        <n v="2065" u="1"/>
        <n v="4082" u="1"/>
        <n v="6085" u="1"/>
        <n v="12046" u="1"/>
        <n v="14063" u="1"/>
        <n v="3952" u="1"/>
        <n v="7842" u="1"/>
        <n v="11526" u="1"/>
        <n v="13543" u="1"/>
        <n v="3822" u="1"/>
        <n v="7582" u="1"/>
        <n v="13023" u="1"/>
        <n v="3692" u="1"/>
        <n v="7322" u="1"/>
        <n v="12503" u="1"/>
        <n v="14520" u="1"/>
        <n v="7062" u="1"/>
        <n v="11983" u="1"/>
        <n v="14000" u="1"/>
        <n v="4785" u="1"/>
        <n v="6802" u="1"/>
        <n v="13480" u="1"/>
        <n v="841" u="1"/>
        <n v="4525" u="1"/>
        <n v="12960" u="1"/>
        <n v="14977" u="1"/>
        <n v="4265" u="1"/>
        <n v="8406" u="1"/>
        <n v="12440" u="1"/>
        <n v="14457" u="1"/>
        <n v="776" u="1"/>
        <n v="8039" u="1"/>
        <n v="13937" u="1"/>
        <n v="2912" u="1"/>
        <n v="7779" u="1"/>
        <n v="13417" u="1"/>
        <n v="2782" u="1"/>
        <n v="7519" u="1"/>
        <n v="8863" u="1"/>
        <n v="12897" u="1"/>
        <n v="14914" u="1"/>
        <n v="2652" u="1"/>
        <n v="5242" u="1"/>
        <n v="7259" u="1"/>
        <n v="8343" u="1"/>
        <n v="14394" u="1"/>
        <n v="2522" u="1"/>
        <n v="4982" u="1"/>
        <n v="9840" u="1"/>
        <n v="13874" u="1"/>
        <n v="2392" u="1"/>
        <n v="4722" u="1"/>
        <n v="9320" u="1"/>
        <n v="4462" u="1"/>
        <n v="8800" u="1"/>
        <n v="14851" u="1"/>
        <n v="141" u="1"/>
        <n v="8280" u="1"/>
        <n v="10297" u="1"/>
        <n v="14331" u="1"/>
        <n v="516" u="1"/>
        <n v="5959" u="1"/>
        <n v="7976" u="1"/>
        <n v="9777" u="1"/>
        <n v="5699" u="1"/>
        <n v="9257" u="1"/>
        <n v="1895" u="1"/>
        <n v="5439" u="1"/>
        <n v="8737" u="1"/>
        <n v="10754" u="1"/>
        <n v="14788" u="1"/>
        <n v="1830" u="1"/>
        <n v="5179" u="1"/>
        <n v="8217" u="1"/>
        <n v="10234" u="1"/>
        <n v="1765" u="1"/>
        <n v="3499" u="1"/>
        <n v="4919" u="1"/>
        <n v="9714" u="1"/>
        <n v="1700" u="1"/>
        <n v="3369" u="1"/>
        <n v="9194" u="1"/>
        <n v="11211" u="1"/>
        <n v="1635" u="1"/>
        <n v="3239" u="1"/>
        <n v="6416" u="1"/>
        <n v="8674" u="1"/>
        <n v="10691" u="1"/>
        <n v="102" u="1"/>
        <n v="3109" u="1"/>
        <n v="6156" u="1"/>
        <n v="10171" u="1"/>
        <n v="12188" u="1"/>
        <n v="384" u="1"/>
        <n v="2979" u="1"/>
        <n v="5896" u="1"/>
        <n v="9651" u="1"/>
        <n v="11668" u="1"/>
        <n v="5636" u="1"/>
        <n v="11148" u="1"/>
        <n v="10628" u="1"/>
        <n v="12645" u="1"/>
        <n v="1310" u="1"/>
        <n v="7133" u="1"/>
        <n v="10108" u="1"/>
        <n v="12125" u="1"/>
        <n v="319" u="1"/>
        <n v="1245" u="1"/>
        <n v="6873" u="1"/>
        <n v="11605" u="1"/>
        <n v="16911" u="1"/>
        <n v="1180" u="1"/>
        <n v="2329" u="1"/>
        <n v="6613" u="1"/>
        <n v="11085" u="1"/>
        <n v="13102" u="1"/>
        <n v="1115" u="1"/>
        <n v="2199" u="1"/>
        <n v="6353" u="1"/>
        <n v="10565" u="1"/>
        <n v="12582" u="1"/>
        <n v="1050" u="1"/>
        <n v="2069" u="1"/>
        <n v="4086" u="1"/>
        <n v="6093" u="1"/>
        <n v="12062" u="1"/>
        <n v="3956" u="1"/>
        <n v="11542" u="1"/>
        <n v="13559" u="1"/>
        <n v="3826" u="1"/>
        <n v="7590" u="1"/>
        <n v="11022" u="1"/>
        <n v="13039" u="1"/>
        <n v="3696" u="1"/>
        <n v="7330" u="1"/>
        <n v="12519" u="1"/>
        <n v="14536" u="1"/>
        <n v="3566" u="1"/>
        <n v="7070" u="1"/>
        <n v="11999" u="1"/>
        <n v="14016" u="1"/>
        <n v="4793" u="1"/>
        <n v="6810" u="1"/>
        <n v="13496" u="1"/>
        <n v="842" u="1"/>
        <n v="4533" u="1"/>
        <n v="12976" u="1"/>
        <n v="14993" u="1"/>
        <n v="4273" u="1"/>
        <n v="8422" u="1"/>
        <n v="12456" u="1"/>
        <n v="14473" u="1"/>
        <n v="777" u="1"/>
        <n v="8047" u="1"/>
        <n v="13953" u="1"/>
        <n v="21607" u="1"/>
        <n v="2916" u="1"/>
        <n v="7787" u="1"/>
        <n v="13433" u="1"/>
        <n v="712" u="1"/>
        <n v="2786" u="1"/>
        <n v="7527" u="1"/>
        <n v="8879" u="1"/>
        <n v="12913" u="1"/>
        <n v="14930" u="1"/>
        <n v="2656" u="1"/>
        <n v="5250" u="1"/>
        <n v="7267" u="1"/>
        <n v="8359" u="1"/>
        <n v="14410" u="1"/>
        <n v="2526" u="1"/>
        <n v="4990" u="1"/>
        <n v="13890" u="1"/>
        <n v="2396" u="1"/>
        <n v="4730" u="1"/>
        <n v="9336" u="1"/>
        <n v="13370" u="1"/>
      </sharedItems>
    </cacheField>
    <cacheField name="POSLABEL" numFmtId="0" sqlType="12">
      <sharedItems containsBlank="1" count="80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9999-99-99-99:99"/>
        <s v="2018-07-27-23:00"/>
        <s v="2018-07-30-00:00"/>
        <s v="2018-07-30-01:00"/>
        <s v="2018-07-30-02:00"/>
        <s v="2018-07-30-03:00"/>
        <s v="2018-07-30-04:00"/>
        <s v="2018-07-30-05:00"/>
        <s v="2018-07-30-06:00"/>
        <s v="2018-07-30-07:00"/>
        <s v="2018-07-30-08:00"/>
        <s v="2018-07-30-09:00"/>
        <s v="2018-07-30-10:00"/>
        <s v="2018-07-30-11:00"/>
        <s v="2018-07-30-12:00"/>
        <s v="2018-07-30-13:00"/>
        <s v="2018-07-30-14:00"/>
        <s v="2018-07-30-15:00"/>
        <s v="2018-07-30-16:00"/>
        <s v="2018-07-30-17:00"/>
        <s v="2018-07-30-18:00"/>
        <s v="2018-07-30-19:00"/>
        <s v="2018-07-30-20:00"/>
        <s v="2018-07-30-21:00"/>
        <s v="2018-07-30-22:00"/>
        <m u="1"/>
        <s v="2016-01-31-19:00" u="1"/>
        <s v="2016-03-31-19:00" u="1"/>
        <s v="2016-05-31-19:00" u="1"/>
        <s v="2016-07-31-19:00" u="1"/>
        <s v="2016-08-31-19:00" u="1"/>
        <s v="2016-10-31-19:00" u="1"/>
        <s v="2017-02-21-19:00" u="1"/>
        <s v="2017-03-21-19:00" u="1"/>
        <s v="2017-05-21-19:00" u="1"/>
        <s v="2017-06-21-19:00" u="1"/>
        <s v="2017-08-21-19:00" u="1"/>
        <s v="2017-09-21-19:00" u="1"/>
        <s v="2017-11-21-19:00" u="1"/>
        <s v="2017-12-21-19:00" u="1"/>
        <s v="2018-01-11-19:00" u="1"/>
        <s v="2018-01-31-18:00" u="1"/>
        <s v="2018-02-11-19:00" u="1"/>
        <s v="2018-03-11-19:00" u="1"/>
        <s v="2018-04-11-19:00" u="1"/>
        <s v="2016-03-30-19:00" u="1"/>
        <s v="2016-05-30-19:00" u="1"/>
        <s v="2016-06-30-19:00" u="1"/>
        <s v="2016-08-30-19:00" u="1"/>
        <s v="2016-10-30-19:00" u="1"/>
        <s v="2016-11-30-19:00" u="1"/>
        <s v="2017-02-20-19:00" u="1"/>
        <s v="2017-03-20-19:00" u="1"/>
        <s v="2017-04-20-19:00" u="1"/>
        <s v="2017-06-20-19:00" u="1"/>
        <s v="2017-07-20-19:00" u="1"/>
        <s v="2017-08-20-19:00" u="1"/>
        <s v="2017-09-20-19:00" u="1"/>
        <s v="2017-11-20-19:00" u="1"/>
        <s v="2017-12-20-19:00" u="1"/>
        <s v="2018-01-10-19:00" u="1"/>
        <s v="2018-01-30-18:00" u="1"/>
        <s v="2018-04-10-19:00" u="1"/>
        <s v="2018-04-30-18:00" u="1"/>
        <s v="2018-05-10-19:00" u="1"/>
        <s v="2017-01-31-19:00" u="1"/>
        <s v="2017-05-31-19:00" u="1"/>
        <s v="2017-07-31-19:00" u="1"/>
        <s v="2017-08-31-19:00" u="1"/>
        <s v="2017-10-31-19:00" u="1"/>
        <s v="2018-01-21-19:00" u="1"/>
        <s v="2018-02-21-19:00" u="1"/>
        <s v="2018-03-21-19:00" u="1"/>
        <s v="2018-05-21-19:00" u="1"/>
        <s v="2017-01-30-19:00" u="1"/>
        <s v="2017-03-30-19:00" u="1"/>
        <s v="2017-04-30-19:00" u="1"/>
        <s v="2017-05-30-19:00" u="1"/>
        <s v="2017-07-30-19:00" u="1"/>
        <s v="2017-08-30-19:00" u="1"/>
        <s v="2017-10-30-19:00" u="1"/>
        <s v="2017-11-30-19:00" u="1"/>
        <s v="2018-02-20-19:00" u="1"/>
        <s v="2018-03-20-19:00" u="1"/>
        <s v="2018-05-20-19:00" u="1"/>
        <s v="2019-08-30-18:00" u="1"/>
        <s v="2018-01-31-19:00" u="1"/>
        <s v="2018-01-30-19:00" u="1"/>
        <s v="2018-04-30-19:00" u="1"/>
        <s v="2016-02-09-00:00" u="1"/>
        <s v="2016-03-09-00:00" u="1"/>
        <s v="2016-05-09-00:00" u="1"/>
        <s v="2016-06-09-00:00" u="1"/>
        <s v="2016-08-09-00:00" u="1"/>
        <s v="2016-09-09-00:00" u="1"/>
        <s v="2016-11-09-00:00" u="1"/>
        <s v="2019-08-30-19:00" u="1"/>
        <s v="2016-01-08-00:00" u="1"/>
        <s v="2016-02-08-00:00" u="1"/>
        <s v="2016-03-08-00:00" u="1"/>
        <s v="2016-04-08-00:00" u="1"/>
        <s v="2016-06-08-00:00" u="1"/>
        <s v="2016-07-08-00:00" u="1"/>
        <s v="2016-08-08-00:00" u="1"/>
        <s v="2016-09-08-00:00" u="1"/>
        <s v="2016-11-08-00:00" u="1"/>
        <s v="2016-12-08-00:00" u="1"/>
        <s v="2016-01-19-00:00" u="1"/>
        <s v="2016-02-19-00:00" u="1"/>
        <s v="2016-04-19-00:00" u="1"/>
        <s v="2016-05-19-00:00" u="1"/>
        <s v="2016-07-19-00:00" u="1"/>
        <s v="2016-08-19-00:00" u="1"/>
        <s v="2016-09-19-00:00" u="1"/>
        <s v="2017-01-09-00:00" u="1"/>
        <s v="2017-02-09-00:00" u="1"/>
        <s v="2017-03-09-00:00" u="1"/>
        <s v="2017-05-09-00:00" u="1"/>
        <s v="2017-06-09-00:00" u="1"/>
        <s v="2017-08-09-00:00" u="1"/>
        <s v="2016-01-07-00:00" u="1"/>
        <s v="2016-03-07-00:00" u="1"/>
        <s v="2016-04-07-00:00" u="1"/>
        <s v="2016-06-07-00:00" u="1"/>
        <s v="2016-07-07-00:00" u="1"/>
        <s v="2016-09-07-00:00" u="1"/>
        <s v="2016-10-07-00:00" u="1"/>
        <s v="2016-11-07-00:00" u="1"/>
        <s v="2016-12-07-00:00" u="1"/>
        <s v="2014-05-26-00:00" u="1"/>
        <s v="2014-06-06-01:00" u="1"/>
        <s v="2014-06-26-00:00" u="1"/>
        <s v="2014-08-06-01:00" u="1"/>
        <s v="2014-08-26-00:00" u="1"/>
        <s v="2014-09-26-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ÍÍÍÍÍÍÍÍÍÍÍÍÍÍÍÍÍÍÍÍÍÍÍÍÍÍÍÍÍÍÍÍÍÍÍÍÍÍÍÍÍÍÍÍÍÍÍÍÍÍÍÍÍÍÍÍÍÍÍÍÍÍÍÍ" u="1"/>
        <s v="2017-01-19-00:00" u="1"/>
        <s v="2017-04-19-00:00" u="1"/>
        <s v="2017-05-19-00:00" u="1"/>
        <s v="2017-06-19-00:00" u="1"/>
        <s v="2017-07-19-00:00" u="1"/>
        <s v="2017-09-19-00:00" u="1"/>
        <s v="2016-02-17-00:00" u="1"/>
        <s v="2016-03-17-00:00" u="1"/>
        <s v="2016-05-17-00:00" u="1"/>
        <s v="2016-06-17-00:00" u="1"/>
        <s v="2016-08-17-00:00" u="1"/>
        <s v="2016-10-17-00:00" u="1"/>
        <s v="2016-11-17-00:00" u="1"/>
        <s v="2018-01-09-00:00" u="1"/>
        <s v="2018-02-09-00:00" u="1"/>
        <s v="2018-03-09-00:00" u="1"/>
        <s v="2018-04-09-00:00" u="1"/>
        <s v="2018-05-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5-01-06-01:00" u="1"/>
        <s v="2015-01-26-00:00" u="1"/>
        <s v="2015-02-06-01:00" u="1"/>
        <s v="2015-02-26-00:00" u="1"/>
        <s v="2015-03-06-01:00" u="1"/>
        <s v="2015-03-26-00:00" u="1"/>
        <s v="2015-04-06-01:00" u="1"/>
        <s v="2015-05-06-01:00" u="1"/>
        <s v="2015-05-26-00:00" u="1"/>
        <s v="2015-06-26-00:00" u="1"/>
        <s v="2015-07-06-01:00" u="1"/>
        <s v="2015-08-06-01:00" u="1"/>
        <s v="2015-08-26-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1-19-00:00" u="1"/>
        <s v="2018-02-19-00:00" u="1"/>
        <s v="2018-03-19-00:00" u="1"/>
        <s v="2018-04-19-00:00" u="1"/>
        <s v="2018-07-19-00:00" u="1"/>
        <s v="2017-01-17-00:00" u="1"/>
        <s v="2017-02-17-00:00" u="1"/>
        <s v="2017-03-17-00:00" u="1"/>
        <s v="2017-04-17-00:00" u="1"/>
        <s v="2017-05-17-00:00" u="1"/>
        <s v="2017-07-17-00:00" u="1"/>
        <s v="2017-08-17-00:00" u="1"/>
        <s v="2017-10-17-00:00" u="1"/>
        <s v="2017-11-17-00:00" u="1"/>
        <s v="2018-02-07-00:00" u="1"/>
        <s v="2018-03-07-00:00" u="1"/>
        <s v="2018-05-07-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1-18-00:00" u="1"/>
        <s v="2018-04-18-00:00" u="1"/>
        <s v="2018-05-18-00:00" u="1"/>
        <s v="2018-07-18-00:00" u="1"/>
        <s v="2017-10-16-00:00" u="1"/>
        <s v="2017-11-16-00:00" u="1"/>
        <s v="2016-02-02-00:00" u="1"/>
        <s v="2016-03-02-00:00" u="1"/>
        <s v="2016-05-02-00:00" u="1"/>
        <s v="2016-06-02-00:00" u="1"/>
        <s v="2016-08-02-00:00" u="1"/>
        <s v="2016-09-02-00:00" u="1"/>
        <s v="2016-11-02-00:00" u="1"/>
        <s v="2016-12-02-00: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6-01-13-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7-10-03-00:00" u="1"/>
        <s v="2017-11-03-00:00" u="1"/>
        <s v="2016-11-01-00:00" u="1"/>
        <s v="2016-12-01-00:00" u="1"/>
        <s v="2017-01-18-01:00" u="1"/>
        <s v="2017-04-18-01:00" u="1"/>
        <s v="2017-05-18-01:00" u="1"/>
        <s v="2017-07-18-01:00" u="1"/>
        <s v="2017-08-18-01:00" u="1"/>
        <s v="2017-09-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7-12-26-00:00" u="1"/>
        <s v="2016-01-08-10:00" u="1"/>
        <s v="2016-02-08-10:00" u="1"/>
        <s v="2016-03-08-10:00" u="1"/>
        <s v="2016-04-08-10:00" u="1"/>
        <s v="2016-06-08-10:00" u="1"/>
        <s v="2016-07-08-10:00" u="1"/>
        <s v="2016-08-08-10:00" u="1"/>
        <s v="2016-09-08-10:00" u="1"/>
        <s v="2016-11-08-10:00" u="1"/>
        <s v="2016-12-08-10:00" u="1"/>
        <s v="2015-12-22-00:00" u="1"/>
        <s v="2014-10-20-00:00" u="1"/>
        <s v="2014-11-20-00:00" u="1"/>
        <s v="2016-01-12-00:00" u="1"/>
        <s v="2016-02-12-00:00" u="1"/>
        <s v="2016-04-12-00:00" u="1"/>
        <s v="2016-05-12-00:00" u="1"/>
        <s v="2016-07-12-00:00" u="1"/>
        <s v="2016-08-12-00:00" u="1"/>
        <s v="2016-09-12-00:00" u="1"/>
        <s v="2016-10-12-00:00" u="1"/>
        <s v="2016-12-12-00:00" u="1"/>
        <s v="2017-02-02-00:00" u="1"/>
        <s v="2017-03-02-00:00" u="1"/>
        <s v="2017-05-02-00:00" u="1"/>
        <s v="2017-06-02-00:00" u="1"/>
        <s v="2017-08-02-00:00" u="1"/>
        <s v="2017-10-02-00:00" u="1"/>
        <s v="2017-11-02-00: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6-01-19-10:00" u="1"/>
        <s v="2016-02-19-10:00" u="1"/>
        <s v="2016-04-19-10:00" u="1"/>
        <s v="2016-05-19-10:00" u="1"/>
        <s v="2016-07-19-10:00" u="1"/>
        <s v="2016-08-19-10:00" u="1"/>
        <s v="2016-09-19-10:00" u="1"/>
        <s v="2018-02-07-01:00" u="1"/>
        <s v="2018-02-27-00:00" u="1"/>
        <s v="2018-03-07-01:00" u="1"/>
        <s v="2018-03-27-00:00" u="1"/>
        <s v="2018-04-27-00:00" u="1"/>
        <s v="2018-05-07-01:00" u="1"/>
        <s v="2017-01-09-10:00" u="1"/>
        <s v="2017-02-09-10:00" u="1"/>
        <s v="2017-03-09-10:00" u="1"/>
        <s v="2017-05-09-10:00" u="1"/>
        <s v="2017-06-09-10:00" u="1"/>
        <s v="2017-08-09-1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7-01-13-00:00" u="1"/>
        <s v="2017-02-13-00:00" u="1"/>
        <s v="2017-03-13-00:00" u="1"/>
        <s v="2017-04-13-00:00" u="1"/>
        <s v="2017-06-13-00:00" u="1"/>
        <s v="2017-07-13-00:00" u="1"/>
        <s v="2017-09-13-00:00" u="1"/>
        <s v="2017-10-13-00:00" u="1"/>
        <s v="2017-11-13-00:00" u="1"/>
        <s v="2017-12-13-00:00" u="1"/>
        <s v="2016-01-11-00:00" u="1"/>
        <s v="2016-02-11-00:00" u="1"/>
        <s v="2016-03-11-00:00" u="1"/>
        <s v="2016-04-11-00:00" u="1"/>
        <s v="2016-05-11-00:00" u="1"/>
        <s v="2016-07-11-00:00" u="1"/>
        <s v="2016-08-11-00:00" u="1"/>
        <s v="2016-10-11-00:00" u="1"/>
        <s v="2016-11-11-00:00" u="1"/>
        <s v="2018-01-03-00:00" u="1"/>
        <s v="2018-04-03-00:00" u="1"/>
        <s v="2018-05-03-00:00" u="1"/>
        <s v="2017-11-01-00:00" u="1"/>
        <s v="2017-12-01-00: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8-01-18-01:00" u="1"/>
        <s v="2018-04-18-01:00" u="1"/>
        <s v="2018-05-18-01:00" u="1"/>
        <s v="2018-07-18-01:00" u="1"/>
        <s v="2017-01-16-01:00" u="1"/>
        <s v="2017-02-16-01:00" u="1"/>
        <s v="2017-03-16-01:00" u="1"/>
        <s v="2017-05-16-01:00" u="1"/>
        <s v="2017-06-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7-02-08-10:00" u="1"/>
        <s v="2017-03-08-10:00" u="1"/>
        <s v="2017-05-08-10:00" u="1"/>
        <s v="2017-06-08-10:00" u="1"/>
        <s v="2017-08-08-10:00" u="1"/>
        <s v="2017-09-08-10:00" u="1"/>
        <s v="2017-11-08-10: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9-09-04-00:00" u="1"/>
        <s v="2018-01-02-00:00" u="1"/>
        <s v="2018-02-02-00:00" u="1"/>
        <s v="2018-03-02-00:00" u="1"/>
        <s v="2018-04-02-00:00" u="1"/>
        <s v="2018-05-02-00:00" u="1"/>
        <s v="2016-02-17-02:00" u="1"/>
        <s v="2016-03-17-02:00" u="1"/>
        <s v="2016-05-17-02:00" u="1"/>
        <s v="2016-06-17-02:00" u="1"/>
        <s v="2016-08-17-02:00" u="1"/>
        <s v="2016-10-17-02:00" u="1"/>
        <s v="2016-11-17-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7-01-19-10:00" u="1"/>
        <s v="2017-04-19-10:00" u="1"/>
        <s v="2017-05-19-10:00" u="1"/>
        <s v="2017-06-19-10:00" u="1"/>
        <s v="2017-07-19-10:00" u="1"/>
        <s v="2017-09-19-10:00" u="1"/>
        <s v="2016-02-17-10:00" u="1"/>
        <s v="2016-03-17-10:00" u="1"/>
        <s v="2016-05-17-10:00" u="1"/>
        <s v="2016-06-17-10:00" u="1"/>
        <s v="2016-08-17-10:00" u="1"/>
        <s v="2016-10-17-10:00" u="1"/>
        <s v="2016-11-17-10:00" u="1"/>
        <s v="2018-01-09-10:00" u="1"/>
        <s v="2018-02-09-10:00" u="1"/>
        <s v="2018-03-09-10:00" u="1"/>
        <s v="2018-04-09-10:00" u="1"/>
        <s v="2018-05-09-1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7-01-11-00:00" u="1"/>
        <s v="2017-04-11-00:00" u="1"/>
        <s v="2017-05-11-00:00" u="1"/>
        <s v="2017-07-11-00:00" u="1"/>
        <s v="2017-08-11-00:00" u="1"/>
        <s v="2017-09-11-00:00" u="1"/>
        <s v="2017-10-11-00:00" u="1"/>
        <s v="2017-12-11-00:00" u="1"/>
        <s v="2019-09-03-00:00" u="1"/>
        <s v="2014-10-24-02:00" u="1"/>
        <s v="2014-11-04-03:00" u="1"/>
        <s v="2014-11-24-02:00" u="1"/>
        <s v="2014-12-04-03:00" u="1"/>
        <s v="2014-12-24-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7-12-26-01: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7-01-18-10:00" u="1"/>
        <s v="2017-04-18-10:00" u="1"/>
        <s v="2017-05-18-10:00" u="1"/>
        <s v="2017-07-18-10:00" u="1"/>
        <s v="2017-08-18-10:00" u="1"/>
        <s v="2017-09-18-10:00" u="1"/>
        <s v="2017-10-18-10:00" u="1"/>
        <s v="2017-12-18-10:00" u="1"/>
        <s v="2016-01-12-01:00" u="1"/>
        <s v="2016-02-12-01:00" u="1"/>
        <s v="2016-04-12-01:00" u="1"/>
        <s v="2016-05-12-01:00" u="1"/>
        <s v="2016-07-12-01:00" u="1"/>
        <s v="2016-08-12-01:00" u="1"/>
        <s v="2016-09-12-01:00" u="1"/>
        <s v="2016-10-12-01:00" u="1"/>
        <s v="2016-11-16-10:00" u="1"/>
        <s v="2016-12-12-01:00" u="1"/>
        <s v="2016-12-16-10:00" u="1"/>
        <s v="2018-01-08-10:00" u="1"/>
        <s v="2018-02-08-10:00" u="1"/>
        <s v="2018-03-08-10:00" u="1"/>
        <s v="2018-05-08-1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6-10-20-00:00" u="1"/>
        <s v="2016-12-20-00:00" u="1"/>
        <s v="2018-01-12-00:00" u="1"/>
        <s v="2018-02-12-00:00" u="1"/>
        <s v="2018-03-12-00:00" u="1"/>
        <s v="2018-04-12-00:00" u="1"/>
        <s v="2019-09-02-00: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7-10-17-02:00" u="1"/>
        <s v="2017-11-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7-10-05-02:00" u="1"/>
        <s v="2017-10-25-01:00" u="1"/>
        <s v="2017-12-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1-19-10:00" u="1"/>
        <s v="2018-02-19-10:00" u="1"/>
        <s v="2018-03-19-10:00" u="1"/>
        <s v="2018-04-19-10:00" u="1"/>
        <s v="2018-07-19-10:00" u="1"/>
        <s v="2017-01-17-10:00" u="1"/>
        <s v="2017-02-17-10:00" u="1"/>
        <s v="2017-03-17-10:00" u="1"/>
        <s v="2017-04-17-10:00" u="1"/>
        <s v="2017-05-17-10:00" u="1"/>
        <s v="2017-07-17-10:00" u="1"/>
        <s v="2017-08-17-10:00" u="1"/>
        <s v="2017-10-17-10:00" u="1"/>
        <s v="2017-11-17-10:00" u="1"/>
        <s v="2016-01-11-01:00" u="1"/>
        <s v="2016-02-11-01:00" u="1"/>
        <s v="2016-03-11-01:00" u="1"/>
        <s v="2016-03-31-00:00" u="1"/>
        <s v="2016-04-11-01:00" u="1"/>
        <s v="2016-05-11-01:00" u="1"/>
        <s v="2016-05-31-00:00" u="1"/>
        <s v="2016-07-11-01:00" u="1"/>
        <s v="2016-08-11-01:00" u="1"/>
        <s v="2016-08-31-00:00" u="1"/>
        <s v="2016-10-11-01:00" u="1"/>
        <s v="2016-10-31-00:00" u="1"/>
        <s v="2016-11-11-01:00" u="1"/>
        <s v="2018-01-03-01:00" u="1"/>
        <s v="2018-01-23-00:00" u="1"/>
        <s v="2018-02-07-10:00" u="1"/>
        <s v="2018-02-23-00:00" u="1"/>
        <s v="2018-03-07-10:00" u="1"/>
        <s v="2018-03-23-00:00" u="1"/>
        <s v="2018-04-03-01:00" u="1"/>
        <s v="2018-04-23-00:00" u="1"/>
        <s v="2018-05-03-01:00" u="1"/>
        <s v="2018-05-07-10:00" u="1"/>
        <s v="2018-05-23-00:00" u="1"/>
        <s v="2018-07-23-0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2-03-10:00" u="1"/>
        <s v="2016-03-03-10:00" u="1"/>
        <s v="2016-05-03-10:00" u="1"/>
        <s v="2016-06-03-10:00" u="1"/>
        <s v="2016-08-03-10:00" u="1"/>
        <s v="2016-10-03-10:00" u="1"/>
        <s v="2016-11-03-10:00" u="1"/>
        <s v="2018-01-11-00:00" u="1"/>
        <s v="2018-04-11-00:00" u="1"/>
        <s v="2018-05-11-00: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5-11-04-03:00" u="1"/>
        <s v="2015-11-24-02:00" u="1"/>
        <s v="2015-12-04-03:00" u="1"/>
        <s v="2015-12-24-02: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7-02-08-11:00" u="1"/>
        <s v="2017-02-28-10:00" u="1"/>
        <s v="2017-03-08-11:00" u="1"/>
        <s v="2017-03-28-10:00" u="1"/>
        <s v="2017-04-28-10:00" u="1"/>
        <s v="2017-05-08-11:00" u="1"/>
        <s v="2017-06-08-11:00" u="1"/>
        <s v="2017-06-28-10:00" u="1"/>
        <s v="2017-07-28-10:00" u="1"/>
        <s v="2017-08-08-11:00" u="1"/>
        <s v="2017-08-28-10:00" u="1"/>
        <s v="2017-09-08-11:00" u="1"/>
        <s v="2017-09-28-10:00" u="1"/>
        <s v="2017-11-08-11:00" u="1"/>
        <s v="2017-11-28-10:00" u="1"/>
        <s v="2017-12-08-11:00" u="1"/>
        <s v="2017-12-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8-01-18-10:00" u="1"/>
        <s v="2018-04-18-10:00" u="1"/>
        <s v="2018-05-18-10:00" u="1"/>
        <s v="2018-07-18-10:00" u="1"/>
        <s v="2017-01-12-01:00" u="1"/>
        <s v="2017-04-12-01:00" u="1"/>
        <s v="2017-05-12-01:00" u="1"/>
        <s v="2017-06-12-01:00" u="1"/>
        <s v="2017-07-12-01:00" u="1"/>
        <s v="2017-09-12-01:00" u="1"/>
        <s v="2017-10-12-01:00" u="1"/>
        <s v="2017-10-16-10:00" u="1"/>
        <s v="2017-11-16-10:00" u="1"/>
        <s v="2017-12-12-01:00" u="1"/>
        <s v="2019-09-04-01:00" u="1"/>
        <s v="2016-10-10-01:00" u="1"/>
        <s v="2016-11-10-01:00" u="1"/>
        <s v="2016-11-30-00:00" u="1"/>
        <s v="2016-12-30-00:00" u="1"/>
        <s v="2018-01-02-01:00" u="1"/>
        <s v="2018-01-22-00:00" u="1"/>
        <s v="2018-02-02-01:00" u="1"/>
        <s v="2018-02-22-00:00" u="1"/>
        <s v="2018-03-02-01:00" u="1"/>
        <s v="2018-03-22-00:00" u="1"/>
        <s v="2018-04-02-01:00" u="1"/>
        <s v="2018-05-02-01:00" u="1"/>
        <s v="2018-05-22-00:00" u="1"/>
        <s v="2017-10-20-00:00" u="1"/>
        <s v="2017-11-20-00:00" u="1"/>
        <s v="2017-12-2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7-02-15-02:00" u="1"/>
        <s v="2017-03-15-02:00" u="1"/>
        <s v="2017-05-15-02:00" u="1"/>
        <s v="2017-06-15-02:00" u="1"/>
        <s v="2017-08-15-02:00" u="1"/>
        <s v="2017-09-15-02:00" u="1"/>
        <s v="2017-11-15-02:00" u="1"/>
        <s v="2017-12-15-02:00" u="1"/>
        <s v="2016-02-17-11:00" u="1"/>
        <s v="2016-03-17-11:00" u="1"/>
        <s v="2016-05-17-11:00" u="1"/>
        <s v="2016-06-17-11:00" u="1"/>
        <s v="2016-08-17-11:00" u="1"/>
        <s v="2016-10-17-11:00" u="1"/>
        <s v="2016-11-17-1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21-01:00" u="1"/>
        <s v="2016-10-21-01:00" u="1"/>
        <s v="2016-11-01-02:00" u="1"/>
        <s v="2016-11-21-01:00" u="1"/>
        <s v="2016-12-01-02:00" u="1"/>
        <s v="2016-12-21-01:00" u="1"/>
        <s v="2018-01-17-10:00" u="1"/>
        <s v="2018-04-17-10:00" u="1"/>
        <s v="2018-05-17-10:00" u="1"/>
        <s v="2018-07-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9-09-03-01:00" u="1"/>
        <s v="2016-01-13-10:00" u="1"/>
        <s v="2016-04-13-10:00" u="1"/>
        <s v="2016-05-13-10:00" u="1"/>
        <s v="2016-06-13-10:00" u="1"/>
        <s v="2016-07-13-10:00" u="1"/>
        <s v="2016-09-13-10:00" u="1"/>
        <s v="2016-10-13-10:00" u="1"/>
        <s v="2016-12-13-10:00" u="1"/>
        <s v="2018-02-01-01:00" u="1"/>
        <s v="2018-02-21-00:00" u="1"/>
        <s v="2018-03-01-01:00" u="1"/>
        <s v="2018-03-21-00:00" u="1"/>
        <s v="2018-05-01-01:00" u="1"/>
        <s v="2018-05-21-00:00" u="1"/>
        <s v="2017-01-03-10:00" u="1"/>
        <s v="2017-02-03-10:00" u="1"/>
        <s v="2017-03-03-10:00" u="1"/>
        <s v="2017-04-03-10:00" u="1"/>
        <s v="2017-05-03-10:00" u="1"/>
        <s v="2017-07-03-10:00" u="1"/>
        <s v="2017-08-03-10:00" u="1"/>
        <s v="2017-10-03-10:00" u="1"/>
        <s v="2017-11-03-10:00" u="1"/>
        <s v="2016-11-01-10:00" u="1"/>
        <s v="2016-12-01-10:00" u="1"/>
        <s v="2014-10-08-05:00" u="1"/>
        <s v="2014-10-28-04:00" u="1"/>
        <s v="2014-11-28-04:00" u="1"/>
        <s v="2014-12-08-05: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7-12-26-02:00" u="1"/>
        <s v="2016-10-04-03:00" u="1"/>
        <s v="2016-10-24-02:00" u="1"/>
        <s v="2016-11-04-03:00" u="1"/>
        <s v="2016-11-24-02:00" u="1"/>
        <s v="2018-01-16-02:00" u="1"/>
        <s v="2018-02-16-02:00" u="1"/>
        <s v="2018-03-16-02:00" u="1"/>
        <s v="2018-04-16-02:00" u="1"/>
        <s v="2018-05-16-02:00" u="1"/>
        <s v="2017-01-18-11:00" u="1"/>
        <s v="2017-04-18-11:00" u="1"/>
        <s v="2017-05-18-11:00" u="1"/>
        <s v="2017-07-18-11:00" u="1"/>
        <s v="2017-08-18-11:00" u="1"/>
        <s v="2017-09-18-11:00" u="1"/>
        <s v="2016-01-12-02:00" u="1"/>
        <s v="2016-02-12-02:00" u="1"/>
        <s v="2016-02-16-11:00" u="1"/>
        <s v="2016-03-16-11:00" u="1"/>
        <s v="2016-04-12-02:00" u="1"/>
        <s v="2016-05-12-02:00" u="1"/>
        <s v="2016-05-16-11:00" u="1"/>
        <s v="2016-06-16-11:00" u="1"/>
        <s v="2016-07-12-02:00" u="1"/>
        <s v="2016-08-12-02:00" u="1"/>
        <s v="2016-08-16-11:00" u="1"/>
        <s v="2016-09-12-02:00" u="1"/>
        <s v="2016-09-16-11:00" u="1"/>
        <s v="2016-11-16-11:00" u="1"/>
        <s v="2016-12-16-11:00" u="1"/>
        <s v="2018-01-08-11:00" u="1"/>
        <s v="2018-02-08-11:00" u="1"/>
        <s v="2018-02-28-10:00" u="1"/>
        <s v="2018-03-08-11:00" u="1"/>
        <s v="2018-03-28-10:00" u="1"/>
        <s v="2018-05-08-11:00" u="1"/>
        <s v="2018-05-28-10:00" u="1"/>
        <s v="2017-01-02-02: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6-01-20-01:00" u="1"/>
        <s v="2016-02-08-20:00" u="1"/>
        <s v="2016-03-08-20:00" u="1"/>
        <s v="2016-04-20-01:00" u="1"/>
        <s v="2016-05-08-20:00" u="1"/>
        <s v="2016-05-20-01:00" u="1"/>
        <s v="2016-06-08-20:00" u="1"/>
        <s v="2016-06-20-01:00" u="1"/>
        <s v="2016-07-20-01:00" u="1"/>
        <s v="2016-08-08-20:00" u="1"/>
        <s v="2016-09-08-20:00" u="1"/>
        <s v="2016-09-20-01:00" u="1"/>
        <s v="2016-10-20-01:00" u="1"/>
        <s v="2016-11-08-20:00" u="1"/>
        <s v="2016-12-08-20:00" u="1"/>
        <s v="2016-12-20-01:00" u="1"/>
        <s v="2018-01-12-01:00" u="1"/>
        <s v="2018-02-12-01:00" u="1"/>
        <s v="2018-03-12-01:00" u="1"/>
        <s v="2018-04-12-01:00" u="1"/>
        <s v="2015-12-22-10:00" u="1"/>
        <s v="2017-10-10-01:00" u="1"/>
        <s v="2017-10-30-00:00" u="1"/>
        <s v="2017-11-10-01:00" u="1"/>
        <s v="2017-11-30-00:00" u="1"/>
        <s v="2019-09-02-01: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6-01-19-04:00" u="1"/>
        <s v="2016-02-19-04:00" u="1"/>
        <s v="2016-04-19-04:00" u="1"/>
        <s v="2016-05-19-04:00" u="1"/>
        <s v="2016-07-19-04:00" u="1"/>
        <s v="2016-08-19-04:00" u="1"/>
        <s v="2016-09-19-04:00" u="1"/>
        <s v="2016-10-19-04:00" u="1"/>
        <s v="2016-12-19-04:00" u="1"/>
        <s v="2017-10-09-04:00" u="1"/>
        <s v="2017-11-09-04:00" u="1"/>
        <s v="2017-11-29-03:00" u="1"/>
        <s v="2017-12-29-03:00" u="1"/>
        <s v="2016-01-15-03:00" u="1"/>
        <s v="2016-02-15-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7-01-17-11:00" u="1"/>
        <s v="2017-02-17-11:00" u="1"/>
        <s v="2017-03-17-11:00" u="1"/>
        <s v="2017-04-17-11:00" u="1"/>
        <s v="2017-05-17-11:00" u="1"/>
        <s v="2017-07-17-11:00" u="1"/>
        <s v="2017-08-17-11:00" u="1"/>
        <s v="2017-10-17-11:00" u="1"/>
        <s v="2017-11-17-11:00" u="1"/>
        <s v="2016-01-11-02:00" u="1"/>
        <s v="2016-01-19-20:00" u="1"/>
        <s v="2016-02-11-02:00" u="1"/>
        <s v="2016-03-11-02:00" u="1"/>
        <s v="2016-03-31-01:00" u="1"/>
        <s v="2016-04-11-02:00" u="1"/>
        <s v="2016-04-19-20:00" u="1"/>
        <s v="2016-05-11-02:00" u="1"/>
        <s v="2016-05-19-20:00" u="1"/>
        <s v="2016-05-31-01:00" u="1"/>
        <s v="2016-06-19-20:00" u="1"/>
        <s v="2016-07-11-02:00" u="1"/>
        <s v="2016-07-19-20:00" u="1"/>
        <s v="2016-08-11-02:00" u="1"/>
        <s v="2016-08-31-01:00" u="1"/>
        <s v="2016-09-19-20:00" u="1"/>
        <s v="2016-10-11-02:00" u="1"/>
        <s v="2016-10-31-01:00" u="1"/>
        <s v="2016-11-11-02:00" u="1"/>
        <s v="2018-02-07-11:00" u="1"/>
        <s v="2018-02-27-10:00" u="1"/>
        <s v="2018-03-07-11:00" u="1"/>
        <s v="2018-03-27-10:00" u="1"/>
        <s v="2018-04-27-10:00" u="1"/>
        <s v="2018-05-07-11:00" u="1"/>
        <s v="2017-01-09-20:00" u="1"/>
        <s v="2017-02-01-02:00" u="1"/>
        <s v="2017-02-09-20:00" u="1"/>
        <s v="2017-02-21-01:00" u="1"/>
        <s v="2017-03-01-02:00" u="1"/>
        <s v="2017-03-09-20:00" u="1"/>
        <s v="2017-03-21-01:00" u="1"/>
        <s v="2017-04-09-20:00" u="1"/>
        <s v="2017-04-21-01:00" u="1"/>
        <s v="2017-05-01-02:00" u="1"/>
        <s v="2017-05-09-20:00" u="1"/>
        <s v="2017-06-01-02:00" u="1"/>
        <s v="2017-06-21-01:00" u="1"/>
        <s v="2017-07-09-20:00" u="1"/>
        <s v="2017-07-21-01:00" u="1"/>
        <s v="2017-08-01-02:00" u="1"/>
        <s v="2017-08-09-20:00" u="1"/>
        <s v="2017-08-21-01:00" u="1"/>
        <s v="2017-09-01-02:00" u="1"/>
        <s v="2017-09-21-01:00" u="1"/>
        <s v="2017-11-01-02:00" u="1"/>
        <s v="2017-11-21-01:00" u="1"/>
        <s v="2017-12-01-02:00" u="1"/>
        <s v="2017-12-21-01:00" u="1"/>
        <s v="2016-01-07-20:00" u="1"/>
        <s v="2016-02-03-11:00" u="1"/>
        <s v="2016-02-07-20:00" u="1"/>
        <s v="2016-02-23-10:00" u="1"/>
        <s v="2016-03-03-11:00" u="1"/>
        <s v="2016-03-07-20:00" u="1"/>
        <s v="2016-03-23-10:00" u="1"/>
        <s v="2016-04-07-20:00" u="1"/>
        <s v="2016-05-03-11:00" u="1"/>
        <s v="2016-05-23-10:00" u="1"/>
        <s v="2016-06-03-11:00" u="1"/>
        <s v="2016-06-07-20:00" u="1"/>
        <s v="2016-06-23-10:00" u="1"/>
        <s v="2016-07-07-20:00" u="1"/>
        <s v="2016-08-03-11:00" u="1"/>
        <s v="2016-08-07-20:00" u="1"/>
        <s v="2016-08-23-10:00" u="1"/>
        <s v="2016-09-07-20:00" u="1"/>
        <s v="2016-09-23-10:00" u="1"/>
        <s v="2016-11-07-20:00" u="1"/>
        <s v="2016-12-07-20:00" u="1"/>
        <s v="2018-01-11-01:00" u="1"/>
        <s v="2018-01-31-00:00" u="1"/>
        <s v="2018-04-11-01:00" u="1"/>
        <s v="2018-05-11-01:00" u="1"/>
        <s v="2017-01-13-10:00" u="1"/>
        <s v="2017-02-13-10:00" u="1"/>
        <s v="2017-03-13-10:00" u="1"/>
        <s v="2017-04-13-10:00" u="1"/>
        <s v="2017-06-13-10:00" u="1"/>
        <s v="2017-07-13-10:00" u="1"/>
        <s v="2017-09-13-10:00" u="1"/>
        <s v="2017-10-13-10:00" u="1"/>
        <s v="2017-11-13-10:00" u="1"/>
        <s v="2017-12-13-10:00" u="1"/>
        <s v="2016-01-11-10:00" u="1"/>
        <s v="2016-02-11-10:00" u="1"/>
        <s v="2016-03-11-10:00" u="1"/>
        <s v="2016-04-11-10:00" u="1"/>
        <s v="2016-05-11-10:00" u="1"/>
        <s v="2016-07-11-10:00" u="1"/>
        <s v="2016-08-11-10:00" u="1"/>
        <s v="2016-10-11-10:00" u="1"/>
        <s v="2016-11-11-10:00" u="1"/>
        <s v="2018-01-03-10:00" u="1"/>
        <s v="2018-04-03-10:00" u="1"/>
        <s v="2018-05-03-10:00" u="1"/>
        <s v="2017-11-01-10:00" u="1"/>
        <s v="2017-12-01-10:00" u="1"/>
        <s v="2015-10-08-05:00" u="1"/>
        <s v="2015-10-28-04:00" u="1"/>
        <s v="2015-12-08-05:00" u="1"/>
        <s v="2016-01-06-04:00" u="1"/>
        <s v="2016-01-26-03:00" u="1"/>
        <s v="2016-02-26-03:00" u="1"/>
        <s v="2016-04-06-04:00" u="1"/>
        <s v="2016-04-26-03:00" u="1"/>
        <s v="2016-05-06-04:00" u="1"/>
        <s v="2016-05-26-03:00" u="1"/>
        <s v="2016-06-06-04:00" u="1"/>
        <s v="2016-07-06-04:00" u="1"/>
        <s v="2016-07-26-03:00" u="1"/>
        <s v="2016-08-26-03:00" u="1"/>
        <s v="2016-09-06-04:00" u="1"/>
        <s v="2016-09-26-03:00" u="1"/>
        <s v="2015-12-24-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7-10-04-03:00" u="1"/>
        <s v="2017-10-24-02:00" u="1"/>
        <s v="2017-11-24-02:00" u="1"/>
        <s v="2017-12-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8-01-18-11:00" u="1"/>
        <s v="2018-04-18-11:00" u="1"/>
        <s v="2018-05-18-11:00" u="1"/>
        <s v="2018-07-18-11:00" u="1"/>
        <s v="2017-01-12-02:00" u="1"/>
        <s v="2017-01-16-11:00" u="1"/>
        <s v="2017-02-16-11:00" u="1"/>
        <s v="2017-03-16-11:00" u="1"/>
        <s v="2017-04-12-02:00" u="1"/>
        <s v="2017-05-12-02:00" u="1"/>
        <s v="2017-05-16-11:00" u="1"/>
        <s v="2017-06-12-02:00" u="1"/>
        <s v="2017-06-16-11:00" u="1"/>
        <s v="2017-07-12-02:00" u="1"/>
        <s v="2017-08-16-11:00" u="1"/>
        <s v="2017-09-12-02:00" u="1"/>
        <s v="2017-10-16-11:00" u="1"/>
        <s v="2017-11-16-11:00" u="1"/>
        <s v="2019-09-04-02: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0-18-20:00" u="1"/>
        <s v="2016-11-10-02:00" u="1"/>
        <s v="2016-11-30-01:00" u="1"/>
        <s v="2016-12-18-20:00" u="1"/>
        <s v="2016-12-30-01:00" u="1"/>
        <s v="2018-01-02-02: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7-01-08-20:00" u="1"/>
        <s v="2017-01-20-01:00" u="1"/>
        <s v="2017-02-08-20:00" u="1"/>
        <s v="2017-02-20-01:00" u="1"/>
        <s v="2017-03-08-20:00" u="1"/>
        <s v="2017-03-20-01:00" u="1"/>
        <s v="2017-04-20-01:00" u="1"/>
        <s v="2017-05-08-20:00" u="1"/>
        <s v="2017-06-08-20:00" u="1"/>
        <s v="2017-06-20-01:00" u="1"/>
        <s v="2017-07-20-01:00" u="1"/>
        <s v="2017-08-08-20:00" u="1"/>
        <s v="2017-09-20-01:00" u="1"/>
        <s v="2017-10-08-20:00" u="1"/>
        <s v="2017-10-20-01:00" u="1"/>
        <s v="2017-11-08-20:00" u="1"/>
        <s v="2017-11-20-01: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7-09-12-10:00" u="1"/>
        <s v="2017-10-12-10:00" u="1"/>
        <s v="2017-12-12-10:00" u="1"/>
        <s v="2019-09-04-10:00" u="1"/>
        <s v="2018-01-02-10:00" u="1"/>
        <s v="2018-02-02-10:00" u="1"/>
        <s v="2018-03-02-10:00" u="1"/>
        <s v="2018-04-02-10:00" u="1"/>
        <s v="2018-05-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2-17-12:00" u="1"/>
        <s v="2016-03-17-12:00" u="1"/>
        <s v="2016-05-17-12:00" u="1"/>
        <s v="2016-06-17-12:00" u="1"/>
        <s v="2016-08-17-12:00" u="1"/>
        <s v="2016-10-17-12:00" u="1"/>
        <s v="2016-11-17-12:00" u="1"/>
        <s v="2018-01-05-03:00" u="1"/>
        <s v="2018-01-25-02:00" u="1"/>
        <s v="2018-02-05-03:00" u="1"/>
        <s v="2018-03-05-03:00" u="1"/>
        <s v="2018-04-05-03:00" u="1"/>
        <s v="2018-04-25-02:00" u="1"/>
        <s v="2018-05-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4-17-11:00" u="1"/>
        <s v="2018-05-17-11:00" u="1"/>
        <s v="2018-07-17-11:00" u="1"/>
        <s v="2017-01-11-02:00" u="1"/>
        <s v="2017-01-19-20:00" u="1"/>
        <s v="2017-01-31-01:00" u="1"/>
        <s v="2017-02-19-20:00" u="1"/>
        <s v="2017-03-19-20:00" u="1"/>
        <s v="2017-03-31-01:00" u="1"/>
        <s v="2017-04-11-02:00" u="1"/>
        <s v="2017-04-19-20:00" u="1"/>
        <s v="2017-05-11-02:00" u="1"/>
        <s v="2017-05-31-01:00" u="1"/>
        <s v="2017-06-19-20:00" u="1"/>
        <s v="2017-07-11-02:00" u="1"/>
        <s v="2017-07-19-20:00" u="1"/>
        <s v="2017-07-31-01:00" u="1"/>
        <s v="2017-08-11-02:00" u="1"/>
        <s v="2017-08-31-01:00" u="1"/>
        <s v="2017-09-11-02:00" u="1"/>
        <s v="2017-09-19-20:00" u="1"/>
        <s v="2017-10-11-02:00" u="1"/>
        <s v="2017-10-31-01:00" u="1"/>
        <s v="2017-12-11-02:00" u="1"/>
        <s v="2019-09-03-02:00" u="1"/>
        <s v="2016-01-17-20:00" u="1"/>
        <s v="2016-02-17-20:00" u="1"/>
        <s v="2016-03-17-20:00" u="1"/>
        <s v="2016-04-17-20:00" u="1"/>
        <s v="2016-05-17-20:00" u="1"/>
        <s v="2016-07-17-20:00" u="1"/>
        <s v="2016-08-17-20:00" u="1"/>
        <s v="2016-10-17-20:00" u="1"/>
        <s v="2016-11-17-20:00" u="1"/>
        <s v="2018-01-09-20:00" u="1"/>
        <s v="2018-02-01-02:00" u="1"/>
        <s v="2018-02-21-01:00" u="1"/>
        <s v="2018-03-01-02:00" u="1"/>
        <s v="2018-03-21-01:00" u="1"/>
        <s v="2018-04-09-20:00" u="1"/>
        <s v="2018-05-01-02:00" u="1"/>
        <s v="2018-05-09-20:00" u="1"/>
        <s v="2018-05-21-01:00" u="1"/>
        <s v="2017-01-03-11:00" u="1"/>
        <s v="2017-01-23-10:00" u="1"/>
        <s v="2017-02-03-11:00" u="1"/>
        <s v="2017-02-07-20:00" u="1"/>
        <s v="2017-02-23-10:00" u="1"/>
        <s v="2017-03-03-11:00" u="1"/>
        <s v="2017-03-07-20:00" u="1"/>
        <s v="2017-03-23-10:00" u="1"/>
        <s v="2017-04-03-11:00" u="1"/>
        <s v="2017-05-03-11:00" u="1"/>
        <s v="2017-05-07-20:00" u="1"/>
        <s v="2017-05-23-10:00" u="1"/>
        <s v="2017-06-07-20:00" u="1"/>
        <s v="2017-06-23-10:00" u="1"/>
        <s v="2017-07-03-11:00" u="1"/>
        <s v="2017-08-03-11:00" u="1"/>
        <s v="2017-08-07-20:00" u="1"/>
        <s v="2017-08-23-1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7-01-11-10:00" u="1"/>
        <s v="2017-04-11-10:00" u="1"/>
        <s v="2017-05-11-10:00" u="1"/>
        <s v="2017-07-11-10:00" u="1"/>
        <s v="2017-08-11-10:00" u="1"/>
        <s v="2017-09-11-10:00" u="1"/>
        <s v="2017-10-11-10:00" u="1"/>
        <s v="2017-12-11-10:00" u="1"/>
        <s v="2019-09-03-10:00" u="1"/>
        <s v="2016-10-28-04:00" u="1"/>
        <s v="2016-11-08-05:00" u="1"/>
        <s v="2016-11-28-04:00" u="1"/>
        <s v="2016-12-08-05:00" u="1"/>
        <s v="2016-12-28-04:00" u="1"/>
        <s v="2016-02-16-04:00" u="1"/>
        <s v="2016-03-16-04:00" u="1"/>
        <s v="2016-05-16-04:00" u="1"/>
        <s v="2016-06-16-04:00" u="1"/>
        <s v="2016-08-16-04:00" u="1"/>
        <s v="2016-09-16-04:00" u="1"/>
        <s v="2017-01-06-04:00" u="1"/>
        <s v="2017-01-26-03:00" u="1"/>
        <s v="2017-02-06-04:00" u="1"/>
        <s v="2017-03-06-04:00" u="1"/>
        <s v="2017-04-06-04:00" u="1"/>
        <s v="2017-04-26-03:00" u="1"/>
        <s v="2017-05-26-03:00" u="1"/>
        <s v="2017-06-06-04:00" u="1"/>
        <s v="2017-06-26-03:00" u="1"/>
        <s v="2017-07-06-04:00" u="1"/>
        <s v="2017-07-26-03:00" u="1"/>
        <s v="2017-09-06-04:00" u="1"/>
        <s v="2017-09-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7-11-14-03:00" u="1"/>
        <s v="2017-12-14-03:00" u="1"/>
        <s v="2016-02-16-12:00" u="1"/>
        <s v="2016-03-16-12:00" u="1"/>
        <s v="2016-05-16-12:00" u="1"/>
        <s v="2016-06-16-12:00" u="1"/>
        <s v="2016-08-16-12:00" u="1"/>
        <s v="2016-09-16-12:00" u="1"/>
        <s v="2016-11-16-12:00" u="1"/>
        <s v="2016-12-16-1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6-01-20-02:00" u="1"/>
        <s v="2016-01-28-20:00" u="1"/>
        <s v="2016-02-08-21:00" u="1"/>
        <s v="2016-02-28-20:00" u="1"/>
        <s v="2016-03-08-21:00" u="1"/>
        <s v="2016-03-28-20:00" u="1"/>
        <s v="2016-04-20-02:00" u="1"/>
        <s v="2016-04-28-20:00" u="1"/>
        <s v="2016-05-08-21:00" u="1"/>
        <s v="2016-05-20-02:00" u="1"/>
        <s v="2016-06-08-21:00" u="1"/>
        <s v="2016-06-20-02:00" u="1"/>
        <s v="2016-06-28-20:00" u="1"/>
        <s v="2016-07-20-02:00" u="1"/>
        <s v="2016-07-28-20:00" u="1"/>
        <s v="2016-08-08-21:00" u="1"/>
        <s v="2016-08-28-20:00" u="1"/>
        <s v="2016-09-08-21:00" u="1"/>
        <s v="2016-09-20-02:00" u="1"/>
        <s v="2016-09-28-20:00" u="1"/>
        <s v="2016-10-20-02:00" u="1"/>
        <s v="2016-11-08-21:00" u="1"/>
        <s v="2016-11-28-20:00" u="1"/>
        <s v="2016-12-08-21:00" u="1"/>
        <s v="2016-12-20-02:00" u="1"/>
        <s v="2016-12-28-20:00" u="1"/>
        <s v="2018-01-12-02:00" u="1"/>
        <s v="2018-01-16-11:00" u="1"/>
        <s v="2018-02-12-02:00" u="1"/>
        <s v="2018-02-16-11:00" u="1"/>
        <s v="2018-03-12-02:00" u="1"/>
        <s v="2018-03-16-11:00" u="1"/>
        <s v="2018-04-12-02:00" u="1"/>
        <s v="2018-04-16-11:00" u="1"/>
        <s v="2018-05-16-11:00" u="1"/>
        <s v="2017-01-10-02:00" u="1"/>
        <s v="2017-01-18-20:00" u="1"/>
        <s v="2017-01-30-01:00" u="1"/>
        <s v="2017-02-10-02:00" u="1"/>
        <s v="2017-03-10-02:00" u="1"/>
        <s v="2017-03-30-01:00" u="1"/>
        <s v="2017-04-10-02:00" u="1"/>
        <s v="2017-04-18-20:00" u="1"/>
        <s v="2017-05-10-02:00" u="1"/>
        <s v="2017-05-18-20:00" u="1"/>
        <s v="2017-05-30-01:00" u="1"/>
        <s v="2017-06-18-20:00" u="1"/>
        <s v="2017-06-30-01:00" u="1"/>
        <s v="2017-07-10-02:00" u="1"/>
        <s v="2017-07-18-20:00" u="1"/>
        <s v="2017-08-10-02:00" u="1"/>
        <s v="2017-08-30-01:00" u="1"/>
        <s v="2017-09-18-20:00" u="1"/>
        <s v="2017-10-10-02:00" u="1"/>
        <s v="2017-10-18-20:00" u="1"/>
        <s v="2017-10-30-01:00" u="1"/>
        <s v="2017-11-10-02:00" u="1"/>
        <s v="2017-11-30-01:00" u="1"/>
        <s v="2017-12-18-20:00" u="1"/>
        <s v="2019-09-02-02:00" u="1"/>
        <s v="2016-01-12-11:00" u="1"/>
        <s v="2016-02-12-11:00" u="1"/>
        <s v="2016-04-12-11:00" u="1"/>
        <s v="2016-05-12-11:00" u="1"/>
        <s v="2016-07-12-11:00" u="1"/>
        <s v="2016-08-12-11:00" u="1"/>
        <s v="2016-09-12-11:00" u="1"/>
        <s v="2016-10-12-11:00" u="1"/>
        <s v="2016-10-16-20:00" u="1"/>
        <s v="2016-11-16-20:00" u="1"/>
        <s v="2016-12-12-11:00" u="1"/>
        <s v="2018-01-08-20:00" u="1"/>
        <s v="2018-02-08-20:00" u="1"/>
        <s v="2018-02-20-01:00" u="1"/>
        <s v="2018-03-08-20:00" u="1"/>
        <s v="2018-03-20-01:00" u="1"/>
        <s v="2018-04-08-20:00" u="1"/>
        <s v="2018-04-20-01:00" u="1"/>
        <s v="2018-05-08-20:00" u="1"/>
        <s v="2018-07-20-01:00" u="1"/>
        <s v="2017-01-02-11:00" u="1"/>
        <s v="2017-02-02-11:00" u="1"/>
        <s v="2017-02-22-10:00" u="1"/>
        <s v="2017-10-02-11:00" u="1"/>
        <s v="2017-11-02-11:00" u="1"/>
        <s v="2017-11-22-10:00" u="1"/>
        <s v="2017-12-22-10:00" u="1"/>
        <s v="2019-08-30-00:00" u="1"/>
        <s v="2016-10-20-10:00" u="1"/>
        <s v="2016-12-20-10:00" u="1"/>
        <s v="2018-01-12-10:00" u="1"/>
        <s v="2018-02-12-10:00" u="1"/>
        <s v="2018-03-12-10:00" u="1"/>
        <s v="2018-04-12-10:00" u="1"/>
        <s v="2019-09-0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7-19-04:00" u="1"/>
        <s v="2014-05-23-04:00" u="1"/>
        <s v="2014-06-03-05:00" u="1"/>
        <s v="2014-06-23-04:00" u="1"/>
        <s v="2014-07-03-05:00" u="1"/>
        <s v="2014-07-23-04:00" u="1"/>
        <s v="2014-09-03-05:00" u="1"/>
        <s v="2014-09-23-04: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6-01-07-13:00" u="1"/>
        <s v="2016-01-27-12:00" u="1"/>
        <s v="2016-03-07-13:00" u="1"/>
        <s v="2016-04-07-13:00" u="1"/>
        <s v="2016-04-27-12:00" u="1"/>
        <s v="2016-05-27-12:00" u="1"/>
        <s v="2016-06-07-13:00" u="1"/>
        <s v="2016-06-27-12:00" u="1"/>
        <s v="2016-07-07-13:00" u="1"/>
        <s v="2016-07-27-12:00" u="1"/>
        <s v="2016-09-07-13:00" u="1"/>
        <s v="2016-09-27-12:00" u="1"/>
        <s v="2018-01-15-03:00" u="1"/>
        <s v="2018-02-15-03:00" u="1"/>
        <s v="2018-03-15-03:00" u="1"/>
        <s v="2018-05-15-03:00" u="1"/>
        <s v="2017-01-17-12:00" u="1"/>
        <s v="2017-02-17-12:00" u="1"/>
        <s v="2017-03-17-12:00" u="1"/>
        <s v="2017-04-17-12:00" u="1"/>
        <s v="2017-05-17-12:00" u="1"/>
        <s v="2017-07-17-12:00" u="1"/>
        <s v="2017-08-17-12:00" u="1"/>
        <s v="2017-10-17-12:00" u="1"/>
        <s v="2017-11-17-12: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1-01-03:00" u="1"/>
        <s v="2017-11-21-02:00" u="1"/>
        <s v="2017-12-01-03:00" u="1"/>
        <s v="2017-12-05-12:00" u="1"/>
        <s v="2017-12-21-02:00" u="1"/>
        <s v="2016-01-07-21:00" u="1"/>
        <s v="2016-01-27-20:00" u="1"/>
        <s v="2016-02-07-21:00" u="1"/>
        <s v="2016-03-07-21:00" u="1"/>
        <s v="2016-03-27-20:00" u="1"/>
        <s v="2016-04-07-21:00" u="1"/>
        <s v="2016-04-27-20:00" u="1"/>
        <s v="2016-06-07-21:00" u="1"/>
        <s v="2016-06-27-20:00" u="1"/>
        <s v="2016-07-07-21:00" u="1"/>
        <s v="2016-07-27-20:00" u="1"/>
        <s v="2016-08-07-21:00" u="1"/>
        <s v="2016-09-07-21:00" u="1"/>
        <s v="2016-09-27-20:00" u="1"/>
        <s v="2016-10-27-20:00" u="1"/>
        <s v="2016-11-07-21:00" u="1"/>
        <s v="2016-11-27-20:00" u="1"/>
        <s v="2016-12-07-21:00" u="1"/>
        <s v="2016-12-27-20:00" u="1"/>
        <s v="2018-01-11-02:00" u="1"/>
        <s v="2018-01-31-01:00" u="1"/>
        <s v="2018-02-19-20:00" u="1"/>
        <s v="2018-03-19-20:00" u="1"/>
        <s v="2018-04-11-02:00" u="1"/>
        <s v="2018-04-19-20:00" u="1"/>
        <s v="2018-05-11-02:00" u="1"/>
        <s v="2018-07-19-20:00" u="1"/>
        <s v="2017-01-17-20:00" u="1"/>
        <s v="2017-04-17-20:00" u="1"/>
        <s v="2017-05-17-20:00" u="1"/>
        <s v="2017-07-17-20:00" u="1"/>
        <s v="2017-08-17-20:00" u="1"/>
        <s v="2017-09-17-20:00" u="1"/>
        <s v="2017-10-17-20:00" u="1"/>
        <s v="2017-12-17-20:00" u="1"/>
        <s v="2016-01-11-11:00" u="1"/>
        <s v="2016-02-11-11:00" u="1"/>
        <s v="2016-03-11-11:00" u="1"/>
        <s v="2016-03-31-10:00" u="1"/>
        <s v="2016-04-11-11:00" u="1"/>
        <s v="2016-05-11-11:00" u="1"/>
        <s v="2016-05-31-10:00" u="1"/>
        <s v="2016-07-11-11:00" u="1"/>
        <s v="2016-08-11-11:00" u="1"/>
        <s v="2016-08-31-10:00" u="1"/>
        <s v="2016-10-11-11:00" u="1"/>
        <s v="2016-10-31-10:00" u="1"/>
        <s v="2016-11-11-11:00" u="1"/>
        <s v="2018-01-03-11:00" u="1"/>
        <s v="2018-01-07-20:00" u="1"/>
        <s v="2018-01-23-10:00" u="1"/>
        <s v="2018-02-07-20:00" u="1"/>
        <s v="2018-02-23-10:00" u="1"/>
        <s v="2018-03-07-20:00" u="1"/>
        <s v="2018-03-23-10:00" u="1"/>
        <s v="2018-04-03-11:00" u="1"/>
        <s v="2018-04-23-10:00" u="1"/>
        <s v="2018-05-03-11:00" u="1"/>
        <s v="2018-05-07-20:00" u="1"/>
        <s v="2018-05-23-10:00" u="1"/>
        <s v="2018-07-23-10:00"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1-03-20:00" u="1"/>
        <s v="2016-02-03-20:00" u="1"/>
        <s v="2016-03-03-20:00" u="1"/>
        <s v="2016-04-03-20:00" u="1"/>
        <s v="2016-05-03-20:00" u="1"/>
        <s v="2016-07-03-20:00" u="1"/>
        <s v="2016-08-03-20:00" u="1"/>
        <s v="2016-10-03-20:00" u="1"/>
        <s v="2016-11-03-20:00" u="1"/>
        <s v="2018-01-11-10:00" u="1"/>
        <s v="2018-04-11-10:00" u="1"/>
        <s v="2018-05-11-10:00" u="1"/>
        <s v="2016-10-18-05:00" u="1"/>
        <s v="2016-11-18-05:00" u="1"/>
        <s v="2017-11-08-05:00" u="1"/>
        <s v="2017-11-28-04:00" u="1"/>
        <s v="2017-12-08-05:00" u="1"/>
        <s v="2017-12-28-04:00" u="1"/>
        <s v="2015-12-24-04:00" u="1"/>
        <s v="2017-01-16-04:00" u="1"/>
        <s v="2017-02-16-04:00" u="1"/>
        <s v="2017-03-16-04:00" u="1"/>
        <s v="2017-05-16-04:00" u="1"/>
        <s v="2017-06-16-04:00" u="1"/>
        <s v="2017-08-16-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5-12-24-12:00" u="1"/>
        <s v="2017-01-16-12:00" u="1"/>
        <s v="2017-02-16-12:00" u="1"/>
        <s v="2017-03-16-12:00" u="1"/>
        <s v="2017-05-16-12:00" u="1"/>
        <s v="2017-06-16-12:00" u="1"/>
        <s v="2017-08-16-12:00" u="1"/>
        <s v="2017-10-16-12:00" u="1"/>
        <s v="2017-11-16-12:00" u="1"/>
        <s v="2019-09-04-03:00" u="1"/>
        <s v="2016-01-18-21:00" u="1"/>
        <s v="2016-02-10-03:00" u="1"/>
        <s v="2016-02-18-21:00" u="1"/>
        <s v="2016-03-10-03:00" u="1"/>
        <s v="2016-03-30-02:00" u="1"/>
        <s v="2016-04-18-21:00" u="1"/>
        <s v="2016-05-10-03:00" u="1"/>
        <s v="2016-05-18-21:00" u="1"/>
        <s v="2016-05-30-02:00" u="1"/>
        <s v="2016-06-10-03:00" u="1"/>
        <s v="2016-06-30-02:00" u="1"/>
        <s v="2016-07-18-21:00" u="1"/>
        <s v="2016-08-10-03:00" u="1"/>
        <s v="2016-08-18-21:00" u="1"/>
        <s v="2016-08-30-02:00" u="1"/>
        <s v="2016-09-18-21:00" u="1"/>
        <s v="2016-09-30-02:00" u="1"/>
        <s v="2016-10-10-03:00" u="1"/>
        <s v="2016-11-10-03:00" u="1"/>
        <s v="2016-11-30-02:00" u="1"/>
        <s v="2016-12-30-02:00" u="1"/>
        <s v="2018-01-26-11:00" u="1"/>
        <s v="2018-02-06-12:00" u="1"/>
        <s v="2018-02-26-11:00" u="1"/>
        <s v="2018-03-06-12:00" u="1"/>
        <s v="2018-03-26-11:00" u="1"/>
        <s v="2018-04-06-12:00" u="1"/>
        <s v="2018-04-26-11:00" u="1"/>
        <s v="2017-01-08-21:00" u="1"/>
        <s v="2017-01-20-02:00" u="1"/>
        <s v="2017-02-08-21:00" u="1"/>
        <s v="2017-02-20-02:00" u="1"/>
        <s v="2017-02-28-20:00" u="1"/>
        <s v="2017-03-08-21:00" u="1"/>
        <s v="2017-03-20-02:00" u="1"/>
        <s v="2017-03-28-20:00" u="1"/>
        <s v="2017-04-20-02:00" u="1"/>
        <s v="2017-05-08-21:00" u="1"/>
        <s v="2017-05-28-20:00" u="1"/>
        <s v="2017-06-08-21:00" u="1"/>
        <s v="2017-06-20-02:00" u="1"/>
        <s v="2017-06-28-20:00" u="1"/>
        <s v="2017-07-20-02:00" u="1"/>
        <s v="2017-08-08-21:00" u="1"/>
        <s v="2017-08-28-20:00" u="1"/>
        <s v="2017-09-20-02:00" u="1"/>
        <s v="2017-09-28-20:00" u="1"/>
        <s v="2017-10-08-21:00" u="1"/>
        <s v="2017-10-20-02:00" u="1"/>
        <s v="2017-11-08-21:00" u="1"/>
        <s v="2017-11-20-02:00" u="1"/>
        <s v="2017-11-28-20:00" u="1"/>
        <s v="2017-12-20-02:00" u="1"/>
        <s v="2017-12-28-20:00" u="1"/>
        <s v="2016-01-06-21:00" u="1"/>
        <s v="2016-01-22-11:00" u="1"/>
        <s v="2016-01-26-20:00" u="1"/>
        <s v="2016-02-02-12:00" u="1"/>
        <s v="2016-02-22-11:00" u="1"/>
        <s v="2016-03-02-12:00" u="1"/>
        <s v="2016-03-06-21:00" u="1"/>
        <s v="2016-03-22-11:00" u="1"/>
        <s v="2016-04-06-21:00" u="1"/>
        <s v="2016-04-22-11:00" u="1"/>
        <s v="2016-04-26-20:00" u="1"/>
        <s v="2016-05-02-12:00" u="1"/>
        <s v="2016-05-26-20:00" u="1"/>
        <s v="2016-06-02-12:00" u="1"/>
        <s v="2016-06-06-21:00" u="1"/>
        <s v="2016-06-22-11:00" u="1"/>
        <s v="2016-06-26-20:00" u="1"/>
        <s v="2016-07-06-21:00" u="1"/>
        <s v="2016-07-22-11:00" u="1"/>
        <s v="2016-07-26-20:00" u="1"/>
        <s v="2016-08-02-12:00" u="1"/>
        <s v="2016-08-22-11:00" u="1"/>
        <s v="2016-09-02-12:00" u="1"/>
        <s v="2016-09-06-21:00" u="1"/>
        <s v="2016-09-22-11:00" u="1"/>
        <s v="2016-09-26-20:00" u="1"/>
        <s v="2016-10-06-21:00" u="1"/>
        <s v="2016-10-26-20:00" u="1"/>
        <s v="2016-11-06-21:00" u="1"/>
        <s v="2016-12-06-21:00" u="1"/>
        <s v="2016-12-26-20:00" u="1"/>
        <s v="2018-01-10-02:00" u="1"/>
        <s v="2018-01-18-20:00" u="1"/>
        <s v="2018-01-30-01:00" u="1"/>
        <s v="2018-02-18-20:00" u="1"/>
        <s v="2018-03-18-20:00" u="1"/>
        <s v="2018-03-30-01:00" u="1"/>
        <s v="2018-04-10-02:00" u="1"/>
        <s v="2018-04-18-20:00" u="1"/>
        <s v="2018-04-30-01:00" u="1"/>
        <s v="2018-05-10-02:00" u="1"/>
        <s v="2018-07-18-20:00" u="1"/>
        <s v="2017-01-12-11:00" u="1"/>
        <s v="2017-04-12-11:00" u="1"/>
        <s v="2017-05-12-11:00" u="1"/>
        <s v="2017-06-12-11:00" u="1"/>
        <s v="2017-07-12-11:00" u="1"/>
        <s v="2017-09-12-11:00" u="1"/>
        <s v="2017-10-12-11:00" u="1"/>
        <s v="2017-10-16-20:00" u="1"/>
        <s v="2017-11-16-20:00" u="1"/>
        <s v="2017-12-12-11:00" u="1"/>
        <s v="2019-09-04-11:00" u="1"/>
        <s v="2016-10-10-11:00" u="1"/>
        <s v="2016-11-10-11:00" u="1"/>
        <s v="2016-11-30-10:00" u="1"/>
        <s v="2016-12-30-10:00" u="1"/>
        <s v="2017-10-20-10:00" u="1"/>
        <s v="2017-11-20-10:00" u="1"/>
        <s v="2017-12-20-10:00" u="1"/>
        <s v="2016-02-02-20:00" u="1"/>
        <s v="2016-03-02-20:00" u="1"/>
        <s v="2016-05-02-20:00" u="1"/>
        <s v="2016-06-02-20:00" u="1"/>
        <s v="2016-08-02-20:00" u="1"/>
        <s v="2016-10-02-20:00" u="1"/>
        <s v="2016-11-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2-23-04: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7-01-27-12:00" u="1"/>
        <s v="2017-02-07-13:00" u="1"/>
        <s v="2017-02-27-12:00" u="1"/>
        <s v="2017-03-07-13:00" u="1"/>
        <s v="2017-03-27-12:00" u="1"/>
        <s v="2017-04-07-13:00" u="1"/>
        <s v="2017-04-27-12:00" u="1"/>
        <s v="2017-06-07-13:00" u="1"/>
        <s v="2017-06-27-12:00" u="1"/>
        <s v="2017-07-07-13:00" u="1"/>
        <s v="2017-07-27-12:00" u="1"/>
        <s v="2017-08-07-13:00" u="1"/>
        <s v="2017-09-07-13:00" u="1"/>
        <s v="2017-09-27-12: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9-09-03-03:00" u="1"/>
        <s v="2016-01-17-21:00" u="1"/>
        <s v="2016-02-17-21:00" u="1"/>
        <s v="2016-03-17-21:00" u="1"/>
        <s v="2016-04-17-21:00" u="1"/>
        <s v="2016-05-17-21:00" u="1"/>
        <s v="2016-07-17-21:00" u="1"/>
        <s v="2016-08-17-21:00" u="1"/>
        <s v="2016-10-17-21:00" u="1"/>
        <s v="2016-11-17-21:00" u="1"/>
        <s v="2018-02-01-03:00" u="1"/>
        <s v="2018-02-21-02:00" u="1"/>
        <s v="2018-03-01-03:00" u="1"/>
        <s v="2018-03-21-02:00" u="1"/>
        <s v="2018-05-01-03:00" u="1"/>
        <s v="2018-05-21-02:00" u="1"/>
        <s v="2017-02-07-21:00" u="1"/>
        <s v="2017-02-27-20:00" u="1"/>
        <s v="2017-03-07-21:00" u="1"/>
        <s v="2017-03-27-20:00" u="1"/>
        <s v="2017-04-27-20:00" u="1"/>
        <s v="2017-05-07-21:00" u="1"/>
        <s v="2017-06-07-21:00" u="1"/>
        <s v="2017-06-27-20:00" u="1"/>
        <s v="2017-07-27-20:00" u="1"/>
        <s v="2017-08-07-21:00" u="1"/>
        <s v="2017-08-27-20:00" u="1"/>
        <s v="2017-09-07-21:00" u="1"/>
        <s v="2017-09-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8-07-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9-09-03-11:00" u="1"/>
        <s v="2016-01-13-20:00" u="1"/>
        <s v="2016-03-13-20:00" u="1"/>
        <s v="2016-04-13-20:00" u="1"/>
        <s v="2016-06-13-20:00" u="1"/>
        <s v="2016-07-13-20:00" u="1"/>
        <s v="2016-09-13-20:00" u="1"/>
        <s v="2016-10-13-20:00" u="1"/>
        <s v="2016-11-13-20:00" u="1"/>
        <s v="2016-12-13-20:00" u="1"/>
        <s v="2018-02-01-11:00" u="1"/>
        <s v="2018-02-21-10:00" u="1"/>
        <s v="2018-03-01-11:00" u="1"/>
        <s v="2018-03-21-10:00" u="1"/>
        <s v="2018-05-01-11:00" u="1"/>
        <s v="2018-05-21-10:00" u="1"/>
        <s v="2017-01-03-20:00" u="1"/>
        <s v="2017-04-03-20:00" u="1"/>
        <s v="2017-05-03-20:00" u="1"/>
        <s v="2017-07-03-20:00" u="1"/>
        <s v="2017-08-03-20:00" u="1"/>
        <s v="2017-09-03-20:00" u="1"/>
        <s v="2017-10-03-20:00" u="1"/>
        <s v="2017-12-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4-10-08-15:00" u="1"/>
        <s v="2014-10-28-14:00" u="1"/>
        <s v="2014-11-28-14:00" u="1"/>
        <s v="2014-12-08-1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8-01-16-04:00" u="1"/>
        <s v="2018-02-16-04:00" u="1"/>
        <s v="2018-03-16-04:00" u="1"/>
        <s v="2018-04-16-04:00" u="1"/>
        <s v="2018-05-16-04:00" u="1"/>
        <s v="2017-02-14-04:00" u="1"/>
        <s v="2017-03-14-04:00" u="1"/>
        <s v="2017-04-14-04:00" u="1"/>
        <s v="2017-06-14-04:00" u="1"/>
        <s v="2017-07-14-04:00" u="1"/>
        <s v="2017-08-14-04:00" u="1"/>
        <s v="2017-09-14-04:00" u="1"/>
        <s v="2017-11-14-04:00" u="1"/>
        <s v="2017-12-14-04:00" u="1"/>
        <s v="2016-02-16-13:00" u="1"/>
        <s v="2016-03-16-13:00" u="1"/>
        <s v="2016-05-16-13:00" u="1"/>
        <s v="2016-06-16-13:00" u="1"/>
        <s v="2016-08-16-13:00" u="1"/>
        <s v="2016-09-16-13:00" u="1"/>
        <s v="2016-11-16-13:00" u="1"/>
        <s v="2016-12-16-13:00" u="1"/>
        <s v="2018-01-04-04:00" u="1"/>
        <s v="2018-01-24-03:00" u="1"/>
        <s v="2018-04-04-04:00" u="1"/>
        <s v="2018-04-24-03:00" u="1"/>
        <s v="2018-05-04-04:00" u="1"/>
        <s v="2018-05-24-03:00" u="1"/>
        <s v="2018-07-24-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6-01-20-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7-01-10-03:00" u="1"/>
        <s v="2017-01-18-21:00" u="1"/>
        <s v="2017-01-30-02:00" u="1"/>
        <s v="2017-02-10-03:00" u="1"/>
        <s v="2017-03-10-03:00" u="1"/>
        <s v="2017-03-30-02:00" u="1"/>
        <s v="2017-04-10-03:00" u="1"/>
        <s v="2017-04-18-21:00" u="1"/>
        <s v="2017-05-10-03:00" u="1"/>
        <s v="2017-05-18-21:00" u="1"/>
        <s v="2017-05-30-02:00" u="1"/>
        <s v="2017-06-18-21:00" u="1"/>
        <s v="2017-06-30-02:00" u="1"/>
        <s v="2017-07-10-03:00" u="1"/>
        <s v="2017-07-18-21:00" u="1"/>
        <s v="2017-08-10-03:00" u="1"/>
        <s v="2017-08-30-02:00" u="1"/>
        <s v="2017-09-18-21:00" u="1"/>
        <s v="2017-10-10-03:00" u="1"/>
        <s v="2017-10-30-02:00" u="1"/>
        <s v="2017-11-10-03:00" u="1"/>
        <s v="2017-11-30-02:00" u="1"/>
        <s v="2019-09-02-03:00" u="1"/>
        <s v="2016-01-12-12:00" u="1"/>
        <s v="2016-02-12-12:00" u="1"/>
        <s v="2016-02-16-21:00" u="1"/>
        <s v="2016-03-16-21:00" u="1"/>
        <s v="2016-04-12-12:00" u="1"/>
        <s v="2016-05-12-12:00" u="1"/>
        <s v="2016-05-16-21:00" u="1"/>
        <s v="2016-06-16-21:00" u="1"/>
        <s v="2016-07-12-12:00" u="1"/>
        <s v="2016-08-12-12:00" u="1"/>
        <s v="2016-08-16-21:00" u="1"/>
        <s v="2016-09-12-12:00" u="1"/>
        <s v="2016-10-16-21:00" u="1"/>
        <s v="2016-11-16-21:00" u="1"/>
        <s v="2018-01-08-21:00" u="1"/>
        <s v="2018-01-28-20:00" u="1"/>
        <s v="2018-02-08-21:00" u="1"/>
        <s v="2018-02-20-02:00" u="1"/>
        <s v="2018-02-28-20:00" u="1"/>
        <s v="2018-03-08-21:00" u="1"/>
        <s v="2018-03-20-02:00" u="1"/>
        <s v="2018-03-28-20:00" u="1"/>
        <s v="2018-04-08-21:00" u="1"/>
        <s v="2018-04-20-02:00" u="1"/>
        <s v="2018-05-08-21:00" u="1"/>
        <s v="2018-05-28-20:00" u="1"/>
        <s v="2018-07-20-02:00" u="1"/>
        <s v="2017-01-02-12:00" u="1"/>
        <s v="2017-01-26-20:00" u="1"/>
        <s v="2017-02-02-12:00" u="1"/>
        <s v="2017-02-06-21:00" u="1"/>
        <s v="2017-02-22-11:00" u="1"/>
        <s v="2017-02-26-20:00" u="1"/>
        <s v="2017-03-02-12:00" u="1"/>
        <s v="2017-03-06-21:00" u="1"/>
        <s v="2017-03-22-11:00" u="1"/>
        <s v="2017-03-26-20:00" u="1"/>
        <s v="2017-04-06-21:00" u="1"/>
        <s v="2017-04-26-20:00" u="1"/>
        <s v="2017-05-02-12:00" u="1"/>
        <s v="2017-05-22-11:00" u="1"/>
        <s v="2017-06-02-12:00" u="1"/>
        <s v="2017-06-06-21:00" u="1"/>
        <s v="2017-06-22-11:00" u="1"/>
        <s v="2017-06-26-20:00" u="1"/>
        <s v="2017-07-06-21:00" u="1"/>
        <s v="2017-07-26-20:00" u="1"/>
        <s v="2017-08-02-12:00" u="1"/>
        <s v="2017-08-06-21:00" u="1"/>
        <s v="2017-08-22-11:00" u="1"/>
        <s v="2017-09-06-21:00" u="1"/>
        <s v="2017-09-22-11:00" u="1"/>
        <s v="2017-09-26-20:00" u="1"/>
        <s v="2017-10-26-20:00" u="1"/>
        <s v="2017-11-06-21:00" u="1"/>
        <s v="2017-11-26-20:00" u="1"/>
        <s v="2017-12-06-21:00" u="1"/>
        <s v="2017-12-26-20:00" u="1"/>
        <s v="2019-08-30-01:00" u="1"/>
        <s v="2016-01-20-11:00" u="1"/>
        <s v="2016-04-20-11:00" u="1"/>
        <s v="2016-05-20-11:00" u="1"/>
        <s v="2016-06-20-11:00" u="1"/>
        <s v="2016-07-20-11:00" u="1"/>
        <s v="2016-09-20-11:00" u="1"/>
        <s v="2016-10-20-11:00" u="1"/>
        <s v="2016-12-20-11:00" u="1"/>
        <s v="2018-01-12-11:00" u="1"/>
        <s v="2018-02-12-11:00" u="1"/>
        <s v="2018-03-12-11:00" u="1"/>
        <s v="2018-04-12-11:00" u="1"/>
        <s v="2015-12-22-20:00" u="1"/>
        <s v="2017-10-10-11:00" u="1"/>
        <s v="2017-10-30-10:00" u="1"/>
        <s v="2017-11-10-11:00" u="1"/>
        <s v="2017-11-30-10:00" u="1"/>
        <s v="2019-09-02-11:00" u="1"/>
        <s v="2016-01-12-20:00" u="1"/>
        <s v="2016-04-12-20:00" u="1"/>
        <s v="2016-05-12-20:00" u="1"/>
        <s v="2016-06-12-20:00" u="1"/>
        <s v="2016-07-12-20:00" u="1"/>
        <s v="2016-09-12-20:00" u="1"/>
        <s v="2016-10-12-20:00" u="1"/>
        <s v="2016-12-12-20:00" u="1"/>
        <s v="2014-05-27-06:00" u="1"/>
        <s v="2014-06-27-06:00" u="1"/>
        <s v="2014-07-07-07:00" u="1"/>
        <s v="2014-08-07-07:00" u="1"/>
        <s v="2014-08-27-06:00" u="1"/>
        <s v="2016-01-19-06:00" u="1"/>
        <s v="2016-02-19-06:00" u="1"/>
        <s v="2016-04-19-06:00" u="1"/>
        <s v="2016-05-19-06:00" u="1"/>
        <s v="2016-07-19-06:00" u="1"/>
        <s v="2016-08-19-06:00" u="1"/>
        <s v="2016-09-19-06:00" u="1"/>
        <s v="2016-10-19-06:00" u="1"/>
        <s v="2016-12-19-06:00" u="1"/>
        <s v="2017-01-02-20:00" u="1"/>
        <s v="2017-02-02-20:00" u="1"/>
        <s v="2017-03-02-20:00" u="1"/>
        <s v="2017-04-02-20:00" u="1"/>
        <s v="2017-05-02-20:00" u="1"/>
        <s v="2017-07-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7-19-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5-05:00" u="1"/>
        <s v="2017-10-09-14:00" u="1"/>
        <s v="2017-10-25-04:00" u="1"/>
        <s v="2017-11-09-14:00" u="1"/>
        <s v="2017-11-29-13:00" u="1"/>
        <s v="2017-12-05-05: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7-10-13-04:00" u="1"/>
        <s v="2017-11-13-04:00" u="1"/>
        <s v="2017-12-13-04:00" u="1"/>
        <s v="2016-01-15-13:00" u="1"/>
        <s v="2016-02-15-13:00" u="1"/>
        <s v="2016-03-15-13:00" u="1"/>
        <s v="2016-04-15-13:00" u="1"/>
        <s v="2016-06-15-13:00" u="1"/>
        <s v="2016-07-15-13:00" u="1"/>
        <s v="2016-08-15-13:00" u="1"/>
        <s v="2016-09-15-13:00" u="1"/>
        <s v="2016-11-15-13:00" u="1"/>
        <s v="2016-12-15-13:00" u="1"/>
        <s v="2018-02-07-13:00" u="1"/>
        <s v="2018-02-27-12:00" u="1"/>
        <s v="2018-03-07-13:00" u="1"/>
        <s v="2018-03-27-12:00" u="1"/>
        <s v="2018-04-27-12:00" u="1"/>
        <s v="2018-05-07-13: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1-07-22:00" u="1"/>
        <s v="2016-01-27-21:00" u="1"/>
        <s v="2016-02-07-22:00" u="1"/>
        <s v="2016-03-07-22:00" u="1"/>
        <s v="2016-03-27-21:00" u="1"/>
        <s v="2016-04-07-22:00" u="1"/>
        <s v="2016-04-27-21:00" u="1"/>
        <s v="2016-06-07-22:00" u="1"/>
        <s v="2016-06-27-21:00" u="1"/>
        <s v="2016-07-07-22:00" u="1"/>
        <s v="2016-07-27-21:00" u="1"/>
        <s v="2016-08-07-22:00" u="1"/>
        <s v="2016-09-07-22:00" u="1"/>
        <s v="2016-09-27-21:00" u="1"/>
        <s v="2016-10-27-21:00" u="1"/>
        <s v="2016-11-07-22:00" u="1"/>
        <s v="2016-11-27-21:00" u="1"/>
        <s v="2016-12-07-22:00" u="1"/>
        <s v="2016-12-27-21:00" u="1"/>
        <s v="2018-01-11-03:00" u="1"/>
        <s v="2018-01-15-12:00" u="1"/>
        <s v="2018-01-31-02:00" u="1"/>
        <s v="2018-02-15-12:00" u="1"/>
        <s v="2018-03-15-12:00" u="1"/>
        <s v="2018-04-11-03:00" u="1"/>
        <s v="2018-05-11-03:00" u="1"/>
        <s v="2018-05-15-12:00" u="1"/>
        <s v="2017-01-17-21:00" u="1"/>
        <s v="2017-04-17-21:00" u="1"/>
        <s v="2017-05-17-21:00" u="1"/>
        <s v="2017-07-17-21:00" u="1"/>
        <s v="2017-08-17-21:00" u="1"/>
        <s v="2017-09-17-21:00" u="1"/>
        <s v="2017-10-17-21:00" u="1"/>
        <s v="2017-12-17-21:00" u="1"/>
        <s v="2019-08-29-20:00" u="1"/>
        <s v="2016-01-11-12:00" u="1"/>
        <s v="2016-02-11-12:00" u="1"/>
        <s v="2016-03-11-12:00" u="1"/>
        <s v="2016-03-31-11:00" u="1"/>
        <s v="2016-04-11-12:00" u="1"/>
        <s v="2016-05-11-12:00" u="1"/>
        <s v="2016-05-31-11:00" u="1"/>
        <s v="2016-07-11-12:00" u="1"/>
        <s v="2016-08-11-12:00" u="1"/>
        <s v="2016-08-31-11:00" u="1"/>
        <s v="2016-10-11-12:00" u="1"/>
        <s v="2016-10-31-11:00" u="1"/>
        <s v="2016-11-11-12:00" u="1"/>
        <s v="2018-01-07-21:00" u="1"/>
        <s v="2018-02-07-21:00" u="1"/>
        <s v="2018-02-27-20:00" u="1"/>
        <s v="2018-03-07-21:00" u="1"/>
        <s v="2018-03-27-20:00" u="1"/>
        <s v="2018-05-07-21:00" u="1"/>
        <s v="2018-05-27-20: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6-01-03-21:00" u="1"/>
        <s v="2016-02-03-21:00" u="1"/>
        <s v="2016-02-23-20:00" u="1"/>
        <s v="2016-03-03-21:00" u="1"/>
        <s v="2016-03-23-20:00" u="1"/>
        <s v="2016-04-03-21:00" u="1"/>
        <s v="2016-05-03-21:00" u="1"/>
        <s v="2016-05-23-20:00" u="1"/>
        <s v="2016-06-23-20:00" u="1"/>
        <s v="2016-07-03-21:00" u="1"/>
        <s v="2016-08-03-21:00" u="1"/>
        <s v="2016-08-23-20:00" u="1"/>
        <s v="2018-01-11-11:00" u="1"/>
        <s v="2018-01-31-10:00" u="1"/>
        <s v="2018-04-11-11:00" u="1"/>
        <s v="2018-05-11-11:00" u="1"/>
        <s v="2015-12-21-20:00" u="1"/>
        <s v="2017-02-13-20:00" u="1"/>
        <s v="2017-03-13-20:00" u="1"/>
        <s v="2017-04-13-20:00" u="1"/>
        <s v="2017-06-13-20:00" u="1"/>
        <s v="2017-07-13-20:00" u="1"/>
        <s v="2017-08-13-20:00" u="1"/>
        <s v="2017-09-13-20:00" u="1"/>
        <s v="2017-11-13-20:00" u="1"/>
        <s v="2017-12-13-20:00" u="1"/>
        <s v="2016-01-11-20:00" u="1"/>
        <s v="2016-02-11-20:00" u="1"/>
        <s v="2016-04-11-20:00" u="1"/>
        <s v="2016-05-11-20:00" u="1"/>
        <s v="2016-07-11-20:00" u="1"/>
        <s v="2016-08-11-20:00" u="1"/>
        <s v="2016-09-11-20:00" u="1"/>
        <s v="2016-10-11-20:00" u="1"/>
        <s v="2016-12-11-20:00" u="1"/>
        <s v="2018-01-03-20:00" u="1"/>
        <s v="2018-04-03-20:00" u="1"/>
        <s v="2018-05-03-20:00" u="1"/>
        <s v="2016-01-18-06:00" u="1"/>
        <s v="2016-02-18-06:00" u="1"/>
        <s v="2016-03-18-06:00" u="1"/>
        <s v="2016-04-18-06:00" u="1"/>
        <s v="2016-05-18-06:00" u="1"/>
        <s v="2016-07-18-06:00" u="1"/>
        <s v="2016-08-18-06:00" u="1"/>
        <s v="2016-10-18-06:00" u="1"/>
        <s v="2016-11-18-06:00" u="1"/>
        <s v="2017-10-01-20:00" u="1"/>
        <s v="2017-11-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5-10-08-15:00" u="1"/>
        <s v="2015-10-28-14:00" u="1"/>
        <s v="2015-12-24-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1-06-14:00" u="1"/>
        <s v="2016-01-26-13:00" u="1"/>
        <s v="2016-02-26-13:00" u="1"/>
        <s v="2016-04-06-14:00" u="1"/>
        <s v="2016-04-26-13:00" u="1"/>
        <s v="2016-05-06-14:00" u="1"/>
        <s v="2016-05-26-13:00" u="1"/>
        <s v="2016-06-06-14:00" u="1"/>
        <s v="2016-07-06-14:00" u="1"/>
        <s v="2016-07-26-13:00" u="1"/>
        <s v="2016-08-26-13:00" u="1"/>
        <s v="2016-09-06-14:00" u="1"/>
        <s v="2016-09-26-13:00" u="1"/>
        <s v="2018-02-14-04:00" u="1"/>
        <s v="2018-03-14-04:00" u="1"/>
        <s v="2018-05-14-04:00" u="1"/>
        <s v="2017-01-16-13:00" u="1"/>
        <s v="2017-02-16-13:00" u="1"/>
        <s v="2017-03-16-13:00" u="1"/>
        <s v="2017-05-16-13:00" u="1"/>
        <s v="2017-06-16-13:00" u="1"/>
        <s v="2017-08-16-13:00" u="1"/>
        <s v="2017-10-16-13:00" u="1"/>
        <s v="2017-11-16-13:00" u="1"/>
        <s v="2019-09-04-04:00" u="1"/>
        <s v="2016-02-10-04: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8-01-26-12:00" u="1"/>
        <s v="2018-02-06-13:00" u="1"/>
        <s v="2018-02-26-12:00" u="1"/>
        <s v="2018-03-06-13:00" u="1"/>
        <s v="2018-03-26-12:00" u="1"/>
        <s v="2018-04-06-13:00" u="1"/>
        <s v="2018-04-26-12:00" u="1"/>
        <s v="2017-01-20-03:00" u="1"/>
        <s v="2017-02-20-03:00" u="1"/>
        <s v="2017-03-20-03:00" u="1"/>
        <s v="2017-04-20-03:00" u="1"/>
        <s v="2017-06-20-03:00" u="1"/>
        <s v="2017-07-20-03:00" u="1"/>
        <s v="2017-09-20-03:00" u="1"/>
        <s v="2017-10-04-13:00" u="1"/>
        <s v="2017-10-20-03:00" u="1"/>
        <s v="2017-10-24-12:00" u="1"/>
        <s v="2017-11-20-03:00" u="1"/>
        <s v="2017-11-24-12:00" u="1"/>
        <s v="2017-12-04-13:00" u="1"/>
        <s v="2017-12-20-03: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12-06-22:00" u="1"/>
        <s v="2016-12-26-21:00" u="1"/>
        <s v="2018-01-10-03:00" u="1"/>
        <s v="2018-01-18-21:00" u="1"/>
        <s v="2018-01-30-02:00" u="1"/>
        <s v="2018-02-18-21:00" u="1"/>
        <s v="2018-03-18-21:00" u="1"/>
        <s v="2018-03-30-02:00" u="1"/>
        <s v="2018-04-10-03:00" u="1"/>
        <s v="2018-04-18-21:00" u="1"/>
        <s v="2018-04-30-02:00" u="1"/>
        <s v="2018-05-10-03:00" u="1"/>
        <s v="2018-07-18-21:00" u="1"/>
        <s v="2017-01-12-12:00" u="1"/>
        <s v="2017-01-16-21:00" u="1"/>
        <s v="2017-02-16-21:00" u="1"/>
        <s v="2017-03-16-21:00" u="1"/>
        <s v="2017-04-12-12:00" u="1"/>
        <s v="2017-04-16-21:00" u="1"/>
        <s v="2017-05-12-12:00" u="1"/>
        <s v="2017-05-16-21:00" u="1"/>
        <s v="2017-06-12-12:00" u="1"/>
        <s v="2017-07-12-12:00" u="1"/>
        <s v="2017-07-16-21:00" u="1"/>
        <s v="2017-08-16-21:00" u="1"/>
        <s v="2017-09-12-12:00" u="1"/>
        <s v="2019-09-04-12: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2-02-12:00" u="1"/>
        <s v="2018-02-06-21:00" u="1"/>
        <s v="2018-02-22-11:00" u="1"/>
        <s v="2018-02-26-20:00" u="1"/>
        <s v="2018-03-02-12:00" u="1"/>
        <s v="2018-03-06-21:00" u="1"/>
        <s v="2018-03-22-11:00" u="1"/>
        <s v="2018-03-26-20:00" u="1"/>
        <s v="2018-04-02-12:00" u="1"/>
        <s v="2018-04-26-20:00" u="1"/>
        <s v="2018-05-02-12:00" u="1"/>
        <s v="2018-05-06-21:00" u="1"/>
        <s v="2018-05-22-11:00" u="1"/>
        <s v="2017-01-20-11:00" u="1"/>
        <s v="2017-02-20-11:00" u="1"/>
        <s v="2017-03-20-11:00" u="1"/>
        <s v="2017-04-20-11:00" u="1"/>
        <s v="2017-06-20-11:00" u="1"/>
        <s v="2017-07-20-11:00" u="1"/>
        <s v="2017-09-20-11:00" u="1"/>
        <s v="2017-10-20-11:00" u="1"/>
        <s v="2017-11-20-11:00" u="1"/>
        <s v="2017-12-20-11:00" u="1"/>
        <s v="2016-02-02-21:00" u="1"/>
        <s v="2016-02-22-20:00" u="1"/>
        <s v="2016-03-02-21:00" u="1"/>
        <s v="2016-03-22-20:00" u="1"/>
        <s v="2016-05-02-21:00" u="1"/>
        <s v="2016-05-22-20:00" u="1"/>
        <s v="2016-06-02-21:00" u="1"/>
        <s v="2016-06-22-20:00" u="1"/>
        <s v="2016-08-02-21:00" u="1"/>
        <s v="2016-08-22-20:00" u="1"/>
        <s v="2016-09-22-20:00" u="1"/>
        <s v="2016-10-02-21:00" u="1"/>
        <s v="2016-11-02-21:00" u="1"/>
        <s v="2016-11-22-20: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2-12-20:00" u="1"/>
        <s v="2017-03-12-20:00" u="1"/>
        <s v="2017-04-12-20:00" u="1"/>
        <s v="2017-06-12-20:00" u="1"/>
        <s v="2017-07-12-20:00" u="1"/>
        <s v="2017-09-12-20:00" u="1"/>
        <s v="2017-10-12-20:00" u="1"/>
        <s v="2017-11-12-20:00" u="1"/>
        <s v="2017-12-12-20:00" u="1"/>
        <s v="2019-09-04-20:00" u="1"/>
        <s v="2015-01-07-07:00" u="1"/>
        <s v="2015-01-27-06:00" u="1"/>
        <s v="2015-02-27-06:00" u="1"/>
        <s v="2015-03-27-06:00" u="1"/>
        <s v="2015-04-07-07:00" u="1"/>
        <s v="2015-04-27-06:00" u="1"/>
        <s v="2015-05-07-07:00" u="1"/>
        <s v="2015-05-27-06:00" u="1"/>
        <s v="2015-07-07-07:00" u="1"/>
        <s v="2015-07-27-06:00" u="1"/>
        <s v="2015-08-07-07:00" u="1"/>
        <s v="2015-08-27-06:00" u="1"/>
        <s v="2015-09-07-07:00" u="1"/>
        <s v="2017-01-19-06:00" u="1"/>
        <s v="2017-04-19-06:00" u="1"/>
        <s v="2017-05-19-06:00" u="1"/>
        <s v="2017-06-19-06:00" u="1"/>
        <s v="2017-07-19-06:00" u="1"/>
        <s v="2017-09-19-06:00" u="1"/>
        <s v="2017-10-19-06:00" u="1"/>
        <s v="2017-12-19-06:00" u="1"/>
        <s v="2018-01-02-20:00" u="1"/>
        <s v="2018-04-02-20:00" u="1"/>
        <s v="2018-05-02-20:00" u="1"/>
        <s v="2016-10-17-06:00" u="1"/>
        <s v="2016-11-17-06:00" u="1"/>
        <s v="2018-01-09-06:00" u="1"/>
        <s v="2018-01-29-05:00" u="1"/>
        <s v="2018-02-09-06:00" u="1"/>
        <s v="2018-03-09-06:00" u="1"/>
        <s v="2018-03-29-05:00" u="1"/>
        <s v="2018-04-09-06:00" u="1"/>
        <s v="2018-05-09-06:00" u="1"/>
        <s v="2018-05-29-05: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5-12-23-05: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1-13-05:00" u="1"/>
        <s v="2016-04-13-05:00" u="1"/>
        <s v="2016-05-13-05:00" u="1"/>
        <s v="2016-06-13-05:00" u="1"/>
        <s v="2016-07-13-05:00" u="1"/>
        <s v="2016-09-13-05:00" u="1"/>
        <s v="2016-10-13-05:00" u="1"/>
        <s v="2016-12-13-05:00" u="1"/>
        <s v="2018-01-05-05:00" u="1"/>
        <s v="2018-01-25-04:00" u="1"/>
        <s v="2018-02-05-05:00" u="1"/>
        <s v="2018-03-05-05:00" u="1"/>
        <s v="2018-04-05-05:00" u="1"/>
        <s v="2018-04-25-04:00" u="1"/>
        <s v="2018-05-25-0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9-09-03-04:00" u="1"/>
        <s v="2016-01-17-22:00" u="1"/>
        <s v="2016-02-17-22:00" u="1"/>
        <s v="2016-03-17-22:00" u="1"/>
        <s v="2016-04-17-22:00" u="1"/>
        <s v="2016-05-17-22:00" u="1"/>
        <s v="2016-07-17-22:00" u="1"/>
        <s v="2016-08-17-22:00" u="1"/>
        <s v="2016-10-17-22:00" u="1"/>
        <s v="2016-11-17-22:00" u="1"/>
        <s v="2018-01-05-13:00" u="1"/>
        <s v="2018-01-25-12:00" u="1"/>
        <s v="2018-02-05-13:00" u="1"/>
        <s v="2018-03-05-13:00" u="1"/>
        <s v="2018-04-05-13:00" u="1"/>
        <s v="2018-04-25-12:00" u="1"/>
        <s v="2018-05-25-12:00" u="1"/>
        <s v="2017-02-07-22:00" u="1"/>
        <s v="2017-02-27-21:00" u="1"/>
        <s v="2017-03-07-22:00" u="1"/>
        <s v="2017-03-27-21:00" u="1"/>
        <s v="2017-04-27-21:00" u="1"/>
        <s v="2017-05-07-22:00" u="1"/>
        <s v="2017-06-07-22:00" u="1"/>
        <s v="2017-06-27-21:00" u="1"/>
        <s v="2017-07-27-21:00" u="1"/>
        <s v="2017-08-07-22:00" u="1"/>
        <s v="2017-08-27-21:00" u="1"/>
        <s v="2017-09-07-22:00" u="1"/>
        <s v="2017-09-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2-01-13:00" u="1"/>
        <s v="2016-12-05-22:00" u="1"/>
        <s v="2016-12-21-12:00" u="1"/>
        <s v="2016-12-25-21:00" u="1"/>
        <s v="2018-01-17-21:00" u="1"/>
        <s v="2018-04-17-21:00" u="1"/>
        <s v="2018-05-17-21:00" u="1"/>
        <s v="2018-07-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9-09-03-12:00" u="1"/>
        <s v="2018-02-01-12:00" u="1"/>
        <s v="2018-02-21-11:00" u="1"/>
        <s v="2018-03-01-12:00" u="1"/>
        <s v="2018-03-21-11:00" u="1"/>
        <s v="2018-05-01-12:00" u="1"/>
        <s v="2018-05-21-11:00" u="1"/>
        <s v="2017-01-03-21:00" u="1"/>
        <s v="2017-01-23-20:00" u="1"/>
        <s v="2017-02-23-20:00" u="1"/>
        <s v="2017-03-23-20:00" u="1"/>
        <s v="2017-04-03-21:00" u="1"/>
        <s v="2017-04-23-20:00" u="1"/>
        <s v="2017-05-03-21:00" u="1"/>
        <s v="2017-05-23-20:00" u="1"/>
        <s v="2017-07-03-21:00" u="1"/>
        <s v="2017-07-23-20:00" u="1"/>
        <s v="2017-08-03-21:00" u="1"/>
        <s v="2017-08-23-20:00" u="1"/>
        <s v="2017-09-03-21: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6-11-21-20:00" u="1"/>
        <s v="2016-12-01-21:00" u="1"/>
        <s v="2016-12-21-20:00" u="1"/>
        <s v="2018-02-13-20:00" u="1"/>
        <s v="2018-03-13-20:00" u="1"/>
        <s v="2018-05-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7-09-11-20:00" u="1"/>
        <s v="2017-10-11-20:00" u="1"/>
        <s v="2017-12-11-20:00" u="1"/>
        <s v="2019-09-03-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5-12-22-05:00" u="1"/>
        <s v="2017-02-14-05:00" u="1"/>
        <s v="2017-03-14-05:00" u="1"/>
        <s v="2017-04-14-05:00" u="1"/>
        <s v="2017-06-14-05:00" u="1"/>
        <s v="2017-07-14-05:00" u="1"/>
        <s v="2017-08-14-05:00" u="1"/>
        <s v="2017-09-14-05:00" u="1"/>
        <s v="2017-11-14-05:00" u="1"/>
        <s v="2017-12-14-05:00" u="1"/>
        <s v="2016-02-16-14:00" u="1"/>
        <s v="2016-03-16-14:00" u="1"/>
        <s v="2016-05-16-14:00" u="1"/>
        <s v="2016-06-16-14:00" u="1"/>
        <s v="2016-08-16-14:00" u="1"/>
        <s v="2016-09-16-14:00" u="1"/>
        <s v="2018-01-04-05:00" u="1"/>
        <s v="2018-01-24-04:00" u="1"/>
        <s v="2018-04-04-05:00" u="1"/>
        <s v="2018-04-24-04:00" u="1"/>
        <s v="2018-05-04-05:00" u="1"/>
        <s v="2018-05-24-04:00" u="1"/>
        <s v="2018-07-24-04:00" u="1"/>
        <s v="2017-01-06-14:00" u="1"/>
        <s v="2017-01-26-13:00" u="1"/>
        <s v="2017-02-06-14:00" u="1"/>
        <s v="2017-03-06-14:00" u="1"/>
        <s v="2017-04-06-14:00" u="1"/>
        <s v="2017-04-26-13:00" u="1"/>
        <s v="2017-05-26-13:00" u="1"/>
        <s v="2017-06-06-14:00" u="1"/>
        <s v="2017-06-26-13:00" u="1"/>
        <s v="2017-07-06-14:00" u="1"/>
        <s v="2017-07-26-13:00" u="1"/>
        <s v="2017-09-06-14:00" u="1"/>
        <s v="2017-09-26-13: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8-01-16-13:00" u="1"/>
        <s v="2018-02-16-13:00" u="1"/>
        <s v="2018-03-16-13:00" u="1"/>
        <s v="2018-04-16-13:00" u="1"/>
        <s v="2018-05-16-13:00" u="1"/>
        <s v="2017-01-10-04:00" u="1"/>
        <s v="2017-01-30-03:00" u="1"/>
        <s v="2017-02-10-04:00" u="1"/>
        <s v="2017-03-10-04:00" u="1"/>
        <s v="2017-03-30-03:00" u="1"/>
        <s v="2017-04-10-04:00" u="1"/>
        <s v="2017-05-10-04:00" u="1"/>
        <s v="2017-05-30-03:00" u="1"/>
        <s v="2017-06-30-03:00" u="1"/>
        <s v="2017-07-10-04:00" u="1"/>
        <s v="2017-08-10-04:00" u="1"/>
        <s v="2017-08-30-03:00" u="1"/>
        <s v="2017-10-10-04:00" u="1"/>
        <s v="2017-10-30-03:00" u="1"/>
        <s v="2017-11-10-04:00" u="1"/>
        <s v="2017-11-14-13:00" u="1"/>
        <s v="2017-11-30-03:00" u="1"/>
        <s v="2017-12-14-13:00" u="1"/>
        <s v="2019-09-02-04:00" u="1"/>
        <s v="2016-02-16-22:00" u="1"/>
        <s v="2016-03-16-22:00" u="1"/>
        <s v="2016-05-16-22:00" u="1"/>
        <s v="2016-06-16-22:00" u="1"/>
        <s v="2016-08-16-22:00" u="1"/>
        <s v="2016-10-16-22:00" u="1"/>
        <s v="2016-11-16-22:00" u="1"/>
        <s v="2018-02-20-03:00" u="1"/>
        <s v="2018-03-20-03:00" u="1"/>
        <s v="2018-04-20-03:00" u="1"/>
        <s v="2018-07-20-03:00" u="1"/>
        <s v="2017-01-26-21:00" u="1"/>
        <s v="2017-02-06-22:00" u="1"/>
        <s v="2017-02-26-21:00" u="1"/>
        <s v="2017-03-06-22:00" u="1"/>
        <s v="2017-03-26-21:00" u="1"/>
        <s v="2017-04-06-22:00" u="1"/>
        <s v="2017-04-26-21:00" u="1"/>
        <s v="2017-06-06-22:00" u="1"/>
        <s v="2017-06-26-21:00" u="1"/>
        <s v="2017-07-06-22:00" u="1"/>
        <s v="2017-07-26-21:00" u="1"/>
        <s v="2017-08-06-22:00" u="1"/>
        <s v="2017-09-06-22:00" u="1"/>
        <s v="2017-09-26-21:00" u="1"/>
        <s v="2017-10-26-21:00" u="1"/>
        <s v="2017-11-06-22:00" u="1"/>
        <s v="2017-11-26-21:00" u="1"/>
        <s v="2017-12-06-22:00" u="1"/>
        <s v="2017-12-26-21:00" u="1"/>
        <s v="2019-08-30-02:00" u="1"/>
        <s v="2016-01-20-12:00" u="1"/>
        <s v="2016-04-20-12:00" u="1"/>
        <s v="2016-05-20-12:00" u="1"/>
        <s v="2016-06-20-12:00" u="1"/>
        <s v="2016-07-20-12:00" u="1"/>
        <s v="2016-09-20-12:00" u="1"/>
        <s v="2016-10-20-12:00" u="1"/>
        <s v="2016-12-20-12:00" u="1"/>
        <s v="2018-01-12-12:00" u="1"/>
        <s v="2018-01-16-21:00" u="1"/>
        <s v="2018-02-12-12:00" u="1"/>
        <s v="2018-03-12-12:00" u="1"/>
        <s v="2018-04-12-12:00" u="1"/>
        <s v="2018-04-16-21:00" u="1"/>
        <s v="2018-05-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9-09-02-12:00" u="1"/>
        <s v="2016-01-12-21:00" u="1"/>
        <s v="2016-04-12-21:00" u="1"/>
        <s v="2016-05-12-21:00" u="1"/>
        <s v="2016-06-12-21:00" u="1"/>
        <s v="2016-07-12-21:00" u="1"/>
        <s v="2016-09-12-21:00" u="1"/>
        <s v="2016-10-12-21:00" u="1"/>
        <s v="2016-12-12-21:00" u="1"/>
        <s v="2018-02-20-11:00" u="1"/>
        <s v="2018-03-20-11:00" u="1"/>
        <s v="2018-04-20-11:00" u="1"/>
        <s v="2018-07-20-11:00" u="1"/>
        <s v="2016-01-19-07:00" u="1"/>
        <s v="2016-02-19-07:00" u="1"/>
        <s v="2016-04-19-07:00" u="1"/>
        <s v="2016-05-19-07:00" u="1"/>
        <s v="2016-07-19-07:00" u="1"/>
        <s v="2016-08-19-07:00" u="1"/>
        <s v="2016-09-19-07:00" u="1"/>
        <s v="2017-01-02-21:00" u="1"/>
        <s v="2017-01-22-20:00" u="1"/>
        <s v="2017-02-02-21:00" u="1"/>
        <s v="2017-02-22-20:00" u="1"/>
        <s v="2017-03-02-21:00" u="1"/>
        <s v="2017-03-22-20:00" u="1"/>
        <s v="2017-04-02-21:00" u="1"/>
        <s v="2017-05-02-21:00" u="1"/>
        <s v="2017-05-22-20:00" u="1"/>
        <s v="2017-06-22-20:00" u="1"/>
        <s v="2017-07-02-21:00" u="1"/>
        <s v="2017-08-02-21:00" u="1"/>
        <s v="2017-08-22-20:00" u="1"/>
        <s v="2017-10-02-21:00" u="1"/>
        <s v="2017-10-22-20:00" u="1"/>
        <s v="2017-11-02-21:00" u="1"/>
        <s v="2017-11-22-20:00" u="1"/>
        <s v="2019-08-30-1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1-20-20:00" u="1"/>
        <s v="2016-12-20-20:00" u="1"/>
        <s v="2018-02-12-20:00" u="1"/>
        <s v="2018-03-12-20:00" u="1"/>
        <s v="2018-04-12-20:00" u="1"/>
        <s v="2016-01-07-07:00" u="1"/>
        <s v="2016-01-27-06:00" u="1"/>
        <s v="2016-10-07-07:00" u="1"/>
        <s v="2016-10-27-06:00" u="1"/>
        <s v="2016-11-07-07:00" u="1"/>
        <s v="2016-12-07-07:00" u="1"/>
        <s v="2016-12-27-06:00" u="1"/>
        <s v="2018-01-19-06:00" u="1"/>
        <s v="2018-02-19-06:00" u="1"/>
        <s v="2018-03-19-06:00" u="1"/>
        <s v="2018-04-19-06:00" u="1"/>
        <s v="2018-07-19-06:00" u="1"/>
        <s v="2019-09-02-20:00" u="1"/>
        <s v="2017-10-17-06:00" u="1"/>
        <s v="2017-11-17-06: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8-07-19-14:00" u="1"/>
        <s v="2017-01-13-05:00" u="1"/>
        <s v="2017-02-13-05:00" u="1"/>
        <s v="2017-03-13-05:00" u="1"/>
        <s v="2017-04-13-05:00" u="1"/>
        <s v="2017-06-13-05:00" u="1"/>
        <s v="2017-07-13-05:00" u="1"/>
        <s v="2017-09-13-05:00" u="1"/>
        <s v="2017-10-13-05:00" u="1"/>
        <s v="2017-11-13-05:00" u="1"/>
        <s v="2017-12-13-05:00" u="1"/>
        <s v="2016-01-15-14:00" u="1"/>
        <s v="2016-02-15-14: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8-07-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6-01-07-23:00" u="1"/>
        <s v="2016-01-27-22:00" u="1"/>
        <s v="2016-02-07-23:00" u="1"/>
        <s v="2016-03-07-23:00" u="1"/>
        <s v="2016-03-27-22:00" u="1"/>
        <s v="2016-04-07-23:00" u="1"/>
        <s v="2016-04-27-22:00" u="1"/>
        <s v="2016-06-07-23:00" u="1"/>
        <s v="2016-06-27-22:00" u="1"/>
        <s v="2016-07-07-23:00" u="1"/>
        <s v="2016-07-27-22:00" u="1"/>
        <s v="2016-08-07-23:00" u="1"/>
        <s v="2016-09-07-23:00" u="1"/>
        <s v="2016-09-27-22:00" u="1"/>
        <s v="2018-01-15-13:00" u="1"/>
        <s v="2018-02-15-13:00" u="1"/>
        <s v="2018-03-15-13:00" u="1"/>
        <s v="2018-05-15-13:00" u="1"/>
        <s v="2017-01-17-22:00" u="1"/>
        <s v="2017-04-17-22:00" u="1"/>
        <s v="2017-05-17-22:00" u="1"/>
        <s v="2017-07-17-22:00" u="1"/>
        <s v="2017-08-17-22:00" u="1"/>
        <s v="2017-09-17-22:00" u="1"/>
        <s v="2017-10-17-22:00" u="1"/>
        <s v="2017-12-17-22:00" u="1"/>
        <s v="2019-08-29-21:00" u="1"/>
        <s v="2016-01-11-13:00" u="1"/>
        <s v="2016-02-11-13:00" u="1"/>
        <s v="2016-02-15-22:00" u="1"/>
        <s v="2016-03-11-13:00" u="1"/>
        <s v="2016-03-15-22:00" u="1"/>
        <s v="2016-03-31-12:00" u="1"/>
        <s v="2016-04-11-13:00" u="1"/>
        <s v="2016-05-11-13:00" u="1"/>
        <s v="2016-05-15-22:00" u="1"/>
        <s v="2016-05-31-12:00" u="1"/>
        <s v="2016-06-15-22:00" u="1"/>
        <s v="2016-07-11-13:00" u="1"/>
        <s v="2016-08-11-13:00" u="1"/>
        <s v="2016-08-15-22:00" u="1"/>
        <s v="2016-08-31-12:00" u="1"/>
        <s v="2016-09-15-22:00" u="1"/>
        <s v="2016-11-15-22:00" u="1"/>
        <s v="2016-12-15-22:00" u="1"/>
        <s v="2018-01-07-22:00" u="1"/>
        <s v="2018-02-07-22:00" u="1"/>
        <s v="2018-02-27-21:00" u="1"/>
        <s v="2018-03-07-22:00" u="1"/>
        <s v="2018-03-27-21:00" u="1"/>
        <s v="2018-05-07-22:00" u="1"/>
        <s v="2018-05-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1-01-13:00" u="1"/>
        <s v="2017-11-05-22:00" u="1"/>
        <s v="2017-11-21-12:00" u="1"/>
        <s v="2017-12-01-13:00" u="1"/>
        <s v="2017-12-05-22:00" u="1"/>
        <s v="2017-12-21-12:00" u="1"/>
        <s v="2017-12-25-21:00" u="1"/>
        <s v="2018-01-11-12:00" u="1"/>
        <s v="2018-01-31-11:00" u="1"/>
        <s v="2018-04-11-12:00" u="1"/>
        <s v="2018-05-11-12:00" u="1"/>
        <s v="2015-12-21-21:00" u="1"/>
        <s v="2016-01-11-21:00" u="1"/>
        <s v="2016-01-31-20:00" u="1"/>
        <s v="2016-02-11-21:00" u="1"/>
        <s v="2016-03-31-20:00" u="1"/>
        <s v="2016-04-11-21:00" u="1"/>
        <s v="2016-05-11-21:00" u="1"/>
        <s v="2016-05-31-20:00" u="1"/>
        <s v="2016-07-11-21:00" u="1"/>
        <s v="2016-07-31-20:00" u="1"/>
        <s v="2016-08-11-21:00" u="1"/>
        <s v="2016-08-31-20:00" u="1"/>
        <s v="2016-09-11-21:00" u="1"/>
        <s v="2016-10-11-21:00" u="1"/>
        <s v="2016-10-31-20:00" u="1"/>
        <s v="2016-12-11-21:00" u="1"/>
        <s v="2018-01-03-21:00" u="1"/>
        <s v="2018-01-23-20:00" u="1"/>
        <s v="2018-04-03-21:00" u="1"/>
        <s v="2018-04-23-20:00" u="1"/>
        <s v="2018-05-03-21:00" u="1"/>
        <s v="2018-05-23-20:00" u="1"/>
        <s v="2018-07-23-20:00" u="1"/>
        <s v="2016-01-18-07:00" u="1"/>
        <s v="2016-02-18-07:00" u="1"/>
        <s v="2016-03-18-07:00" u="1"/>
        <s v="2016-04-18-07:00" u="1"/>
        <s v="2016-05-18-07:00" u="1"/>
        <s v="2016-07-18-07:00" u="1"/>
        <s v="2016-08-18-07:00" u="1"/>
        <s v="2016-10-18-07:00" u="1"/>
        <s v="2016-11-18-07:00" u="1"/>
        <s v="2017-02-01-21:00" u="1"/>
        <s v="2017-02-21-20:00" u="1"/>
        <s v="2017-03-01-21:00" u="1"/>
        <s v="2017-03-21-20:00" u="1"/>
        <s v="2017-05-01-21:00" u="1"/>
        <s v="2017-05-21-20:00" u="1"/>
        <s v="2017-06-01-21:00" u="1"/>
        <s v="2017-06-21-20:00" u="1"/>
        <s v="2017-08-01-21:00" u="1"/>
        <s v="2017-08-21-20:00" u="1"/>
        <s v="2017-09-21-20:00" u="1"/>
        <s v="2017-10-01-21:00" u="1"/>
        <s v="2017-11-01-21:00" u="1"/>
        <s v="2017-11-21-20: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2-11-20:00" u="1"/>
        <s v="2018-03-11-20:00" u="1"/>
        <s v="2018-04-11-20:00" u="1"/>
        <s v="2018-01-18-06:00" u="1"/>
        <s v="2018-04-18-06:00" u="1"/>
        <s v="2018-05-18-06:00" u="1"/>
        <s v="2018-07-18-06:00" u="1"/>
        <s v="2016-01-14-06:00" u="1"/>
        <s v="2016-03-14-06:00" u="1"/>
        <s v="2016-04-14-06:00" u="1"/>
        <s v="2016-06-14-06:00" u="1"/>
        <s v="2016-07-14-06:00" u="1"/>
        <s v="2016-09-14-06:00" u="1"/>
        <s v="2016-10-14-06:00" u="1"/>
        <s v="2016-10-18-15:00" u="1"/>
        <s v="2016-11-14-06:00" u="1"/>
        <s v="2016-11-18-15:00" u="1"/>
        <s v="2016-12-14-0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7-01-16-14:00" u="1"/>
        <s v="2017-02-16-14:00" u="1"/>
        <s v="2017-03-16-14:00" u="1"/>
        <s v="2017-05-16-14:00" u="1"/>
        <s v="2017-06-16-14:00" u="1"/>
        <s v="2017-08-16-14:00" u="1"/>
        <s v="2019-09-04-05:00" u="1"/>
        <s v="2016-01-14-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7-01-04-14:00" u="1"/>
        <s v="2017-01-20-04:00" u="1"/>
        <s v="2017-01-24-13:00" u="1"/>
        <s v="2017-02-20-04:00" u="1"/>
        <s v="2017-02-24-13:00" u="1"/>
        <s v="2017-03-20-04:00" u="1"/>
        <s v="2017-03-24-13:00" u="1"/>
        <s v="2017-04-04-14:00" u="1"/>
        <s v="2017-04-20-04:00" u="1"/>
        <s v="2017-04-24-13:00" u="1"/>
        <s v="2017-05-04-14:00" u="1"/>
        <s v="2017-05-24-13:00" u="1"/>
        <s v="2017-06-20-04:00" u="1"/>
        <s v="2017-07-04-14:00" u="1"/>
        <s v="2017-07-20-04:00" u="1"/>
        <s v="2017-07-24-13:00" u="1"/>
        <s v="2017-08-04-14:00" u="1"/>
        <s v="2017-08-24-13:00" u="1"/>
        <s v="2017-09-04-14:00" u="1"/>
        <s v="2017-09-20-04:00" u="1"/>
        <s v="2017-10-04-14:00" u="1"/>
        <s v="2017-10-24-13:00" u="1"/>
        <s v="2017-11-24-13:00" u="1"/>
        <s v="2017-12-04-14:00" u="1"/>
        <s v="2016-01-06-23:00" u="1"/>
        <s v="2016-01-26-22:00" u="1"/>
        <s v="2016-03-06-23:00" u="1"/>
        <s v="2016-04-06-23:00" u="1"/>
        <s v="2016-04-26-22:00" u="1"/>
        <s v="2016-05-26-22:00" u="1"/>
        <s v="2016-06-06-23:00" u="1"/>
        <s v="2016-06-26-22:00" u="1"/>
        <s v="2016-07-06-23:00" u="1"/>
        <s v="2016-07-26-22:00" u="1"/>
        <s v="2016-09-06-23:00" u="1"/>
        <s v="2016-09-26-22:00" u="1"/>
        <s v="2016-10-06-23:00" u="1"/>
        <s v="2016-10-26-22:00" u="1"/>
        <s v="2016-11-06-23:00" u="1"/>
        <s v="2016-12-06-23:00" u="1"/>
        <s v="2016-12-26-22:00" u="1"/>
        <s v="2018-01-10-04:00" u="1"/>
        <s v="2018-01-30-03:00" u="1"/>
        <s v="2018-03-30-03:00" u="1"/>
        <s v="2018-04-10-04:00" u="1"/>
        <s v="2018-04-30-03:00" u="1"/>
        <s v="2018-05-10-04:00" u="1"/>
        <s v="2017-01-16-22:00" u="1"/>
        <s v="2017-02-16-22:00" u="1"/>
        <s v="2017-03-16-22:00" u="1"/>
        <s v="2017-04-16-22:00" u="1"/>
        <s v="2017-05-16-22:00" u="1"/>
        <s v="2017-07-16-22:00" u="1"/>
        <s v="2017-08-16-22:00" u="1"/>
        <s v="2017-10-16-22:00" u="1"/>
        <s v="2017-11-16-22:00" u="1"/>
        <s v="2019-09-04-13: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2-06-22:00" u="1"/>
        <s v="2018-02-26-21:00" u="1"/>
        <s v="2018-03-06-22:00" u="1"/>
        <s v="2018-03-26-21:00" u="1"/>
        <s v="2018-04-26-21:00" u="1"/>
        <s v="2018-05-06-22:00" u="1"/>
        <s v="2017-01-20-12:00" u="1"/>
        <s v="2017-02-20-12:00" u="1"/>
        <s v="2017-03-20-12:00" u="1"/>
        <s v="2017-04-20-12:00" u="1"/>
        <s v="2017-06-20-12:00" u="1"/>
        <s v="2017-07-20-12:00" u="1"/>
        <s v="2017-09-20-12:00" u="1"/>
        <s v="2017-10-20-12:00" u="1"/>
        <s v="2017-11-20-12:00" u="1"/>
        <s v="2017-12-20-12:00" u="1"/>
        <s v="2016-02-02-22:00" u="1"/>
        <s v="2016-02-22-21:00" u="1"/>
        <s v="2016-03-02-22:00" u="1"/>
        <s v="2016-03-22-21:00" u="1"/>
        <s v="2016-05-02-22:00" u="1"/>
        <s v="2016-05-22-21:00" u="1"/>
        <s v="2016-06-02-22:00" u="1"/>
        <s v="2016-06-22-21:00" u="1"/>
        <s v="2016-08-02-22:00" u="1"/>
        <s v="2016-08-22-21:00" u="1"/>
        <s v="2016-09-22-21:00" u="1"/>
        <s v="2018-01-10-12:00" u="1"/>
        <s v="2018-01-30-11:00" u="1"/>
        <s v="2018-03-30-11:00" u="1"/>
        <s v="2018-04-10-12:00" u="1"/>
        <s v="2018-04-30-11:00" u="1"/>
        <s v="2018-05-10-12:00" u="1"/>
        <s v="2016-01-29-07:00" u="1"/>
        <s v="2016-02-09-08:00" u="1"/>
        <s v="2017-01-12-21:00" u="1"/>
        <s v="2017-02-12-21:00" u="1"/>
        <s v="2017-03-12-21:00" u="1"/>
        <s v="2017-04-12-21:00" u="1"/>
        <s v="2017-06-12-21:00" u="1"/>
        <s v="2017-07-12-21:00" u="1"/>
        <s v="2017-09-12-21:00" u="1"/>
        <s v="2017-10-12-21:00" u="1"/>
        <s v="2017-11-12-21:00" u="1"/>
        <s v="2017-12-12-21:00" u="1"/>
        <s v="2017-01-19-07:00" u="1"/>
        <s v="2017-04-19-07:00" u="1"/>
        <s v="2017-05-19-07:00" u="1"/>
        <s v="2017-06-19-07:00" u="1"/>
        <s v="2017-07-19-07:00" u="1"/>
        <s v="2017-09-19-07:00" u="1"/>
        <s v="2016-10-10-21:00" u="1"/>
        <s v="2016-10-30-20:00" u="1"/>
        <s v="2016-11-10-21:00" u="1"/>
        <s v="2016-11-30-20:00" u="1"/>
        <s v="2018-01-02-21:00" u="1"/>
        <s v="2018-01-22-20:00" u="1"/>
        <s v="2018-02-22-20:00" u="1"/>
        <s v="2018-03-22-20:00" u="1"/>
        <s v="2018-04-02-21:00" u="1"/>
        <s v="2018-04-22-20:00" u="1"/>
        <s v="2018-05-02-21:00" u="1"/>
        <s v="2018-05-22-20:00" u="1"/>
        <s v="2018-07-22-20: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7-11-20-20:00" u="1"/>
        <s v="2017-12-20-20:00" u="1"/>
        <s v="2017-07-07-07:00" u="1"/>
        <s v="2017-07-27-06:00" u="1"/>
        <s v="2017-08-07-07:00" u="1"/>
        <s v="2017-09-07-07:00" u="1"/>
        <s v="2017-09-27-06:00" u="1"/>
        <s v="2017-10-27-06:00" u="1"/>
        <s v="2017-11-07-07:00" u="1"/>
        <s v="2017-11-27-06:00" u="1"/>
        <s v="2017-12-07-07:00" u="1"/>
        <s v="2017-12-27-0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5-12-23-06:00" u="1"/>
        <s v="2017-01-19-15:00" u="1"/>
        <s v="2017-04-19-15:00" u="1"/>
        <s v="2017-05-19-15:00" u="1"/>
        <s v="2017-06-19-15:00" u="1"/>
        <s v="2017-07-19-15:00" u="1"/>
        <s v="2017-09-19-15:00" u="1"/>
        <s v="2017-10-19-15:00" u="1"/>
        <s v="2017-12-19-15:00" u="1"/>
        <s v="2014-10-01-07:00" u="1"/>
        <s v="2014-10-21-06:00" u="1"/>
        <s v="2014-11-21-06:00" u="1"/>
        <s v="2014-12-01-07:00" u="1"/>
        <s v="2016-01-13-06: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0-05-15:00" u="1"/>
        <s v="2016-10-25-14:00" u="1"/>
        <s v="2016-11-25-14:00" u="1"/>
        <s v="2016-11-29-23:00" u="1"/>
        <s v="2016-12-05-15:00" u="1"/>
        <s v="2016-12-29-23:00" u="1"/>
        <s v="2018-02-13-05:00" u="1"/>
        <s v="2018-03-13-05:00" u="1"/>
        <s v="2018-04-13-05:00" u="1"/>
        <s v="2015-12-23-14:00" u="1"/>
        <s v="2017-02-15-14:00" u="1"/>
        <s v="2017-03-15-14:00" u="1"/>
        <s v="2017-05-15-14:00" u="1"/>
        <s v="2017-06-15-14:00" u="1"/>
        <s v="2017-08-15-14:00" u="1"/>
        <s v="2017-09-15-14:00" u="1"/>
        <s v="2017-11-15-14:00" u="1"/>
        <s v="2017-12-15-14:00" u="1"/>
        <s v="2019-09-03-05:00" u="1"/>
        <s v="2016-10-13-14:00" u="1"/>
        <s v="2016-12-13-14:00" u="1"/>
        <s v="2018-01-05-14:00" u="1"/>
        <s v="2018-01-25-13:00" u="1"/>
        <s v="2018-02-05-14:00" u="1"/>
        <s v="2018-03-05-14:00" u="1"/>
        <s v="2018-04-05-14:00" u="1"/>
        <s v="2018-04-25-13:00" u="1"/>
        <s v="2018-05-25-13:00" u="1"/>
        <s v="2017-02-07-23:00" u="1"/>
        <s v="2017-02-27-22:00" u="1"/>
        <s v="2017-03-07-23:00" u="1"/>
        <s v="2017-03-27-22:00" u="1"/>
        <s v="2017-04-27-22:00" u="1"/>
        <s v="2017-05-07-23:00" u="1"/>
        <s v="2017-06-07-23:00" u="1"/>
        <s v="2017-06-27-22:00" u="1"/>
        <s v="2017-07-27-22:00" u="1"/>
        <s v="2017-08-07-23:00" u="1"/>
        <s v="2017-08-27-22:00" u="1"/>
        <s v="2017-09-07-23:00" u="1"/>
        <s v="2017-09-27-22:00" u="1"/>
        <s v="2016-01-05-23:00" u="1"/>
        <s v="2016-01-25-22:00" u="1"/>
        <s v="2016-02-25-22:00" u="1"/>
        <s v="2016-04-05-23:00" u="1"/>
        <s v="2016-04-25-22:00" u="1"/>
        <s v="2016-05-05-23:00" u="1"/>
        <s v="2016-05-25-22:00" u="1"/>
        <s v="2016-06-05-23:00" u="1"/>
        <s v="2016-07-05-23:00" u="1"/>
        <s v="2016-07-25-22:00" u="1"/>
        <s v="2016-08-25-22:00" u="1"/>
        <s v="2016-09-05-23:00" u="1"/>
        <s v="2016-09-25-22:00" u="1"/>
        <s v="2016-10-05-23:00" u="1"/>
        <s v="2016-10-25-22:00" u="1"/>
        <s v="2016-12-05-23:00" u="1"/>
        <s v="2016-12-25-22:00" u="1"/>
        <s v="2018-01-17-22:00" u="1"/>
        <s v="2018-04-17-22:00" u="1"/>
        <s v="2018-05-17-22:00" u="1"/>
        <s v="2018-07-17-22:00" u="1"/>
        <s v="2017-01-11-13:00" u="1"/>
        <s v="2017-01-15-22: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10-15-22:00" u="1"/>
        <s v="2017-11-15-22:00" u="1"/>
        <s v="2019-09-03-13:00" u="1"/>
        <s v="2018-02-01-13:00" u="1"/>
        <s v="2018-02-21-12:00" u="1"/>
        <s v="2018-03-01-13:00" u="1"/>
        <s v="2018-03-21-12:00" u="1"/>
        <s v="2018-05-01-13:00" u="1"/>
        <s v="2018-05-21-12:00" u="1"/>
        <s v="2016-01-21-21:00" u="1"/>
        <s v="2016-02-01-22:00" u="1"/>
        <s v="2016-02-21-21:00" u="1"/>
        <s v="2016-03-01-22:00" u="1"/>
        <s v="2016-03-21-21:00" u="1"/>
        <s v="2016-04-21-21:00" u="1"/>
        <s v="2016-05-01-22:00" u="1"/>
        <s v="2016-06-01-22:00" u="1"/>
        <s v="2016-06-21-21:00" u="1"/>
        <s v="2016-07-21-21:00" u="1"/>
        <s v="2016-08-01-22:00" u="1"/>
        <s v="2016-08-21-21:00" u="1"/>
        <s v="2016-09-01-22:00" u="1"/>
        <s v="2016-09-21-21:00" u="1"/>
        <s v="2016-11-01-22:00" u="1"/>
        <s v="2016-11-21-21:00" u="1"/>
        <s v="2016-12-01-22:00" u="1"/>
        <s v="2016-12-21-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4-11-21:00" u="1"/>
        <s v="2017-05-11-21:00" u="1"/>
        <s v="2017-05-31-20:00" u="1"/>
        <s v="2017-06-11-21:00" u="1"/>
        <s v="2017-07-11-21:00" u="1"/>
        <s v="2017-07-31-20:00" u="1"/>
        <s v="2017-08-31-20:00" u="1"/>
        <s v="2017-09-11-21:00" u="1"/>
        <s v="2017-10-11-21:00" u="1"/>
        <s v="2017-10-31-20:00" u="1"/>
        <s v="2017-12-11-21:00" u="1"/>
        <s v="2019-09-03-21:00" u="1"/>
        <s v="2017-01-18-07:00" u="1"/>
        <s v="2017-04-18-07:00" u="1"/>
        <s v="2017-05-18-07:00" u="1"/>
        <s v="2017-07-18-07:00" u="1"/>
        <s v="2017-08-18-07:00" u="1"/>
        <s v="2017-09-18-07:00" u="1"/>
        <s v="2017-10-18-07:00" u="1"/>
        <s v="2017-12-18-07:00" u="1"/>
        <s v="2018-01-01-21:00" u="1"/>
        <s v="2018-01-21-20:00" u="1"/>
        <s v="2018-02-01-21:00" u="1"/>
        <s v="2018-02-21-20:00" u="1"/>
        <s v="2018-03-01-21:00" u="1"/>
        <s v="2018-03-21-20:00" u="1"/>
        <s v="2018-04-01-21:00" u="1"/>
        <s v="2018-05-01-21:00" u="1"/>
        <s v="2018-05-21-20:00" u="1"/>
        <s v="2018-01-08-07:00" u="1"/>
        <s v="2018-02-08-07:00" u="1"/>
        <s v="2018-02-28-06:00" u="1"/>
        <s v="2018-03-08-07:00" u="1"/>
        <s v="2018-03-28-06:00" u="1"/>
        <s v="2018-05-08-07:00" u="1"/>
        <s v="2018-05-28-06:00" u="1"/>
        <s v="2016-01-04-07:00" u="1"/>
        <s v="2016-01-08-16:00" u="1"/>
        <s v="2016-01-28-15:00" u="1"/>
        <s v="2016-02-04-07:00" u="1"/>
        <s v="2016-02-08-16:00" u="1"/>
        <s v="2016-02-24-06:00" u="1"/>
        <s v="2016-03-04-07:00" u="1"/>
        <s v="2016-03-08-16:00" u="1"/>
        <s v="2016-03-24-06:00" u="1"/>
        <s v="2016-03-28-15:00" u="1"/>
        <s v="2016-04-04-07:00" u="1"/>
        <s v="2016-04-08-16:00" u="1"/>
        <s v="2016-04-28-15:00" u="1"/>
        <s v="2016-05-04-07:00" u="1"/>
        <s v="2016-05-24-06:00" u="1"/>
        <s v="2016-06-08-16:00" u="1"/>
        <s v="2016-06-24-06:00" u="1"/>
        <s v="2016-06-28-15:00" u="1"/>
        <s v="2016-07-04-07:00" u="1"/>
        <s v="2016-07-08-16:00" u="1"/>
        <s v="2016-07-28-15:00" u="1"/>
        <s v="2016-08-04-07:00" u="1"/>
        <s v="2016-08-08-16:00" u="1"/>
        <s v="2016-08-24-06:00" u="1"/>
        <s v="2016-09-08-16:00" u="1"/>
        <s v="2016-09-28-15:00" u="1"/>
        <s v="2016-10-28-15:00" u="1"/>
        <s v="2016-11-08-16:00" u="1"/>
        <s v="2016-11-28-15:00" u="1"/>
        <s v="2016-12-08-16:00" u="1"/>
        <s v="2016-12-28-15:00" u="1"/>
        <s v="2015-12-22-06:00" u="1"/>
        <s v="2017-02-14-06:00" u="1"/>
        <s v="2017-03-14-06:00" u="1"/>
        <s v="2017-04-14-06:00" u="1"/>
        <s v="2017-06-14-06:00" u="1"/>
        <s v="2017-07-14-06:00" u="1"/>
        <s v="2017-08-14-06:00" u="1"/>
        <s v="2017-09-14-06:00" u="1"/>
        <s v="2017-10-18-15:00" u="1"/>
        <s v="2017-11-14-06:00" u="1"/>
        <s v="2017-12-14-06:00" u="1"/>
        <s v="2017-12-18-15:00" u="1"/>
        <s v="2016-01-12-06:00" u="1"/>
        <s v="2016-02-12-06:00" u="1"/>
        <s v="2016-04-12-06:00" u="1"/>
        <s v="2016-05-12-06:00" u="1"/>
        <s v="2016-07-12-06:00" u="1"/>
        <s v="2016-08-12-06:00" u="1"/>
        <s v="2016-09-12-06:00" u="1"/>
        <s v="2016-10-12-06:00" u="1"/>
        <s v="2016-12-12-06:00" u="1"/>
        <s v="2018-01-04-06:00" u="1"/>
        <s v="2018-01-24-05:00" u="1"/>
        <s v="2018-04-04-06:00" u="1"/>
        <s v="2018-04-24-05:00" u="1"/>
        <s v="2018-05-04-06:00" u="1"/>
        <s v="2018-05-24-05:00" u="1"/>
        <s v="2018-07-24-05:00" u="1"/>
        <s v="2017-10-02-06:00" u="1"/>
        <s v="2017-11-02-06:00" u="1"/>
        <s v="2017-11-22-05:00" u="1"/>
        <s v="2017-12-22-0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8-01-16-14:00" u="1"/>
        <s v="2018-02-16-14:00" u="1"/>
        <s v="2018-03-16-14:00" u="1"/>
        <s v="2018-04-16-14:00" u="1"/>
        <s v="2018-05-16-14:00" u="1"/>
        <s v="2017-02-14-14:00" u="1"/>
        <s v="2017-03-14-14:00" u="1"/>
        <s v="2017-04-14-14:00" u="1"/>
        <s v="2017-06-14-14:00" u="1"/>
        <s v="2017-07-14-14:00" u="1"/>
        <s v="2017-08-14-14:00" u="1"/>
        <s v="2017-09-14-14:00" u="1"/>
        <s v="2017-11-14-14:00" u="1"/>
        <s v="2017-12-14-14:00" u="1"/>
        <s v="2019-09-02-05:00" u="1"/>
        <s v="2016-02-16-23:00" u="1"/>
        <s v="2016-03-16-23:00" u="1"/>
        <s v="2016-05-16-23:00" u="1"/>
        <s v="2016-06-16-23:00" u="1"/>
        <s v="2016-08-16-23:00" u="1"/>
        <s v="2016-10-16-23:00" u="1"/>
        <s v="2016-11-16-23:00" u="1"/>
        <s v="2018-01-04-14:00" u="1"/>
        <s v="2018-01-24-13:00" u="1"/>
        <s v="2018-02-20-04:00" u="1"/>
        <s v="2018-03-20-04:00" u="1"/>
        <s v="2018-04-04-14:00" u="1"/>
        <s v="2018-04-20-04:00" u="1"/>
        <s v="2018-04-24-13:00" u="1"/>
        <s v="2018-05-04-14:00" u="1"/>
        <s v="2018-05-24-13:00" u="1"/>
        <s v="2018-07-20-04:00" u="1"/>
        <s v="2018-07-24-13:00" u="1"/>
        <s v="2017-01-26-22:00" u="1"/>
        <s v="2017-02-06-23:00" u="1"/>
        <s v="2017-02-26-22:00" u="1"/>
        <s v="2017-03-06-23:00" u="1"/>
        <s v="2017-03-26-22:00" u="1"/>
        <s v="2017-04-06-23:00" u="1"/>
        <s v="2017-04-26-22:00" u="1"/>
        <s v="2017-06-06-23:00" u="1"/>
        <s v="2017-06-26-22:00" u="1"/>
        <s v="2017-07-06-23:00" u="1"/>
        <s v="2017-07-26-22:00" u="1"/>
        <s v="2017-08-06-23:00" u="1"/>
        <s v="2017-09-06-23:00" u="1"/>
        <s v="2017-09-26-22:00" u="1"/>
        <s v="2017-10-26-22:00" u="1"/>
        <s v="2017-11-06-23:00" u="1"/>
        <s v="2017-11-26-22:00" u="1"/>
        <s v="2017-12-06-23:00" u="1"/>
        <s v="2017-12-26-22:00" u="1"/>
        <s v="2019-08-30-03:00" u="1"/>
        <s v="2016-01-20-13:00" u="1"/>
        <s v="2016-04-20-13:00" u="1"/>
        <s v="2016-05-20-13:00" u="1"/>
        <s v="2016-06-20-13:00" u="1"/>
        <s v="2016-07-20-13:00" u="1"/>
        <s v="2016-09-20-13:00" u="1"/>
        <s v="2016-10-04-23:00" u="1"/>
        <s v="2016-10-20-13:00" u="1"/>
        <s v="2016-10-24-22:00" u="1"/>
        <s v="2016-11-24-22:00" u="1"/>
        <s v="2016-12-04-23:00" u="1"/>
        <s v="2016-12-20-13:00" u="1"/>
        <s v="2018-01-16-22:00" u="1"/>
        <s v="2018-04-16-22:00" u="1"/>
        <s v="2018-05-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9-09-02-13:00" u="1"/>
        <s v="2016-01-12-22:00" u="1"/>
        <s v="2016-04-12-22:00" u="1"/>
        <s v="2016-05-12-22:00" u="1"/>
        <s v="2016-06-12-22:00" u="1"/>
        <s v="2016-07-12-22:00" u="1"/>
        <s v="2016-09-12-22:00" u="1"/>
        <s v="2018-02-20-12:00" u="1"/>
        <s v="2018-03-20-12:00" u="1"/>
        <s v="2018-04-20-12:00" u="1"/>
        <s v="2018-07-20-12:00" u="1"/>
        <s v="2017-01-02-22:00" u="1"/>
        <s v="2017-01-22-21:00" u="1"/>
        <s v="2017-02-02-22:00" u="1"/>
        <s v="2017-02-22-21:00" u="1"/>
        <s v="2017-03-02-22:00" u="1"/>
        <s v="2017-03-22-21:00" u="1"/>
        <s v="2017-04-02-22:00" u="1"/>
        <s v="2017-05-02-22:00" u="1"/>
        <s v="2017-05-22-21:00" u="1"/>
        <s v="2017-06-22-21:00" u="1"/>
        <s v="2017-07-02-22:00" u="1"/>
        <s v="2017-08-02-22:00" u="1"/>
        <s v="2017-08-22-21:00" u="1"/>
        <s v="2019-08-30-11:00" u="1"/>
        <s v="2016-01-20-21:00" u="1"/>
        <s v="2016-03-20-21:00" u="1"/>
        <s v="2016-04-20-21:00" u="1"/>
        <s v="2016-06-20-21:00" u="1"/>
        <s v="2016-07-20-21:00" u="1"/>
        <s v="2016-09-20-21:00" u="1"/>
        <s v="2016-10-20-21:00" u="1"/>
        <s v="2016-11-20-21:00" u="1"/>
        <s v="2016-12-20-21:00" u="1"/>
        <s v="2018-02-12-21:00" u="1"/>
        <s v="2018-03-12-21:00" u="1"/>
        <s v="2018-04-12-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8-07-19-07:00" u="1"/>
        <s v="2017-10-10-21:00" u="1"/>
        <s v="2017-10-30-20:00" u="1"/>
        <s v="2017-11-30-20:00" u="1"/>
        <s v="2017-12-10-21:00" u="1"/>
        <s v="2019-09-02-21:00" u="1"/>
        <s v="2017-01-17-07:00" u="1"/>
        <s v="2017-02-17-07:00" u="1"/>
        <s v="2017-03-17-07:00" u="1"/>
        <s v="2017-04-17-07:00" u="1"/>
        <s v="2017-05-17-07:00" u="1"/>
        <s v="2017-07-17-07:00" u="1"/>
        <s v="2017-08-17-07:00" u="1"/>
        <s v="2017-10-17-07:00" u="1"/>
        <s v="2017-11-17-07:00" u="1"/>
        <s v="2014-05-27-16:00" u="1"/>
        <s v="2016-01-19-16:00" u="1"/>
        <s v="2016-02-19-16:00" u="1"/>
        <s v="2016-04-19-16:00" u="1"/>
        <s v="2016-05-19-16:00" u="1"/>
        <s v="2016-07-19-16:00" u="1"/>
        <s v="2016-08-19-16:00" u="1"/>
        <s v="2016-09-19-16:00" u="1"/>
        <s v="2016-10-19-16:00" u="1"/>
        <s v="2016-12-19-16:00" u="1"/>
        <s v="2018-02-07-07:00" u="1"/>
        <s v="2018-02-27-06:00" u="1"/>
        <s v="2018-03-07-07:00" u="1"/>
        <s v="2018-03-27-06:00" u="1"/>
        <s v="2018-04-27-06:00" u="1"/>
        <s v="2018-05-07-07: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8-07-19-15:00" u="1"/>
        <s v="2015-10-01-07:00" u="1"/>
        <s v="2015-10-21-06:00" u="1"/>
        <s v="2015-12-01-07:00" u="1"/>
        <s v="2015-12-21-06:00" u="1"/>
        <s v="2017-01-13-06:00" u="1"/>
        <s v="2017-02-13-06:00" u="1"/>
        <s v="2017-03-13-06:00" u="1"/>
        <s v="2017-04-13-06:00" u="1"/>
        <s v="2017-06-13-06:00" u="1"/>
        <s v="2017-07-13-06:00" u="1"/>
        <s v="2017-09-13-06:00" u="1"/>
        <s v="2017-10-13-06:00" u="1"/>
        <s v="2017-11-13-06:00" u="1"/>
        <s v="2017-12-13-06:00" u="1"/>
        <s v="2016-01-15-15:00" u="1"/>
        <s v="2016-02-15-15:00" u="1"/>
        <s v="2016-03-15-15:00" u="1"/>
        <s v="2016-04-15-15:00" u="1"/>
        <s v="2016-06-15-15:00" u="1"/>
        <s v="2016-07-15-15:00" u="1"/>
        <s v="2016-08-15-15:00" u="1"/>
        <s v="2016-09-15-15:00" u="1"/>
        <s v="2018-01-03-06:00" u="1"/>
        <s v="2018-01-23-05:00" u="1"/>
        <s v="2018-02-23-05:00" u="1"/>
        <s v="2018-03-23-05:00" u="1"/>
        <s v="2018-04-03-06:00" u="1"/>
        <s v="2018-04-23-05:00" u="1"/>
        <s v="2018-05-03-06:00" u="1"/>
        <s v="2018-05-23-05:00" u="1"/>
        <s v="2018-07-23-05:00" u="1"/>
        <s v="2017-01-05-15:00" u="1"/>
        <s v="2017-01-25-14:00" u="1"/>
        <s v="2017-04-05-15:00" u="1"/>
        <s v="2017-04-25-14:00" u="1"/>
        <s v="2017-05-05-15:00" u="1"/>
        <s v="2017-05-25-14:00" u="1"/>
        <s v="2017-06-05-15:00" u="1"/>
        <s v="2017-07-05-15:00" u="1"/>
        <s v="2017-07-25-14:00" u="1"/>
        <s v="2017-08-25-14:00" u="1"/>
        <s v="2017-09-05-15:00" u="1"/>
        <s v="2017-09-25-14:00" u="1"/>
        <s v="2017-10-05-15:00" u="1"/>
        <s v="2017-10-25-14:00" u="1"/>
        <s v="2017-10-29-23:00" u="1"/>
        <s v="2017-11-29-23:00" u="1"/>
        <s v="2017-12-05-15: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7-10-13-14:00" u="1"/>
        <s v="2017-11-13-14:00" u="1"/>
        <s v="2017-12-13-14:00" u="1"/>
        <s v="2019-08-29-22:00" u="1"/>
        <s v="2016-02-15-23:00" u="1"/>
        <s v="2016-03-15-23:00" u="1"/>
        <s v="2016-05-15-23:00" u="1"/>
        <s v="2016-06-15-23:00" u="1"/>
        <s v="2016-08-15-23:00" u="1"/>
        <s v="2016-09-15-23:00" u="1"/>
        <s v="2016-11-15-23:00" u="1"/>
        <s v="2016-12-15-23:00" u="1"/>
        <s v="2018-01-07-23:00" u="1"/>
        <s v="2018-02-07-23:00" u="1"/>
        <s v="2018-02-27-22:00" u="1"/>
        <s v="2018-03-07-23:00" u="1"/>
        <s v="2018-03-27-22:00" u="1"/>
        <s v="2018-05-07-23:00" u="1"/>
        <s v="2018-05-27-22:00" u="1"/>
        <s v="2017-01-05-23:00" u="1"/>
        <s v="2017-01-25-22:00" u="1"/>
        <s v="2017-02-05-23:00" u="1"/>
        <s v="2017-03-05-23:00" u="1"/>
        <s v="2017-04-05-23:00" u="1"/>
        <s v="2017-04-25-22:00" u="1"/>
        <s v="2017-05-25-22:00" u="1"/>
        <s v="2017-06-05-23:00" u="1"/>
        <s v="2017-06-25-22:00" u="1"/>
        <s v="2017-07-05-23:00" u="1"/>
        <s v="2017-07-25-22:00" u="1"/>
        <s v="2017-09-05-23:00" u="1"/>
        <s v="2017-09-25-22:00" u="1"/>
        <s v="2017-10-05-23:00" u="1"/>
        <s v="2017-10-25-22:00" u="1"/>
        <s v="2017-11-05-23:00" u="1"/>
        <s v="2017-12-05-23:00" u="1"/>
        <s v="2017-12-25-22:00" u="1"/>
        <s v="2018-01-11-13:00" u="1"/>
        <s v="2018-01-15-22:00" u="1"/>
        <s v="2018-01-31-12:00" u="1"/>
        <s v="2018-02-15-22:00" u="1"/>
        <s v="2018-03-15-22:00" u="1"/>
        <s v="2018-04-11-13:00" u="1"/>
        <s v="2018-04-15-22:00" u="1"/>
        <s v="2018-05-11-13:00" u="1"/>
        <s v="2018-05-15-22:00" u="1"/>
        <s v="2015-12-21-22:00" u="1"/>
        <s v="2016-01-11-22:00" u="1"/>
        <s v="2016-01-31-21:00" u="1"/>
        <s v="2016-02-11-22:00" u="1"/>
        <s v="2016-03-31-21:00" u="1"/>
        <s v="2016-04-11-22:00" u="1"/>
        <s v="2016-05-11-22:00" u="1"/>
        <s v="2016-05-31-21:00" u="1"/>
        <s v="2016-07-11-22:00" u="1"/>
        <s v="2016-07-31-21:00" u="1"/>
        <s v="2016-08-11-22:00" u="1"/>
        <s v="2016-08-31-21:00" u="1"/>
        <s v="2016-09-11-22:00" u="1"/>
        <s v="2016-10-11-22:00" u="1"/>
        <s v="2016-10-31-21:00" u="1"/>
        <s v="2016-12-11-22:00" u="1"/>
        <s v="2016-01-18-08:00" u="1"/>
        <s v="2016-02-18-08:00" u="1"/>
        <s v="2016-03-18-08:00" u="1"/>
        <s v="2016-04-18-08:00" u="1"/>
        <s v="2016-05-18-08:00" u="1"/>
        <s v="2016-07-18-08:00" u="1"/>
        <s v="2016-08-18-08:00" u="1"/>
        <s v="2016-10-18-08:00" u="1"/>
        <s v="2016-11-18-08:00" u="1"/>
        <s v="2017-02-01-22:00" u="1"/>
        <s v="2017-02-21-21:00" u="1"/>
        <s v="2017-03-01-22:00" u="1"/>
        <s v="2017-03-21-21:00" u="1"/>
        <s v="2017-05-01-22:00" u="1"/>
        <s v="2017-05-21-21:00" u="1"/>
        <s v="2017-06-01-22:00" u="1"/>
        <s v="2017-06-21-21:00" u="1"/>
        <s v="2017-08-01-22:00" u="1"/>
        <s v="2017-08-21-21:00" u="1"/>
        <s v="2017-09-21-21:00" u="1"/>
        <s v="2017-10-01-22:00" u="1"/>
        <s v="2017-11-01-22:00" u="1"/>
        <s v="2017-11-21-21: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2-11-21:00" u="1"/>
        <s v="2018-03-11-21:00" u="1"/>
        <s v="2018-04-11-21:00" u="1"/>
        <s v="2016-10-06-08:00" u="1"/>
        <s v="2016-10-26-07:00" u="1"/>
        <s v="2016-12-06-08:00" u="1"/>
        <s v="2018-01-18-07:00" u="1"/>
        <s v="2018-04-18-07:00" u="1"/>
        <s v="2018-05-18-07:00" u="1"/>
        <s v="2018-07-18-07:00" u="1"/>
        <s v="2016-01-18-16:00" u="1"/>
        <s v="2016-02-18-16:00" u="1"/>
        <s v="2016-03-18-16:00" u="1"/>
        <s v="2016-04-18-16:00" u="1"/>
        <s v="2016-05-18-16:00" u="1"/>
        <s v="2016-07-18-16:00" u="1"/>
        <s v="2016-08-18-16:00" u="1"/>
        <s v="2016-10-18-16:00" u="1"/>
        <s v="2016-11-18-16:00" u="1"/>
        <s v="2017-01-04-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9-04-07:00" u="1"/>
        <s v="2017-09-08-16:00" u="1"/>
        <s v="2017-09-28-15:00" u="1"/>
        <s v="2017-11-08-16:00" u="1"/>
        <s v="2017-11-28-15:00" u="1"/>
        <s v="2017-12-08-16:00" u="1"/>
        <s v="2017-12-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7-01-12-06:00" u="1"/>
        <s v="2017-04-12-06:00" u="1"/>
        <s v="2017-05-12-06:00" u="1"/>
        <s v="2017-06-12-06:00" u="1"/>
        <s v="2017-07-12-06:00" u="1"/>
        <s v="2017-09-12-06:00" u="1"/>
        <s v="2017-10-12-06:00" u="1"/>
        <s v="2017-12-12-06:00" u="1"/>
        <s v="2019-09-04-06:00" u="1"/>
        <s v="2016-01-14-15: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1-26-23:00" u="1"/>
        <s v="2016-04-26-23:00" u="1"/>
        <s v="2016-05-26-23:00" u="1"/>
        <s v="2016-06-26-23:00" u="1"/>
        <s v="2016-07-26-23:00" u="1"/>
        <s v="2016-09-26-23:00" u="1"/>
        <s v="2018-02-14-14:00" u="1"/>
        <s v="2018-03-14-14:00" u="1"/>
        <s v="2018-05-14-14:00" u="1"/>
        <s v="2017-01-16-23:00" u="1"/>
        <s v="2017-02-16-23:00" u="1"/>
        <s v="2017-03-16-23:00" u="1"/>
        <s v="2017-04-16-23:00" u="1"/>
        <s v="2017-05-16-23:00" u="1"/>
        <s v="2017-07-16-23:00" u="1"/>
        <s v="2017-08-16-23:00" u="1"/>
        <s v="2017-10-16-23:00" u="1"/>
        <s v="2017-11-16-23:00" u="1"/>
        <s v="2019-09-04-14:00" u="1"/>
        <s v="2016-02-10-14:00" u="1"/>
        <s v="2016-03-10-14:00" u="1"/>
        <s v="2016-03-30-13:00" u="1"/>
        <s v="2016-05-10-14:00" u="1"/>
        <s v="2016-05-30-13:00" u="1"/>
        <s v="2016-06-10-14:00" u="1"/>
        <s v="2016-06-30-13:00" u="1"/>
        <s v="2016-08-10-14:00" u="1"/>
        <s v="2016-08-30-13:00" u="1"/>
        <s v="2016-09-30-13:00" u="1"/>
        <s v="2016-10-10-14:00" u="1"/>
        <s v="2016-11-10-14:00" u="1"/>
        <s v="2016-11-14-23:00" u="1"/>
        <s v="2016-11-30-13:00" u="1"/>
        <s v="2016-12-14-23:00" u="1"/>
        <s v="2016-12-30-13:00" u="1"/>
        <s v="2018-02-06-23:00" u="1"/>
        <s v="2018-02-26-22:00" u="1"/>
        <s v="2018-03-06-23:00" u="1"/>
        <s v="2018-03-26-22:00" u="1"/>
        <s v="2018-04-26-22:00" u="1"/>
        <s v="2018-05-06-23:00" u="1"/>
        <s v="2017-01-20-13:00" u="1"/>
        <s v="2017-02-20-13:00" u="1"/>
        <s v="2017-03-20-13:00" u="1"/>
        <s v="2017-04-20-13:00" u="1"/>
        <s v="2017-06-20-13:00" u="1"/>
        <s v="2017-07-20-13:00" u="1"/>
        <s v="2017-09-20-13:00" u="1"/>
        <s v="2017-10-04-23:00" u="1"/>
        <s v="2017-10-20-13:00" u="1"/>
        <s v="2017-10-24-22:00" u="1"/>
        <s v="2017-11-20-13:00" u="1"/>
        <s v="2017-12-04-23:00" u="1"/>
        <s v="2017-12-20-13:00" u="1"/>
        <s v="2018-01-10-13:00" u="1"/>
        <s v="2018-01-30-12:00" u="1"/>
        <s v="2018-03-30-12:00" u="1"/>
        <s v="2018-04-10-13:00" u="1"/>
        <s v="2018-04-30-12:00" u="1"/>
        <s v="2018-05-10-13:00" u="1"/>
        <s v="2017-01-12-22:00" u="1"/>
        <s v="2017-02-12-22:00" u="1"/>
        <s v="2017-03-12-22:00" u="1"/>
        <s v="2017-04-12-22:00" u="1"/>
        <s v="2017-06-12-22:00" u="1"/>
        <s v="2017-07-12-22:00" u="1"/>
        <s v="2017-09-12-22:00" u="1"/>
        <s v="2016-01-10-22:00" u="1"/>
        <s v="2016-02-10-22:00" u="1"/>
        <s v="2016-03-10-22:00" u="1"/>
        <s v="2016-03-30-21:00" u="1"/>
        <s v="2016-04-10-22:00" u="1"/>
        <s v="2016-05-10-22:00" u="1"/>
        <s v="2016-05-30-21:00" u="1"/>
        <s v="2016-06-30-21:00" u="1"/>
        <s v="2016-07-10-22:00" u="1"/>
        <s v="2016-08-10-22:00" u="1"/>
        <s v="2016-08-30-21:00" u="1"/>
        <s v="2016-10-10-22:00" u="1"/>
        <s v="2016-10-30-21:00" u="1"/>
        <s v="2016-11-10-22:00" u="1"/>
        <s v="2016-11-30-21:00" u="1"/>
        <s v="2018-01-02-22:00" u="1"/>
        <s v="2018-01-22-21:00" u="1"/>
        <s v="2018-02-22-21:00" u="1"/>
        <s v="2018-03-22-21:00" u="1"/>
        <s v="2018-04-02-22:00" u="1"/>
        <s v="2018-04-22-21:00" u="1"/>
        <s v="2018-05-02-22:00" u="1"/>
        <s v="2018-05-22-21:00" u="1"/>
        <s v="2018-07-22-21:00" u="1"/>
        <s v="2014-11-05-09:00" u="1"/>
        <s v="2014-11-25-08:00" u="1"/>
        <s v="2014-12-05-09:00" u="1"/>
        <s v="2016-02-17-08:00" u="1"/>
        <s v="2016-03-17-08:00" u="1"/>
        <s v="2016-05-17-08:00" u="1"/>
        <s v="2016-06-17-08:00" u="1"/>
        <s v="2016-08-17-08:00" u="1"/>
        <s v="2016-10-17-08:00" u="1"/>
        <s v="2016-11-17-08:00" u="1"/>
        <s v="2017-02-20-21:00" u="1"/>
        <s v="2017-03-20-21:00" u="1"/>
        <s v="2017-04-20-21:00" u="1"/>
        <s v="2017-06-20-21:00" u="1"/>
        <s v="2017-07-20-21:00" u="1"/>
        <s v="2017-08-20-21:00" u="1"/>
        <s v="2017-09-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6-01-29-16:00" u="1"/>
        <s v="2016-02-09-17:00" u="1"/>
        <s v="2016-02-29-16:00" u="1"/>
        <s v="2016-03-09-17:00" u="1"/>
        <s v="2016-03-29-16:00" u="1"/>
        <s v="2016-04-29-16:00" u="1"/>
        <s v="2016-05-09-17:00" u="1"/>
        <s v="2016-06-09-17:00" u="1"/>
        <s v="2016-06-29-16:00" u="1"/>
        <s v="2016-07-29-16:00" u="1"/>
        <s v="2016-08-09-17:00" u="1"/>
        <s v="2016-08-29-16:00" u="1"/>
        <s v="2016-09-29-16:00" u="1"/>
        <s v="2016-10-09-17:00" u="1"/>
        <s v="2016-11-09-17:00" u="1"/>
        <s v="2016-11-29-16:00" u="1"/>
        <s v="2016-12-29-16:00" u="1"/>
        <s v="2018-01-17-07:00" u="1"/>
        <s v="2018-04-17-07:00" u="1"/>
        <s v="2018-05-17-07:00" u="1"/>
        <s v="2018-07-17-07:00" u="1"/>
        <s v="2017-01-19-16:00" u="1"/>
        <s v="2017-04-19-16:00" u="1"/>
        <s v="2017-05-19-16:00" u="1"/>
        <s v="2017-06-19-16:00" u="1"/>
        <s v="2017-07-19-16:00" u="1"/>
        <s v="2017-09-19-16:00" u="1"/>
        <s v="2017-10-19-16:00" u="1"/>
        <s v="2017-12-19-16:00" u="1"/>
        <s v="2016-01-13-07: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6-10-21-06:00" u="1"/>
        <s v="2016-11-01-07:00" u="1"/>
        <s v="2016-11-21-06:00" u="1"/>
        <s v="2016-12-01-07:00" u="1"/>
        <s v="2016-12-21-06:00" u="1"/>
        <s v="2018-02-13-06:00" u="1"/>
        <s v="2018-03-13-06:00" u="1"/>
        <s v="2018-04-13-06:00" u="1"/>
        <s v="2015-12-23-15:00" u="1"/>
        <s v="2017-02-15-15:00" u="1"/>
        <s v="2017-03-15-15:00" u="1"/>
        <s v="2017-05-15-15:00" u="1"/>
        <s v="2017-06-15-15:00" u="1"/>
        <s v="2017-08-15-15:00" u="1"/>
        <s v="2017-09-15-15:00" u="1"/>
        <s v="2019-09-03-06:00" u="1"/>
        <s v="2016-01-13-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1-25-23:00" u="1"/>
        <s v="2016-02-25-23:00" u="1"/>
        <s v="2016-04-25-23:00" u="1"/>
        <s v="2016-05-25-23:00" u="1"/>
        <s v="2016-07-25-23:00" u="1"/>
        <s v="2016-08-25-23:00" u="1"/>
        <s v="2016-09-25-23:00" u="1"/>
        <s v="2016-10-25-23:00" u="1"/>
        <s v="2016-12-25-23:00" u="1"/>
        <s v="2017-01-15-23:00" u="1"/>
        <s v="2017-02-15-23:00" u="1"/>
        <s v="2017-03-15-23:00" u="1"/>
        <s v="2017-05-15-23:00" u="1"/>
        <s v="2017-06-15-23:00" u="1"/>
        <s v="2017-08-15-23:00" u="1"/>
        <s v="2017-10-15-23:00" u="1"/>
        <s v="2017-11-15-23:00" u="1"/>
        <s v="2019-09-03-14:00" u="1"/>
        <s v="2018-01-25-22:00" u="1"/>
        <s v="2018-02-05-23:00" u="1"/>
        <s v="2018-02-25-22:00" u="1"/>
        <s v="2018-03-05-23:00" u="1"/>
        <s v="2018-03-25-22:00" u="1"/>
        <s v="2018-04-05-23:00" u="1"/>
        <s v="2018-04-25-22:00" u="1"/>
        <s v="2016-01-21-22:00" u="1"/>
        <s v="2016-02-01-23:00" u="1"/>
        <s v="2016-02-21-22:00" u="1"/>
        <s v="2016-03-01-23:00" u="1"/>
        <s v="2016-03-21-22:00" u="1"/>
        <s v="2016-04-21-22:00" u="1"/>
        <s v="2016-05-01-23:00" u="1"/>
        <s v="2016-06-01-23:00" u="1"/>
        <s v="2016-06-21-22:00" u="1"/>
        <s v="2016-07-21-22:00" u="1"/>
        <s v="2016-08-01-23:00" u="1"/>
        <s v="2016-08-21-22:00" u="1"/>
        <s v="2016-09-01-23:00" u="1"/>
        <s v="2016-09-21-22:00" u="1"/>
        <s v="2016-11-01-23:00" u="1"/>
        <s v="2016-11-21-22:00" u="1"/>
        <s v="2016-12-01-23:00" u="1"/>
        <s v="2016-12-21-22:00" u="1"/>
        <s v="2016-01-08-09:00" u="1"/>
        <s v="2016-01-28-08:00" u="1"/>
        <s v="2016-02-08-09:00" u="1"/>
        <s v="2016-03-08-09:00" u="1"/>
        <s v="2016-03-28-08:00" u="1"/>
        <s v="2016-04-08-09:00" u="1"/>
        <s v="2016-04-28-08:00" u="1"/>
        <s v="2016-06-08-09:00" u="1"/>
        <s v="2016-06-28-08:00" u="1"/>
        <s v="2016-07-08-09:00" u="1"/>
        <s v="2016-07-28-08:00" u="1"/>
        <s v="2016-08-08-09:00" u="1"/>
        <s v="2016-09-08-09:00" u="1"/>
        <s v="2016-09-28-08:00" u="1"/>
        <s v="2017-01-11-22:00" u="1"/>
        <s v="2017-01-31-21:00" u="1"/>
        <s v="2017-04-11-22:00" u="1"/>
        <s v="2017-05-11-22:00" u="1"/>
        <s v="2017-05-31-21:00" u="1"/>
        <s v="2017-06-11-22:00" u="1"/>
        <s v="2017-07-11-22:00" u="1"/>
        <s v="2017-07-31-21:00" u="1"/>
        <s v="2017-08-31-21:00" u="1"/>
        <s v="2017-09-11-22:00" u="1"/>
        <s v="2017-10-11-22:00" u="1"/>
        <s v="2017-10-31-21:00" u="1"/>
        <s v="2017-12-11-22:00" u="1"/>
        <s v="2019-09-03-22:00" u="1"/>
        <s v="2017-01-18-08:00" u="1"/>
        <s v="2017-04-18-08:00" u="1"/>
        <s v="2017-05-18-08:00" u="1"/>
        <s v="2017-07-18-08:00" u="1"/>
        <s v="2017-08-18-08:00" u="1"/>
        <s v="2017-09-18-08:00" u="1"/>
        <s v="2017-10-18-08:00" u="1"/>
        <s v="2017-12-18-08:00" u="1"/>
        <s v="2018-01-01-22:00" u="1"/>
        <s v="2018-01-21-21:00" u="1"/>
        <s v="2018-02-01-22:00" u="1"/>
        <s v="2018-02-21-21:00" u="1"/>
        <s v="2018-03-01-22:00" u="1"/>
        <s v="2018-03-21-21:00" u="1"/>
        <s v="2018-04-01-22:00" u="1"/>
        <s v="2018-05-01-22:00" u="1"/>
        <s v="2018-05-21-21: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7-10-06-08:00" u="1"/>
        <s v="2017-10-26-07:00" u="1"/>
        <s v="2017-11-06-08:00" u="1"/>
        <s v="2017-12-06-08:00" u="1"/>
        <s v="2017-12-26-07:00" u="1"/>
        <s v="2016-01-28-16:00" u="1"/>
        <s v="2016-02-08-17:00" u="1"/>
        <s v="2016-03-08-17:00" u="1"/>
        <s v="2016-03-28-16:00" u="1"/>
        <s v="2016-04-28-16:00" u="1"/>
        <s v="2016-05-08-17:00" u="1"/>
        <s v="2016-06-08-17:00" u="1"/>
        <s v="2016-06-28-16:00" u="1"/>
        <s v="2016-07-28-16:00" u="1"/>
        <s v="2016-08-08-17:00" u="1"/>
        <s v="2016-09-08-17:00" u="1"/>
        <s v="2016-09-28-16:00" u="1"/>
        <s v="2016-10-28-16:00" u="1"/>
        <s v="2016-11-08-17:00" u="1"/>
        <s v="2016-11-28-16:00" u="1"/>
        <s v="2016-12-08-17:00" u="1"/>
        <s v="2016-12-28-16:00" u="1"/>
        <s v="2015-12-22-07:00" u="1"/>
        <s v="2017-01-18-16:00" u="1"/>
        <s v="2017-04-18-16:00" u="1"/>
        <s v="2017-05-18-16:00" u="1"/>
        <s v="2017-07-18-16:00" u="1"/>
        <s v="2017-08-18-16:00" u="1"/>
        <s v="2017-09-18-16:00" u="1"/>
        <s v="2017-10-18-16:00" u="1"/>
        <s v="2017-12-18-16:00" u="1"/>
        <s v="2016-01-12-07:00" u="1"/>
        <s v="2016-02-12-07:00" u="1"/>
        <s v="2016-04-12-07:00" u="1"/>
        <s v="2016-05-12-07:00" u="1"/>
        <s v="2016-07-12-07:00" u="1"/>
        <s v="2016-08-12-07:00" u="1"/>
        <s v="2016-09-12-07:00" u="1"/>
        <s v="2016-10-12-07:00" u="1"/>
        <s v="2016-12-12-07:00" u="1"/>
        <s v="2018-01-04-07:00" u="1"/>
        <s v="2018-01-08-16:00" u="1"/>
        <s v="2018-01-24-06:00" u="1"/>
        <s v="2018-02-08-16:00" u="1"/>
        <s v="2018-02-28-15:00" u="1"/>
        <s v="2018-03-08-16:00" u="1"/>
        <s v="2018-03-28-15:00" u="1"/>
        <s v="2018-04-04-07:00" u="1"/>
        <s v="2018-04-24-06:00" u="1"/>
        <s v="2018-05-04-07:00" u="1"/>
        <s v="2018-05-08-16:00" u="1"/>
        <s v="2018-05-24-06:00" u="1"/>
        <s v="2018-05-28-15:00" u="1"/>
        <s v="2018-07-24-06:00" u="1"/>
        <s v="2017-01-02-07: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6-01-04-16:00" u="1"/>
        <s v="2016-02-04-16:00" u="1"/>
        <s v="2016-02-24-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5-12-22-15:00" u="1"/>
        <s v="2017-02-14-15:00" u="1"/>
        <s v="2017-03-14-15:00" u="1"/>
        <s v="2017-04-14-15:00" u="1"/>
        <s v="2017-06-14-15:00" u="1"/>
        <s v="2017-07-14-15:00" u="1"/>
        <s v="2017-08-14-15:00" u="1"/>
        <s v="2017-09-14-15:00" u="1"/>
        <s v="2017-11-14-15:00" u="1"/>
        <s v="2017-12-14-15:00" u="1"/>
        <s v="2019-09-02-06:00" u="1"/>
        <s v="2018-01-04-15:00" u="1"/>
        <s v="2018-01-24-14:00" u="1"/>
        <s v="2018-04-04-15:00" u="1"/>
        <s v="2018-04-24-14:00" u="1"/>
        <s v="2018-05-04-15:00" u="1"/>
        <s v="2018-05-24-14:00" u="1"/>
        <s v="2018-07-24-14:00" u="1"/>
        <s v="2017-01-26-23:00" u="1"/>
        <s v="2017-02-26-23:00" u="1"/>
        <s v="2017-03-26-23:00" u="1"/>
        <s v="2017-04-26-23:00" u="1"/>
        <s v="2017-06-26-23:00" u="1"/>
        <s v="2017-07-26-23:00" u="1"/>
        <s v="2017-09-26-23:00" u="1"/>
        <s v="2019-08-30-04:00" u="1"/>
        <s v="2016-01-20-14:00" u="1"/>
        <s v="2016-01-24-23:00" u="1"/>
        <s v="2016-02-24-23:00" u="1"/>
        <s v="2016-03-24-23:00" u="1"/>
        <s v="2016-04-20-14:00" u="1"/>
        <s v="2016-04-24-23:00" u="1"/>
        <s v="2016-05-20-14:00" u="1"/>
        <s v="2016-05-24-23:00" u="1"/>
        <s v="2016-06-20-14:00" u="1"/>
        <s v="2016-07-20-14:00" u="1"/>
        <s v="2016-07-24-23:00" u="1"/>
        <s v="2016-08-24-23:00" u="1"/>
        <s v="2016-09-20-14:00" u="1"/>
        <s v="2016-10-24-23:00" u="1"/>
        <s v="2016-11-24-23:00" u="1"/>
        <s v="2018-01-16-23:00" u="1"/>
        <s v="2018-04-16-23:00" u="1"/>
        <s v="2018-05-16-23:00" u="1"/>
        <s v="2017-01-10-14:00" u="1"/>
        <s v="2017-01-30-13:00" u="1"/>
        <s v="2017-02-10-14:00" u="1"/>
        <s v="2017-03-10-14:00" u="1"/>
        <s v="2017-03-30-13:00" u="1"/>
        <s v="2017-04-10-14:00" u="1"/>
        <s v="2017-05-10-14:00" u="1"/>
        <s v="2017-05-30-13:00" u="1"/>
        <s v="2017-06-30-13:00" u="1"/>
        <s v="2017-07-10-14:00" u="1"/>
        <s v="2017-08-10-14:00" u="1"/>
        <s v="2017-08-30-13:00" u="1"/>
        <s v="2017-10-10-14:00" u="1"/>
        <s v="2017-10-30-13:00" u="1"/>
        <s v="2017-11-10-14:00" u="1"/>
        <s v="2017-11-14-23:00" u="1"/>
        <s v="2017-11-30-13:00" u="1"/>
        <s v="2017-12-14-23:00" u="1"/>
        <s v="2019-09-02-14:00" u="1"/>
        <s v="2018-02-20-13:00" u="1"/>
        <s v="2018-03-20-13:00" u="1"/>
        <s v="2018-04-20-13:00" u="1"/>
        <s v="2018-07-20-13:00" u="1"/>
        <s v="2019-08-30-12:00" u="1"/>
        <s v="2016-01-20-22:00" u="1"/>
        <s v="2016-03-20-22:00" u="1"/>
        <s v="2016-04-20-22:00" u="1"/>
        <s v="2016-06-20-22:00" u="1"/>
        <s v="2016-07-20-22:00" u="1"/>
        <s v="2016-09-20-22:00" u="1"/>
        <s v="2016-10-20-22:00" u="1"/>
        <s v="2016-11-20-22:00" u="1"/>
        <s v="2016-12-20-22:00" u="1"/>
        <s v="2018-02-12-22:00" u="1"/>
        <s v="2018-03-12-22:00" u="1"/>
        <s v="2018-04-12-22: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3-30-21:00" u="1"/>
        <s v="2017-04-10-22:00" u="1"/>
        <s v="2017-04-30-21:00" u="1"/>
        <s v="2017-05-10-22:00" u="1"/>
        <s v="2017-05-30-21:00" u="1"/>
        <s v="2017-07-10-22:00" u="1"/>
        <s v="2017-07-30-21:00" u="1"/>
        <s v="2017-08-10-22:00" u="1"/>
        <s v="2017-08-30-21:00" u="1"/>
        <s v="2017-09-10-22:00" u="1"/>
        <s v="2017-10-10-22:00" u="1"/>
        <s v="2017-10-30-21:00" u="1"/>
        <s v="2017-11-30-21:00" u="1"/>
        <s v="2017-12-10-22:00" u="1"/>
        <s v="2019-09-02-22:00" u="1"/>
        <s v="2015-10-05-09:00" u="1"/>
        <s v="2015-11-05-09:00" u="1"/>
        <s v="2015-11-25-08:00" u="1"/>
        <s v="2017-01-17-08:00" u="1"/>
        <s v="2017-02-17-08:00" u="1"/>
        <s v="2017-03-17-08:00" u="1"/>
        <s v="2017-04-17-08:00" u="1"/>
        <s v="2017-05-17-08:00" u="1"/>
        <s v="2017-07-17-08:00" u="1"/>
        <s v="2017-08-17-08:00" u="1"/>
        <s v="2017-10-17-08:00" u="1"/>
        <s v="2017-11-17-08:00" u="1"/>
        <s v="2018-02-20-21:00" u="1"/>
        <s v="2018-03-20-21:00" u="1"/>
        <s v="2018-05-20-21:00" u="1"/>
        <s v="2016-01-19-17:00" u="1"/>
        <s v="2016-04-19-17:00" u="1"/>
        <s v="2016-05-19-17:00" u="1"/>
        <s v="2016-06-19-17:00" u="1"/>
        <s v="2016-07-19-17:00" u="1"/>
        <s v="2016-09-19-17:00" u="1"/>
        <s v="2018-02-07-08:00" u="1"/>
        <s v="2018-02-27-07:00" u="1"/>
        <s v="2018-03-07-08:00" u="1"/>
        <s v="2018-03-27-07:00" u="1"/>
        <s v="2018-04-27-07:00" u="1"/>
        <s v="2018-05-07-08:00" u="1"/>
        <s v="2019-08-30-20:00" u="1"/>
        <s v="2017-01-09-17:00" u="1"/>
        <s v="2017-02-09-17:00" u="1"/>
        <s v="2017-03-09-17:00" u="1"/>
        <s v="2017-03-29-16:00" u="1"/>
        <s v="2017-04-09-17:00" u="1"/>
        <s v="2017-05-09-17:00" u="1"/>
        <s v="2017-05-29-16:00" u="1"/>
        <s v="2017-06-29-16:00" u="1"/>
        <s v="2017-07-09-17:00" u="1"/>
        <s v="2017-08-09-17:00" u="1"/>
        <s v="2017-08-29-16:00" u="1"/>
        <s v="2017-09-29-16:00" u="1"/>
        <s v="2017-10-09-17:00" u="1"/>
        <s v="2017-11-09-17:00" u="1"/>
        <s v="2017-11-29-16:00" u="1"/>
        <s v="2017-12-29-16:00" u="1"/>
        <s v="2016-01-07-17:00" u="1"/>
        <s v="2016-01-27-16:00" u="1"/>
        <s v="2016-02-03-08:00" u="1"/>
        <s v="2016-02-07-17:00" u="1"/>
        <s v="2016-02-23-07: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6-09-23-07:00" u="1"/>
        <s v="2016-09-27-16:00" u="1"/>
        <s v="2016-10-27-16:00" u="1"/>
        <s v="2016-11-07-17:00" u="1"/>
        <s v="2016-12-07-17:00" u="1"/>
        <s v="2016-12-27-16:00" u="1"/>
        <s v="2018-01-19-16:00" u="1"/>
        <s v="2018-02-19-16:00" u="1"/>
        <s v="2018-03-19-16:00" u="1"/>
        <s v="2018-04-19-16:00" u="1"/>
        <s v="2018-07-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8-07-23-06:00" u="1"/>
        <s v="2017-11-01-07:00" u="1"/>
        <s v="2017-11-21-06:00" u="1"/>
        <s v="2017-12-01-07:00" u="1"/>
        <s v="2017-12-21-0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7-01-13-15:00" u="1"/>
        <s v="2017-02-13-15:00" u="1"/>
        <s v="2017-03-13-15:00" u="1"/>
        <s v="2017-04-13-15:00" u="1"/>
        <s v="2017-06-13-15:00" u="1"/>
        <s v="2017-07-13-15:00" u="1"/>
        <s v="2017-09-13-15:00" u="1"/>
        <s v="2017-10-13-15:00" u="1"/>
        <s v="2017-11-13-15:00" u="1"/>
        <s v="2017-12-13-15:00" u="1"/>
        <s v="2019-08-29-23:00" u="1"/>
        <s v="2018-01-03-15:00" u="1"/>
        <s v="2018-01-23-14:00" u="1"/>
        <s v="2018-02-23-14:00" u="1"/>
        <s v="2018-03-23-14:00" u="1"/>
        <s v="2018-04-03-15:00" u="1"/>
        <s v="2018-04-23-14:00" u="1"/>
        <s v="2018-05-03-15:00" u="1"/>
        <s v="2018-05-23-14:00" u="1"/>
        <s v="2018-07-23-14:00" u="1"/>
        <s v="2017-01-25-23:00" u="1"/>
        <s v="2017-04-25-23:00" u="1"/>
        <s v="2017-05-25-23:00" u="1"/>
        <s v="2017-06-25-23:00" u="1"/>
        <s v="2017-07-25-23:00" u="1"/>
        <s v="2017-09-25-23:00" u="1"/>
        <s v="2017-10-25-23:00" u="1"/>
        <s v="2017-12-25-23:00" u="1"/>
        <s v="2018-01-15-23:00" u="1"/>
        <s v="2018-02-15-23:00" u="1"/>
        <s v="2018-03-15-23:00" u="1"/>
        <s v="2018-04-15-23:00" u="1"/>
        <s v="2018-05-15-23:00" u="1"/>
        <s v="2016-01-11-23:00" u="1"/>
        <s v="2016-01-31-22:00" u="1"/>
        <s v="2016-02-11-23:00" u="1"/>
        <s v="2016-03-31-22:00" u="1"/>
        <s v="2016-04-11-23:00" u="1"/>
        <s v="2016-05-11-23:00" u="1"/>
        <s v="2016-05-31-22:00" u="1"/>
        <s v="2016-07-11-23:00" u="1"/>
        <s v="2016-07-31-22:00" u="1"/>
        <s v="2016-08-11-23:00" u="1"/>
        <s v="2016-08-31-22:00" u="1"/>
        <s v="2016-09-11-23:00" u="1"/>
        <s v="2017-02-01-23:00" u="1"/>
        <s v="2017-02-21-22:00" u="1"/>
        <s v="2017-03-01-23:00" u="1"/>
        <s v="2017-03-21-22:00" u="1"/>
        <s v="2017-05-01-23:00" u="1"/>
        <s v="2017-05-21-22:00" u="1"/>
        <s v="2017-06-01-23:00" u="1"/>
        <s v="2017-06-21-22:00" u="1"/>
        <s v="2017-08-01-23:00" u="1"/>
        <s v="2017-08-21-22:00" u="1"/>
        <s v="2017-09-21-22:00" u="1"/>
        <s v="2017-10-01-23:00" u="1"/>
        <s v="2017-11-01-23:00" u="1"/>
        <s v="2017-11-21-22:00" u="1"/>
        <s v="2017-12-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2-11-22:00" u="1"/>
        <s v="2018-03-11-22:00" u="1"/>
        <s v="2018-04-11-22: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8-07-18-08:00" u="1"/>
        <s v="2017-01-16-08:00" u="1"/>
        <s v="2017-02-16-08:00" u="1"/>
        <s v="2017-03-16-08:00" u="1"/>
        <s v="2017-05-16-08:00" u="1"/>
        <s v="2017-06-16-08:00" u="1"/>
        <s v="2017-08-16-08:00" u="1"/>
        <s v="2017-10-16-08:00" u="1"/>
        <s v="2017-11-16-08:00" u="1"/>
        <s v="2016-01-18-17:00" u="1"/>
        <s v="2016-02-18-17:00" u="1"/>
        <s v="2016-04-18-17:00" u="1"/>
        <s v="2016-05-18-17:00" u="1"/>
        <s v="2016-07-18-17:00" u="1"/>
        <s v="2016-08-18-17:00" u="1"/>
        <s v="2016-09-18-17:00" u="1"/>
        <s v="2016-10-18-17:00" u="1"/>
        <s v="2016-12-18-17:00" u="1"/>
        <s v="2017-01-08-17:00" u="1"/>
        <s v="2017-02-08-17:00" u="1"/>
        <s v="2017-02-28-16:00" u="1"/>
        <s v="2017-03-08-17:00" u="1"/>
        <s v="2017-03-28-16:00" u="1"/>
        <s v="2017-04-28-16:00" u="1"/>
        <s v="2017-05-08-17:00" u="1"/>
        <s v="2017-06-08-17:00" u="1"/>
        <s v="2017-06-28-16:00" u="1"/>
        <s v="2017-07-28-16:00" u="1"/>
        <s v="2017-08-08-17:00" u="1"/>
        <s v="2017-08-28-16:00" u="1"/>
        <s v="2017-09-28-16:00" u="1"/>
        <s v="2017-10-08-17:00" u="1"/>
        <s v="2017-11-08-17:00" u="1"/>
        <s v="2017-11-28-16:00" u="1"/>
        <s v="2017-12-28-16: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8-07-18-16:00" u="1"/>
        <s v="2017-01-12-07:00" u="1"/>
        <s v="2017-04-12-07:00" u="1"/>
        <s v="2017-05-12-07:00" u="1"/>
        <s v="2017-06-12-07:00" u="1"/>
        <s v="2017-07-12-07:00" u="1"/>
        <s v="2017-09-12-07:00" u="1"/>
        <s v="2017-10-12-07:00" u="1"/>
        <s v="2017-12-12-07:00" u="1"/>
        <s v="2019-09-04-07:00" u="1"/>
        <s v="2016-01-14-16:00" u="1"/>
        <s v="2016-03-14-16:00" u="1"/>
        <s v="2016-04-14-16:00" u="1"/>
        <s v="2016-06-14-16:00" u="1"/>
        <s v="2016-07-14-16:00" u="1"/>
        <s v="2016-09-14-16:00" u="1"/>
        <s v="2016-10-14-16:00" u="1"/>
        <s v="2016-11-14-16:00" u="1"/>
        <s v="2016-12-14-16:00" u="1"/>
        <s v="2018-01-02-07:00" u="1"/>
        <s v="2018-01-22-06:00" u="1"/>
        <s v="2018-02-02-07:00" u="1"/>
        <s v="2018-02-22-06:00" u="1"/>
        <s v="2018-03-02-07:00" u="1"/>
        <s v="2018-03-22-06:00" u="1"/>
        <s v="2018-04-02-07:00" u="1"/>
        <s v="2018-05-02-07:00" u="1"/>
        <s v="2018-05-22-06: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9-09-04-15:00" u="1"/>
        <s v="2018-02-26-23:00" u="1"/>
        <s v="2018-03-26-23:00" u="1"/>
        <s v="2018-04-26-23:00" u="1"/>
        <s v="2017-01-20-14:00" u="1"/>
        <s v="2017-01-24-23:00" u="1"/>
        <s v="2017-02-20-14:00" u="1"/>
        <s v="2017-03-20-14:00" u="1"/>
        <s v="2017-04-20-14:00" u="1"/>
        <s v="2017-04-24-23:00" u="1"/>
        <s v="2017-05-24-23:00" u="1"/>
        <s v="2017-06-20-14:00" u="1"/>
        <s v="2017-07-20-14:00" u="1"/>
        <s v="2017-07-24-23:00" u="1"/>
        <s v="2017-08-24-23:00" u="1"/>
        <s v="2017-09-20-14:00" u="1"/>
        <s v="2017-09-24-23:00" u="1"/>
        <s v="2017-10-24-23:00" u="1"/>
        <s v="2018-01-10-14:00" u="1"/>
        <s v="2018-01-30-13:00" u="1"/>
        <s v="2018-03-30-13:00" u="1"/>
        <s v="2018-04-10-14:00" u="1"/>
        <s v="2018-04-30-13:00" u="1"/>
        <s v="2018-05-10-14:00" u="1"/>
        <s v="2016-01-10-23:00" u="1"/>
        <s v="2016-02-10-23:00" u="1"/>
        <s v="2016-03-10-23:00" u="1"/>
        <s v="2016-03-30-22:00" u="1"/>
        <s v="2016-04-10-23:00" u="1"/>
        <s v="2016-05-10-23:00" u="1"/>
        <s v="2016-05-30-22:00" u="1"/>
        <s v="2016-06-30-22:00" u="1"/>
        <s v="2016-07-10-23:00" u="1"/>
        <s v="2016-08-10-23:00" u="1"/>
        <s v="2016-08-30-22:00" u="1"/>
        <s v="2016-10-10-23:00" u="1"/>
        <s v="2016-10-30-22:00" u="1"/>
        <s v="2016-11-10-23:00" u="1"/>
        <s v="2016-11-30-22:00" u="1"/>
        <s v="2016-02-17-09:00" u="1"/>
        <s v="2016-03-17-09:00" u="1"/>
        <s v="2016-05-17-09:00" u="1"/>
        <s v="2016-06-17-09:00" u="1"/>
        <s v="2016-08-17-09:00" u="1"/>
        <s v="2016-10-17-09:00" u="1"/>
        <s v="2016-11-17-09:00" u="1"/>
        <s v="2017-02-20-22:00" u="1"/>
        <s v="2017-03-20-22:00" u="1"/>
        <s v="2017-04-20-22:00" u="1"/>
        <s v="2017-06-20-22:00" u="1"/>
        <s v="2017-07-20-22:00" u="1"/>
        <s v="2017-08-20-22:00" u="1"/>
        <s v="2017-09-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4-10-22:00" u="1"/>
        <s v="2018-04-30-21:00" u="1"/>
        <s v="2018-05-10-22:00" u="1"/>
        <s v="2016-10-05-09:00" u="1"/>
        <s v="2016-10-25-08:00" u="1"/>
        <s v="2016-11-25-08:00" u="1"/>
        <s v="2016-12-05-09:00" u="1"/>
        <s v="2018-01-17-08:00" u="1"/>
        <s v="2018-04-17-08:00" u="1"/>
        <s v="2018-05-17-08:00" u="1"/>
        <s v="2018-07-17-08:00" u="1"/>
        <s v="2017-01-19-17:00" u="1"/>
        <s v="2017-02-19-17:00" u="1"/>
        <s v="2017-03-19-17:00" u="1"/>
        <s v="2017-04-19-17:00" u="1"/>
        <s v="2017-06-19-17:00" u="1"/>
        <s v="2017-07-19-17:00" u="1"/>
        <s v="2017-09-19-17:00" u="1"/>
        <s v="2016-01-13-08:00" u="1"/>
        <s v="2016-01-17-17:00" u="1"/>
        <s v="2016-02-17-17:00" u="1"/>
        <s v="2016-03-17-17:00" u="1"/>
        <s v="2016-04-13-08:00" u="1"/>
        <s v="2016-04-17-17:00" u="1"/>
        <s v="2016-05-13-08:00" u="1"/>
        <s v="2016-05-17-17:00" u="1"/>
        <s v="2016-06-13-08:00" u="1"/>
        <s v="2016-07-13-08:00" u="1"/>
        <s v="2016-07-17-17:00" u="1"/>
        <s v="2016-08-17-17:00" u="1"/>
        <s v="2016-09-13-08:00" u="1"/>
        <s v="2016-10-17-17:00" u="1"/>
        <s v="2016-11-17-17:00" u="1"/>
        <s v="2018-01-09-17:00" u="1"/>
        <s v="2018-01-29-16:00" u="1"/>
        <s v="2018-03-29-16:00" u="1"/>
        <s v="2018-04-09-17:00" u="1"/>
        <s v="2018-05-09-17:00" u="1"/>
        <s v="2018-05-29-16:00" u="1"/>
        <s v="2017-01-03-08:00" u="1"/>
        <s v="2017-01-23-07:00" u="1"/>
        <s v="2017-01-27-16:00" u="1"/>
        <s v="2017-02-03-08:00" u="1"/>
        <s v="2017-02-07-17:00" u="1"/>
        <s v="2017-02-23-07:00" u="1"/>
        <s v="2017-02-27-16:00" u="1"/>
        <s v="2017-03-03-08:00" u="1"/>
        <s v="2017-03-07-17:00" u="1"/>
        <s v="2017-03-23-07:00" u="1"/>
        <s v="2017-03-27-16:00" u="1"/>
        <s v="2017-04-03-08:00" u="1"/>
        <s v="2017-04-27-16:00" u="1"/>
        <s v="2017-05-03-08:00" u="1"/>
        <s v="2017-05-07-17:00" u="1"/>
        <s v="2017-05-23-07:00" u="1"/>
        <s v="2017-06-07-17:00" u="1"/>
        <s v="2017-06-23-07:00" u="1"/>
        <s v="2017-06-27-16:00" u="1"/>
        <s v="2017-07-03-08:00" u="1"/>
        <s v="2017-07-27-16:00" u="1"/>
        <s v="2017-08-03-08:00" u="1"/>
        <s v="2017-08-07-17:00" u="1"/>
        <s v="2017-08-23-07:00" u="1"/>
        <s v="2017-09-07-17:00" u="1"/>
        <s v="2017-09-27-16:00" u="1"/>
        <s v="2017-10-27-16:00" u="1"/>
        <s v="2017-11-07-17:00" u="1"/>
        <s v="2017-11-27-16:00" u="1"/>
        <s v="2017-12-07-17:00" u="1"/>
        <s v="2017-12-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5-12-23-16:00" u="1"/>
        <s v="2017-10-11-07:00" u="1"/>
        <s v="2017-10-31-06:00" u="1"/>
        <s v="2017-12-11-07:00" u="1"/>
        <s v="2019-09-03-07: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9-09-03-15:00" u="1"/>
        <s v="2018-01-25-23:00" u="1"/>
        <s v="2018-02-25-23:00" u="1"/>
        <s v="2018-03-25-23:00" u="1"/>
        <s v="2017-01-11-23:00" u="1"/>
        <s v="2017-01-31-22:00" u="1"/>
        <s v="2017-04-11-23:00" u="1"/>
        <s v="2017-05-11-23:00" u="1"/>
        <s v="2017-05-31-22:00" u="1"/>
        <s v="2017-06-11-23:00" u="1"/>
        <s v="2017-07-11-23:00" u="1"/>
        <s v="2017-07-31-22:00" u="1"/>
        <s v="2017-08-31-22:00" u="1"/>
        <s v="2017-09-11-23:00" u="1"/>
        <s v="2019-09-03-23:00" u="1"/>
        <s v="2018-01-01-23:00" u="1"/>
        <s v="2018-01-21-22:00" u="1"/>
        <s v="2018-02-01-23:00" u="1"/>
        <s v="2018-02-21-22:00" u="1"/>
        <s v="2018-03-01-23:00" u="1"/>
        <s v="2018-03-21-22:00" u="1"/>
        <s v="2018-04-01-23:00" u="1"/>
        <s v="2018-05-01-23:00" u="1"/>
        <s v="2018-05-21-22:00" u="1"/>
        <s v="2016-02-16-09:00" u="1"/>
        <s v="2016-03-16-09:00" u="1"/>
        <s v="2016-05-16-09:00" u="1"/>
        <s v="2016-06-16-09:00" u="1"/>
        <s v="2016-08-16-09:00" u="1"/>
        <s v="2016-09-16-09:00" u="1"/>
        <s v="2016-11-16-09:00" u="1"/>
        <s v="2016-12-16-09:00" u="1"/>
        <s v="2018-01-08-09:00" u="1"/>
        <s v="2018-02-08-09:00" u="1"/>
        <s v="2018-02-28-08:00" u="1"/>
        <s v="2018-03-08-09:00" u="1"/>
        <s v="2018-03-28-08:00" u="1"/>
        <s v="2018-05-08-09:00" u="1"/>
        <s v="2018-05-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7-12-26-08:00" u="1"/>
        <s v="2016-01-28-17:00" u="1"/>
        <s v="2016-02-08-18:00" u="1"/>
        <s v="2016-02-28-17:00" u="1"/>
        <s v="2016-03-08-18:00" u="1"/>
        <s v="2016-03-28-17:00" u="1"/>
        <s v="2016-04-28-17:00" u="1"/>
        <s v="2016-05-08-18:00" u="1"/>
        <s v="2016-06-08-18:00" u="1"/>
        <s v="2016-06-28-17:00" u="1"/>
        <s v="2016-07-28-17:00" u="1"/>
        <s v="2016-08-08-18:00" u="1"/>
        <s v="2016-08-28-17:00" u="1"/>
        <s v="2016-09-08-18:00" u="1"/>
        <s v="2016-09-28-17:00" u="1"/>
        <s v="2016-11-08-18:00" u="1"/>
        <s v="2016-11-28-17:00" u="1"/>
        <s v="2016-12-08-18:00" u="1"/>
        <s v="2016-12-28-17:00" u="1"/>
        <s v="2018-01-16-08:00" u="1"/>
        <s v="2018-02-16-08:00" u="1"/>
        <s v="2018-03-16-08:00" u="1"/>
        <s v="2018-04-16-08:00" u="1"/>
        <s v="2018-05-16-08:00" u="1"/>
        <s v="2015-12-22-08:00" u="1"/>
        <s v="2017-01-18-17:00" u="1"/>
        <s v="2017-04-18-17:00" u="1"/>
        <s v="2017-05-18-17:00" u="1"/>
        <s v="2017-06-18-17:00" u="1"/>
        <s v="2017-07-18-17:00" u="1"/>
        <s v="2017-09-18-17:00" u="1"/>
        <s v="2017-10-18-17:00" u="1"/>
        <s v="2017-12-18-17:00" u="1"/>
        <s v="2014-05-20-08:00" u="1"/>
        <s v="2014-06-20-08:00" u="1"/>
        <s v="2014-08-20-08:00" u="1"/>
        <s v="2016-01-12-08:00" u="1"/>
        <s v="2016-02-12-08:00" u="1"/>
        <s v="2016-04-12-08:00" u="1"/>
        <s v="2016-05-12-08:00" u="1"/>
        <s v="2016-07-12-08:00" u="1"/>
        <s v="2016-08-12-08:00" u="1"/>
        <s v="2016-09-12-08:00" u="1"/>
        <s v="2016-10-12-08:00" u="1"/>
        <s v="2016-12-12-08:00" u="1"/>
        <s v="2018-01-08-17:00" u="1"/>
        <s v="2018-02-08-17:00" u="1"/>
        <s v="2018-02-28-16:00" u="1"/>
        <s v="2018-03-08-17:00" u="1"/>
        <s v="2018-03-28-16:00" u="1"/>
        <s v="2018-04-08-17:00" u="1"/>
        <s v="2018-05-08-17:00" u="1"/>
        <s v="2018-05-28-16:00" u="1"/>
        <s v="2017-01-02-08: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6-01-04-17:00" u="1"/>
        <s v="2016-02-04-17:00" u="1"/>
        <s v="2016-02-24-16:00" u="1"/>
        <s v="2016-03-24-16:00" u="1"/>
        <s v="2016-04-04-17:00" u="1"/>
        <s v="2016-05-04-17:00" u="1"/>
        <s v="2016-05-24-16:00" u="1"/>
        <s v="2016-06-24-16:00" u="1"/>
        <s v="2016-07-04-17:00" u="1"/>
        <s v="2016-08-04-17:00" u="1"/>
        <s v="2016-08-24-16:00" u="1"/>
        <s v="2016-09-04-17:00" u="1"/>
        <s v="2018-01-12-07:00" u="1"/>
        <s v="2018-02-12-07:00" u="1"/>
        <s v="2018-03-12-07:00" u="1"/>
        <s v="2018-04-12-07:00" u="1"/>
        <s v="2015-12-22-16:00" u="1"/>
        <s v="2017-02-14-16:00" u="1"/>
        <s v="2017-03-14-16:00" u="1"/>
        <s v="2017-04-14-16:00" u="1"/>
        <s v="2017-06-14-16:00" u="1"/>
        <s v="2017-07-14-16:00" u="1"/>
        <s v="2017-08-14-16:00" u="1"/>
        <s v="2017-09-14-16:00" u="1"/>
        <s v="2017-11-14-16:00" u="1"/>
        <s v="2017-12-14-16:00" u="1"/>
        <s v="2019-09-02-07:00" u="1"/>
        <s v="2016-01-12-16:00" u="1"/>
        <s v="2016-02-12-16:00" u="1"/>
        <s v="2016-04-12-16:00" u="1"/>
        <s v="2016-05-12-16:00" u="1"/>
        <s v="2016-07-12-16:00" u="1"/>
        <s v="2016-08-12-16:00" u="1"/>
        <s v="2016-09-12-16:00" u="1"/>
        <s v="2016-10-12-16:00" u="1"/>
        <s v="2016-12-12-16:00" u="1"/>
        <s v="2018-01-04-16:00" u="1"/>
        <s v="2018-01-24-15:00" u="1"/>
        <s v="2018-04-04-16:00" u="1"/>
        <s v="2018-04-24-15:00" u="1"/>
        <s v="2018-05-04-16:00" u="1"/>
        <s v="2018-05-24-15:00" u="1"/>
        <s v="2018-07-24-15:00" u="1"/>
        <s v="2017-10-02-16:00" u="1"/>
        <s v="2017-11-02-16:00" u="1"/>
        <s v="2017-11-22-15:00" u="1"/>
        <s v="2017-12-22-15:00" u="1"/>
        <s v="2019-08-30-05:00" u="1"/>
        <s v="2019-09-02-15:00" u="1"/>
        <s v="2018-01-24-23:00" u="1"/>
        <s v="2018-02-20-14:00" u="1"/>
        <s v="2018-03-20-14:00" u="1"/>
        <s v="2018-04-20-14:00" u="1"/>
        <s v="2018-04-24-23:00" u="1"/>
        <s v="2018-05-24-23:00" u="1"/>
        <s v="2018-07-20-14:00" u="1"/>
        <s v="2018-07-24-23:00" u="1"/>
        <s v="2019-08-30-13:00" u="1"/>
        <s v="2016-01-20-23:00" u="1"/>
        <s v="2016-03-20-23:00" u="1"/>
        <s v="2016-04-20-23:00" u="1"/>
        <s v="2016-06-20-23:00" u="1"/>
        <s v="2016-07-20-23:00" u="1"/>
        <s v="2016-09-20-23:00" u="1"/>
        <s v="2016-10-20-23:00" u="1"/>
        <s v="2016-11-20-23:00" u="1"/>
        <s v="2016-12-20-23:00" u="1"/>
        <s v="2016-01-27-09:00" u="1"/>
        <s v="2016-04-27-09:00" u="1"/>
        <s v="2016-05-27-09:00" u="1"/>
        <s v="2016-06-27-09:00" u="1"/>
        <s v="2016-07-27-09:00" u="1"/>
        <s v="2016-09-27-09:00" u="1"/>
        <s v="2017-01-10-23:00" u="1"/>
        <s v="2017-01-30-22:00" u="1"/>
        <s v="2017-03-30-22:00" u="1"/>
        <s v="2017-04-10-23:00" u="1"/>
        <s v="2017-04-30-22:00" u="1"/>
        <s v="2017-05-10-23:00" u="1"/>
        <s v="2017-05-30-22:00" u="1"/>
        <s v="2017-07-10-23:00" u="1"/>
        <s v="2017-07-30-22:00" u="1"/>
        <s v="2017-08-10-23:00" u="1"/>
        <s v="2017-08-30-22:00" u="1"/>
        <s v="2017-09-10-23:00" u="1"/>
        <s v="2017-10-10-23:00" u="1"/>
        <s v="2017-10-30-22:00" u="1"/>
        <s v="2017-11-30-22:00" u="1"/>
        <s v="2017-12-10-23:00" u="1"/>
        <s v="2019-09-02-23:00" u="1"/>
        <s v="2017-01-17-09:00" u="1"/>
        <s v="2017-02-17-09:00" u="1"/>
        <s v="2017-03-17-09:00" u="1"/>
        <s v="2017-04-17-09:00" u="1"/>
        <s v="2017-05-17-09:00" u="1"/>
        <s v="2017-07-17-09:00" u="1"/>
        <s v="2017-08-17-09:00" u="1"/>
        <s v="2017-10-17-09:00" u="1"/>
        <s v="2017-11-17-09:00" u="1"/>
        <s v="2018-02-20-22:00" u="1"/>
        <s v="2018-03-20-22:00" u="1"/>
        <s v="2018-05-20-22:00" u="1"/>
        <s v="2016-11-15-09:00" u="1"/>
        <s v="2016-12-15-09:00" u="1"/>
        <s v="2018-02-07-09:00" u="1"/>
        <s v="2018-02-27-08:00" u="1"/>
        <s v="2018-03-07-09:00" u="1"/>
        <s v="2018-03-27-08:00" u="1"/>
        <s v="2018-04-27-08:00" u="1"/>
        <s v="2018-05-07-09:00" u="1"/>
        <s v="2019-08-30-21:00" u="1"/>
        <s v="2017-10-05-09:00" u="1"/>
        <s v="2017-10-25-08:00" u="1"/>
        <s v="2017-12-05-09:00" u="1"/>
        <s v="2016-01-07-18:00" u="1"/>
        <s v="2016-01-27-17:00" u="1"/>
        <s v="2016-02-07-18:00" u="1"/>
        <s v="2016-03-07-18:00" u="1"/>
        <s v="2016-03-27-17:00" u="1"/>
        <s v="2016-04-07-18:00" u="1"/>
        <s v="2016-04-27-17:00" u="1"/>
        <s v="2016-06-07-18:00" u="1"/>
        <s v="2016-06-27-17:00" u="1"/>
        <s v="2016-07-07-18:00" u="1"/>
        <s v="2016-07-27-17:00" u="1"/>
        <s v="2016-08-07-18:00" u="1"/>
        <s v="2016-09-07-18:00" u="1"/>
        <s v="2016-09-27-17:00" u="1"/>
        <s v="2016-10-27-17:00" u="1"/>
        <s v="2016-11-07-18:00" u="1"/>
        <s v="2016-11-27-17:00" u="1"/>
        <s v="2016-12-07-18:00" u="1"/>
        <s v="2016-12-27-17:00" u="1"/>
        <s v="2018-02-19-17:00" u="1"/>
        <s v="2018-03-19-17:00" u="1"/>
        <s v="2018-04-19-17:00" u="1"/>
        <s v="2018-07-19-17:00" u="1"/>
        <s v="2017-01-13-08:00" u="1"/>
        <s v="2017-01-17-17:00" u="1"/>
        <s v="2017-02-13-08:00" u="1"/>
        <s v="2017-03-13-08:00" u="1"/>
        <s v="2017-04-13-08:00" u="1"/>
        <s v="2017-04-17-17:00" u="1"/>
        <s v="2017-05-17-17:00" u="1"/>
        <s v="2017-06-13-08:00" u="1"/>
        <s v="2017-07-13-08:00" u="1"/>
        <s v="2017-07-17-17:00" u="1"/>
        <s v="2017-08-17-17:00" u="1"/>
        <s v="2017-09-13-08:00" u="1"/>
        <s v="2017-09-17-17:00" u="1"/>
        <s v="2017-10-17-17:00" u="1"/>
        <s v="2017-12-17-17: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07-17:00" u="1"/>
        <s v="2018-01-23-07:00" u="1"/>
        <s v="2018-02-07-17:00" u="1"/>
        <s v="2018-02-23-07:00" u="1"/>
        <s v="2018-02-27-16:00" u="1"/>
        <s v="2018-03-07-17:00" u="1"/>
        <s v="2018-03-23-07:00" u="1"/>
        <s v="2018-03-27-16:00" u="1"/>
        <s v="2018-04-03-08:00" u="1"/>
        <s v="2018-04-23-07:00" u="1"/>
        <s v="2018-04-27-16:00" u="1"/>
        <s v="2018-05-03-08:00" u="1"/>
        <s v="2018-05-07-17:00" u="1"/>
        <s v="2018-05-23-07:00" u="1"/>
        <s v="2018-07-23-07: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1-03-17:00" u="1"/>
        <s v="2016-02-03-17:00" u="1"/>
        <s v="2016-02-23-16:00" u="1"/>
        <s v="2016-03-03-17:00" u="1"/>
        <s v="2016-03-23-16:00" u="1"/>
        <s v="2016-04-03-17:00" u="1"/>
        <s v="2016-05-03-17:00" u="1"/>
        <s v="2016-05-23-16:00" u="1"/>
        <s v="2016-06-23-16:00" u="1"/>
        <s v="2016-07-03-17:00" u="1"/>
        <s v="2016-08-03-17:00" u="1"/>
        <s v="2016-08-23-16:00" u="1"/>
        <s v="2016-09-23-16:00" u="1"/>
        <s v="2016-10-03-17:00" u="1"/>
        <s v="2016-11-03-17:00" u="1"/>
        <s v="2016-11-23-16:00" u="1"/>
        <s v="2016-12-23-16:00" u="1"/>
        <s v="2017-03-13-16:00" u="1"/>
        <s v="2017-04-13-16:00" u="1"/>
        <s v="2017-06-13-16:00" u="1"/>
        <s v="2017-07-13-16:00" u="1"/>
        <s v="2017-09-13-16:00" u="1"/>
        <s v="2017-10-13-16:00" u="1"/>
        <s v="2017-11-13-16:00" u="1"/>
        <s v="2017-12-13-16:00" u="1"/>
        <s v="2018-01-03-16:00" u="1"/>
        <s v="2018-01-23-15:00" u="1"/>
        <s v="2018-02-23-15:00" u="1"/>
        <s v="2018-03-23-15:00" u="1"/>
        <s v="2018-04-03-16:00" u="1"/>
        <s v="2018-04-23-15:00" u="1"/>
        <s v="2018-05-03-16:00" u="1"/>
        <s v="2018-05-23-15:00" u="1"/>
        <s v="2018-07-23-15:00" u="1"/>
        <s v="2018-01-11-23:00" u="1"/>
        <s v="2018-01-31-22:00" u="1"/>
        <s v="2018-02-11-23:00" u="1"/>
        <s v="2018-03-11-23:00" u="1"/>
        <s v="2018-04-11-23:00" u="1"/>
        <s v="2016-01-26-09:00" u="1"/>
        <s v="2016-02-26-09:00" u="1"/>
        <s v="2016-04-26-09:00" u="1"/>
        <s v="2016-05-26-09:00" u="1"/>
        <s v="2016-07-26-09:00" u="1"/>
        <s v="2016-08-26-09:00" u="1"/>
        <s v="2016-09-26-09:00" u="1"/>
        <s v="2016-10-26-09:00" u="1"/>
        <s v="2017-01-16-09:00" u="1"/>
        <s v="2017-02-16-09:00" u="1"/>
        <s v="2017-03-16-09:00" u="1"/>
        <s v="2017-05-16-09:00" u="1"/>
        <s v="2017-06-16-09:00" u="1"/>
        <s v="2017-08-16-09:00" u="1"/>
        <s v="2017-10-16-09:00" u="1"/>
        <s v="2017-11-16-09:00" u="1"/>
        <s v="2016-01-18-18:00" u="1"/>
        <s v="2016-02-18-18:00" u="1"/>
        <s v="2016-04-18-18:00" u="1"/>
        <s v="2016-05-18-18:00" u="1"/>
        <s v="2016-07-18-18:00" u="1"/>
        <s v="2016-08-18-18:00" u="1"/>
        <s v="2016-09-18-18:00" u="1"/>
        <s v="2016-10-18-18:00" u="1"/>
        <s v="2016-12-18-18:00" u="1"/>
        <s v="2018-01-26-08:00" u="1"/>
        <s v="2018-02-06-09:00" u="1"/>
        <s v="2018-02-26-08:00" u="1"/>
        <s v="2018-03-06-09:00" u="1"/>
        <s v="2018-03-26-08:00" u="1"/>
        <s v="2018-04-06-09:00" u="1"/>
        <s v="2018-04-26-08:00" u="1"/>
        <s v="2017-01-08-18:00" u="1"/>
        <s v="2017-02-08-18:00" u="1"/>
        <s v="2017-02-28-17:00" u="1"/>
        <s v="2017-03-08-18:00" u="1"/>
        <s v="2017-03-28-17:00" u="1"/>
        <s v="2017-05-08-18:00" u="1"/>
        <s v="2017-05-28-17:00" u="1"/>
        <s v="2017-06-08-18:00" u="1"/>
        <s v="2017-06-28-17:00" u="1"/>
        <s v="2017-08-08-18:00" u="1"/>
        <s v="2017-08-28-17:00" u="1"/>
        <s v="2017-09-28-17:00" u="1"/>
        <s v="2017-10-08-18:00" u="1"/>
        <s v="2017-11-08-18:00" u="1"/>
        <s v="2017-11-28-17:00" u="1"/>
        <s v="2017-12-28-17: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1-02-09:00" u="1"/>
        <s v="2016-11-06-18:00" u="1"/>
        <s v="2016-11-22-08:00" u="1"/>
        <s v="2016-12-02-09:00" u="1"/>
        <s v="2016-12-06-18:00" u="1"/>
        <s v="2016-12-22-08:00" u="1"/>
        <s v="2018-01-18-17:00" u="1"/>
        <s v="2018-02-18-17:00" u="1"/>
        <s v="2018-03-18-17:00" u="1"/>
        <s v="2018-04-18-17:00" u="1"/>
        <s v="2018-07-18-17:00" u="1"/>
        <s v="2017-01-12-08:00" u="1"/>
        <s v="2017-04-12-08:00" u="1"/>
        <s v="2017-05-12-08:00" u="1"/>
        <s v="2017-06-12-08:00" u="1"/>
        <s v="2017-07-12-08:00" u="1"/>
        <s v="2017-09-12-08:00" u="1"/>
        <s v="2017-10-12-08:00" u="1"/>
        <s v="2017-12-12-08:00" u="1"/>
        <s v="2019-09-04-08:00" u="1"/>
        <s v="2016-10-10-08:00" u="1"/>
        <s v="2016-11-10-08:00" u="1"/>
        <s v="2016-11-30-07:00" u="1"/>
        <s v="2016-12-30-07:00" u="1"/>
        <s v="2018-01-02-08:00" u="1"/>
        <s v="2018-01-22-07:00" u="1"/>
        <s v="2018-02-02-08:00" u="1"/>
        <s v="2018-02-22-07:00" u="1"/>
        <s v="2018-03-02-08:00" u="1"/>
        <s v="2018-03-22-07:00" u="1"/>
        <s v="2018-04-02-08:00" u="1"/>
        <s v="2018-05-02-08:00" u="1"/>
        <s v="2018-05-22-07:00" u="1"/>
        <s v="2017-01-04-17:00" u="1"/>
        <s v="2017-01-24-16:00" u="1"/>
        <s v="2017-02-24-16:00" u="1"/>
        <s v="2017-03-24-16:00" u="1"/>
        <s v="2017-04-04-17:00" u="1"/>
        <s v="2017-04-24-16:00" u="1"/>
        <s v="2017-05-04-17:00" u="1"/>
        <s v="2017-05-24-16:00" u="1"/>
        <s v="2017-06-04-17:00" u="1"/>
        <s v="2017-07-04-17:00" u="1"/>
        <s v="2017-07-24-16:00" u="1"/>
        <s v="2017-08-24-16:00" u="1"/>
        <s v="2017-09-04-17:00" u="1"/>
        <s v="2016-01-22-16:00" u="1"/>
        <s v="2016-02-02-17:00" u="1"/>
        <s v="2016-02-22-16:00" u="1"/>
        <s v="2016-03-02-17:00" u="1"/>
        <s v="2016-03-22-16:00" u="1"/>
        <s v="2016-04-22-16:00" u="1"/>
        <s v="2016-05-02-17:00" u="1"/>
        <s v="2016-06-02-17:00" u="1"/>
        <s v="2016-06-22-16:00" u="1"/>
        <s v="2016-07-22-16:00" u="1"/>
        <s v="2016-08-02-17:00" u="1"/>
        <s v="2016-08-22-16:00" u="1"/>
        <s v="2016-09-22-16:00" u="1"/>
        <s v="2016-10-02-17:00" u="1"/>
        <s v="2016-11-02-17:00" u="1"/>
        <s v="2016-11-22-16:00" u="1"/>
        <s v="2016-12-22-16:00" u="1"/>
        <s v="2018-02-14-16:00" u="1"/>
        <s v="2018-03-14-16:00" u="1"/>
        <s v="2018-05-14-16:00" u="1"/>
        <s v="2017-01-12-16:00" u="1"/>
        <s v="2017-04-12-16:00" u="1"/>
        <s v="2017-05-12-16:00" u="1"/>
        <s v="2017-06-12-16:00" u="1"/>
        <s v="2017-07-12-16:00" u="1"/>
        <s v="2017-09-12-16:00" u="1"/>
        <s v="2017-10-12-16:00" u="1"/>
        <s v="2017-12-12-16:00" u="1"/>
        <s v="2019-09-04-16:00" u="1"/>
        <s v="2016-03-30-23:00" u="1"/>
        <s v="2016-05-30-23:00" u="1"/>
        <s v="2016-06-30-23:00" u="1"/>
        <s v="2016-08-30-23:00" u="1"/>
        <s v="2016-10-30-23:00" u="1"/>
        <s v="2016-11-30-23:00" u="1"/>
        <s v="2017-02-20-23:00" u="1"/>
        <s v="2017-03-20-23:00" u="1"/>
        <s v="2017-04-20-23:00" u="1"/>
        <s v="2017-06-20-23:00" u="1"/>
        <s v="2017-07-20-23:00" u="1"/>
        <s v="2017-08-20-23:00" u="1"/>
        <s v="2017-09-20-23:00" u="1"/>
        <s v="2017-11-20-23:00" u="1"/>
        <s v="2017-12-20-23:00" u="1"/>
        <s v="2017-01-27-09:00" u="1"/>
        <s v="2017-02-27-09:00" u="1"/>
        <s v="2017-03-27-09:00" u="1"/>
        <s v="2017-04-27-09:00" u="1"/>
        <s v="2017-06-27-09:00" u="1"/>
        <s v="2017-07-27-09:00" u="1"/>
        <s v="2017-09-27-09:00" u="1"/>
        <s v="2018-01-10-23:00" u="1"/>
        <s v="2018-01-30-22:00" u="1"/>
        <s v="2018-04-10-23:00" u="1"/>
        <s v="2018-04-30-22:00" u="1"/>
        <s v="2018-05-10-23:00" u="1"/>
        <s v="2016-01-25-09:00" u="1"/>
        <s v="2016-02-25-09:00" u="1"/>
        <s v="2016-03-25-09:00" u="1"/>
        <s v="2016-04-25-09:00" u="1"/>
        <s v="2016-05-25-09:00" u="1"/>
        <s v="2016-07-25-09:00" u="1"/>
        <s v="2016-08-25-09:00" u="1"/>
        <s v="2016-10-25-09:00" u="1"/>
        <s v="2016-11-25-09:00" u="1"/>
        <s v="2018-01-17-09:00" u="1"/>
        <s v="2018-04-17-09:00" u="1"/>
        <s v="2018-05-17-09:00" u="1"/>
        <s v="2018-07-17-09:00" u="1"/>
        <s v="2017-11-15-09:00" u="1"/>
        <s v="2017-12-15-09:00" u="1"/>
        <s v="2016-01-17-18:00" u="1"/>
        <s v="2016-02-17-18:00" u="1"/>
        <s v="2016-03-17-18:00" u="1"/>
        <s v="2016-04-17-18:00" u="1"/>
        <s v="2016-05-17-18:00" u="1"/>
        <s v="2016-07-17-18:00" u="1"/>
        <s v="2016-08-17-18:00" u="1"/>
        <s v="2016-10-17-18:00" u="1"/>
        <s v="2016-11-17-18:00" u="1"/>
        <s v="2017-02-07-18:00" u="1"/>
        <s v="2017-02-27-17:00" u="1"/>
        <s v="2017-03-07-18:00" u="1"/>
        <s v="2017-03-27-17:00" u="1"/>
        <s v="2017-04-27-17:00" u="1"/>
        <s v="2017-05-07-18:00" u="1"/>
        <s v="2017-06-07-18:00" u="1"/>
        <s v="2017-06-27-17:00" u="1"/>
        <s v="2017-07-27-17:00" u="1"/>
        <s v="2017-08-07-18:00" u="1"/>
        <s v="2017-08-27-17:00" u="1"/>
        <s v="2017-09-07-18:00" u="1"/>
        <s v="2017-09-27-17:00" u="1"/>
        <s v="2017-11-07-18:00" u="1"/>
        <s v="2017-11-27-17:00" u="1"/>
        <s v="2017-12-07-18:00" u="1"/>
        <s v="2017-12-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2-13-08:00" u="1"/>
        <s v="2018-03-13-08:00" u="1"/>
        <s v="2018-04-13-08:00" u="1"/>
        <s v="2018-04-17-17:00" u="1"/>
        <s v="2018-05-17-17:00" u="1"/>
        <s v="2018-07-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9-09-03-08:00" u="1"/>
        <s v="2016-01-13-17:00" u="1"/>
        <s v="2016-03-13-17:00" u="1"/>
        <s v="2016-04-13-17:00" u="1"/>
        <s v="2016-06-13-17:00" u="1"/>
        <s v="2016-07-13-17:00" u="1"/>
        <s v="2016-09-13-17:00" u="1"/>
        <s v="2016-10-13-17:00" u="1"/>
        <s v="2016-11-13-17:00" u="1"/>
        <s v="2016-12-13-17:00" u="1"/>
        <s v="2018-02-01-08:00" u="1"/>
        <s v="2018-02-21-07:00" u="1"/>
        <s v="2018-03-01-08:00" u="1"/>
        <s v="2018-03-21-07:00" u="1"/>
        <s v="2018-05-01-08:00" u="1"/>
        <s v="2018-05-21-07:00" u="1"/>
        <s v="2017-01-03-17:00" u="1"/>
        <s v="2017-01-23-16:00" u="1"/>
        <s v="2017-02-23-16:00" u="1"/>
        <s v="2017-03-23-16:00" u="1"/>
        <s v="2017-04-03-17:00" u="1"/>
        <s v="2017-05-03-17:00" u="1"/>
        <s v="2017-05-23-16:00" u="1"/>
        <s v="2017-06-23-16:00" u="1"/>
        <s v="2017-07-03-17:00" u="1"/>
        <s v="2017-08-03-17:00" u="1"/>
        <s v="2017-08-23-16:00" u="1"/>
        <s v="2017-09-03-17:00" u="1"/>
        <s v="2017-10-03-17:00" u="1"/>
        <s v="2017-10-23-16:00" u="1"/>
        <s v="2017-11-23-16:00" u="1"/>
        <s v="2017-12-03-17:00" u="1"/>
        <s v="2016-10-21-16:00" u="1"/>
        <s v="2016-11-01-17:00" u="1"/>
        <s v="2016-11-21-16:00" u="1"/>
        <s v="2016-12-01-17:00" u="1"/>
        <s v="2016-12-21-16:00" u="1"/>
        <s v="2018-02-13-16:00" u="1"/>
        <s v="2018-03-13-16:00" u="1"/>
        <s v="2018-04-13-16:00" u="1"/>
        <s v="2019-09-03-16:00" u="1"/>
        <s v="2017-01-26-09:00" u="1"/>
        <s v="2017-04-26-09:00" u="1"/>
        <s v="2017-05-26-09:00" u="1"/>
        <s v="2017-06-26-09:00" u="1"/>
        <s v="2017-07-26-09:00" u="1"/>
        <s v="2017-09-26-09:00" u="1"/>
        <s v="2017-10-26-09:00" u="1"/>
        <s v="2017-12-26-09:00" u="1"/>
        <s v="2016-01-28-18:00" u="1"/>
        <s v="2016-02-08-19:00" u="1"/>
        <s v="2016-02-28-18:00" u="1"/>
        <s v="2016-03-08-19:00" u="1"/>
        <s v="2016-03-28-18:00" u="1"/>
        <s v="2016-04-28-18:00" u="1"/>
        <s v="2016-05-08-19:00" u="1"/>
        <s v="2016-06-08-19:00" u="1"/>
        <s v="2016-06-28-18:00" u="1"/>
        <s v="2016-07-28-18:00" u="1"/>
        <s v="2016-08-08-19:00" u="1"/>
        <s v="2016-08-28-18:00" u="1"/>
        <s v="2016-09-08-19:00" u="1"/>
        <s v="2016-09-28-18:00" u="1"/>
        <s v="2018-01-16-09:00" u="1"/>
        <s v="2018-02-16-09:00" u="1"/>
        <s v="2018-03-16-09:00" u="1"/>
        <s v="2018-04-16-09:00" u="1"/>
        <s v="2018-05-16-09:00" u="1"/>
        <s v="2017-01-18-18:00" u="1"/>
        <s v="2017-04-18-18:00" u="1"/>
        <s v="2017-05-18-18:00" u="1"/>
        <s v="2017-06-18-18:00" u="1"/>
        <s v="2017-07-18-18:00" u="1"/>
        <s v="2017-09-18-18:00" u="1"/>
        <s v="2017-10-18-18:00" u="1"/>
        <s v="2017-12-18-18:00" u="1"/>
        <s v="2016-01-12-09:00" u="1"/>
        <s v="2016-02-12-09:00" u="1"/>
        <s v="2016-02-16-18:00" u="1"/>
        <s v="2016-03-16-18:00" u="1"/>
        <s v="2016-04-12-09:00" u="1"/>
        <s v="2016-05-12-09:00" u="1"/>
        <s v="2016-05-16-18:00" u="1"/>
        <s v="2016-06-16-18:00" u="1"/>
        <s v="2016-07-12-09:00" u="1"/>
        <s v="2016-08-12-09:00" u="1"/>
        <s v="2016-08-16-18:00" u="1"/>
        <s v="2016-09-12-09:00" u="1"/>
        <s v="2016-10-16-18:00" u="1"/>
        <s v="2016-11-16-18:00" u="1"/>
        <s v="2018-01-08-18:00" u="1"/>
        <s v="2018-01-28-17:00" u="1"/>
        <s v="2018-02-08-18:00" u="1"/>
        <s v="2018-02-28-17:00" u="1"/>
        <s v="2018-03-08-18:00" u="1"/>
        <s v="2018-03-28-17:00" u="1"/>
        <s v="2018-04-08-18:00" u="1"/>
        <s v="2018-05-08-18:00" u="1"/>
        <s v="2018-05-28-17:00" u="1"/>
        <s v="2017-01-02-09:00" u="1"/>
        <s v="2017-02-02-09:00" u="1"/>
        <s v="2017-02-22-08:00" u="1"/>
        <s v="2017-03-02-09:00" u="1"/>
        <s v="2017-03-22-08:00" u="1"/>
        <s v="2017-05-02-09:00" u="1"/>
        <s v="2017-05-22-08:00" u="1"/>
        <s v="2017-06-02-09:00" u="1"/>
        <s v="2017-06-22-08:00" u="1"/>
        <s v="2017-08-02-09:00" u="1"/>
        <s v="2017-08-22-08:00" u="1"/>
        <s v="2017-09-22-08:00" u="1"/>
        <s v="2017-10-02-09:00" u="1"/>
        <s v="2017-10-26-17:00" u="1"/>
        <s v="2017-11-02-09:00" u="1"/>
        <s v="2017-11-06-18:00" u="1"/>
        <s v="2017-11-22-08:00" u="1"/>
        <s v="2017-11-26-17:00" u="1"/>
        <s v="2017-12-06-18:00" u="1"/>
        <s v="2017-12-22-08:00" u="1"/>
        <s v="2017-12-26-17:00" u="1"/>
        <s v="2016-01-20-08:00" u="1"/>
        <s v="2016-04-20-08:00" u="1"/>
        <s v="2016-05-20-08:00" u="1"/>
        <s v="2016-06-20-08:00" u="1"/>
        <s v="2016-07-20-08:00" u="1"/>
        <s v="2016-09-20-08:00" u="1"/>
        <s v="2016-10-20-08:00" u="1"/>
        <s v="2016-12-20-08:00" u="1"/>
        <s v="2018-01-12-08:00" u="1"/>
        <s v="2018-02-12-08:00" u="1"/>
        <s v="2018-03-12-08:00" u="1"/>
        <s v="2018-04-12-08:00" u="1"/>
        <s v="2015-12-22-17:00" u="1"/>
        <s v="2017-10-10-08:00" u="1"/>
        <s v="2017-10-30-07:00" u="1"/>
        <s v="2017-11-10-08:00" u="1"/>
        <s v="2017-11-30-07:00" u="1"/>
        <s v="2019-09-02-08:00" u="1"/>
        <s v="2016-01-12-17:00" u="1"/>
        <s v="2016-04-12-17:00" u="1"/>
        <s v="2016-05-12-17:00" u="1"/>
        <s v="2016-06-12-17:00" u="1"/>
        <s v="2016-07-12-17:00" u="1"/>
        <s v="2016-09-12-17:00" u="1"/>
        <s v="2016-10-12-17:00" u="1"/>
        <s v="2016-12-12-17:00" u="1"/>
        <s v="2018-01-04-17:00" u="1"/>
        <s v="2018-01-24-16:00" u="1"/>
        <s v="2018-02-04-17:00" u="1"/>
        <s v="2018-03-04-17:00" u="1"/>
        <s v="2018-04-04-17:00" u="1"/>
        <s v="2018-04-24-16:00" u="1"/>
        <s v="2018-05-24-16:00" u="1"/>
        <s v="2018-07-24-16:00" u="1"/>
        <s v="2017-01-02-17:00" u="1"/>
        <s v="2017-02-02-17:00" u="1"/>
        <s v="2017-02-22-16:00" u="1"/>
        <s v="2017-03-02-17:00" u="1"/>
        <s v="2017-03-22-16:00" u="1"/>
        <s v="2017-04-02-17:00" u="1"/>
        <s v="2017-05-02-17:00" u="1"/>
        <s v="2017-05-22-16:00" u="1"/>
        <s v="2017-06-22-16:00" u="1"/>
        <s v="2017-07-02-17:00" u="1"/>
        <s v="2017-08-02-17:00" u="1"/>
        <s v="2017-08-22-16:00" u="1"/>
        <s v="2017-09-22-16:00" u="1"/>
        <s v="2017-10-02-17:00" u="1"/>
        <s v="2017-11-02-17:00" u="1"/>
        <s v="2017-11-22-16:00" u="1"/>
        <s v="2017-12-22-16:00" u="1"/>
        <s v="2018-01-12-16:00" u="1"/>
        <s v="2018-02-12-16:00" u="1"/>
        <s v="2018-03-12-16:00" u="1"/>
        <s v="2018-04-12-16:00" u="1"/>
        <s v="2019-09-02-16:00" u="1"/>
        <s v="2019-08-30-14:00" u="1"/>
        <s v="2017-01-30-23:00" u="1"/>
        <s v="2017-03-30-23:00" u="1"/>
        <s v="2017-04-30-23:00" u="1"/>
        <s v="2017-05-30-23:00" u="1"/>
        <s v="2017-07-30-23:00" u="1"/>
        <s v="2017-08-30-23:00" u="1"/>
        <s v="2017-10-30-23:00" u="1"/>
        <s v="2017-11-30-23:00" u="1"/>
        <s v="2018-02-20-23:00" u="1"/>
        <s v="2018-03-20-23:00" u="1"/>
        <s v="2018-05-20-23:00" u="1"/>
        <s v="2018-02-27-09:00" u="1"/>
        <s v="2018-03-27-09:00" u="1"/>
        <s v="2018-04-27-09:00" u="1"/>
        <s v="2019-08-30-22:00" u="1"/>
        <s v="2017-01-25-09:00" u="1"/>
        <s v="2017-04-25-09:00" u="1"/>
        <s v="2017-05-25-09:00" u="1"/>
        <s v="2017-07-25-09:00" u="1"/>
        <s v="2017-08-25-09:00" u="1"/>
        <s v="2017-09-25-09:00" u="1"/>
        <s v="2017-10-25-09:00" u="1"/>
        <s v="2016-01-07-19:00" u="1"/>
        <s v="2016-01-27-18:00" u="1"/>
        <s v="2016-02-07-19:00" u="1"/>
        <s v="2016-03-07-19:00" u="1"/>
        <s v="2016-03-27-18:00" u="1"/>
        <s v="2016-04-07-19:00" u="1"/>
        <s v="2016-04-27-18:00" u="1"/>
        <s v="2016-06-07-19:00" u="1"/>
        <s v="2016-06-27-18:00" u="1"/>
        <s v="2016-07-07-19:00" u="1"/>
        <s v="2016-07-27-18:00" u="1"/>
        <s v="2016-08-07-19:00" u="1"/>
        <s v="2016-09-07-19:00" u="1"/>
        <s v="2016-09-27-18:00" u="1"/>
        <s v="2016-10-27-18:00" u="1"/>
        <s v="2016-11-07-19:00" u="1"/>
        <s v="2016-11-27-18:00" u="1"/>
        <s v="2016-12-07-19:00" u="1"/>
        <s v="2016-12-27-18:00" u="1"/>
        <s v="2017-01-17-18:00" u="1"/>
        <s v="2017-04-17-18:00" u="1"/>
        <s v="2017-05-17-18:00" u="1"/>
        <s v="2017-07-17-18:00" u="1"/>
        <s v="2017-08-17-18:00" u="1"/>
        <s v="2017-09-17-18:00" u="1"/>
        <s v="2017-10-17-18:00" u="1"/>
        <s v="2017-12-17-18:00" u="1"/>
        <s v="2019-08-29-17:00" u="1"/>
        <s v="2016-01-11-09:00" u="1"/>
        <s v="2016-02-11-09:00" u="1"/>
        <s v="2016-03-11-09:00" u="1"/>
        <s v="2016-03-31-08:00" u="1"/>
        <s v="2016-04-11-09:00" u="1"/>
        <s v="2016-05-11-09:00" u="1"/>
        <s v="2016-05-31-08:00" u="1"/>
        <s v="2016-07-11-09:00" u="1"/>
        <s v="2016-08-11-09:00" u="1"/>
        <s v="2016-08-31-08:00" u="1"/>
        <s v="2016-10-11-09:00" u="1"/>
        <s v="2016-10-31-08:00" u="1"/>
        <s v="2016-11-11-09:00" u="1"/>
        <s v="2018-01-07-18:00" u="1"/>
        <s v="2018-02-07-18:00" u="1"/>
        <s v="2018-02-27-17:00" u="1"/>
        <s v="2018-03-07-18:00" u="1"/>
        <s v="2018-03-27-17:00" u="1"/>
        <s v="2018-05-07-18:00" u="1"/>
        <s v="2018-05-27-17: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1-03-18:00" u="1"/>
        <s v="2016-02-03-18:00" u="1"/>
        <s v="2016-02-23-17:00" u="1"/>
        <s v="2016-03-03-18:00" u="1"/>
        <s v="2016-03-23-17:00" u="1"/>
        <s v="2016-04-03-18:00" u="1"/>
        <s v="2016-05-03-18:00" u="1"/>
        <s v="2016-05-23-17:00" u="1"/>
        <s v="2016-06-23-17:00" u="1"/>
        <s v="2016-07-03-18:00" u="1"/>
        <s v="2016-08-03-18:00" u="1"/>
        <s v="2016-08-23-17:00" u="1"/>
        <s v="2018-01-11-08:00" u="1"/>
        <s v="2018-01-31-07:00" u="1"/>
        <s v="2018-04-11-08:00" u="1"/>
        <s v="2018-05-11-08:00" u="1"/>
        <s v="2015-12-21-17:00" u="1"/>
        <s v="2017-02-13-17:00" u="1"/>
        <s v="2017-03-13-17:00" u="1"/>
        <s v="2017-04-13-17:00" u="1"/>
        <s v="2017-06-13-17:00" u="1"/>
        <s v="2017-07-13-17:00" u="1"/>
        <s v="2017-08-13-17:00" u="1"/>
        <s v="2017-09-13-17:00" u="1"/>
        <s v="2017-11-13-17:00" u="1"/>
        <s v="2017-12-13-17:00" u="1"/>
        <s v="2016-10-11-17:00" u="1"/>
        <s v="2016-10-31-16:00" u="1"/>
        <s v="2016-12-11-17:00" u="1"/>
        <s v="2018-01-03-17:00" u="1"/>
        <s v="2018-01-23-16:00" u="1"/>
        <s v="2018-02-23-16:00" u="1"/>
        <s v="2018-03-23-16:00" u="1"/>
        <s v="2018-04-03-17:00" u="1"/>
        <s v="2018-04-23-16:00" u="1"/>
        <s v="2018-05-03-17:00" u="1"/>
        <s v="2018-05-23-16:00" u="1"/>
        <s v="2018-07-23-16:00" u="1"/>
        <s v="2017-10-01-17:00" u="1"/>
        <s v="2017-11-01-17:00" u="1"/>
        <s v="2017-11-21-16:00" u="1"/>
        <s v="2017-12-21-16:00" u="1"/>
        <s v="2018-01-26-09:00" u="1"/>
        <s v="2018-02-26-09:00" u="1"/>
        <s v="2018-03-26-09:00" u="1"/>
        <s v="2018-04-26-09:00" u="1"/>
        <s v="2017-01-08-19:00" u="1"/>
        <s v="2017-02-08-19:00" u="1"/>
        <s v="2017-02-28-18:00" u="1"/>
        <s v="2017-03-08-19:00" u="1"/>
        <s v="2017-03-28-18:00" u="1"/>
        <s v="2017-05-08-19:00" u="1"/>
        <s v="2017-05-28-18:00" u="1"/>
        <s v="2017-06-08-19:00" u="1"/>
        <s v="2017-06-28-18:00" u="1"/>
        <s v="2017-08-08-19:00" u="1"/>
        <s v="2017-08-28-18:00" u="1"/>
        <s v="2017-09-28-18:00" u="1"/>
        <s v="2016-01-06-19:00" u="1"/>
        <s v="2016-01-26-18:00" u="1"/>
        <s v="2016-03-06-19:00" u="1"/>
        <s v="2016-04-06-19:00" u="1"/>
        <s v="2016-04-26-18:00" u="1"/>
        <s v="2016-05-26-18:00" u="1"/>
        <s v="2016-06-06-19:00" u="1"/>
        <s v="2016-06-26-18:00" u="1"/>
        <s v="2016-07-06-19:00" u="1"/>
        <s v="2016-07-26-18:00" u="1"/>
        <s v="2016-09-06-19:00" u="1"/>
        <s v="2016-09-26-18:00" u="1"/>
        <s v="2016-10-06-19:00" u="1"/>
        <s v="2016-10-26-18:00" u="1"/>
        <s v="2016-11-06-19:00" u="1"/>
        <s v="2016-12-06-19:00" u="1"/>
        <s v="2016-12-26-18:00" u="1"/>
        <s v="2018-01-18-18:00" u="1"/>
        <s v="2018-02-18-18:00" u="1"/>
        <s v="2018-03-18-18:00" u="1"/>
        <s v="2018-04-18-18:00" u="1"/>
        <s v="2018-07-18-18:00" u="1"/>
        <s v="2017-01-12-09:00" u="1"/>
        <s v="2017-01-16-18:00" u="1"/>
        <s v="2017-02-16-18:00" u="1"/>
        <s v="2017-03-16-18:00" u="1"/>
        <s v="2017-04-12-09:00" u="1"/>
        <s v="2017-04-16-18:00" u="1"/>
        <s v="2017-05-12-09:00" u="1"/>
        <s v="2017-05-16-18:00" u="1"/>
        <s v="2017-06-12-09:00" u="1"/>
        <s v="2017-07-12-09:00" u="1"/>
        <s v="2017-07-16-18:00" u="1"/>
        <s v="2017-08-16-18:00" u="1"/>
        <s v="2017-09-12-09:00" u="1"/>
        <s v="2017-10-16-18:00" u="1"/>
        <s v="2017-11-16-18:00" u="1"/>
        <s v="2019-09-04-09:00" u="1"/>
        <s v="2016-02-10-09: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7-01-20-08:00" u="1"/>
        <s v="2017-02-20-08:00" u="1"/>
        <s v="2017-03-20-08:00" u="1"/>
        <s v="2017-04-20-08:00" u="1"/>
        <s v="2017-06-20-08:00" u="1"/>
        <s v="2017-07-20-08:00" u="1"/>
        <s v="2017-09-20-08:00" u="1"/>
        <s v="2017-10-20-08:00" u="1"/>
        <s v="2017-11-20-08:00" u="1"/>
        <s v="2017-12-20-08:00" u="1"/>
        <s v="2016-02-02-18:00" u="1"/>
        <s v="2016-02-22-17:00" u="1"/>
        <s v="2016-03-02-18:00" u="1"/>
        <s v="2016-03-22-17:00" u="1"/>
        <s v="2016-05-02-18:00" u="1"/>
        <s v="2016-05-22-17:00" u="1"/>
        <s v="2016-06-02-18:00" u="1"/>
        <s v="2016-06-22-17:00" u="1"/>
        <s v="2016-08-02-18:00" u="1"/>
        <s v="2016-08-22-17:00" u="1"/>
        <s v="2016-09-22-17:00" u="1"/>
        <s v="2016-10-02-18:00" u="1"/>
        <s v="2016-11-02-18:00" u="1"/>
        <s v="2016-11-22-17:00" u="1"/>
        <s v="2016-12-22-17:00" u="1"/>
        <s v="2017-01-12-17:00" u="1"/>
        <s v="2017-02-12-17:00" u="1"/>
        <s v="2017-03-12-17:00" u="1"/>
        <s v="2017-04-12-17:00" u="1"/>
        <s v="2017-06-12-17:00" u="1"/>
        <s v="2017-07-12-17:00" u="1"/>
        <s v="2017-09-12-17:00" u="1"/>
        <s v="2017-10-12-17:00" u="1"/>
        <s v="2017-11-12-17:00" u="1"/>
        <s v="2017-12-12-17:00" u="1"/>
        <s v="2019-09-04-17:00" u="1"/>
        <s v="2018-01-02-17:00" u="1"/>
        <s v="2018-01-22-16:00" u="1"/>
        <s v="2018-02-22-16:00" u="1"/>
        <s v="2018-03-22-16:00" u="1"/>
        <s v="2018-04-02-17:00" u="1"/>
        <s v="2018-05-02-17:00" u="1"/>
        <s v="2018-05-22-16:00" u="1"/>
        <s v="2018-01-30-23:00" u="1"/>
        <s v="2018-04-30-23:00" u="1"/>
        <s v="2016-01-17-19:00" u="1"/>
        <s v="2016-02-17-19:00" u="1"/>
        <s v="2016-03-17-19:00" u="1"/>
        <s v="2016-04-17-19:00" u="1"/>
        <s v="2016-05-17-19:00" u="1"/>
        <s v="2016-07-17-19:00" u="1"/>
        <s v="2016-08-17-19:00" u="1"/>
        <s v="2016-10-17-19:00" u="1"/>
        <s v="2016-11-17-19:00" u="1"/>
        <s v="2018-01-25-09:00" u="1"/>
        <s v="2018-04-25-09:00" u="1"/>
        <s v="2018-05-25-09:00" u="1"/>
        <s v="2017-02-07-19:00" u="1"/>
        <s v="2017-02-27-18:00" u="1"/>
        <s v="2017-03-07-19:00" u="1"/>
        <s v="2017-03-27-18:00" u="1"/>
        <s v="2017-04-27-18:00" u="1"/>
        <s v="2017-05-07-19:00" u="1"/>
        <s v="2017-06-07-19:00" u="1"/>
        <s v="2017-06-27-18:00" u="1"/>
        <s v="2017-07-27-18:00" u="1"/>
        <s v="2017-08-07-19:00" u="1"/>
        <s v="2017-08-27-18:00" u="1"/>
        <s v="2017-09-07-19:00" u="1"/>
        <s v="2017-09-27-18:00" u="1"/>
        <s v="2017-11-07-19:00" u="1"/>
        <s v="2017-11-27-18:00" u="1"/>
        <s v="2017-12-07-19:00" u="1"/>
        <s v="2017-12-27-18:00" u="1"/>
        <s v="2016-01-21-09:00" u="1"/>
        <s v="2016-03-21-09:00" u="1"/>
        <s v="2016-04-21-09:00" u="1"/>
        <s v="2016-06-21-09:00" u="1"/>
        <s v="2016-07-21-09:00" u="1"/>
        <s v="2016-09-21-09:00" u="1"/>
        <s v="2016-10-05-19:00" u="1"/>
        <s v="2016-10-21-09:00" u="1"/>
        <s v="2016-10-25-18:00" u="1"/>
        <s v="2016-11-21-09:00" u="1"/>
        <s v="2016-12-05-19:00" u="1"/>
        <s v="2016-12-21-09:00" u="1"/>
        <s v="2016-12-25-18:00" u="1"/>
        <s v="2018-01-17-18:00" u="1"/>
        <s v="2018-04-17-18:00" u="1"/>
        <s v="2018-05-17-18:00" u="1"/>
        <s v="2018-07-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9-09-03-09:00" u="1"/>
        <s v="2016-01-13-18:00" u="1"/>
        <s v="2016-03-13-18:00" u="1"/>
        <s v="2016-04-13-18:00" u="1"/>
        <s v="2016-06-13-18:00" u="1"/>
        <s v="2016-07-13-18:00" u="1"/>
        <s v="2016-09-13-18:00" u="1"/>
        <s v="2018-02-01-09:00" u="1"/>
        <s v="2018-02-21-08:00" u="1"/>
        <s v="2018-03-01-09:00" u="1"/>
        <s v="2018-03-21-08:00" u="1"/>
        <s v="2018-05-01-09:00" u="1"/>
        <s v="2018-05-21-08:00" u="1"/>
        <s v="2017-01-03-18:00" u="1"/>
        <s v="2017-01-23-17:00" u="1"/>
        <s v="2017-02-23-17:00" u="1"/>
        <s v="2017-03-23-17:00" u="1"/>
        <s v="2017-04-03-18:00" u="1"/>
        <s v="2017-04-23-17:00" u="1"/>
        <s v="2017-05-03-18:00" u="1"/>
        <s v="2017-05-23-17:00" u="1"/>
        <s v="2017-07-03-18:00" u="1"/>
        <s v="2017-07-23-17:00" u="1"/>
        <s v="2017-08-03-18:00" u="1"/>
        <s v="2017-08-23-17:00" u="1"/>
        <s v="2017-09-03-18:00" u="1"/>
        <s v="2016-01-21-17:00" u="1"/>
        <s v="2016-02-01-18:00" u="1"/>
        <s v="2016-02-21-17:00" u="1"/>
        <s v="2016-03-01-18:00" u="1"/>
        <s v="2016-03-21-17:00" u="1"/>
        <s v="2016-04-21-17:00" u="1"/>
        <s v="2016-05-01-18:00" u="1"/>
        <s v="2016-06-01-18:00" u="1"/>
        <s v="2016-06-21-17:00" u="1"/>
        <s v="2016-07-21-17:00" u="1"/>
        <s v="2016-08-01-18:00" u="1"/>
        <s v="2016-08-21-17:00" u="1"/>
        <s v="2016-09-01-18:00" u="1"/>
        <s v="2016-09-21-17:00" u="1"/>
        <s v="2016-11-01-18:00" u="1"/>
        <s v="2016-11-21-17:00" u="1"/>
        <s v="2016-12-01-18:00" u="1"/>
        <s v="2016-12-21-17:00" u="1"/>
        <s v="2018-02-13-17:00" u="1"/>
        <s v="2018-03-13-17:00" u="1"/>
        <s v="2018-05-13-17:00" u="1"/>
        <s v="2017-10-11-17:00" u="1"/>
        <s v="2017-10-31-16:00" u="1"/>
        <s v="2017-12-11-17:00" u="1"/>
        <s v="2019-09-03-17:00" u="1"/>
        <s v="2016-02-16-19:00" u="1"/>
        <s v="2016-03-16-19:00" u="1"/>
        <s v="2016-05-16-19:00" u="1"/>
        <s v="2016-06-16-19:00" u="1"/>
        <s v="2016-08-16-19:00" u="1"/>
        <s v="2016-10-16-19:00" u="1"/>
        <s v="2016-11-16-19:00" u="1"/>
        <s v="2018-01-08-19:00" u="1"/>
        <s v="2018-01-28-18:00" u="1"/>
        <s v="2018-02-08-19:00" u="1"/>
        <s v="2018-02-28-18:00" u="1"/>
        <s v="2018-03-08-19:00" u="1"/>
        <s v="2018-03-28-18:00" u="1"/>
        <s v="2018-04-08-19:00" u="1"/>
        <s v="2018-05-08-19:00" u="1"/>
        <s v="2018-05-28-18:00" u="1"/>
        <s v="2017-01-26-18:00" u="1"/>
        <s v="2017-02-06-19:00" u="1"/>
        <s v="2017-02-26-18:00" u="1"/>
        <s v="2017-03-06-19:00" u="1"/>
        <s v="2017-03-26-18:00" u="1"/>
        <s v="2017-04-06-19:00" u="1"/>
        <s v="2017-04-26-18:00" u="1"/>
        <s v="2017-06-06-19:00" u="1"/>
        <s v="2017-06-26-18:00" u="1"/>
        <s v="2017-07-06-19:00" u="1"/>
        <s v="2017-07-26-18:00" u="1"/>
        <s v="2017-08-06-19:00" u="1"/>
        <s v="2017-09-06-19:00" u="1"/>
        <s v="2017-09-26-18:00" u="1"/>
        <s v="2017-10-26-18:00" u="1"/>
        <s v="2017-11-06-19:00" u="1"/>
        <s v="2017-11-26-18:00" u="1"/>
        <s v="2017-12-06-19:00" u="1"/>
        <s v="2017-12-26-18:00" u="1"/>
        <s v="2016-01-20-09:00" u="1"/>
        <s v="2016-04-20-09:00" u="1"/>
        <s v="2016-05-20-09:00" u="1"/>
        <s v="2016-06-20-09:00" u="1"/>
        <s v="2016-07-20-09:00" u="1"/>
        <s v="2016-09-20-09:00" u="1"/>
        <s v="2016-10-20-09:00" u="1"/>
        <s v="2016-12-20-09:00" u="1"/>
        <s v="2018-01-12-09:00" u="1"/>
        <s v="2018-01-16-18:00" u="1"/>
        <s v="2018-02-12-09:00" u="1"/>
        <s v="2018-03-12-09:00" u="1"/>
        <s v="2018-04-12-09:00" u="1"/>
        <s v="2018-04-16-18:00" u="1"/>
        <s v="2018-05-16-18:00" u="1"/>
        <s v="2015-12-22-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9-09-02-09:00" u="1"/>
        <s v="2016-01-12-18:00" u="1"/>
        <s v="2016-04-12-18:00" u="1"/>
        <s v="2016-05-12-18:00" u="1"/>
        <s v="2016-06-12-18:00" u="1"/>
        <s v="2016-07-12-18:00" u="1"/>
        <s v="2016-09-12-18:00" u="1"/>
        <s v="2016-10-12-18:00" u="1"/>
        <s v="2016-12-12-18:00" u="1"/>
        <s v="2018-02-20-08:00" u="1"/>
        <s v="2018-03-20-08:00" u="1"/>
        <s v="2018-04-20-08:00" u="1"/>
        <s v="2018-07-20-08:00" u="1"/>
        <s v="2017-01-02-18:00" u="1"/>
        <s v="2017-01-22-17:00" u="1"/>
        <s v="2017-02-02-18:00" u="1"/>
        <s v="2017-02-22-17:00" u="1"/>
        <s v="2017-03-02-18:00" u="1"/>
        <s v="2017-03-22-17:00" u="1"/>
        <s v="2017-04-02-18:00" u="1"/>
        <s v="2017-05-02-18:00" u="1"/>
        <s v="2017-05-22-17:00" u="1"/>
        <s v="2017-06-22-17:00" u="1"/>
        <s v="2017-07-02-18:00" u="1"/>
        <s v="2017-08-02-18:00" u="1"/>
        <s v="2017-08-22-17:00" u="1"/>
        <s v="2017-10-02-18:00" u="1"/>
        <s v="2017-10-22-17:00" u="1"/>
        <s v="2017-11-02-18:00" u="1"/>
        <s v="2017-11-22-17:00" u="1"/>
        <s v="2019-08-30-07:00" u="1"/>
        <s v="2018-02-12-17:00" u="1"/>
        <s v="2018-03-12-17:00" u="1"/>
        <s v="2018-04-12-17:00" u="1"/>
        <s v="2019-09-02-17:00" u="1"/>
        <s v="2019-08-30-15:00" u="1"/>
        <s v="2016-01-27-19:00" u="1"/>
        <s v="2016-03-27-19:00" u="1"/>
        <s v="2016-04-27-19:00" u="1"/>
        <s v="2016-06-27-19:00" u="1"/>
        <s v="2016-07-27-19:00" u="1"/>
        <s v="2016-09-27-19:00" u="1"/>
        <s v="2017-01-17-19:00" u="1"/>
        <s v="2017-04-17-19:00" u="1"/>
        <s v="2017-05-17-19:00" u="1"/>
        <s v="2017-07-17-19:00" u="1"/>
        <s v="2017-08-17-19:00" u="1"/>
        <s v="2017-09-17-19:00" u="1"/>
        <s v="2017-10-17-19:00" u="1"/>
        <s v="2017-12-17-19:00" u="1"/>
        <s v="2019-08-29-18:00" u="1"/>
        <s v="2016-03-31-09:00" u="1"/>
        <s v="2016-05-31-09:00" u="1"/>
        <s v="2016-08-31-09:00" u="1"/>
        <s v="2016-10-31-09:00" u="1"/>
        <s v="2016-11-15-19:00" u="1"/>
        <s v="2016-12-15-19:00" u="1"/>
        <s v="2018-01-07-19:00" u="1"/>
        <s v="2018-02-07-19:00" u="1"/>
        <s v="2018-02-27-18:00" u="1"/>
        <s v="2018-03-07-19:00" u="1"/>
        <s v="2018-03-27-18:00" u="1"/>
        <s v="2018-05-07-19:00" u="1"/>
        <s v="2018-05-27-18:00" u="1"/>
        <s v="2017-02-21-09:00" u="1"/>
        <s v="2017-03-21-09:00" u="1"/>
        <s v="2017-04-21-09:00" u="1"/>
        <s v="2017-06-21-09:00" u="1"/>
        <s v="2017-07-21-09:00" u="1"/>
        <s v="2017-08-21-09:00" u="1"/>
        <s v="2017-09-21-09:00" u="1"/>
        <s v="2017-10-05-19:00" u="1"/>
        <s v="2017-10-25-18:00" u="1"/>
        <s v="2017-11-05-19:00" u="1"/>
        <s v="2017-11-21-09:00" u="1"/>
        <s v="2017-12-05-19:00" u="1"/>
        <s v="2017-12-21-09:00" u="1"/>
        <s v="2017-12-25-18:00" u="1"/>
        <s v="2018-01-11-09:00" u="1"/>
        <s v="2018-01-31-08:00" u="1"/>
        <s v="2018-04-11-09:00" u="1"/>
        <s v="2018-05-11-09:00" u="1"/>
        <s v="2015-12-21-18:00" u="1"/>
        <s v="2017-02-13-18:00" u="1"/>
        <s v="2017-03-13-18:00" u="1"/>
        <s v="2017-04-13-18:00" u="1"/>
        <s v="2017-06-13-18:00" u="1"/>
        <s v="2017-07-13-18:00" u="1"/>
        <s v="2017-08-13-18:00" u="1"/>
        <s v="2017-09-13-18:00" u="1"/>
        <s v="2016-01-11-18:00" u="1"/>
        <s v="2016-01-31-17:00" u="1"/>
        <s v="2016-02-11-18:00" u="1"/>
        <s v="2016-03-31-17:00" u="1"/>
        <s v="2016-04-11-18:00" u="1"/>
        <s v="2016-05-11-18:00" u="1"/>
        <s v="2016-05-31-17:00" u="1"/>
        <s v="2016-07-11-18:00" u="1"/>
        <s v="2016-07-31-17:00" u="1"/>
        <s v="2016-08-11-18:00" u="1"/>
        <s v="2016-08-31-17:00" u="1"/>
        <s v="2016-09-11-18:00" u="1"/>
        <s v="2016-10-11-18:00" u="1"/>
        <s v="2016-10-31-17:00" u="1"/>
        <s v="2016-12-11-18:00" u="1"/>
        <s v="2018-01-03-18:00" u="1"/>
        <s v="2018-01-23-17:00" u="1"/>
        <s v="2018-04-03-18:00" u="1"/>
        <s v="2018-04-23-17:00" u="1"/>
        <s v="2018-05-03-18:00" u="1"/>
        <s v="2018-05-23-17:00" u="1"/>
        <s v="2018-07-23-17:00" u="1"/>
        <s v="2017-02-01-18:00" u="1"/>
        <s v="2017-02-21-17:00" u="1"/>
        <s v="2017-03-01-18:00" u="1"/>
        <s v="2017-03-21-17:00" u="1"/>
        <s v="2017-05-01-18:00" u="1"/>
        <s v="2017-05-21-17:00" u="1"/>
        <s v="2017-06-01-18:00" u="1"/>
        <s v="2017-06-21-17:00" u="1"/>
        <s v="2017-08-01-18:00" u="1"/>
        <s v="2017-08-21-17:00" u="1"/>
        <s v="2017-09-21-17:00" u="1"/>
        <s v="2017-10-01-18:00" u="1"/>
        <s v="2017-11-01-18:00" u="1"/>
        <s v="2017-11-21-17:00" u="1"/>
        <s v="2017-12-21-17:00" u="1"/>
        <s v="2016-01-26-19:00" u="1"/>
        <s v="2016-04-26-19:00" u="1"/>
        <s v="2016-05-26-19:00" u="1"/>
        <s v="2016-06-26-19:00" u="1"/>
        <s v="2016-07-26-19:00" u="1"/>
        <s v="2016-09-26-19:00" u="1"/>
        <s v="2016-10-26-19:00" u="1"/>
        <s v="2016-12-26-19:00" u="1"/>
        <s v="2017-01-16-19:00" u="1"/>
        <s v="2017-02-16-19:00" u="1"/>
        <s v="2017-03-16-19:00" u="1"/>
        <s v="2017-04-16-19:00" u="1"/>
        <s v="2017-05-16-19:00" u="1"/>
        <s v="2017-07-16-19:00" u="1"/>
        <s v="2017-08-16-19:00" u="1"/>
        <s v="2017-10-16-19:00" u="1"/>
        <s v="2017-11-16-19:00" u="1"/>
        <s v="2016-03-30-09:00" u="1"/>
        <s v="2016-05-30-09:00" u="1"/>
        <s v="2016-06-30-09:00" u="1"/>
        <s v="2016-08-30-09:00" u="1"/>
        <s v="2016-09-30-09:00" u="1"/>
        <s v="2016-11-30-09:00" u="1"/>
        <s v="2016-12-30-09:00" u="1"/>
        <s v="2018-02-06-19:00" u="1"/>
        <s v="2018-02-26-18:00" u="1"/>
        <s v="2018-03-06-19:00" u="1"/>
        <s v="2018-03-26-18:00" u="1"/>
        <s v="2018-04-26-18:00" u="1"/>
        <s v="2018-05-06-19:00" u="1"/>
        <s v="2017-01-20-09:00" u="1"/>
        <s v="2017-02-20-09:00" u="1"/>
        <s v="2017-03-20-09:00" u="1"/>
        <s v="2017-04-20-09:00" u="1"/>
        <s v="2017-06-20-09:00" u="1"/>
        <s v="2017-07-20-09:00" u="1"/>
        <s v="2017-09-20-09:00" u="1"/>
        <s v="2017-10-20-09:00" u="1"/>
        <s v="2017-11-20-09:00" u="1"/>
        <s v="2017-12-20-09:00" u="1"/>
        <s v="2016-02-02-19:00" u="1"/>
        <s v="2016-02-22-18:00" u="1"/>
        <s v="2016-03-02-19:00" u="1"/>
        <s v="2016-03-22-18:00" u="1"/>
        <s v="2016-05-02-19:00" u="1"/>
        <s v="2016-05-22-18:00" u="1"/>
        <s v="2016-06-02-19:00" u="1"/>
        <s v="2016-06-22-18:00" u="1"/>
        <s v="2016-08-02-19:00" u="1"/>
        <s v="2016-08-22-18:00" u="1"/>
        <s v="2016-09-22-18:00" u="1"/>
        <s v="2016-10-02-19:00" u="1"/>
        <s v="2016-11-02-19:00" u="1"/>
        <s v="2016-11-22-18:00" u="1"/>
        <s v="2016-12-22-18:00" u="1"/>
        <s v="2018-01-10-09:00" u="1"/>
        <s v="2018-01-30-08:00" u="1"/>
        <s v="2018-03-30-08:00" u="1"/>
        <s v="2018-04-10-09:00" u="1"/>
        <s v="2018-04-30-08:00" u="1"/>
        <s v="2018-05-10-09:00" u="1"/>
        <s v="2017-01-12-18:00" u="1"/>
        <s v="2017-02-12-18:00" u="1"/>
        <s v="2017-03-12-18:00" u="1"/>
        <s v="2017-04-12-18:00" u="1"/>
        <s v="2017-06-12-18:00" u="1"/>
        <s v="2017-07-12-18:00" u="1"/>
        <s v="2017-09-12-18:00" u="1"/>
        <s v="2017-10-12-18:00" u="1"/>
        <s v="2017-11-12-18:00" u="1"/>
        <s v="2017-12-12-18:00" u="1"/>
        <s v="2019-09-04-18:00" u="1"/>
        <s v="2016-10-10-18:00" u="1"/>
        <s v="2016-10-30-17:00" u="1"/>
        <s v="2016-11-10-18:00" u="1"/>
        <s v="2016-11-30-17:00" u="1"/>
        <s v="2018-01-02-18:00" u="1"/>
        <s v="2018-01-22-17:00" u="1"/>
        <s v="2018-02-22-17:00" u="1"/>
        <s v="2018-03-22-17:00" u="1"/>
        <s v="2018-04-02-18:00" u="1"/>
        <s v="2018-04-22-17:00" u="1"/>
        <s v="2018-05-02-18:00" u="1"/>
        <s v="2018-05-22-17:00" u="1"/>
        <s v="2018-07-22-17:00" u="1"/>
        <s v="2017-02-27-19:00" u="1"/>
        <s v="2017-03-27-19:00" u="1"/>
        <s v="2017-04-27-19:00" u="1"/>
        <s v="2017-06-27-19:00" u="1"/>
        <s v="2017-07-27-19:00" u="1"/>
        <s v="2017-08-27-19:00" u="1"/>
        <s v="2017-09-27-19:00" u="1"/>
        <s v="2016-01-25-19:00" u="1"/>
        <s v="2016-02-25-19:00" u="1"/>
        <s v="2016-04-25-19:00" u="1"/>
        <s v="2016-05-25-19:00" u="1"/>
        <s v="2016-07-25-19:00" u="1"/>
        <s v="2016-08-25-19:00" u="1"/>
        <s v="2016-09-25-19:00" u="1"/>
        <s v="2016-10-25-19:00" u="1"/>
        <s v="2016-12-25-19:00" u="1"/>
        <s v="2018-01-17-19:00" u="1"/>
        <s v="2018-04-17-19:00" u="1"/>
        <s v="2018-05-17-19:00" u="1"/>
        <s v="2018-07-17-19:00" u="1"/>
        <s v="2017-01-31-09:00" u="1"/>
        <s v="2017-03-31-09:00" u="1"/>
        <s v="2017-05-31-09:00" u="1"/>
        <s v="2017-07-31-09:00" u="1"/>
        <s v="2017-08-31-09:00" u="1"/>
        <s v="2017-10-15-19:00" u="1"/>
        <s v="2017-10-31-09:00" u="1"/>
        <s v="2017-11-15-19:00" u="1"/>
        <s v="2018-02-21-09:00" u="1"/>
        <s v="2018-03-21-09:00" u="1"/>
        <s v="2018-05-21-09:00" u="1"/>
        <s v="2016-01-21-18:00" u="1"/>
        <s v="2016-02-01-19:00" u="1"/>
        <s v="2016-02-21-18:00" u="1"/>
        <s v="2016-03-01-19:00" u="1"/>
        <s v="2016-03-21-18:00" u="1"/>
        <s v="2016-04-21-18:00" u="1"/>
        <s v="2016-05-01-19:00" u="1"/>
        <s v="2016-06-01-19:00" u="1"/>
        <s v="2016-06-21-18:00" u="1"/>
        <s v="2016-07-21-18:00" u="1"/>
        <s v="2016-08-01-19:00" u="1"/>
        <s v="2016-08-21-18:00" u="1"/>
        <s v="2016-09-01-19:00" u="1"/>
        <s v="2016-09-21-18:00" u="1"/>
        <s v="2016-11-01-19:00" u="1"/>
        <s v="2016-11-21-18:00" u="1"/>
        <s v="2016-12-01-19:00" u="1"/>
        <s v="2016-12-21-18:00" u="1"/>
        <s v="2018-02-13-18:00" u="1"/>
        <s v="2018-03-13-18:00" u="1"/>
        <s v="2018-05-13-18:00" u="1"/>
        <s v="2017-01-11-18:00" u="1"/>
        <s v="2017-01-31-17:00" u="1"/>
        <s v="2017-04-11-18:00" u="1"/>
        <s v="2017-05-11-18:00" u="1"/>
        <s v="2017-05-31-17:00" u="1"/>
        <s v="2017-06-11-18:00" u="1"/>
        <s v="2017-07-11-18:00" u="1"/>
        <s v="2017-07-31-17:00" u="1"/>
        <s v="2017-08-31-17:00" u="1"/>
        <s v="2017-09-11-18:00" u="1"/>
        <s v="2017-10-11-18:00" u="1"/>
        <s v="2017-10-31-17:00" u="1"/>
        <s v="2017-12-11-18:00" u="1"/>
        <s v="2019-09-03-18:00" u="1"/>
        <s v="2018-01-01-18:00" u="1"/>
        <s v="2018-01-21-17:00" u="1"/>
        <s v="2018-02-01-18:00" u="1"/>
        <s v="2018-02-21-17:00" u="1"/>
        <s v="2018-03-01-18:00" u="1"/>
        <s v="2018-03-21-17:00" u="1"/>
        <s v="2018-04-01-18:00" u="1"/>
        <s v="2018-05-01-18:00" u="1"/>
        <s v="2018-05-21-17:00" u="1"/>
        <s v="2017-01-26-19:00" u="1"/>
        <s v="2017-02-26-19:00" u="1"/>
        <s v="2017-03-26-19:00" u="1"/>
        <s v="2017-04-26-19:00" u="1"/>
        <s v="2017-06-26-19:00" u="1"/>
        <s v="2017-07-26-19:00" u="1"/>
        <s v="2017-09-26-19:00" u="1"/>
        <s v="2017-10-26-19:00" u="1"/>
        <s v="2017-11-26-19:00" u="1"/>
        <s v="2017-12-26-19:00" u="1"/>
        <s v="2018-01-16-19:00" u="1"/>
        <s v="2018-04-16-19:00" u="1"/>
        <s v="2018-05-16-19:00" u="1"/>
        <s v="2017-01-30-09:00" u="1"/>
        <s v="2017-03-30-09:00" u="1"/>
        <s v="2017-05-30-09:00" u="1"/>
        <s v="2017-06-30-09:00" u="1"/>
        <s v="2017-08-30-09:00" u="1"/>
        <s v="2017-10-30-09:00" u="1"/>
        <s v="2017-11-30-09:00" u="1"/>
        <s v="2016-01-12-19:00" u="1"/>
        <s v="2016-04-12-19:00" u="1"/>
        <s v="2016-05-12-19:00" u="1"/>
        <s v="2016-06-12-19:00" u="1"/>
        <s v="2016-07-12-19:00" u="1"/>
        <s v="2016-09-12-19:00" u="1"/>
        <s v="2018-02-20-09:00" u="1"/>
        <s v="2018-03-20-09:00" u="1"/>
        <s v="2018-04-20-09:00" u="1"/>
        <s v="2018-07-20-09:00" u="1"/>
        <s v="2017-01-02-19:00" u="1"/>
        <s v="2017-01-22-18:00" u="1"/>
        <s v="2017-02-02-19:00" u="1"/>
        <s v="2017-02-22-18:00" u="1"/>
        <s v="2017-03-02-19:00" u="1"/>
        <s v="2017-03-22-18:00" u="1"/>
        <s v="2017-04-02-19:00" u="1"/>
        <s v="2017-05-02-19:00" u="1"/>
        <s v="2017-05-22-18:00" u="1"/>
        <s v="2017-06-22-18:00" u="1"/>
        <s v="2017-07-02-19:00" u="1"/>
        <s v="2017-08-02-19:00" u="1"/>
        <s v="2017-08-22-18:00" u="1"/>
        <s v="2017-10-02-19:00" u="1"/>
        <s v="2017-10-22-18:00" u="1"/>
        <s v="2017-11-02-19:00" u="1"/>
        <s v="2017-11-22-18:00" u="1"/>
        <s v="2019-08-30-08:00" u="1"/>
        <s v="2016-01-20-18:00" u="1"/>
        <s v="2016-03-20-18:00" u="1"/>
        <s v="2016-04-20-18:00" u="1"/>
        <s v="2016-06-20-18:00" u="1"/>
        <s v="2016-07-20-18:00" u="1"/>
        <s v="2016-09-20-18:00" u="1"/>
        <s v="2016-10-20-18:00" u="1"/>
        <s v="2016-11-20-18:00" u="1"/>
        <s v="2016-12-20-18:00" u="1"/>
        <s v="2018-02-12-18:00" u="1"/>
        <s v="2018-03-12-18:00" u="1"/>
        <s v="2018-04-12-18:00" u="1"/>
        <s v="2017-10-10-18:00" u="1"/>
        <s v="2017-10-30-17:00" u="1"/>
        <s v="2017-11-30-17:00" u="1"/>
        <s v="2017-12-10-18:00" u="1"/>
        <s v="2019-09-02-18:00" u="1"/>
        <s v="2019-08-30-16:00" u="1"/>
        <s v="2019-08-29-19:00" u="1"/>
        <s v="2018-02-27-19:00" u="1"/>
        <s v="2018-03-27-19:00" u="1"/>
        <s v="2018-05-27-19:00" u="1"/>
        <s v="2017-01-25-19:00" u="1"/>
        <s v="2017-04-25-19:00" u="1"/>
        <s v="2017-05-25-19:00" u="1"/>
        <s v="2017-06-25-19:00" u="1"/>
        <s v="2017-07-25-19:00" u="1"/>
        <s v="2017-09-25-19:00" u="1"/>
        <s v="2017-10-25-19:00" u="1"/>
        <s v="2017-12-25-19:00" u="1"/>
        <s v="2018-01-31-09:00" u="1"/>
        <s v="2015-12-21-19:00" u="1"/>
        <s v="2016-01-11-19:00" u="1"/>
        <s v="2016-01-31-18:00" u="1"/>
        <s v="2016-02-11-19:00" u="1"/>
        <s v="2016-03-31-18:00" u="1"/>
        <s v="2016-04-11-19:00" u="1"/>
        <s v="2016-05-11-19:00" u="1"/>
        <s v="2016-05-31-18:00" u="1"/>
        <s v="2016-07-11-19:00" u="1"/>
        <s v="2016-07-31-18:00" u="1"/>
        <s v="2016-08-11-19:00" u="1"/>
        <s v="2016-08-31-18:00" u="1"/>
        <s v="2016-09-11-19:00" u="1"/>
        <s v="2016-10-11-19:00" u="1"/>
        <s v="2016-10-31-18:00" u="1"/>
        <s v="2016-12-11-19:00" u="1"/>
        <s v="2017-02-01-19:00" u="1"/>
        <s v="2017-02-21-18:00" u="1"/>
        <s v="2017-03-01-19:00" u="1"/>
        <s v="2017-03-21-18:00" u="1"/>
        <s v="2017-05-01-19:00" u="1"/>
        <s v="2017-05-21-18:00" u="1"/>
        <s v="2017-06-01-19:00" u="1"/>
        <s v="2017-06-21-18:00" u="1"/>
        <s v="2017-08-01-19:00" u="1"/>
        <s v="2017-08-21-18:00" u="1"/>
        <s v="2017-09-21-18:00" u="1"/>
        <s v="2017-10-01-19:00" u="1"/>
        <s v="2017-11-01-19:00" u="1"/>
        <s v="2017-11-21-18:00" u="1"/>
        <s v="2017-12-21-18:00" u="1"/>
        <s v="2018-01-11-18:00" u="1"/>
        <s v="2018-01-31-17:00" u="1"/>
        <s v="2018-02-11-18:00" u="1"/>
        <s v="2018-03-11-18:00" u="1"/>
        <s v="2018-04-11-18:00" u="1"/>
        <s v="2018-02-26-19:00" u="1"/>
        <s v="2018-03-26-19:00" u="1"/>
        <s v="2018-04-26-19:00" u="1"/>
        <s v="2018-01-30-09:00" u="1"/>
        <s v="2018-03-30-09:00" u="1"/>
        <s v="2018-04-30-09:00" u="1"/>
        <s v="2017-01-12-19:00" u="1"/>
        <s v="2017-02-12-19:00" u="1"/>
        <s v="2017-03-12-19:00" u="1"/>
        <s v="2017-04-12-19:00" u="1"/>
        <s v="2017-06-12-19:00" u="1"/>
        <s v="2017-07-12-19:00" u="1"/>
        <s v="2017-09-12-19:00" u="1"/>
        <s v="2019-09-04-19:00" u="1"/>
        <s v="2016-01-10-19:00" u="1"/>
        <s v="2016-02-10-19:00" u="1"/>
        <s v="2016-03-10-19:00" u="1"/>
        <s v="2016-03-30-18:00" u="1"/>
        <s v="2016-04-10-19:00" u="1"/>
        <s v="2016-05-10-19:00" u="1"/>
        <s v="2016-05-30-18:00" u="1"/>
        <s v="2016-06-30-18:00" u="1"/>
        <s v="2016-07-10-19:00" u="1"/>
        <s v="2016-08-10-19:00" u="1"/>
        <s v="2016-08-30-18:00" u="1"/>
        <s v="2016-10-10-19:00" u="1"/>
        <s v="2016-10-30-18:00" u="1"/>
        <s v="2016-11-10-19:00" u="1"/>
        <s v="2016-11-30-18:00" u="1"/>
        <s v="2018-01-02-19:00" u="1"/>
        <s v="2018-01-22-18:00" u="1"/>
        <s v="2018-02-22-18:00" u="1"/>
        <s v="2018-03-22-18:00" u="1"/>
        <s v="2018-04-02-19:00" u="1"/>
        <s v="2018-04-22-18:00" u="1"/>
        <s v="2018-05-02-19:00" u="1"/>
        <s v="2018-05-22-18:00" u="1"/>
        <s v="2018-07-22-18:00" u="1"/>
        <s v="2017-02-20-18:00" u="1"/>
        <s v="2017-03-20-18:00" u="1"/>
        <s v="2017-04-20-18:00" u="1"/>
        <s v="2017-06-20-18:00" u="1"/>
        <s v="2017-07-20-18:00" u="1"/>
        <s v="2017-08-20-18:00" u="1"/>
        <s v="2017-09-20-18: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tring="0" containsBlank="1" containsNumber="1" minValue="-0.212267845869064" maxValue="0.28982865810394298"/>
    </cacheField>
    <cacheField name="PREDICTEDTRS" numFmtId="0" sqlType="6">
      <sharedItems containsString="0" containsBlank="1" containsNumber="1" minValue="-0.19499936699867201" maxValue="0.22587776184082001"/>
    </cacheField>
    <cacheField name="ERRORTRS" numFmtId="0" sqlType="6">
      <sharedItems containsString="0" containsBlank="1" containsNumber="1" minValue="2.1308660507E-6" maxValue="6.24315477907657E-2"/>
    </cacheField>
    <cacheField name="ACTUALTR" numFmtId="0" sqlType="6">
      <sharedItems containsString="0" containsBlank="1" containsNumber="1" minValue="-3.06999683380127E-3" maxValue="3.0400750692933798E-3"/>
    </cacheField>
    <cacheField name="PREDICTEDTR" numFmtId="0" sqlType="6">
      <sharedItems containsString="0" containsBlank="1" containsNumber="1" minValue="-2.1431951317936199E-3" maxValue="1.7984174191951799E-3"/>
    </cacheField>
    <cacheField name="ERRORTR" numFmtId="0" sqlType="6">
      <sharedItems containsString="0" containsBlank="1" containsNumber="1" minValue="4.6973582357999997E-8" maxValue="1.229589237482287E-3"/>
    </cacheField>
    <cacheField name="ACTUALBASE" numFmtId="0" sqlType="6">
      <sharedItems containsString="0" containsBlank="1" containsNumber="1" minValue="1.16196000576019" maxValue="1.1742899417877199"/>
    </cacheField>
    <cacheField name="PREDICTEDBASE" numFmtId="0" sqlType="6">
      <sharedItems containsString="0" containsBlank="1" containsNumber="1" minValue="1.16187763214111" maxValue="1.1723282337188701"/>
    </cacheField>
    <cacheField name="ERRORBASE" numFmtId="0" sqlType="6">
      <sharedItems containsString="0" containsBlank="1" containsNumber="1" minValue="0" maxValue="1.2296438217100001E-3"/>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5.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4" firstHeaderRow="0" firstDataRow="1" firstDataCol="1"/>
  <pivotFields count="7">
    <pivotField showAll="0" defaultSubtotal="0">
      <items count="43">
        <item h="1" x="3"/>
        <item h="1" m="1" x="16"/>
        <item h="1" x="5"/>
        <item h="1" x="2"/>
        <item h="1" x="1"/>
        <item h="1" m="1" x="18"/>
        <item h="1" m="1" x="23"/>
        <item h="1" m="1" x="30"/>
        <item h="1" x="6"/>
        <item h="1" x="0"/>
        <item h="1" m="1" x="38"/>
        <item h="1" x="7"/>
        <item h="1" x="8"/>
        <item x="4"/>
        <item h="1" m="1" x="25"/>
        <item h="1" m="1" x="28"/>
        <item h="1" m="1" x="41"/>
        <item h="1" m="1" x="42"/>
        <item h="1" m="1" x="12"/>
        <item h="1" m="1" x="19"/>
        <item h="1" m="1" x="36"/>
        <item h="1" m="1" x="21"/>
        <item h="1" m="1" x="39"/>
        <item h="1" m="1" x="14"/>
        <item h="1" m="1" x="27"/>
        <item h="1" m="1" x="35"/>
        <item h="1" m="1" x="29"/>
        <item h="1" m="1" x="20"/>
        <item h="1" m="1" x="11"/>
        <item h="1" m="1" x="37"/>
        <item h="1" m="1" x="31"/>
        <item h="1" m="1" x="22"/>
        <item h="1" m="1" x="13"/>
        <item h="1" m="1" x="40"/>
        <item h="1" m="1" x="32"/>
        <item h="1" m="1" x="24"/>
        <item h="1" m="1" x="15"/>
        <item h="1" m="1" x="9"/>
        <item h="1" m="1" x="33"/>
        <item h="1" m="1" x="26"/>
        <item h="1" m="1" x="17"/>
        <item h="1" m="1" x="10"/>
        <item h="1" m="1" x="34"/>
      </items>
    </pivotField>
    <pivotField showAll="0">
      <items count="590">
        <item m="1" x="326"/>
        <item m="1" x="214"/>
        <item m="1" x="395"/>
        <item m="1" x="90"/>
        <item m="1" x="215"/>
        <item m="1" x="575"/>
        <item m="1" x="521"/>
        <item m="1" x="514"/>
        <item m="1" x="171"/>
        <item m="1" x="159"/>
        <item m="1" x="200"/>
        <item m="1" x="305"/>
        <item m="1" x="344"/>
        <item m="1" x="433"/>
        <item m="1" x="192"/>
        <item m="1" x="425"/>
        <item m="1" x="242"/>
        <item m="1" x="397"/>
        <item m="1" x="387"/>
        <item m="1" x="477"/>
        <item m="1" x="166"/>
        <item m="1" x="88"/>
        <item m="1" x="134"/>
        <item m="1" x="412"/>
        <item m="1" x="534"/>
        <item m="1" x="62"/>
        <item m="1" x="206"/>
        <item m="1" x="311"/>
        <item x="0"/>
        <item m="1" x="107"/>
        <item m="1" x="421"/>
        <item m="1" x="131"/>
        <item m="1" x="175"/>
        <item m="1" x="194"/>
        <item m="1" x="216"/>
        <item m="1" x="401"/>
        <item m="1" x="475"/>
        <item m="1" x="507"/>
        <item m="1" x="57"/>
        <item m="1" x="260"/>
        <item m="1" x="391"/>
        <item m="1" x="515"/>
        <item m="1" x="70"/>
        <item m="1" x="234"/>
        <item m="1" x="298"/>
        <item m="1" x="202"/>
        <item m="1" x="224"/>
        <item m="1" x="275"/>
        <item m="1" x="376"/>
        <item m="1" x="452"/>
        <item m="1" x="573"/>
        <item m="1" x="398"/>
        <item m="1" x="461"/>
        <item x="1"/>
        <item m="1" x="52"/>
        <item m="1" x="114"/>
        <item m="1" x="137"/>
        <item m="1" x="272"/>
        <item m="1" x="416"/>
        <item m="1" x="465"/>
        <item m="1" x="531"/>
        <item m="1" x="583"/>
        <item m="1" x="51"/>
        <item m="1" x="75"/>
        <item m="1" x="127"/>
        <item m="1" x="334"/>
        <item m="1" x="380"/>
        <item m="1" x="502"/>
        <item m="1" x="73"/>
        <item m="1" x="95"/>
        <item m="1" x="146"/>
        <item m="1" x="168"/>
        <item m="1" x="229"/>
        <item m="1" x="243"/>
        <item m="1" x="354"/>
        <item m="1" x="360"/>
        <item m="1" x="423"/>
        <item m="1" x="460"/>
        <item m="1" x="529"/>
        <item m="1" x="94"/>
        <item m="1" x="562"/>
        <item m="1" x="188"/>
        <item m="1" x="462"/>
        <item m="1" x="471"/>
        <item m="1" x="501"/>
        <item m="1" x="518"/>
        <item m="1" x="83"/>
        <item m="1" x="221"/>
        <item m="1" x="373"/>
        <item x="2"/>
        <item m="1" x="408"/>
        <item m="1" x="431"/>
        <item m="1" x="457"/>
        <item m="1" x="489"/>
        <item x="3"/>
        <item m="1" x="536"/>
        <item m="1" x="179"/>
        <item m="1" x="220"/>
        <item m="1" x="264"/>
        <item m="1" x="283"/>
        <item m="1" x="312"/>
        <item m="1" x="437"/>
        <item m="1" x="528"/>
        <item m="1" x="565"/>
        <item m="1" x="93"/>
        <item m="1" x="126"/>
        <item m="1" x="145"/>
        <item m="1" x="269"/>
        <item m="1" x="291"/>
        <item m="1" x="340"/>
        <item m="1" x="372"/>
        <item m="1" x="449"/>
        <item m="1" x="571"/>
        <item m="1" x="588"/>
        <item m="1" x="49"/>
        <item m="1" x="110"/>
        <item m="1" x="144"/>
        <item m="1" x="155"/>
        <item m="1" x="177"/>
        <item m="1" x="199"/>
        <item m="1" x="257"/>
        <item m="1" x="290"/>
        <item m="1" x="324"/>
        <item x="4"/>
        <item m="1" x="365"/>
        <item m="1" x="413"/>
        <item m="1" x="476"/>
        <item m="1" x="382"/>
        <item m="1" x="65"/>
        <item m="1" x="82"/>
        <item m="1" x="89"/>
        <item m="1" x="186"/>
        <item m="1" x="227"/>
        <item x="5"/>
        <item m="1" x="301"/>
        <item x="6"/>
        <item m="1" x="386"/>
        <item m="1" x="125"/>
        <item m="1" x="422"/>
        <item m="1" x="430"/>
        <item m="1" x="154"/>
        <item m="1" x="240"/>
        <item m="1" x="527"/>
        <item m="1" x="578"/>
        <item m="1" x="64"/>
        <item m="1" x="124"/>
        <item m="1" x="196"/>
        <item m="1" x="207"/>
        <item m="1" x="63"/>
        <item m="1" x="371"/>
        <item m="1" x="72"/>
        <item m="1" x="153"/>
        <item m="1" x="447"/>
        <item m="1" x="249"/>
        <item m="1" x="287"/>
        <item m="1" x="300"/>
        <item m="1" x="577"/>
        <item m="1" x="586"/>
        <item m="1" x="81"/>
        <item m="1" x="87"/>
        <item m="1" x="108"/>
        <item m="1" x="132"/>
        <item m="1" x="53"/>
        <item m="1" x="142"/>
        <item m="1" x="468"/>
        <item m="1" x="225"/>
        <item m="1" x="486"/>
        <item m="1" x="267"/>
        <item m="1" x="552"/>
        <item m="1" x="309"/>
        <item m="1" x="559"/>
        <item m="1" x="406"/>
        <item m="1" x="141"/>
        <item m="1" x="163"/>
        <item m="1" x="445"/>
        <item m="1" x="217"/>
        <item m="1" x="255"/>
        <item m="1" x="526"/>
        <item m="1" x="308"/>
        <item m="1" x="91"/>
        <item m="1" x="330"/>
        <item m="1" x="576"/>
        <item m="1" x="349"/>
        <item m="1" x="60"/>
        <item m="1" x="370"/>
        <item m="1" x="120"/>
        <item m="1" x="496"/>
        <item m="1" x="278"/>
        <item m="1" x="329"/>
        <item m="1" x="363"/>
        <item m="1" x="369"/>
        <item m="1" x="400"/>
        <item m="1" x="105"/>
        <item x="7"/>
        <item m="1" x="77"/>
        <item m="1" x="162"/>
        <item m="1" x="184"/>
        <item x="8"/>
        <item m="1" x="204"/>
        <item m="1" x="474"/>
        <item m="1" x="481"/>
        <item m="1" x="248"/>
        <item m="1" x="261"/>
        <item m="1" x="266"/>
        <item m="1" x="285"/>
        <item m="1" x="545"/>
        <item m="1" x="549"/>
        <item m="1" x="347"/>
        <item m="1" x="71"/>
        <item m="1" x="384"/>
        <item m="1" x="392"/>
        <item m="1" x="98"/>
        <item m="1" x="118"/>
        <item m="1" x="161"/>
        <item m="1" x="235"/>
        <item m="1" x="533"/>
        <item m="1" x="299"/>
        <item m="1" x="346"/>
        <item x="9"/>
        <item m="1" x="56"/>
        <item m="1" x="368"/>
        <item m="1" x="399"/>
        <item m="1" x="173"/>
        <item m="1" x="454"/>
        <item m="1" x="480"/>
        <item m="1" x="148"/>
        <item m="1" x="247"/>
        <item m="1" x="506"/>
        <item m="1" x="284"/>
        <item m="1" x="558"/>
        <item m="1" x="328"/>
        <item m="1" x="569"/>
        <item m="1" x="295"/>
        <item m="1" x="79"/>
        <item m="1" x="390"/>
        <item m="1" x="130"/>
        <item m="1" x="50"/>
        <item m="1" x="140"/>
        <item m="1" x="435"/>
        <item m="1" x="473"/>
        <item m="1" x="213"/>
        <item m="1" x="479"/>
        <item m="1" x="485"/>
        <item m="1" x="451"/>
        <item m="1" x="276"/>
        <item m="1" x="307"/>
        <item m="1" x="557"/>
        <item m="1" x="318"/>
        <item m="1" x="510"/>
        <item m="1" x="337"/>
        <item m="1" x="55"/>
        <item m="1" x="383"/>
        <item m="1" x="117"/>
        <item m="1" x="128"/>
        <item m="1" x="152"/>
        <item m="1" x="172"/>
        <item m="1" x="453"/>
        <item x="10"/>
        <item m="1" x="203"/>
        <item m="1" x="147"/>
        <item m="1" x="233"/>
        <item m="1" x="522"/>
        <item m="1" x="265"/>
        <item m="1" x="539"/>
        <item m="1" x="296"/>
        <item m="1" x="568"/>
        <item m="1" x="336"/>
        <item m="1" x="345"/>
        <item m="1" x="54"/>
        <item m="1" x="85"/>
        <item m="1" x="103"/>
        <item m="1" x="427"/>
        <item m="1" x="201"/>
        <item m="1" x="212"/>
        <item m="1" x="232"/>
        <item m="1" x="253"/>
        <item x="11"/>
        <item m="1" x="327"/>
        <item m="1" x="574"/>
        <item x="12"/>
        <item m="1" x="78"/>
        <item x="13"/>
        <item m="1" x="102"/>
        <item m="1" x="116"/>
        <item m="1" x="411"/>
        <item x="14"/>
        <item m="1" x="419"/>
        <item m="1" x="67"/>
        <item m="1" x="151"/>
        <item m="1" x="444"/>
        <item m="1" x="193"/>
        <item m="1" x="505"/>
        <item m="1" x="252"/>
        <item m="1" x="520"/>
        <item m="1" x="222"/>
        <item m="1" x="490"/>
        <item m="1" x="567"/>
        <item m="1" x="335"/>
        <item m="1" x="357"/>
        <item m="1" x="47"/>
        <item x="15"/>
        <item m="1" x="367"/>
        <item m="1" x="97"/>
        <item m="1" x="101"/>
        <item m="1" x="115"/>
        <item m="1" x="410"/>
        <item m="1" x="418"/>
        <item m="1" x="139"/>
        <item m="1" x="181"/>
        <item m="1" x="466"/>
        <item m="1" x="494"/>
        <item m="1" x="246"/>
        <item m="1" x="504"/>
        <item x="16"/>
        <item m="1" x="519"/>
        <item m="1" x="274"/>
        <item m="1" x="281"/>
        <item m="1" x="317"/>
        <item m="1" x="584"/>
        <item m="1" x="279"/>
        <item m="1" x="389"/>
        <item m="1" x="138"/>
        <item m="1" x="434"/>
        <item m="1" x="170"/>
        <item m="1" x="223"/>
        <item m="1" x="231"/>
        <item m="1" x="245"/>
        <item m="1" x="251"/>
        <item m="1" x="513"/>
        <item m="1" x="273"/>
        <item m="1" x="532"/>
        <item m="1" x="548"/>
        <item m="1" x="556"/>
        <item m="1" x="356"/>
        <item m="1" x="381"/>
        <item m="1" x="417"/>
        <item m="1" x="150"/>
        <item m="1" x="160"/>
        <item m="1" x="493"/>
        <item m="1" x="156"/>
        <item m="1" x="503"/>
        <item m="1" x="250"/>
        <item m="1" x="512"/>
        <item m="1" x="525"/>
        <item m="1" x="271"/>
        <item m="1" x="402"/>
        <item m="1" x="547"/>
        <item m="1" x="306"/>
        <item m="1" x="555"/>
        <item m="1" x="176"/>
        <item x="17"/>
        <item m="1" x="185"/>
        <item m="1" x="219"/>
        <item m="1" x="362"/>
        <item m="1" x="482"/>
        <item x="18"/>
        <item m="1" x="488"/>
        <item m="1" x="76"/>
        <item m="1" x="508"/>
        <item m="1" x="256"/>
        <item x="19"/>
        <item m="1" x="263"/>
        <item m="1" x="268"/>
        <item m="1" x="535"/>
        <item m="1" x="415"/>
        <item m="1" x="289"/>
        <item m="1" x="149"/>
        <item m="1" x="443"/>
        <item m="1" x="323"/>
        <item m="1" x="564"/>
        <item m="1" x="332"/>
        <item m="1" x="339"/>
        <item m="1" x="579"/>
        <item m="1" x="351"/>
        <item m="1" x="358"/>
        <item m="1" x="364"/>
        <item m="1" x="484"/>
        <item m="1" x="492"/>
        <item m="1" x="511"/>
        <item m="1" x="258"/>
        <item m="1" x="394"/>
        <item m="1" x="133"/>
        <item m="1" x="143"/>
        <item m="1" x="316"/>
        <item m="1" x="448"/>
        <item m="1" x="197"/>
        <item m="1" x="208"/>
        <item m="1" x="46"/>
        <item m="1" x="218"/>
        <item m="1" x="375"/>
        <item m="1" x="580"/>
        <item m="1" x="74"/>
        <item m="1" x="517"/>
        <item m="1" x="96"/>
        <item m="1" x="100"/>
        <item m="1" x="113"/>
        <item m="1" x="414"/>
        <item m="1" x="546"/>
        <item m="1" x="554"/>
        <item m="1" x="158"/>
        <item m="1" x="338"/>
        <item m="1" x="464"/>
        <item x="20"/>
        <item m="1" x="441"/>
        <item m="1" x="230"/>
        <item m="1" x="244"/>
        <item m="1" x="378"/>
        <item m="1" x="58"/>
        <item m="1" x="403"/>
        <item m="1" x="524"/>
        <item m="1" x="270"/>
        <item m="1" x="123"/>
        <item m="1" x="294"/>
        <item x="21"/>
        <item m="1" x="304"/>
        <item m="1" x="165"/>
        <item m="1" x="566"/>
        <item m="1" x="343"/>
        <item m="1" x="361"/>
        <item m="1" x="226"/>
        <item m="1" x="69"/>
        <item m="1" x="239"/>
        <item m="1" x="499"/>
        <item m="1" x="112"/>
        <item m="1" x="288"/>
        <item m="1" x="426"/>
        <item m="1" x="553"/>
        <item m="1" x="169"/>
        <item m="1" x="331"/>
        <item m="1" x="191"/>
        <item m="1" x="463"/>
        <item x="22"/>
        <item m="1" x="350"/>
        <item m="1" x="587"/>
        <item m="1" x="211"/>
        <item m="1" x="61"/>
        <item x="23"/>
        <item m="1" x="377"/>
        <item m="1" x="109"/>
        <item m="1" x="122"/>
        <item m="1" x="280"/>
        <item m="1" x="538"/>
        <item m="1" x="293"/>
        <item m="1" x="303"/>
        <item m="1" x="164"/>
        <item m="1" x="315"/>
        <item m="1" x="446"/>
        <item m="1" x="333"/>
        <item m="1" x="342"/>
        <item m="1" x="469"/>
        <item m="1" x="355"/>
        <item m="1" x="487"/>
        <item m="1" x="68"/>
        <item m="1" x="238"/>
        <item m="1" x="374"/>
        <item m="1" x="498"/>
        <item m="1" x="379"/>
        <item m="1" x="523"/>
        <item m="1" x="99"/>
        <item m="1" x="409"/>
        <item m="1" x="541"/>
        <item m="1" x="136"/>
        <item m="1" x="286"/>
        <item m="1" x="424"/>
        <item m="1" x="310"/>
        <item m="1" x="560"/>
        <item m="1" x="322"/>
        <item m="1" x="190"/>
        <item m="1" x="472"/>
        <item m="1" x="478"/>
        <item m="1" x="48"/>
        <item m="1" x="483"/>
        <item m="1" x="491"/>
        <item m="1" x="80"/>
        <item m="1" x="393"/>
        <item m="1" x="106"/>
        <item m="1" x="407"/>
        <item m="1" x="530"/>
        <item m="1" x="121"/>
        <item m="1" x="420"/>
        <item m="1" x="292"/>
        <item m="1" x="314"/>
        <item x="24"/>
        <item x="25"/>
        <item m="1" x="195"/>
        <item m="1" x="436"/>
        <item m="1" x="582"/>
        <item m="1" x="205"/>
        <item x="26"/>
        <item m="1" x="497"/>
        <item m="1" x="262"/>
        <item m="1" x="282"/>
        <item m="1" x="432"/>
        <item m="1" x="442"/>
        <item m="1" x="321"/>
        <item m="1" x="563"/>
        <item m="1" x="180"/>
        <item m="1" x="459"/>
        <item m="1" x="189"/>
        <item m="1" x="228"/>
        <item x="27"/>
        <item m="1" x="429"/>
        <item m="1" x="174"/>
        <item m="1" x="581"/>
        <item m="1" x="237"/>
        <item x="28"/>
        <item x="29"/>
        <item m="1" x="84"/>
        <item m="1" x="388"/>
        <item m="1" x="516"/>
        <item x="30"/>
        <item m="1" x="551"/>
        <item m="1" x="570"/>
        <item m="1" x="348"/>
        <item m="1" x="178"/>
        <item m="1" x="59"/>
        <item m="1" x="86"/>
        <item m="1" x="405"/>
        <item m="1" x="119"/>
        <item m="1" x="353"/>
        <item m="1" x="66"/>
        <item m="1" x="495"/>
        <item m="1" x="277"/>
        <item m="1" x="550"/>
        <item m="1" x="320"/>
        <item m="1" x="458"/>
        <item m="1" x="210"/>
        <item x="31"/>
        <item m="1" x="385"/>
        <item m="1" x="509"/>
        <item x="32"/>
        <item m="1" x="537"/>
        <item m="1" x="428"/>
        <item m="1" x="313"/>
        <item m="1" x="325"/>
        <item m="1" x="455"/>
        <item m="1" x="572"/>
        <item x="33"/>
        <item m="1" x="341"/>
        <item m="1" x="236"/>
        <item x="34"/>
        <item m="1" x="540"/>
        <item m="1" x="439"/>
        <item m="1" x="167"/>
        <item m="1" x="187"/>
        <item m="1" x="470"/>
        <item x="35"/>
        <item m="1" x="183"/>
        <item m="1" x="438"/>
        <item m="1" x="585"/>
        <item m="1" x="500"/>
        <item m="1" x="104"/>
        <item m="1" x="302"/>
        <item m="1" x="182"/>
        <item m="1" x="467"/>
        <item m="1" x="254"/>
        <item m="1" x="544"/>
        <item m="1" x="297"/>
        <item m="1" x="319"/>
        <item m="1" x="456"/>
        <item x="36"/>
        <item m="1" x="209"/>
        <item m="1" x="129"/>
        <item x="37"/>
        <item x="38"/>
        <item x="39"/>
        <item m="1" x="543"/>
        <item x="40"/>
        <item m="1" x="404"/>
        <item x="41"/>
        <item x="42"/>
        <item m="1" x="366"/>
        <item m="1" x="396"/>
        <item x="43"/>
        <item m="1" x="135"/>
        <item m="1" x="450"/>
        <item x="44"/>
        <item x="45"/>
        <item m="1" x="92"/>
        <item m="1" x="111"/>
        <item m="1" x="241"/>
        <item m="1" x="542"/>
        <item m="1" x="259"/>
        <item m="1" x="198"/>
        <item m="1" x="561"/>
        <item m="1" x="359"/>
        <item m="1" x="352"/>
        <item m="1" x="157"/>
        <item m="1" x="440"/>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defaultSubtotal="0"/>
    <pivotField dataField="1" showAll="0"/>
    <pivotField showAll="0"/>
  </pivotFields>
  <rowFields count="1">
    <field x="3"/>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3:D76" firstHeaderRow="0" firstDataRow="1" firstDataCol="1"/>
  <pivotFields count="20">
    <pivotField showAll="0">
      <items count="192">
        <item m="1" x="184"/>
        <item m="1" x="164"/>
        <item m="1" x="75"/>
        <item m="1" x="19"/>
        <item m="1" x="62"/>
        <item x="0"/>
        <item m="1" x="185"/>
        <item m="1" x="7"/>
        <item m="1" x="161"/>
        <item m="1" x="46"/>
        <item m="1" x="135"/>
        <item m="1" x="79"/>
        <item m="1" x="182"/>
        <item m="1" x="68"/>
        <item m="1" x="11"/>
        <item m="1" x="136"/>
        <item m="1" x="82"/>
        <item m="1" x="143"/>
        <item m="1" x="88"/>
        <item m="1" x="115"/>
        <item m="1" x="141"/>
        <item m="1" x="34"/>
        <item m="1" x="50"/>
        <item m="1" x="186"/>
        <item m="1" x="8"/>
        <item m="1" x="179"/>
        <item m="1" x="51"/>
        <item m="1" x="83"/>
        <item m="1" x="58"/>
        <item m="1" x="91"/>
        <item m="1" x="95"/>
        <item m="1" x="69"/>
        <item m="1" x="23"/>
        <item m="1" x="156"/>
        <item m="1" x="32"/>
        <item m="1" x="35"/>
        <item m="1" x="146"/>
        <item m="1" x="99"/>
        <item m="1" x="63"/>
        <item m="1" x="187"/>
        <item m="1" x="147"/>
        <item m="1" x="100"/>
        <item m="1" x="168"/>
        <item m="1" x="44"/>
        <item m="1" x="12"/>
        <item m="1" x="20"/>
        <item m="1" x="128"/>
        <item m="1" x="109"/>
        <item m="1" x="148"/>
        <item m="1" x="111"/>
        <item m="1" x="80"/>
        <item m="1" x="92"/>
        <item m="1" x="89"/>
        <item m="1" x="66"/>
        <item m="1" x="180"/>
        <item m="1" x="4"/>
        <item m="1" x="188"/>
        <item m="1" x="116"/>
        <item m="1" x="5"/>
        <item m="1" x="84"/>
        <item m="1" x="153"/>
        <item m="1" x="151"/>
        <item m="1" x="21"/>
        <item m="1" x="93"/>
        <item m="1" x="67"/>
        <item m="1" x="142"/>
        <item m="1" x="40"/>
        <item m="1" x="162"/>
        <item m="1" x="173"/>
        <item m="1" x="24"/>
        <item m="1" x="120"/>
        <item m="1" x="138"/>
        <item m="1" x="169"/>
        <item m="1" x="160"/>
        <item m="1" x="104"/>
        <item m="1" x="131"/>
        <item m="1" x="165"/>
        <item m="1" x="52"/>
        <item m="1" x="36"/>
        <item m="1" x="70"/>
        <item m="1" x="105"/>
        <item m="1" x="101"/>
        <item m="1" x="41"/>
        <item m="1" x="150"/>
        <item m="1" x="37"/>
        <item m="1" x="152"/>
        <item m="1" x="72"/>
        <item m="1" x="64"/>
        <item m="1" x="174"/>
        <item m="1" x="189"/>
        <item m="1" x="1"/>
        <item m="1" x="170"/>
        <item m="1" x="190"/>
        <item m="1" x="132"/>
        <item m="1" x="139"/>
        <item m="1" x="27"/>
        <item m="1" x="157"/>
        <item m="1" x="134"/>
        <item m="1" x="47"/>
        <item m="1" x="73"/>
        <item m="1" x="117"/>
        <item m="1" x="129"/>
        <item m="1" x="90"/>
        <item m="1" x="76"/>
        <item m="1" x="48"/>
        <item m="1" x="14"/>
        <item m="1" x="118"/>
        <item m="1" x="59"/>
        <item m="1" x="158"/>
        <item m="1" x="85"/>
        <item m="1" x="56"/>
        <item m="1" x="28"/>
        <item m="1" x="60"/>
        <item m="1" x="2"/>
        <item m="1" x="33"/>
        <item m="1" x="22"/>
        <item m="1" x="6"/>
        <item m="1" x="124"/>
        <item m="1" x="86"/>
        <item m="1" x="49"/>
        <item m="1" x="30"/>
        <item m="1" x="38"/>
        <item m="1" x="130"/>
        <item m="1" x="163"/>
        <item m="1" x="29"/>
        <item m="1" x="125"/>
        <item m="1" x="13"/>
        <item m="1" x="42"/>
        <item m="1" x="17"/>
        <item m="1" x="102"/>
        <item m="1" x="74"/>
        <item m="1" x="77"/>
        <item m="1" x="16"/>
        <item m="1" x="175"/>
        <item m="1" x="176"/>
        <item m="1" x="110"/>
        <item m="1" x="144"/>
        <item m="1" x="53"/>
        <item m="1" x="25"/>
        <item m="1" x="106"/>
        <item m="1" x="149"/>
        <item m="1" x="121"/>
        <item m="1" x="39"/>
        <item m="1" x="177"/>
        <item m="1" x="112"/>
        <item m="1" x="9"/>
        <item m="1" x="166"/>
        <item m="1" x="18"/>
        <item m="1" x="45"/>
        <item m="1" x="96"/>
        <item m="1" x="71"/>
        <item m="1" x="126"/>
        <item m="1" x="159"/>
        <item m="1" x="103"/>
        <item m="1" x="113"/>
        <item m="1" x="54"/>
        <item m="1" x="15"/>
        <item m="1" x="43"/>
        <item m="1" x="55"/>
        <item m="1" x="107"/>
        <item m="1" x="122"/>
        <item m="1" x="133"/>
        <item m="1" x="127"/>
        <item m="1" x="78"/>
        <item m="1" x="94"/>
        <item m="1" x="26"/>
        <item m="1" x="57"/>
        <item m="1" x="167"/>
        <item m="1" x="97"/>
        <item m="1" x="3"/>
        <item m="1" x="145"/>
        <item m="1" x="183"/>
        <item m="1" x="65"/>
        <item m="1" x="119"/>
        <item m="1" x="137"/>
        <item m="1" x="81"/>
        <item m="1" x="98"/>
        <item m="1" x="114"/>
        <item m="1" x="123"/>
        <item m="1" x="171"/>
        <item m="1" x="10"/>
        <item m="1" x="140"/>
        <item m="1" x="178"/>
        <item m="1" x="181"/>
        <item m="1" x="31"/>
        <item m="1" x="61"/>
        <item m="1" x="154"/>
        <item m="1" x="172"/>
        <item m="1" x="155"/>
        <item m="1" x="87"/>
        <item m="1" x="108"/>
        <item t="default"/>
      </items>
    </pivotField>
    <pivotField showAll="0">
      <items count="456">
        <item m="1" x="39"/>
        <item m="1" x="421"/>
        <item m="1" x="348"/>
        <item m="1" x="120"/>
        <item m="1" x="341"/>
        <item m="1" x="304"/>
        <item m="1" x="355"/>
        <item m="1" x="349"/>
        <item m="1" x="317"/>
        <item m="1" x="413"/>
        <item m="1" x="156"/>
        <item m="1" x="76"/>
        <item m="1" x="350"/>
        <item m="1" x="232"/>
        <item m="1" x="289"/>
        <item x="20"/>
        <item m="1" x="64"/>
        <item m="1" x="404"/>
        <item m="1" x="305"/>
        <item m="1" x="233"/>
        <item m="1" x="356"/>
        <item m="1" x="369"/>
        <item m="1" x="240"/>
        <item m="1" x="65"/>
        <item m="1" x="318"/>
        <item m="1" x="259"/>
        <item m="1" x="90"/>
        <item m="1" x="40"/>
        <item x="18"/>
        <item m="1" x="332"/>
        <item m="1" x="210"/>
        <item m="1" x="363"/>
        <item m="1" x="385"/>
        <item m="1" x="56"/>
        <item m="1" x="276"/>
        <item m="1" x="144"/>
        <item m="1" x="31"/>
        <item m="1" x="422"/>
        <item m="1" x="98"/>
        <item m="1" x="192"/>
        <item m="1" x="46"/>
        <item m="1" x="436"/>
        <item m="1" x="306"/>
        <item m="1" x="234"/>
        <item m="1" x="177"/>
        <item m="1" x="392"/>
        <item m="1" x="411"/>
        <item m="1" x="218"/>
        <item m="1" x="437"/>
        <item m="1" x="145"/>
        <item x="11"/>
        <item m="1" x="91"/>
        <item m="1" x="47"/>
        <item m="1" x="370"/>
        <item m="1" x="307"/>
        <item m="1" x="146"/>
        <item m="1" x="138"/>
        <item m="1" x="135"/>
        <item m="1" x="405"/>
        <item m="1" x="398"/>
        <item m="1" x="147"/>
        <item m="1" x="260"/>
        <item x="2"/>
        <item m="1" x="374"/>
        <item m="1" x="34"/>
        <item m="1" x="399"/>
        <item m="1" x="428"/>
        <item m="1" x="193"/>
        <item m="1" x="364"/>
        <item m="1" x="48"/>
        <item m="1" x="106"/>
        <item m="1" x="277"/>
        <item m="1" x="152"/>
        <item m="1" x="35"/>
        <item m="1" x="333"/>
        <item m="1" x="269"/>
        <item m="1" x="127"/>
        <item m="1" x="297"/>
        <item x="0"/>
        <item m="1" x="226"/>
        <item m="1" x="386"/>
        <item m="1" x="319"/>
        <item m="1" x="57"/>
        <item m="1" x="113"/>
        <item m="1" x="163"/>
        <item m="1" x="334"/>
        <item m="1" x="235"/>
        <item m="1" x="41"/>
        <item m="1" x="58"/>
        <item m="1" x="114"/>
        <item m="1" x="178"/>
        <item m="1" x="278"/>
        <item m="1" x="414"/>
        <item m="1" x="194"/>
        <item m="1" x="423"/>
        <item m="1" x="360"/>
        <item m="1" x="227"/>
        <item m="1" x="241"/>
        <item m="1" x="429"/>
        <item m="1" x="128"/>
        <item m="1" x="298"/>
        <item m="1" x="49"/>
        <item m="1" x="443"/>
        <item m="1" x="387"/>
        <item m="1" x="308"/>
        <item m="1" x="195"/>
        <item m="1" x="50"/>
        <item m="1" x="179"/>
        <item m="1" x="279"/>
        <item m="1" x="444"/>
        <item m="1" x="139"/>
        <item m="1" x="219"/>
        <item m="1" x="201"/>
        <item m="1" x="309"/>
        <item x="5"/>
        <item m="1" x="211"/>
        <item m="1" x="312"/>
        <item m="1" x="299"/>
        <item m="1" x="84"/>
        <item m="1" x="187"/>
        <item m="1" x="406"/>
        <item x="8"/>
        <item m="1" x="438"/>
        <item m="1" x="205"/>
        <item m="1" x="249"/>
        <item m="1" x="342"/>
        <item m="1" x="415"/>
        <item m="1" x="285"/>
        <item m="1" x="400"/>
        <item m="1" x="212"/>
        <item m="1" x="70"/>
        <item m="1" x="430"/>
        <item x="22"/>
        <item m="1" x="157"/>
        <item m="1" x="311"/>
        <item m="1" x="250"/>
        <item m="1" x="188"/>
        <item m="1" x="99"/>
        <item m="1" x="153"/>
        <item m="1" x="66"/>
        <item m="1" x="357"/>
        <item m="1" x="115"/>
        <item m="1" x="365"/>
        <item m="1" x="51"/>
        <item m="1" x="264"/>
        <item m="1" x="121"/>
        <item m="1" x="290"/>
        <item m="1" x="228"/>
        <item m="1" x="154"/>
        <item m="1" x="116"/>
        <item m="1" x="323"/>
        <item m="1" x="140"/>
        <item m="1" x="189"/>
        <item x="17"/>
        <item m="1" x="222"/>
        <item m="1" x="335"/>
        <item m="1" x="92"/>
        <item m="1" x="256"/>
        <item m="1" x="77"/>
        <item m="1" x="93"/>
        <item m="1" x="180"/>
        <item m="1" x="202"/>
        <item m="1" x="136"/>
        <item m="1" x="85"/>
        <item m="1" x="206"/>
        <item x="9"/>
        <item x="19"/>
        <item m="1" x="361"/>
        <item m="1" x="213"/>
        <item m="1" x="42"/>
        <item m="1" x="169"/>
        <item m="1" x="25"/>
        <item m="1" x="129"/>
        <item m="1" x="78"/>
        <item m="1" x="261"/>
        <item x="16"/>
        <item m="1" x="375"/>
        <item m="1" x="251"/>
        <item m="1" x="272"/>
        <item m="1" x="52"/>
        <item m="1" x="320"/>
        <item m="1" x="280"/>
        <item m="1" x="324"/>
        <item m="1" x="416"/>
        <item m="1" x="445"/>
        <item m="1" x="291"/>
        <item x="10"/>
        <item m="1" x="407"/>
        <item x="24"/>
        <item m="1" x="181"/>
        <item m="1" x="351"/>
        <item m="1" x="158"/>
        <item m="1" x="86"/>
        <item m="1" x="223"/>
        <item m="1" x="292"/>
        <item m="1" x="148"/>
        <item m="1" x="71"/>
        <item m="1" x="242"/>
        <item m="1" x="417"/>
        <item m="1" x="100"/>
        <item m="1" x="366"/>
        <item m="1" x="325"/>
        <item m="1" x="67"/>
        <item m="1" x="214"/>
        <item m="1" x="313"/>
        <item m="1" x="170"/>
        <item m="1" x="300"/>
        <item m="1" x="32"/>
        <item m="1" x="137"/>
        <item m="1" x="184"/>
        <item m="1" x="358"/>
        <item m="1" x="446"/>
        <item m="1" x="376"/>
        <item m="1" x="452"/>
        <item m="1" x="149"/>
        <item x="1"/>
        <item m="1" x="196"/>
        <item m="1" x="26"/>
        <item m="1" x="388"/>
        <item m="1" x="321"/>
        <item m="1" x="87"/>
        <item m="1" x="265"/>
        <item m="1" x="447"/>
        <item m="1" x="207"/>
        <item m="1" x="68"/>
        <item m="1" x="215"/>
        <item m="1" x="293"/>
        <item m="1" x="380"/>
        <item m="1" x="229"/>
        <item m="1" x="314"/>
        <item m="1" x="301"/>
        <item m="1" x="53"/>
        <item m="1" x="236"/>
        <item m="1" x="79"/>
        <item m="1" x="352"/>
        <item m="1" x="439"/>
        <item m="1" x="371"/>
        <item m="1" x="117"/>
        <item m="1" x="208"/>
        <item m="1" x="286"/>
        <item m="1" x="453"/>
        <item m="1" x="122"/>
        <item m="1" x="216"/>
        <item m="1" x="72"/>
        <item m="1" x="431"/>
        <item m="1" x="302"/>
        <item m="1" x="182"/>
        <item m="1" x="281"/>
        <item m="1" x="159"/>
        <item m="1" x="224"/>
        <item m="1" x="381"/>
        <item m="1" x="315"/>
        <item m="1" x="171"/>
        <item m="1" x="101"/>
        <item m="1" x="412"/>
        <item m="1" x="393"/>
        <item m="1" x="418"/>
        <item m="1" x="287"/>
        <item m="1" x="36"/>
        <item m="1" x="141"/>
        <item m="1" x="123"/>
        <item m="1" x="217"/>
        <item m="1" x="408"/>
        <item m="1" x="73"/>
        <item m="1" x="102"/>
        <item m="1" x="273"/>
        <item m="1" x="27"/>
        <item m="1" x="80"/>
        <item m="1" x="107"/>
        <item x="15"/>
        <item m="1" x="243"/>
        <item m="1" x="326"/>
        <item m="1" x="336"/>
        <item m="1" x="124"/>
        <item m="1" x="294"/>
        <item m="1" x="150"/>
        <item m="1" x="172"/>
        <item m="1" x="103"/>
        <item m="1" x="197"/>
        <item m="1" x="367"/>
        <item m="1" x="389"/>
        <item m="1" x="81"/>
        <item m="1" x="59"/>
        <item m="1" x="160"/>
        <item m="1" x="327"/>
        <item m="1" x="419"/>
        <item m="1" x="88"/>
        <item m="1" x="209"/>
        <item m="1" x="401"/>
        <item m="1" x="94"/>
        <item m="1" x="125"/>
        <item m="1" x="43"/>
        <item m="1" x="343"/>
        <item m="1" x="104"/>
        <item m="1" x="353"/>
        <item m="1" x="440"/>
        <item m="1" x="108"/>
        <item m="1" x="328"/>
        <item m="1" x="359"/>
        <item m="1" x="142"/>
        <item m="1" x="164"/>
        <item m="1" x="252"/>
        <item m="1" x="382"/>
        <item m="1" x="409"/>
        <item m="1" x="74"/>
        <item m="1" x="432"/>
        <item m="1" x="28"/>
        <item m="1" x="220"/>
        <item m="1" x="390"/>
        <item m="1" x="82"/>
        <item m="1" x="109"/>
        <item m="1" x="372"/>
        <item m="1" x="394"/>
        <item m="1" x="244"/>
        <item m="1" x="329"/>
        <item m="1" x="448"/>
        <item m="1" x="402"/>
        <item m="1" x="337"/>
        <item m="1" x="454"/>
        <item m="1" x="230"/>
        <item m="1" x="173"/>
        <item m="1" x="257"/>
        <item m="1" x="344"/>
        <item m="1" x="54"/>
        <item m="1" x="83"/>
        <item x="21"/>
        <item x="4"/>
        <item m="1" x="161"/>
        <item m="1" x="245"/>
        <item m="1" x="330"/>
        <item m="1" x="377"/>
        <item m="1" x="424"/>
        <item m="1" x="95"/>
        <item m="1" x="270"/>
        <item m="1" x="44"/>
        <item m="1" x="151"/>
        <item m="1" x="316"/>
        <item m="1" x="105"/>
        <item m="1" x="130"/>
        <item m="1" x="221"/>
        <item m="1" x="237"/>
        <item m="1" x="262"/>
        <item m="1" x="441"/>
        <item m="1" x="282"/>
        <item m="1" x="395"/>
        <item m="1" x="60"/>
        <item x="23"/>
        <item m="1" x="253"/>
        <item m="1" x="295"/>
        <item m="1" x="75"/>
        <item m="1" x="345"/>
        <item m="1" x="433"/>
        <item m="1" x="131"/>
        <item m="1" x="110"/>
        <item m="1" x="203"/>
        <item m="1" x="373"/>
        <item m="1" x="396"/>
        <item m="1" x="185"/>
        <item m="1" x="266"/>
        <item m="1" x="449"/>
        <item m="1" x="383"/>
        <item x="6"/>
        <item m="1" x="174"/>
        <item m="1" x="258"/>
        <item m="1" x="346"/>
        <item m="1" x="183"/>
        <item m="1" x="111"/>
        <item m="1" x="204"/>
        <item m="1" x="162"/>
        <item x="7"/>
        <item m="1" x="450"/>
        <item m="1" x="118"/>
        <item m="1" x="143"/>
        <item m="1" x="425"/>
        <item m="1" x="362"/>
        <item m="1" x="126"/>
        <item m="1" x="175"/>
        <item m="1" x="434"/>
        <item m="1" x="198"/>
        <item m="1" x="263"/>
        <item m="1" x="354"/>
        <item m="1" x="33"/>
        <item m="1" x="310"/>
        <item m="1" x="246"/>
        <item m="1" x="420"/>
        <item m="1" x="165"/>
        <item m="1" x="199"/>
        <item m="1" x="274"/>
        <item m="1" x="132"/>
        <item m="1" x="55"/>
        <item m="1" x="238"/>
        <item m="1" x="112"/>
        <item m="1" x="397"/>
        <item m="1" x="61"/>
        <item m="1" x="247"/>
        <item x="3"/>
        <item m="1" x="267"/>
        <item m="1" x="451"/>
        <item m="1" x="288"/>
        <item m="1" x="166"/>
        <item m="1" x="254"/>
        <item m="1" x="338"/>
        <item m="1" x="426"/>
        <item m="1" x="384"/>
        <item m="1" x="45"/>
        <item m="1" x="176"/>
        <item m="1" x="435"/>
        <item m="1" x="133"/>
        <item x="13"/>
        <item m="1" x="283"/>
        <item m="1" x="62"/>
        <item m="1" x="186"/>
        <item m="1" x="69"/>
        <item m="1" x="96"/>
        <item m="1" x="410"/>
        <item m="1" x="275"/>
        <item m="1" x="29"/>
        <item x="14"/>
        <item m="1" x="303"/>
        <item m="1" x="322"/>
        <item m="1" x="284"/>
        <item x="12"/>
        <item m="1" x="248"/>
        <item m="1" x="403"/>
        <item m="1" x="368"/>
        <item m="1" x="30"/>
        <item m="1" x="391"/>
        <item m="1" x="155"/>
        <item m="1" x="63"/>
        <item m="1" x="89"/>
        <item m="1" x="225"/>
        <item m="1" x="167"/>
        <item m="1" x="339"/>
        <item m="1" x="190"/>
        <item m="1" x="296"/>
        <item m="1" x="134"/>
        <item m="1" x="378"/>
        <item m="1" x="37"/>
        <item m="1" x="168"/>
        <item m="1" x="191"/>
        <item m="1" x="271"/>
        <item m="1" x="239"/>
        <item m="1" x="119"/>
        <item m="1" x="379"/>
        <item m="1" x="427"/>
        <item m="1" x="231"/>
        <item m="1" x="200"/>
        <item m="1" x="331"/>
        <item m="1" x="268"/>
        <item m="1" x="38"/>
        <item m="1" x="255"/>
        <item m="1" x="340"/>
        <item m="1" x="97"/>
        <item m="1" x="442"/>
        <item m="1" x="347"/>
        <item t="default"/>
      </items>
    </pivotField>
    <pivotField showAll="0" defaultSubtotal="0"/>
    <pivotField showAll="0">
      <items count="127">
        <item m="1" x="1"/>
        <item m="1" x="120"/>
        <item m="1" x="110"/>
        <item m="1" x="8"/>
        <item m="1" x="121"/>
        <item m="1" x="4"/>
        <item m="1" x="27"/>
        <item m="1" x="92"/>
        <item m="1" x="49"/>
        <item m="1" x="118"/>
        <item m="1" x="40"/>
        <item m="1" x="6"/>
        <item m="1" x="93"/>
        <item m="1" x="52"/>
        <item m="1" x="57"/>
        <item m="1" x="19"/>
        <item m="1" x="122"/>
        <item m="1" x="5"/>
        <item m="1" x="116"/>
        <item m="1" x="53"/>
        <item m="1" x="60"/>
        <item m="1" x="64"/>
        <item m="1" x="41"/>
        <item m="1" x="10"/>
        <item m="1" x="105"/>
        <item m="1" x="98"/>
        <item m="1" x="67"/>
        <item m="1" x="123"/>
        <item m="1" x="68"/>
        <item m="1" x="113"/>
        <item m="1" x="87"/>
        <item m="1" x="75"/>
        <item m="1" x="77"/>
        <item m="1" x="50"/>
        <item m="1" x="61"/>
        <item m="1" x="58"/>
        <item m="1" x="38"/>
        <item m="1" x="117"/>
        <item m="1" x="124"/>
        <item m="1" x="80"/>
        <item m="1" x="102"/>
        <item m="1" x="101"/>
        <item m="1" x="9"/>
        <item m="1" x="62"/>
        <item m="1" x="39"/>
        <item m="1" x="96"/>
        <item m="1" x="23"/>
        <item m="1" x="109"/>
        <item m="1" x="11"/>
        <item m="1" x="82"/>
        <item m="1" x="94"/>
        <item m="1" x="114"/>
        <item m="1" x="90"/>
        <item m="1" x="20"/>
        <item m="1" x="72"/>
        <item m="1" x="69"/>
        <item m="1" x="24"/>
        <item m="1" x="100"/>
        <item m="1" x="21"/>
        <item m="1" x="43"/>
        <item m="1" x="36"/>
        <item m="1" x="125"/>
        <item m="1" x="2"/>
        <item m="1" x="95"/>
        <item m="1" x="14"/>
        <item m="1" x="106"/>
        <item m="1" x="44"/>
        <item m="1" x="88"/>
        <item m="1" x="59"/>
        <item m="1" x="46"/>
        <item m="1" x="28"/>
        <item m="1" x="33"/>
        <item m="1" x="107"/>
        <item m="1" x="54"/>
        <item m="1" x="31"/>
        <item m="1" x="15"/>
        <item m="1" x="34"/>
        <item m="1" x="3"/>
        <item m="1" x="84"/>
        <item m="1" x="55"/>
        <item m="1" x="17"/>
        <item m="1" x="22"/>
        <item m="1" x="89"/>
        <item m="1" x="16"/>
        <item m="1" x="85"/>
        <item m="1" x="25"/>
        <item x="0"/>
        <item m="1" x="70"/>
        <item m="1" x="45"/>
        <item m="1" x="47"/>
        <item m="1" x="76"/>
        <item m="1" x="97"/>
        <item m="1" x="29"/>
        <item m="1" x="12"/>
        <item m="1" x="99"/>
        <item m="1" x="83"/>
        <item m="1" x="115"/>
        <item m="1" x="78"/>
        <item m="1" x="111"/>
        <item m="1" x="7"/>
        <item m="1" x="26"/>
        <item m="1" x="65"/>
        <item m="1" x="42"/>
        <item m="1" x="86"/>
        <item m="1" x="108"/>
        <item m="1" x="71"/>
        <item m="1" x="79"/>
        <item m="1" x="30"/>
        <item m="1" x="73"/>
        <item m="1" x="91"/>
        <item m="1" x="48"/>
        <item m="1" x="63"/>
        <item m="1" x="13"/>
        <item m="1" x="32"/>
        <item m="1" x="112"/>
        <item m="1" x="119"/>
        <item m="1" x="37"/>
        <item m="1" x="81"/>
        <item m="1" x="51"/>
        <item m="1" x="66"/>
        <item m="1" x="18"/>
        <item m="1" x="35"/>
        <item m="1" x="103"/>
        <item m="1" x="104"/>
        <item m="1" x="56"/>
        <item m="1" x="74"/>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441">
        <item m="1" x="46"/>
        <item m="1" x="109"/>
        <item m="1" x="69"/>
        <item m="1" x="173"/>
        <item m="1" x="186"/>
        <item m="1" x="49"/>
        <item m="1" x="154"/>
        <item m="1" x="102"/>
        <item m="1" x="319"/>
        <item m="1" x="213"/>
        <item m="1" x="150"/>
        <item m="1" x="272"/>
        <item m="1" x="320"/>
        <item m="1" x="337"/>
        <item m="1" x="295"/>
        <item m="1" x="230"/>
        <item m="1" x="214"/>
        <item m="1" x="321"/>
        <item m="1" x="242"/>
        <item m="1" x="114"/>
        <item m="1" x="59"/>
        <item m="1" x="222"/>
        <item m="1" x="411"/>
        <item m="1" x="39"/>
        <item m="1" x="330"/>
        <item m="1" x="223"/>
        <item m="1" x="155"/>
        <item m="1" x="281"/>
        <item m="1" x="303"/>
        <item m="1" x="124"/>
        <item m="1" x="252"/>
        <item m="1" x="199"/>
        <item m="1" x="296"/>
        <item m="1" x="297"/>
        <item m="1" x="412"/>
        <item m="1" x="151"/>
        <item m="1" x="304"/>
        <item m="1" x="152"/>
        <item m="1" x="276"/>
        <item m="1" x="23"/>
        <item m="1" x="121"/>
        <item m="1" x="425"/>
        <item m="1" x="347"/>
        <item m="1" x="253"/>
        <item m="1" x="68"/>
        <item m="1" x="174"/>
        <item m="1" x="209"/>
        <item m="1" x="110"/>
        <item m="1" x="74"/>
        <item m="1" x="50"/>
        <item m="1" x="377"/>
        <item m="1" x="175"/>
        <item m="1" x="167"/>
        <item m="1" x="47"/>
        <item m="1" x="266"/>
        <item m="1" x="111"/>
        <item m="1" x="331"/>
        <item m="1" x="305"/>
        <item m="1" x="138"/>
        <item m="1" x="282"/>
        <item m="1" x="431"/>
        <item m="1" x="156"/>
        <item m="1" x="51"/>
        <item m="1" x="215"/>
        <item m="1" x="383"/>
        <item m="1" x="168"/>
        <item m="1" x="290"/>
        <item m="1" x="176"/>
        <item m="1" x="395"/>
        <item m="1" x="413"/>
        <item m="1" x="70"/>
        <item m="1" x="277"/>
        <item m="1" x="243"/>
        <item m="1" x="398"/>
        <item m="1" x="384"/>
        <item m="1" x="177"/>
        <item m="1" x="273"/>
        <item m="1" x="33"/>
        <item m="1" x="283"/>
        <item m="1" x="231"/>
        <item m="1" x="368"/>
        <item m="1" x="402"/>
        <item m="1" x="267"/>
        <item m="1" x="224"/>
        <item m="1" x="342"/>
        <item m="1" x="52"/>
        <item m="1" x="115"/>
        <item m="1" x="238"/>
        <item m="1" x="403"/>
        <item m="1" x="417"/>
        <item m="1" x="97"/>
        <item m="1" x="157"/>
        <item m="1" x="232"/>
        <item m="1" x="326"/>
        <item m="1" x="426"/>
        <item m="1" x="244"/>
        <item m="1" x="158"/>
        <item m="1" x="91"/>
        <item m="1" x="159"/>
        <item m="1" x="254"/>
        <item m="1" x="291"/>
        <item m="1" x="60"/>
        <item m="1" x="245"/>
        <item m="1" x="40"/>
        <item m="1" x="274"/>
        <item m="1" x="140"/>
        <item m="1" x="75"/>
        <item m="1" x="200"/>
        <item m="1" x="434"/>
        <item m="1" x="332"/>
        <item m="1" x="28"/>
        <item m="1" x="298"/>
        <item m="1" x="112"/>
        <item m="1" x="24"/>
        <item m="1" x="369"/>
        <item m="1" x="233"/>
        <item m="1" x="133"/>
        <item m="1" x="160"/>
        <item m="1" x="327"/>
        <item m="1" x="306"/>
        <item m="1" x="134"/>
        <item m="1" x="275"/>
        <item m="1" x="246"/>
        <item m="1" x="76"/>
        <item m="1" x="92"/>
        <item m="1" x="29"/>
        <item m="1" x="122"/>
        <item m="1" x="34"/>
        <item m="1" x="98"/>
        <item m="1" x="234"/>
        <item m="1" x="80"/>
        <item m="1" x="278"/>
        <item m="1" x="370"/>
        <item m="1" x="284"/>
        <item m="1" x="352"/>
        <item m="1" x="312"/>
        <item m="1" x="103"/>
        <item m="1" x="178"/>
        <item m="1" x="139"/>
        <item m="1" x="179"/>
        <item m="1" x="201"/>
        <item m="1" x="385"/>
        <item m="1" x="25"/>
        <item m="1" x="255"/>
        <item m="1" x="378"/>
        <item m="1" x="407"/>
        <item m="1" x="379"/>
        <item m="1" x="386"/>
        <item m="1" x="225"/>
        <item m="1" x="81"/>
        <item m="1" x="210"/>
        <item m="1" x="418"/>
        <item m="1" x="348"/>
        <item m="1" x="380"/>
        <item m="1" x="314"/>
        <item m="1" x="359"/>
        <item m="1" x="292"/>
        <item m="1" x="387"/>
        <item m="1" x="77"/>
        <item m="1" x="322"/>
        <item m="1" x="404"/>
        <item m="1" x="360"/>
        <item m="1" x="30"/>
        <item m="1" x="381"/>
        <item m="1" x="202"/>
        <item m="1" x="279"/>
        <item m="1" x="141"/>
        <item m="1" x="247"/>
        <item m="1" x="161"/>
        <item m="1" x="61"/>
        <item m="1" x="113"/>
        <item m="1" x="371"/>
        <item m="1" x="116"/>
        <item m="1" x="203"/>
        <item m="1" x="408"/>
        <item m="1" x="93"/>
        <item m="1" x="41"/>
        <item m="1" x="419"/>
        <item m="1" x="191"/>
        <item m="1" x="372"/>
        <item m="1" x="361"/>
        <item m="1" x="35"/>
        <item m="1" x="349"/>
        <item m="1" x="125"/>
        <item m="1" x="268"/>
        <item m="1" x="153"/>
        <item m="1" x="71"/>
        <item m="1" x="414"/>
        <item m="1" x="142"/>
        <item m="1" x="26"/>
        <item m="1" x="399"/>
        <item m="1" x="388"/>
        <item m="1" x="415"/>
        <item m="1" x="394"/>
        <item m="1" x="62"/>
        <item m="1" x="181"/>
        <item m="1" x="78"/>
        <item m="1" x="192"/>
        <item m="1" x="350"/>
        <item m="1" x="362"/>
        <item m="1" x="435"/>
        <item m="1" x="204"/>
        <item m="1" x="193"/>
        <item m="1" x="117"/>
        <item m="1" x="285"/>
        <item m="1" x="162"/>
        <item m="1" x="343"/>
        <item m="1" x="344"/>
        <item m="1" x="333"/>
        <item m="1" x="194"/>
        <item m="1" x="169"/>
        <item m="1" x="143"/>
        <item m="1" x="187"/>
        <item m="1" x="86"/>
        <item m="1" x="373"/>
        <item m="1" x="353"/>
        <item m="1" x="87"/>
        <item m="1" x="220"/>
        <item m="1" x="211"/>
        <item m="1" x="307"/>
        <item m="1" x="196"/>
        <item m="1" x="135"/>
        <item m="1" x="31"/>
        <item m="1" x="308"/>
        <item m="1" x="53"/>
        <item m="1" x="79"/>
        <item m="1" x="309"/>
        <item m="1" x="126"/>
        <item m="1" x="72"/>
        <item m="1" x="400"/>
        <item m="1" x="315"/>
        <item m="1" x="299"/>
        <item m="1" x="323"/>
        <item m="1" x="88"/>
        <item m="1" x="436"/>
        <item m="1" x="197"/>
        <item m="1" x="123"/>
        <item m="1" x="221"/>
        <item m="1" x="63"/>
        <item m="1" x="432"/>
        <item m="1" x="239"/>
        <item m="1" x="351"/>
        <item m="1" x="363"/>
        <item m="1" x="240"/>
        <item m="1" x="82"/>
        <item m="1" x="405"/>
        <item m="1" x="144"/>
        <item m="1" x="316"/>
        <item m="1" x="259"/>
        <item m="1" x="324"/>
        <item m="1" x="420"/>
        <item m="1" x="241"/>
        <item m="1" x="364"/>
        <item m="1" x="136"/>
        <item m="1" x="99"/>
        <item m="1" x="374"/>
        <item m="1" x="248"/>
        <item m="1" x="345"/>
        <item m="1" x="127"/>
        <item m="1" x="64"/>
        <item m="1" x="42"/>
        <item m="1" x="421"/>
        <item m="1" x="118"/>
        <item m="1" x="54"/>
        <item m="1" x="260"/>
        <item m="1" x="269"/>
        <item m="1" x="375"/>
        <item m="1" x="354"/>
        <item m="1" x="334"/>
        <item m="1" x="73"/>
        <item m="1" x="422"/>
        <item m="1" x="128"/>
        <item m="1" x="235"/>
        <item m="1" x="129"/>
        <item m="1" x="338"/>
        <item m="1" x="409"/>
        <item m="1" x="36"/>
        <item m="1" x="389"/>
        <item m="1" x="236"/>
        <item m="1" x="355"/>
        <item m="1" x="256"/>
        <item m="1" x="390"/>
        <item m="1" x="83"/>
        <item m="1" x="145"/>
        <item m="1" x="317"/>
        <item m="1" x="401"/>
        <item m="1" x="104"/>
        <item m="1" x="293"/>
        <item m="1" x="65"/>
        <item m="1" x="423"/>
        <item m="1" x="32"/>
        <item m="1" x="146"/>
        <item m="1" x="105"/>
        <item m="1" x="163"/>
        <item m="1" x="280"/>
        <item m="1" x="437"/>
        <item m="1" x="261"/>
        <item m="1" x="382"/>
        <item m="1" x="335"/>
        <item m="1" x="286"/>
        <item m="1" x="325"/>
        <item m="1" x="365"/>
        <item m="1" x="249"/>
        <item m="1" x="188"/>
        <item m="1" x="356"/>
        <item m="1" x="366"/>
        <item m="1" x="147"/>
        <item m="1" x="137"/>
        <item m="1" x="164"/>
        <item m="1" x="262"/>
        <item m="1" x="84"/>
        <item m="1" x="416"/>
        <item m="1" x="205"/>
        <item m="1" x="310"/>
        <item m="1" x="410"/>
        <item m="1" x="165"/>
        <item m="1" x="106"/>
        <item m="1" x="55"/>
        <item m="1" x="198"/>
        <item m="1" x="119"/>
        <item m="1" x="43"/>
        <item m="1" x="130"/>
        <item m="1" x="328"/>
        <item m="1" x="48"/>
        <item m="1" x="212"/>
        <item m="1" x="270"/>
        <item m="1" x="336"/>
        <item m="1" x="37"/>
        <item m="1" x="100"/>
        <item m="1" x="170"/>
        <item m="1" x="250"/>
        <item m="1" x="226"/>
        <item m="1" x="131"/>
        <item m="1" x="376"/>
        <item m="1" x="257"/>
        <item m="1" x="216"/>
        <item m="1" x="251"/>
        <item m="1" x="391"/>
        <item m="1" x="227"/>
        <item m="1" x="271"/>
        <item m="1" x="189"/>
        <item m="1" x="438"/>
        <item m="1" x="56"/>
        <item m="1" x="300"/>
        <item m="1" x="301"/>
        <item m="1" x="313"/>
        <item m="1" x="263"/>
        <item m="1" x="107"/>
        <item m="1" x="171"/>
        <item m="1" x="357"/>
        <item m="1" x="132"/>
        <item m="1" x="329"/>
        <item m="1" x="406"/>
        <item m="1" x="94"/>
        <item m="1" x="180"/>
        <item m="1" x="38"/>
        <item m="1" x="264"/>
        <item m="1" x="439"/>
        <item m="1" x="217"/>
        <item m="1" x="95"/>
        <item m="1" x="66"/>
        <item m="1" x="67"/>
        <item m="1" x="108"/>
        <item m="1" x="44"/>
        <item m="1" x="427"/>
        <item m="1" x="57"/>
        <item m="1" x="190"/>
        <item m="1" x="206"/>
        <item m="1" x="358"/>
        <item m="1" x="207"/>
        <item m="1" x="392"/>
        <item m="1" x="346"/>
        <item m="1" x="166"/>
        <item m="1" x="182"/>
        <item m="1" x="396"/>
        <item m="1" x="318"/>
        <item m="1" x="428"/>
        <item m="1" x="101"/>
        <item m="1" x="287"/>
        <item m="1" x="237"/>
        <item m="1" x="96"/>
        <item m="1" x="429"/>
        <item m="1" x="85"/>
        <item m="1" x="302"/>
        <item m="1" x="228"/>
        <item m="1" x="58"/>
        <item m="1" x="424"/>
        <item m="1" x="45"/>
        <item m="1" x="430"/>
        <item m="1" x="148"/>
        <item m="1" x="229"/>
        <item m="1" x="288"/>
        <item m="1" x="183"/>
        <item m="1" x="89"/>
        <item m="1" x="195"/>
        <item m="1" x="294"/>
        <item m="1" x="172"/>
        <item m="1" x="149"/>
        <item m="1" x="120"/>
        <item m="1" x="367"/>
        <item m="1" x="339"/>
        <item m="1" x="208"/>
        <item m="1" x="265"/>
        <item m="1" x="289"/>
        <item m="1" x="218"/>
        <item m="1" x="27"/>
        <item m="1" x="433"/>
        <item m="1" x="397"/>
        <item m="1" x="340"/>
        <item m="1" x="393"/>
        <item m="1" x="90"/>
        <item m="1" x="184"/>
        <item m="1" x="219"/>
        <item x="22"/>
        <item x="7"/>
        <item x="1"/>
        <item x="2"/>
        <item x="6"/>
        <item x="8"/>
        <item x="21"/>
        <item x="14"/>
        <item x="20"/>
        <item x="10"/>
        <item x="9"/>
        <item x="15"/>
        <item x="3"/>
        <item x="19"/>
        <item x="17"/>
        <item m="1" x="311"/>
        <item x="5"/>
        <item x="4"/>
        <item x="16"/>
        <item x="13"/>
        <item x="18"/>
        <item x="0"/>
        <item x="11"/>
        <item x="12"/>
        <item m="1" x="258"/>
        <item m="1" x="341"/>
        <item m="1" x="185"/>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2441"/>
        <item m="1" x="3421"/>
        <item m="1" x="6345"/>
        <item m="1" x="7323"/>
        <item m="1" x="2309"/>
        <item m="1" x="3287"/>
        <item m="1" x="5245"/>
        <item m="1" x="6216"/>
        <item m="1" x="1216"/>
        <item m="1" x="2180"/>
        <item m="1" x="5114"/>
        <item m="1" x="6082"/>
        <item m="1" x="115"/>
        <item m="1" x="1087"/>
        <item m="1" x="4018"/>
        <item m="1" x="4987"/>
        <item m="1" x="7911"/>
        <item m="1" x="954"/>
        <item m="1" x="2896"/>
        <item m="1" x="3886"/>
        <item m="1" x="6803"/>
        <item m="1" x="7783"/>
        <item m="1" x="2765"/>
        <item m="1" x="3750"/>
        <item m="1" x="5695"/>
        <item m="1" x="6673"/>
        <item m="1" x="1666"/>
        <item m="1" x="2637"/>
        <item m="1" x="5565"/>
        <item m="1" x="6538"/>
        <item m="1" x="569"/>
        <item m="1" x="1534"/>
        <item m="1" x="2017"/>
        <item m="1" x="4475"/>
        <item m="1" x="4953"/>
        <item m="1" x="5436"/>
        <item m="1" x="7879"/>
        <item m="1" x="440"/>
        <item m="1" x="922"/>
        <item m="1" x="1402"/>
        <item m="1" x="3357"/>
        <item m="1" x="3853"/>
        <item m="1" x="4343"/>
        <item m="1" x="4823"/>
        <item m="1" x="7263"/>
        <item m="1" x="7752"/>
        <item m="1" x="311"/>
        <item m="1" x="2734"/>
        <item m="1" x="3227"/>
        <item m="1" x="3721"/>
        <item m="1" x="4213"/>
        <item m="1" x="6149"/>
        <item m="1" x="6643"/>
        <item m="1" x="7132"/>
        <item m="1" x="7622"/>
        <item m="1" x="2117"/>
        <item m="1" x="2607"/>
        <item m="1" x="3096"/>
        <item m="1" x="5533"/>
        <item m="1" x="6019"/>
        <item m="1" x="6510"/>
        <item m="1" x="7000"/>
        <item m="1" x="1020"/>
        <item m="1" x="1504"/>
        <item m="1" x="1987"/>
        <item m="1" x="2476"/>
        <item m="1" x="4922"/>
        <item m="1" x="5406"/>
        <item m="1" x="5891"/>
        <item m="1" x="6380"/>
        <item m="1" x="407"/>
        <item m="1" x="890"/>
        <item m="1" x="1374"/>
        <item m="1" x="1858"/>
        <item m="1" x="3819"/>
        <item m="1" x="4312"/>
        <item m="1" x="4793"/>
        <item m="1" x="5277"/>
        <item m="1" x="7719"/>
        <item m="1" x="279"/>
        <item m="1" x="761"/>
        <item m="1" x="1247"/>
        <item m="1" x="3194"/>
        <item m="1" x="3687"/>
        <item m="1" x="4182"/>
        <item m="1" x="4665"/>
        <item m="1" x="6611"/>
        <item m="1" x="7099"/>
        <item m="1" x="7588"/>
        <item m="1" x="151"/>
        <item m="1" x="2575"/>
        <item m="1" x="3063"/>
        <item m="1" x="3557"/>
        <item m="1" x="4055"/>
        <item m="1" x="5990"/>
        <item m="1" x="6479"/>
        <item m="1" x="6969"/>
        <item m="1" x="7459"/>
        <item m="1" x="1473"/>
        <item m="1" x="1719"/>
        <item m="1" x="1958"/>
        <item m="1" x="2201"/>
        <item m="1" x="2445"/>
        <item m="1" x="2691"/>
        <item m="1" x="2935"/>
        <item m="1" x="3177"/>
        <item m="1" x="5133"/>
        <item m="1" x="5375"/>
        <item m="1" x="5621"/>
        <item m="1" x="5861"/>
        <item m="1" x="6106"/>
        <item m="1" x="6351"/>
        <item m="1" x="6594"/>
        <item m="1" x="6841"/>
        <item m="1" x="860"/>
        <item m="1" x="1106"/>
        <item m="1" x="1345"/>
        <item m="1" x="1591"/>
        <item m="1" x="1829"/>
        <item m="1" x="2074"/>
        <item m="1" x="2314"/>
        <item m="1" x="4278"/>
        <item m="1" x="4524"/>
        <item m="1" x="4764"/>
        <item m="1" x="5007"/>
        <item m="1" x="5248"/>
        <item m="1" x="5493"/>
        <item m="1" x="5734"/>
        <item m="1" x="5975"/>
        <item m="1" x="7929"/>
        <item m="1" x="245"/>
        <item m="1" x="491"/>
        <item m="1" x="731"/>
        <item m="1" x="978"/>
        <item m="1" x="1222"/>
        <item m="1" x="1460"/>
        <item m="1" x="1706"/>
        <item m="1" x="3651"/>
        <item m="1" x="3904"/>
        <item m="1" x="4149"/>
        <item m="1" x="4397"/>
        <item m="1" x="4636"/>
        <item m="1" x="4879"/>
        <item m="1" x="5120"/>
        <item m="1" x="7063"/>
        <item m="1" x="7309"/>
        <item m="1" x="7554"/>
        <item m="1" x="7802"/>
        <item m="1" x="119"/>
        <item m="1" x="364"/>
        <item m="1" x="607"/>
        <item m="1" x="845"/>
        <item m="1" x="2784"/>
        <item m="1" x="3028"/>
        <item m="1" x="3275"/>
        <item m="1" x="3523"/>
        <item m="1" x="3771"/>
        <item m="1" x="4024"/>
        <item m="1" x="4265"/>
        <item m="1" x="4512"/>
        <item m="1" x="6443"/>
        <item m="1" x="6692"/>
        <item m="1" x="6935"/>
        <item m="1" x="7183"/>
        <item m="1" x="7425"/>
        <item m="1" x="7672"/>
        <item m="1" x="7916"/>
        <item m="1" x="1924"/>
        <item m="1" x="2166"/>
        <item m="1" x="2409"/>
        <item m="1" x="2657"/>
        <item m="1" x="2900"/>
        <item m="1" x="3146"/>
        <item m="1" x="3395"/>
        <item m="1" x="3637"/>
        <item m="1" x="5586"/>
        <item m="1" x="5825"/>
        <item m="1" x="6070"/>
        <item m="1" x="6314"/>
        <item m="1" x="6560"/>
        <item m="1" x="6809"/>
        <item m="1" x="7049"/>
        <item m="1" x="7296"/>
        <item m="1" x="1311"/>
        <item m="1" x="1554"/>
        <item m="1" x="1794"/>
        <item m="1" x="2039"/>
        <item m="1" x="2278"/>
        <item m="1" x="2527"/>
        <item m="1" x="2770"/>
        <item m="1" x="4731"/>
        <item m="1" x="4972"/>
        <item m="1" x="5212"/>
        <item m="1" x="5457"/>
        <item m="1" x="5699"/>
        <item m="1" x="5941"/>
        <item m="1" x="6187"/>
        <item m="1" x="6428"/>
        <item m="1" x="460"/>
        <item m="1" x="699"/>
        <item m="1" x="942"/>
        <item m="1" x="1186"/>
        <item m="1" x="1425"/>
        <item m="1" x="1672"/>
        <item m="1" x="1907"/>
        <item m="1" x="2151"/>
        <item m="1" x="4119"/>
        <item m="1" x="4362"/>
        <item m="1" x="4603"/>
        <item m="1" x="4845"/>
        <item m="1" x="5083"/>
        <item m="1" x="5328"/>
        <item m="1" x="5570"/>
        <item m="1" x="7523"/>
        <item m="1" x="7768"/>
        <item m="1" x="86"/>
        <item m="1" x="330"/>
        <item m="1" x="573"/>
        <item m="1" x="812"/>
        <item m="1" x="1056"/>
        <item m="1" x="1296"/>
        <item m="1" x="3244"/>
        <item m="1" x="3490"/>
        <item m="1" x="3738"/>
        <item m="1" x="3990"/>
        <item m="1" x="4232"/>
        <item m="1" x="4480"/>
        <item m="1" x="4714"/>
        <item m="1" x="4957"/>
        <item m="1" x="6904"/>
        <item m="1" x="7149"/>
        <item m="1" x="7393"/>
        <item m="1" x="7516"/>
        <item m="1" x="7641"/>
        <item m="1" x="7762"/>
        <item m="1" x="7883"/>
        <item m="1" x="79"/>
        <item m="1" x="201"/>
        <item m="1" x="323"/>
        <item m="1" x="444"/>
        <item m="1" x="565"/>
        <item m="1" x="2376"/>
        <item m="1" x="2502"/>
        <item m="1" x="2622"/>
        <item m="1" x="2743"/>
        <item m="1" x="2868"/>
        <item m="1" x="2990"/>
        <item m="1" x="3114"/>
        <item m="1" x="3237"/>
        <item m="1" x="3361"/>
        <item m="1" x="3484"/>
        <item m="1" x="3731"/>
        <item m="1" x="3857"/>
        <item m="1" x="3982"/>
        <item m="1" x="4105"/>
        <item m="1" x="5915"/>
        <item m="1" x="6037"/>
        <item m="1" x="6159"/>
        <item m="1" x="6280"/>
        <item m="1" x="6403"/>
        <item m="1" x="6526"/>
        <item m="1" x="6652"/>
        <item m="1" x="6776"/>
        <item m="1" x="6897"/>
        <item m="1" x="7017"/>
        <item m="1" x="7143"/>
        <item m="1" x="7266"/>
        <item m="1" x="7386"/>
        <item m="1" x="7508"/>
        <item m="1" x="7633"/>
        <item m="1" x="7755"/>
        <item m="1" x="1645"/>
        <item m="1" x="1763"/>
        <item m="1" x="1880"/>
        <item m="1" x="2004"/>
        <item m="1" x="2127"/>
        <item m="1" x="2246"/>
        <item m="1" x="2369"/>
        <item m="1" x="2495"/>
        <item m="1" x="2616"/>
        <item m="1" x="2737"/>
        <item m="1" x="2862"/>
        <item m="1" x="2984"/>
        <item m="1" x="3108"/>
        <item m="1" x="3230"/>
        <item m="1" x="3354"/>
        <item m="1" x="5179"/>
        <item m="1" x="5303"/>
        <item m="1" x="5421"/>
        <item m="1" x="5543"/>
        <item m="1" x="5665"/>
        <item m="1" x="5785"/>
        <item m="1" x="5908"/>
        <item m="1" x="6030"/>
        <item m="1" x="6152"/>
        <item m="1" x="6274"/>
        <item m="1" x="6397"/>
        <item m="1" x="6520"/>
        <item m="1" x="6646"/>
        <item m="1" x="6769"/>
        <item m="1" x="6892"/>
        <item m="1" x="786"/>
        <item m="1" x="908"/>
        <item m="1" x="1030"/>
        <item m="1" x="1150"/>
        <item m="1" x="1271"/>
        <item m="1" x="1390"/>
        <item m="1" x="1513"/>
        <item m="1" x="1638"/>
        <item m="1" x="1756"/>
        <item m="1" x="1874"/>
        <item m="1" x="1998"/>
        <item m="1" x="2120"/>
        <item m="1" x="2240"/>
        <item m="1" x="2362"/>
        <item m="1" x="2487"/>
        <item m="1" x="2611"/>
        <item m="1" x="4455"/>
        <item m="1" x="4572"/>
        <item m="1" x="4689"/>
        <item m="1" x="4810"/>
        <item m="1" x="4932"/>
        <item m="1" x="5051"/>
        <item m="1" x="5171"/>
        <item m="1" x="5296"/>
        <item m="1" x="5415"/>
        <item m="1" x="5536"/>
        <item m="1" x="5659"/>
        <item m="1" x="5779"/>
        <item m="1" x="5902"/>
        <item m="1" x="6023"/>
        <item m="1" x="6146"/>
        <item m="1" x="7982"/>
        <item m="1" x="177"/>
        <item m="1" x="296"/>
        <item m="1" x="418"/>
        <item m="1" x="539"/>
        <item m="1" x="660"/>
        <item m="1" x="779"/>
        <item m="1" x="901"/>
        <item m="1" x="1023"/>
        <item m="1" x="1145"/>
        <item m="1" x="1265"/>
        <item m="1" x="1384"/>
        <item m="1" x="1507"/>
        <item m="1" x="1631"/>
        <item m="1" x="1751"/>
        <item m="1" x="3706"/>
        <item m="1" x="3830"/>
        <item m="1" x="3957"/>
        <item m="1" x="4081"/>
        <item m="1" x="4200"/>
        <item m="1" x="4323"/>
        <item m="1" x="4448"/>
        <item m="1" x="4565"/>
        <item m="1" x="4683"/>
        <item m="1" x="4805"/>
        <item m="1" x="4925"/>
        <item m="1" x="5045"/>
        <item m="1" x="5165"/>
        <item m="1" x="5288"/>
        <item m="1" x="5410"/>
        <item m="1" x="7243"/>
        <item m="1" x="7364"/>
        <item m="1" x="7485"/>
        <item m="1" x="7609"/>
        <item m="1" x="7732"/>
        <item m="1" x="7853"/>
        <item m="1" x="7975"/>
        <item m="1" x="171"/>
        <item m="1" x="290"/>
        <item m="1" x="411"/>
        <item m="1" x="533"/>
        <item m="1" x="654"/>
        <item m="1" x="773"/>
        <item m="1" x="894"/>
        <item m="1" x="1017"/>
        <item m="1" x="2839"/>
        <item m="1" x="2961"/>
        <item m="1" x="3082"/>
        <item m="1" x="3205"/>
        <item m="1" x="3329"/>
        <item m="1" x="3454"/>
        <item m="1" x="3577"/>
        <item m="1" x="3699"/>
        <item m="1" x="3823"/>
        <item m="1" x="3950"/>
        <item m="1" x="4074"/>
        <item m="1" x="4193"/>
        <item m="1" x="4316"/>
        <item m="1" x="4440"/>
        <item m="1" x="4559"/>
        <item m="1" x="6498"/>
        <item m="1" x="6621"/>
        <item m="1" x="6746"/>
        <item m="1" x="6868"/>
        <item m="1" x="6987"/>
        <item m="1" x="7111"/>
        <item m="1" x="7235"/>
        <item m="1" x="7356"/>
        <item m="1" x="7477"/>
        <item m="1" x="7601"/>
        <item m="1" x="7723"/>
        <item m="1" x="7845"/>
        <item m="1" x="7967"/>
        <item m="1" x="161"/>
        <item m="1" x="283"/>
        <item m="1" x="2099"/>
        <item m="1" x="2219"/>
        <item m="1" x="2340"/>
        <item m="1" x="2464"/>
        <item m="1" x="2588"/>
        <item m="1" x="2709"/>
        <item m="1" x="2831"/>
        <item m="1" x="2954"/>
        <item m="1" x="3075"/>
        <item m="1" x="3197"/>
        <item m="1" x="3322"/>
        <item m="1" x="3447"/>
        <item m="1" x="3570"/>
        <item m="1" x="3691"/>
        <item m="1" x="3815"/>
        <item m="1" x="5638"/>
        <item m="1" x="5758"/>
        <item m="1" x="5879"/>
        <item m="1" x="6001"/>
        <item m="1" x="6124"/>
        <item m="1" x="6247"/>
        <item m="1" x="6370"/>
        <item m="1" x="6492"/>
        <item m="1" x="6615"/>
        <item m="1" x="6740"/>
        <item m="1" x="6862"/>
        <item m="1" x="6981"/>
        <item m="1" x="7105"/>
        <item m="1" x="7228"/>
        <item m="1" x="7350"/>
        <item m="1" x="1363"/>
        <item m="1" x="1483"/>
        <item m="1" x="1608"/>
        <item m="1" x="1730"/>
        <item m="1" x="1846"/>
        <item m="1" x="1969"/>
        <item m="1" x="2093"/>
        <item m="1" x="2212"/>
        <item m="1" x="2333"/>
        <item m="1" x="2457"/>
        <item m="1" x="2580"/>
        <item m="1" x="2702"/>
        <item m="1" x="2824"/>
        <item m="1" x="2946"/>
        <item m="1" x="3068"/>
        <item m="1" x="4904"/>
        <item m="1" x="5024"/>
        <item m="1" x="5144"/>
        <item m="1" x="5266"/>
        <item m="1" x="5387"/>
        <item m="1" x="5509"/>
        <item m="1" x="5631"/>
        <item m="1" x="5750"/>
        <item m="1" x="5871"/>
        <item m="1" x="5993"/>
        <item m="1" x="6116"/>
        <item m="1" x="6239"/>
        <item m="1" x="6362"/>
        <item m="1" x="6483"/>
        <item m="1" x="6606"/>
        <item m="1" x="512"/>
        <item m="1" x="632"/>
        <item m="1" x="749"/>
        <item m="1" x="872"/>
        <item m="1" x="994"/>
        <item m="1" x="1117"/>
        <item m="1" x="1237"/>
        <item m="1" x="1356"/>
        <item m="1" x="1476"/>
        <item m="1" x="1601"/>
        <item m="1" x="1723"/>
        <item m="1" x="1839"/>
        <item m="1" x="1962"/>
        <item m="1" x="2085"/>
        <item m="1" x="2205"/>
        <item m="1" x="2325"/>
        <item m="1" x="4170"/>
        <item m="1" x="4292"/>
        <item m="1" x="4417"/>
        <item m="1" x="4538"/>
        <item m="1" x="4653"/>
        <item m="1" x="4776"/>
        <item m="1" x="4897"/>
        <item m="1" x="5017"/>
        <item m="1" x="5137"/>
        <item m="1" x="5259"/>
        <item m="1" x="5380"/>
        <item m="1" x="5503"/>
        <item m="1" x="5625"/>
        <item m="1" x="5743"/>
        <item m="1" x="5865"/>
        <item m="1" x="3671"/>
        <item m="1" x="7700"/>
        <item m="1" x="3794"/>
        <item m="1" x="7822"/>
        <item m="1" x="3922"/>
        <item m="1" x="7944"/>
        <item m="1" x="4047"/>
        <item m="1" x="139"/>
        <item m="1" x="4165"/>
        <item m="1" x="259"/>
        <item m="1" x="4287"/>
        <item m="1" x="381"/>
        <item m="1" x="4412"/>
        <item m="1" x="503"/>
        <item m="1" x="4533"/>
        <item m="1" x="623"/>
        <item m="1" x="4648"/>
        <item m="1" x="741"/>
        <item m="1" x="4771"/>
        <item m="1" x="864"/>
        <item m="1" x="4893"/>
        <item m="1" x="987"/>
        <item m="1" x="5014"/>
        <item m="1" x="1111"/>
        <item m="1" x="5134"/>
        <item m="1" x="1231"/>
        <item m="1" x="5255"/>
        <item m="1" x="1349"/>
        <item m="1" x="5376"/>
        <item m="1" x="1469"/>
        <item m="1" x="5499"/>
        <item m="1" x="3299"/>
        <item m="1" x="7329"/>
        <item m="1" x="3422"/>
        <item m="1" x="7448"/>
        <item m="1" x="3543"/>
        <item m="1" x="7571"/>
        <item m="1" x="3665"/>
        <item m="1" x="7695"/>
        <item m="1" x="3789"/>
        <item m="1" x="7817"/>
        <item m="1" x="3917"/>
        <item m="1" x="7939"/>
        <item m="1" x="4042"/>
        <item m="1" x="134"/>
        <item m="1" x="4160"/>
        <item m="1" x="253"/>
        <item m="1" x="4282"/>
        <item m="1" x="376"/>
        <item m="1" x="4407"/>
        <item m="1" x="498"/>
        <item m="1" x="4529"/>
        <item m="1" x="619"/>
        <item m="1" x="4645"/>
        <item m="1" x="738"/>
        <item m="1" x="4768"/>
        <item m="1" x="861"/>
        <item m="1" x="4889"/>
        <item m="1" x="983"/>
        <item m="1" x="5010"/>
        <item m="1" x="1107"/>
        <item m="1" x="5129"/>
        <item m="1" x="2925"/>
        <item m="1" x="3046"/>
        <item m="1" x="7077"/>
        <item m="1" x="3168"/>
        <item m="1" x="7203"/>
        <item m="1" x="3293"/>
        <item m="1" x="7324"/>
        <item m="1" x="3416"/>
        <item m="1" x="7443"/>
        <item m="1" x="3538"/>
        <item m="1" x="7566"/>
        <item m="1" x="3660"/>
        <item m="1" x="7690"/>
        <item m="1" x="3784"/>
        <item m="1" x="7812"/>
        <item m="1" x="3912"/>
        <item m="1" x="7934"/>
        <item m="1" x="4037"/>
        <item m="1" x="130"/>
        <item m="1" x="4156"/>
        <item m="1" x="250"/>
        <item m="1" x="4279"/>
        <item m="1" x="373"/>
        <item m="1" x="4404"/>
        <item m="1" x="495"/>
        <item m="1" x="4525"/>
        <item m="1" x="615"/>
        <item m="1" x="4641"/>
        <item m="1" x="734"/>
        <item m="1" x="6464"/>
        <item m="1" x="2557"/>
        <item m="1" x="6585"/>
        <item m="1" x="2677"/>
        <item m="1" x="6710"/>
        <item m="1" x="2799"/>
        <item m="1" x="6832"/>
        <item m="1" x="2920"/>
        <item m="1" x="6951"/>
        <item m="1" x="3042"/>
        <item m="1" x="7072"/>
        <item m="1" x="3163"/>
        <item m="1" x="7198"/>
        <item m="1" x="3288"/>
        <item m="1" x="7318"/>
        <item m="1" x="3411"/>
        <item m="1" x="7438"/>
        <item m="1" x="3533"/>
        <item m="1" x="7561"/>
        <item m="1" x="3655"/>
        <item m="1" x="7686"/>
        <item m="1" x="3780"/>
        <item m="1" x="7809"/>
        <item m="1" x="3909"/>
        <item m="1" x="7930"/>
        <item m="1" x="4034"/>
        <item m="1" x="126"/>
        <item m="1" x="4152"/>
        <item m="1" x="246"/>
        <item m="1" x="4274"/>
        <item m="1" x="369"/>
        <item m="1" x="6095"/>
        <item m="1" x="2187"/>
        <item m="1" x="6217"/>
        <item m="1" x="2304"/>
        <item m="1" x="6336"/>
        <item m="1" x="2428"/>
        <item m="1" x="6458"/>
        <item m="1" x="2552"/>
        <item m="1" x="6580"/>
        <item m="1" x="2672"/>
        <item m="1" x="6705"/>
        <item m="1" x="2794"/>
        <item m="1" x="6827"/>
        <item m="1" x="2915"/>
        <item m="1" x="6946"/>
        <item m="1" x="3036"/>
        <item m="1" x="7067"/>
        <item m="1" x="3158"/>
        <item m="1" x="7193"/>
        <item m="1" x="3282"/>
        <item m="1" x="7314"/>
        <item m="1" x="3407"/>
        <item m="1" x="7435"/>
        <item m="1" x="3530"/>
        <item m="1" x="7558"/>
        <item m="1" x="3652"/>
        <item m="1" x="7682"/>
        <item m="1" x="3776"/>
        <item m="1" x="7805"/>
        <item m="1" x="3905"/>
        <item m="1" x="7925"/>
        <item m="1" x="5726"/>
        <item m="1" x="1817"/>
        <item m="1" x="5845"/>
        <item m="1" x="1938"/>
        <item m="1" x="5966"/>
        <item m="1" x="2061"/>
        <item m="1" x="6088"/>
        <item m="1" x="2181"/>
        <item m="1" x="6210"/>
        <item m="1" x="2298"/>
        <item m="1" x="6330"/>
        <item m="1" x="2422"/>
        <item m="1" x="6452"/>
        <item m="1" x="2546"/>
        <item m="1" x="6574"/>
        <item m="1" x="2667"/>
        <item m="1" x="6700"/>
        <item m="1" x="2789"/>
        <item m="1" x="6822"/>
        <item m="1" x="2911"/>
        <item m="1" x="6942"/>
        <item m="1" x="3033"/>
        <item m="1" x="7064"/>
        <item m="1" x="3155"/>
        <item m="1" x="7190"/>
        <item m="1" x="3279"/>
        <item m="1" x="7310"/>
        <item m="1" x="3403"/>
        <item m="1" x="7431"/>
        <item m="1" x="3526"/>
        <item m="1" x="1331"/>
        <item m="1" x="5358"/>
        <item m="1" x="1450"/>
        <item m="1" x="5479"/>
        <item m="1" x="1573"/>
        <item m="1" x="5601"/>
        <item m="1" x="1696"/>
        <item m="1" x="5720"/>
        <item m="1" x="1811"/>
        <item m="1" x="5839"/>
        <item m="1" x="1932"/>
        <item m="1" x="5960"/>
        <item m="1" x="2055"/>
        <item m="1" x="6083"/>
        <item m="1" x="2174"/>
        <item m="1" x="6204"/>
        <item m="1" x="2293"/>
        <item m="1" x="6325"/>
        <item m="1" x="2417"/>
        <item m="1" x="6447"/>
        <item m="1" x="2542"/>
        <item m="1" x="6570"/>
        <item m="1" x="2664"/>
        <item m="1" x="6697"/>
        <item m="1" x="2785"/>
        <item m="1" x="6819"/>
        <item m="1" x="2907"/>
        <item m="1" x="6938"/>
        <item m="1" x="3029"/>
        <item m="1" x="7059"/>
        <item m="1" x="3151"/>
        <item m="1" x="966"/>
        <item m="1" x="4993"/>
        <item m="1" x="1088"/>
        <item m="1" x="5109"/>
        <item m="1" x="1207"/>
        <item m="1" x="5231"/>
        <item m="1" x="1326"/>
        <item m="1" x="5353"/>
        <item m="1" x="1445"/>
        <item m="1" x="5474"/>
        <item m="1" x="1568"/>
        <item m="1" x="5596"/>
        <item m="1" x="1691"/>
        <item m="1" x="5715"/>
        <item m="1" x="1806"/>
        <item m="1" x="5834"/>
        <item m="1" x="1928"/>
        <item m="1" x="5956"/>
        <item m="1" x="2051"/>
        <item m="1" x="6078"/>
        <item m="1" x="2171"/>
        <item m="1" x="6201"/>
        <item m="1" x="2290"/>
        <item m="1" x="6322"/>
        <item m="1" x="2413"/>
        <item m="1" x="6444"/>
        <item m="1" x="2538"/>
        <item m="1" x="6566"/>
        <item m="1" x="2660"/>
        <item m="1" x="6693"/>
        <item m="1" x="2780"/>
        <item m="1" x="599"/>
        <item m="1" x="4625"/>
        <item m="1" x="716"/>
        <item m="1" x="4745"/>
        <item m="1" x="837"/>
        <item m="1" x="4866"/>
        <item m="1" x="961"/>
        <item m="1" x="4988"/>
        <item m="1" x="1081"/>
        <item m="1" x="5104"/>
        <item m="1" x="1202"/>
        <item m="1" x="5226"/>
        <item m="1" x="1321"/>
        <item m="1" x="5348"/>
        <item m="1" x="1440"/>
        <item m="1" x="5469"/>
        <item m="1" x="1564"/>
        <item m="1" x="5592"/>
        <item m="1" x="1687"/>
        <item m="1" x="5712"/>
        <item m="1" x="1803"/>
        <item m="1" x="5831"/>
        <item m="1" x="1925"/>
        <item m="1" x="5953"/>
        <item m="1" x="2048"/>
        <item m="1" x="6075"/>
        <item m="1" x="2167"/>
        <item m="1" x="6197"/>
        <item m="1" x="2286"/>
        <item m="1" x="6318"/>
        <item m="1" x="230"/>
        <item m="1" x="4257"/>
        <item m="1" x="351"/>
        <item m="1" x="4380"/>
        <item m="1" x="473"/>
        <item m="1" x="4504"/>
        <item m="1" x="594"/>
        <item m="1" x="4620"/>
        <item m="1" x="711"/>
        <item m="1" x="4740"/>
        <item m="1" x="832"/>
        <item m="1" x="4861"/>
        <item m="1" x="955"/>
        <item m="1" x="4981"/>
        <item m="1" x="1075"/>
        <item m="1" x="5099"/>
        <item m="1" x="1197"/>
        <item m="1" x="5221"/>
        <item m="1" x="1316"/>
        <item m="1" x="5344"/>
        <item m="1" x="1436"/>
        <item m="1" x="5465"/>
        <item m="1" x="1560"/>
        <item m="1" x="5587"/>
        <item m="1" x="1683"/>
        <item m="1" x="5707"/>
        <item m="1" x="1798"/>
        <item m="1" x="5826"/>
        <item m="1" x="1919"/>
        <item m="1" x="5948"/>
        <item m="1" x="3760"/>
        <item m="1" x="7789"/>
        <item m="1" x="3887"/>
        <item m="1" x="7906"/>
        <item m="1" x="4010"/>
        <item m="1" x="103"/>
        <item m="1" x="4132"/>
        <item m="1" x="225"/>
        <item m="1" x="4252"/>
        <item m="1" x="346"/>
        <item m="1" x="4375"/>
        <item m="1" x="468"/>
        <item m="1" x="4499"/>
        <item m="1" x="588"/>
        <item m="1" x="4614"/>
        <item m="1" x="706"/>
        <item m="1" x="4735"/>
        <item m="1" x="827"/>
        <item m="1" x="4856"/>
        <item m="1" x="949"/>
        <item m="1" x="4977"/>
        <item m="1" x="1071"/>
        <item m="1" x="5095"/>
        <item m="1" x="1193"/>
        <item m="1" x="5216"/>
        <item m="1" x="1312"/>
        <item m="1" x="5339"/>
        <item m="1" x="1431"/>
        <item m="1" x="5460"/>
        <item m="1" x="1555"/>
        <item m="1" x="5581"/>
        <item m="1" x="3387"/>
        <item m="1" x="7414"/>
        <item m="1" x="3508"/>
        <item m="1" x="7536"/>
        <item m="1" x="3629"/>
        <item m="1" x="7660"/>
        <item m="1" x="3755"/>
        <item m="1" x="7784"/>
        <item m="1" x="3880"/>
        <item m="1" x="7902"/>
        <item m="1" x="4006"/>
        <item m="1" x="99"/>
        <item m="1" x="4128"/>
        <item m="1" x="220"/>
        <item m="1" x="4247"/>
        <item m="1" x="342"/>
        <item m="1" x="4371"/>
        <item m="1" x="464"/>
        <item m="1" x="4495"/>
        <item m="1" x="585"/>
        <item m="1" x="4611"/>
        <item m="1" x="4732"/>
        <item m="1" x="824"/>
        <item m="1" x="4853"/>
        <item m="1" x="946"/>
        <item m="1" x="4973"/>
        <item m="1" x="1067"/>
        <item m="1" x="5091"/>
        <item m="1" x="1189"/>
        <item m="1" x="3013"/>
        <item m="1" x="7041"/>
        <item m="1" x="3133"/>
        <item m="1" x="7166"/>
        <item m="1" x="3257"/>
        <item m="1" x="7288"/>
        <item m="1" x="3382"/>
        <item m="1" x="7409"/>
        <item m="1" x="3503"/>
        <item m="1" x="7532"/>
        <item m="1" x="3625"/>
        <item m="1" x="7656"/>
        <item m="1" x="3751"/>
        <item m="1" x="7778"/>
        <item m="1" x="3875"/>
        <item m="1" x="7898"/>
        <item m="1" x="4002"/>
        <item m="1" x="95"/>
        <item m="1" x="4124"/>
        <item m="1" x="217"/>
        <item m="1" x="4244"/>
        <item m="1" x="339"/>
        <item m="1" x="4368"/>
        <item m="1" x="461"/>
        <item m="1" x="4492"/>
        <item m="1" x="582"/>
        <item m="1" x="4607"/>
        <item m="1" x="700"/>
        <item m="1" x="4727"/>
        <item m="1" x="820"/>
        <item m="1" x="6548"/>
        <item m="1" x="2643"/>
        <item m="1" x="6674"/>
        <item m="1" x="2760"/>
        <item m="1" x="6795"/>
        <item m="1" x="2884"/>
        <item m="1" x="6917"/>
        <item m="1" x="3008"/>
        <item m="1" x="7036"/>
        <item m="1" x="3129"/>
        <item m="1" x="7162"/>
        <item m="1" x="3253"/>
        <item m="1" x="7284"/>
        <item m="1" x="3377"/>
        <item m="1" x="7404"/>
        <item m="1" x="3499"/>
        <item m="1" x="7528"/>
        <item m="1" x="3621"/>
        <item m="1" x="7652"/>
        <item m="1" x="3746"/>
        <item m="1" x="7774"/>
        <item m="1" x="3871"/>
        <item m="1" x="7894"/>
        <item m="1" x="3998"/>
        <item m="1" x="91"/>
        <item m="1" x="4120"/>
        <item m="1" x="212"/>
        <item m="1" x="4239"/>
        <item m="1" x="334"/>
        <item m="1" x="4363"/>
        <item m="1" x="455"/>
        <item m="1" x="6179"/>
        <item m="1" x="2267"/>
        <item m="1" x="6298"/>
        <item m="1" x="2389"/>
        <item m="1" x="6420"/>
        <item m="1" x="2515"/>
        <item m="1" x="6543"/>
        <item m="1" x="2638"/>
        <item m="1" x="6668"/>
        <item m="1" x="2756"/>
        <item m="1" x="6791"/>
        <item m="1" x="2880"/>
        <item m="1" x="6913"/>
        <item m="1" x="3003"/>
        <item m="1" x="7031"/>
        <item m="1" x="3125"/>
        <item m="1" x="7158"/>
        <item m="1" x="3249"/>
        <item m="1" x="7280"/>
        <item m="1" x="3372"/>
        <item m="1" x="7400"/>
        <item m="1" x="3495"/>
        <item m="1" x="7524"/>
        <item m="1" x="3617"/>
        <item m="1" x="7648"/>
        <item m="1" x="3742"/>
        <item m="1" x="7769"/>
        <item m="1" x="3866"/>
        <item m="1" x="7889"/>
        <item m="1" x="3993"/>
        <item m="1" x="5808"/>
        <item m="1" x="1899"/>
        <item m="1" x="5928"/>
        <item m="1" x="2022"/>
        <item m="1" x="6051"/>
        <item m="1" x="2143"/>
        <item m="1" x="6174"/>
        <item m="1" x="2262"/>
        <item m="1" x="6293"/>
        <item m="1" x="2385"/>
        <item m="1" x="6416"/>
        <item m="1" x="2511"/>
        <item m="1" x="6539"/>
        <item m="1" x="2632"/>
        <item m="1" x="6663"/>
        <item m="1" x="2752"/>
        <item m="1" x="6787"/>
        <item m="1" x="2876"/>
        <item m="1" x="6909"/>
        <item m="1" x="2999"/>
        <item m="1" x="7027"/>
        <item m="1" x="3121"/>
        <item m="1" x="7154"/>
        <item m="1" x="3245"/>
        <item m="1" x="7276"/>
        <item m="1" x="3368"/>
        <item m="1" x="7396"/>
        <item m="1" x="3491"/>
        <item m="1" x="7519"/>
        <item m="1" x="3613"/>
        <item m="1" x="1412"/>
        <item m="1" x="5442"/>
        <item m="1" x="1535"/>
        <item m="1" x="5560"/>
        <item m="1" x="1658"/>
        <item m="1" x="5683"/>
        <item m="1" x="1776"/>
        <item m="1" x="5803"/>
        <item m="1" x="1894"/>
        <item m="1" x="5924"/>
        <item m="1" x="2018"/>
        <item m="1" x="6047"/>
        <item m="1" x="2139"/>
        <item m="1" x="6169"/>
        <item m="1" x="2257"/>
        <item m="1" x="6289"/>
        <item m="1" x="2381"/>
        <item m="1" x="6412"/>
        <item m="1" x="2507"/>
        <item m="1" x="6534"/>
        <item m="1" x="2628"/>
        <item m="1" x="6659"/>
        <item m="1" x="2748"/>
        <item m="1" x="6783"/>
        <item m="1" x="2872"/>
        <item m="1" x="6905"/>
        <item m="1" x="2994"/>
        <item m="1" x="7023"/>
        <item m="1" x="3117"/>
        <item m="1" x="7150"/>
        <item m="1" x="3240"/>
        <item m="1" x="1049"/>
        <item m="1" x="5072"/>
        <item m="1" x="1169"/>
        <item m="1" x="5192"/>
        <item m="1" x="1288"/>
        <item m="1" x="5316"/>
        <item m="1" x="7334"/>
        <item m="1" x="1407"/>
        <item m="1" x="3428"/>
        <item m="1" x="5437"/>
        <item m="1" x="7454"/>
        <item m="1" x="1529"/>
        <item m="1" x="3548"/>
        <item m="1" x="5556"/>
        <item m="1" x="7576"/>
        <item m="1" x="1654"/>
        <item m="1" x="3672"/>
        <item m="1" x="5679"/>
        <item m="1" x="7701"/>
        <item m="1" x="1772"/>
        <item m="1" x="3795"/>
        <item m="1" x="5798"/>
        <item m="1" x="7823"/>
        <item m="1" x="1889"/>
        <item m="1" x="3923"/>
        <item m="1" x="5920"/>
        <item m="1" x="7945"/>
        <item m="1" x="2013"/>
        <item m="1" x="4048"/>
        <item m="1" x="6042"/>
        <item m="1" x="140"/>
        <item m="1" x="2135"/>
        <item m="1" x="4166"/>
        <item m="1" x="6164"/>
        <item m="1" x="260"/>
        <item m="1" x="2253"/>
        <item m="1" x="4288"/>
        <item m="1" x="6285"/>
        <item m="1" x="382"/>
        <item m="1" x="2377"/>
        <item m="1" x="4413"/>
        <item m="1" x="6408"/>
        <item m="1" x="504"/>
        <item m="1" x="2503"/>
        <item m="1" x="4534"/>
        <item m="1" x="6530"/>
        <item m="1" x="624"/>
        <item m="1" x="2623"/>
        <item m="1" x="4649"/>
        <item m="1" x="6655"/>
        <item m="1" x="742"/>
        <item m="1" x="2744"/>
        <item m="1" x="4772"/>
        <item m="1" x="6779"/>
        <item m="1" x="865"/>
        <item m="1" x="6595"/>
        <item m="1" x="682"/>
        <item m="1" x="2687"/>
        <item m="1" x="4707"/>
        <item m="1" x="6721"/>
        <item m="1" x="800"/>
        <item m="1" x="2808"/>
        <item m="1" x="4828"/>
        <item m="1" x="6842"/>
        <item m="1" x="923"/>
        <item m="1" x="2930"/>
        <item m="1" x="4948"/>
        <item m="1" x="6960"/>
        <item m="1" x="1044"/>
        <item m="1" x="3052"/>
        <item m="1" x="5067"/>
        <item m="1" x="7083"/>
        <item m="1" x="1164"/>
        <item m="1" x="3173"/>
        <item m="1" x="5188"/>
        <item m="1" x="7208"/>
        <item m="1" x="1284"/>
        <item m="1" x="3300"/>
        <item m="1" x="5312"/>
        <item m="1" x="7330"/>
        <item m="1" x="1403"/>
        <item m="1" x="3423"/>
        <item m="1" x="5431"/>
        <item m="1" x="7449"/>
        <item m="1" x="1524"/>
        <item m="1" x="3544"/>
        <item m="1" x="5552"/>
        <item m="1" x="7572"/>
        <item m="1" x="1650"/>
        <item m="1" x="3666"/>
        <item m="1" x="5674"/>
        <item m="1" x="7696"/>
        <item m="1" x="1768"/>
        <item m="1" x="3790"/>
        <item m="1" x="5794"/>
        <item m="1" x="7818"/>
        <item m="1" x="1885"/>
        <item m="1" x="3918"/>
        <item m="1" x="5916"/>
        <item m="1" x="7940"/>
        <item m="1" x="2009"/>
        <item m="1" x="4043"/>
        <item m="1" x="6038"/>
        <item m="1" x="135"/>
        <item m="1" x="2131"/>
        <item m="1" x="4161"/>
        <item m="1" x="6160"/>
        <item m="1" x="254"/>
        <item m="1" x="2249"/>
        <item m="1" x="4283"/>
        <item m="1" x="6281"/>
        <item m="1" x="377"/>
        <item m="1" x="2372"/>
        <item m="1" x="4408"/>
        <item m="1" x="6404"/>
        <item m="1" x="499"/>
        <item m="1" x="4221"/>
        <item m="1" x="6226"/>
        <item m="1" x="316"/>
        <item m="1" x="2315"/>
        <item m="1" x="4344"/>
        <item m="1" x="6346"/>
        <item m="1" x="435"/>
        <item m="1" x="2436"/>
        <item m="1" x="4467"/>
        <item m="1" x="6468"/>
        <item m="1" x="557"/>
        <item m="1" x="2561"/>
        <item m="1" x="4585"/>
        <item m="1" x="6589"/>
        <item m="1" x="677"/>
        <item m="1" x="2682"/>
        <item m="1" x="4702"/>
        <item m="1" x="6715"/>
        <item m="1" x="795"/>
        <item m="1" x="2804"/>
        <item m="1" x="4824"/>
        <item m="1" x="6837"/>
        <item m="1" x="918"/>
        <item m="1" x="2926"/>
        <item m="1" x="4944"/>
        <item m="1" x="6956"/>
        <item m="1" x="1039"/>
        <item m="1" x="3047"/>
        <item m="1" x="5062"/>
        <item m="1" x="7078"/>
        <item m="1" x="1159"/>
        <item m="1" x="3169"/>
        <item m="1" x="5184"/>
        <item m="1" x="7204"/>
        <item m="1" x="1280"/>
        <item m="1" x="3294"/>
        <item m="1" x="5308"/>
        <item m="1" x="7325"/>
        <item m="1" x="1398"/>
        <item m="1" x="3417"/>
        <item m="1" x="5427"/>
        <item m="1" x="7444"/>
        <item m="1" x="1520"/>
        <item m="1" x="3539"/>
        <item m="1" x="5548"/>
        <item m="1" x="7567"/>
        <item m="1" x="1646"/>
        <item m="1" x="3661"/>
        <item m="1" x="5670"/>
        <item m="1" x="7691"/>
        <item m="1" x="1764"/>
        <item m="1" x="3785"/>
        <item m="1" x="5789"/>
        <item m="1" x="7813"/>
        <item m="1" x="1881"/>
        <item m="1" x="3913"/>
        <item m="1" x="5911"/>
        <item m="1" x="7935"/>
        <item m="1" x="2005"/>
        <item m="1" x="4038"/>
        <item m="1" x="6033"/>
        <item m="1" x="3849"/>
        <item m="1" x="5855"/>
        <item m="1" x="7873"/>
        <item m="1" x="1948"/>
        <item m="1" x="3975"/>
        <item m="1" x="5976"/>
        <item m="1" x="7996"/>
        <item m="1" x="2070"/>
        <item m="1" x="4098"/>
        <item m="1" x="6099"/>
        <item m="1" x="191"/>
        <item m="1" x="2191"/>
        <item m="1" x="4217"/>
        <item m="1" x="6222"/>
        <item m="1" x="312"/>
        <item m="1" x="2310"/>
        <item m="1" x="4339"/>
        <item m="1" x="6341"/>
        <item m="1" x="432"/>
        <item m="1" x="2433"/>
        <item m="1" x="4464"/>
        <item m="1" x="6465"/>
        <item m="1" x="554"/>
        <item m="1" x="2558"/>
        <item m="1" x="4582"/>
        <item m="1" x="6586"/>
        <item m="1" x="673"/>
        <item m="1" x="2678"/>
        <item m="1" x="4698"/>
        <item m="1" x="6711"/>
        <item m="1" x="791"/>
        <item m="1" x="2800"/>
        <item m="1" x="4819"/>
        <item m="1" x="6833"/>
        <item m="1" x="913"/>
        <item m="1" x="2921"/>
        <item m="1" x="4940"/>
        <item m="1" x="6952"/>
        <item m="1" x="1035"/>
        <item m="1" x="5058"/>
        <item m="1" x="7073"/>
        <item m="1" x="1155"/>
        <item m="1" x="3164"/>
        <item m="1" x="5180"/>
        <item m="1" x="7199"/>
        <item m="1" x="1276"/>
        <item m="1" x="3289"/>
        <item m="1" x="5304"/>
        <item m="1" x="7319"/>
        <item m="1" x="1394"/>
        <item m="1" x="3412"/>
        <item m="1" x="5422"/>
        <item m="1" x="7439"/>
        <item m="1" x="1516"/>
        <item m="1" x="3534"/>
        <item m="1" x="5544"/>
        <item m="1" x="7562"/>
        <item m="1" x="1641"/>
        <item m="1" x="3656"/>
        <item m="1" x="5666"/>
        <item m="1" x="1461"/>
        <item m="1" x="3476"/>
        <item m="1" x="5490"/>
        <item m="1" x="7503"/>
        <item m="1" x="1585"/>
        <item m="1" x="3598"/>
        <item m="1" x="5611"/>
        <item m="1" x="7627"/>
        <item m="1" x="1707"/>
        <item m="1" x="3722"/>
        <item m="1" x="5730"/>
        <item m="1" x="7748"/>
        <item m="1" x="1822"/>
        <item m="1" x="3845"/>
        <item m="1" x="5851"/>
        <item m="1" x="7869"/>
        <item m="1" x="1944"/>
        <item m="1" x="3971"/>
        <item m="1" x="5972"/>
        <item m="1" x="7993"/>
        <item m="1" x="2067"/>
        <item m="1" x="4095"/>
        <item m="1" x="6096"/>
        <item m="1" x="188"/>
        <item m="1" x="2188"/>
        <item m="1" x="4214"/>
        <item m="1" x="6218"/>
        <item m="1" x="307"/>
        <item m="1" x="2305"/>
        <item m="1" x="4335"/>
        <item m="1" x="6337"/>
        <item m="1" x="428"/>
        <item m="1" x="2429"/>
        <item m="1" x="4460"/>
        <item m="1" x="6459"/>
        <item m="1" x="549"/>
        <item m="1" x="2553"/>
        <item m="1" x="4578"/>
        <item m="1" x="6581"/>
        <item m="1" x="669"/>
        <item m="1" x="2673"/>
        <item m="1" x="4694"/>
        <item m="1" x="6706"/>
        <item m="1" x="787"/>
        <item m="1" x="2795"/>
        <item m="1" x="4815"/>
        <item m="1" x="6828"/>
        <item m="1" x="909"/>
        <item m="1" x="2916"/>
        <item m="1" x="4936"/>
        <item m="1" x="6947"/>
        <item m="1" x="1031"/>
        <item m="1" x="3037"/>
        <item m="1" x="5054"/>
        <item m="1" x="7068"/>
        <item m="1" x="1151"/>
        <item m="1" x="3159"/>
        <item m="1" x="5175"/>
        <item m="1" x="7194"/>
        <item m="1" x="1272"/>
        <item m="1" x="3283"/>
        <item m="1" x="7009"/>
        <item m="1" x="1098"/>
        <item m="1" x="3102"/>
        <item m="1" x="5121"/>
        <item m="1" x="7133"/>
        <item m="1" x="1217"/>
        <item m="1" x="3222"/>
        <item m="1" x="5240"/>
        <item m="1" x="7256"/>
        <item m="1" x="1336"/>
        <item m="1" x="3347"/>
        <item m="1" x="5363"/>
        <item m="1" x="7377"/>
        <item m="1" x="1455"/>
        <item m="1" x="3471"/>
        <item m="1" x="5485"/>
        <item m="1" x="7498"/>
        <item m="1" x="1579"/>
        <item m="1" x="3593"/>
        <item m="1" x="5607"/>
        <item m="1" x="7623"/>
        <item m="1" x="1702"/>
        <item m="1" x="3717"/>
        <item m="1" x="5727"/>
        <item m="1" x="7744"/>
        <item m="1" x="1818"/>
        <item m="1" x="3840"/>
        <item m="1" x="5846"/>
        <item m="1" x="7864"/>
        <item m="1" x="1939"/>
        <item m="1" x="3966"/>
        <item m="1" x="5967"/>
        <item m="1" x="7988"/>
        <item m="1" x="2062"/>
        <item m="1" x="4090"/>
        <item m="1" x="6089"/>
        <item m="1" x="183"/>
        <item m="1" x="2182"/>
        <item m="1" x="4208"/>
        <item m="1" x="6211"/>
        <item m="1" x="302"/>
        <item m="1" x="2299"/>
        <item m="1" x="4330"/>
        <item m="1" x="6331"/>
        <item m="1" x="423"/>
        <item m="1" x="2423"/>
        <item m="1" x="4456"/>
        <item m="1" x="6453"/>
        <item m="1" x="544"/>
        <item m="1" x="2547"/>
        <item m="1" x="4573"/>
        <item m="1" x="6575"/>
        <item m="1" x="664"/>
        <item m="1" x="2668"/>
        <item m="1" x="4690"/>
        <item m="1" x="6701"/>
        <item m="1" x="782"/>
        <item m="1" x="2790"/>
        <item m="1" x="4811"/>
        <item m="1" x="6823"/>
        <item m="1" x="904"/>
        <item m="1" x="6639"/>
        <item m="1" x="725"/>
        <item m="1" x="2728"/>
        <item m="1" x="4754"/>
        <item m="1" x="6762"/>
        <item m="1" x="846"/>
        <item m="1" x="2851"/>
        <item m="1" x="4874"/>
        <item m="1" x="6884"/>
        <item m="1" x="970"/>
        <item m="1" x="2974"/>
        <item m="1" x="4997"/>
        <item m="1" x="7004"/>
        <item m="1" x="1093"/>
        <item m="1" x="3097"/>
        <item m="1" x="5115"/>
        <item m="1" x="7127"/>
        <item m="1" x="1212"/>
        <item m="1" x="3218"/>
        <item m="1" x="5236"/>
        <item m="1" x="7252"/>
        <item m="1" x="1332"/>
        <item m="1" x="3343"/>
        <item m="1" x="5359"/>
        <item m="1" x="7373"/>
        <item m="1" x="1451"/>
        <item m="1" x="3466"/>
        <item m="1" x="5480"/>
        <item m="1" x="7493"/>
        <item m="1" x="1574"/>
        <item m="1" x="3588"/>
        <item m="1" x="5602"/>
        <item m="1" x="7617"/>
        <item m="1" x="1697"/>
        <item m="1" x="3711"/>
        <item m="1" x="5721"/>
        <item m="1" x="7739"/>
        <item m="1" x="1812"/>
        <item m="1" x="3835"/>
        <item m="1" x="5840"/>
        <item m="1" x="7859"/>
        <item m="1" x="1933"/>
        <item m="1" x="3961"/>
        <item m="1" x="5961"/>
        <item m="1" x="7983"/>
        <item m="1" x="2056"/>
        <item m="1" x="4085"/>
        <item m="1" x="6084"/>
        <item m="1" x="178"/>
        <item m="1" x="2175"/>
        <item m="1" x="4203"/>
        <item m="1" x="6205"/>
        <item m="1" x="297"/>
        <item m="1" x="2294"/>
        <item m="1" x="4326"/>
        <item m="1" x="6326"/>
        <item m="1" x="419"/>
        <item m="1" x="2418"/>
        <item m="1" x="4451"/>
        <item m="1" x="6448"/>
        <item m="1" x="540"/>
        <item m="1" x="4266"/>
        <item m="1" x="6266"/>
        <item m="1" x="360"/>
        <item m="1" x="2356"/>
        <item m="1" x="4389"/>
        <item m="1" x="6388"/>
        <item m="1" x="481"/>
        <item m="1" x="2480"/>
        <item m="1" x="4513"/>
        <item m="1" x="6511"/>
        <item m="1" x="603"/>
        <item m="1" x="2603"/>
        <item m="1" x="4629"/>
        <item m="1" x="6635"/>
        <item m="1" x="721"/>
        <item m="1" x="2724"/>
        <item m="1" x="4750"/>
        <item m="1" x="6759"/>
        <item m="1" x="842"/>
        <item m="1" x="2848"/>
        <item m="1" x="4871"/>
        <item m="1" x="6881"/>
        <item m="1" x="967"/>
        <item m="1" x="2971"/>
        <item m="1" x="4994"/>
        <item m="1" x="7001"/>
        <item m="1" x="1089"/>
        <item m="1" x="3092"/>
        <item m="1" x="5110"/>
        <item m="1" x="7123"/>
        <item m="1" x="1208"/>
        <item m="1" x="3214"/>
        <item m="1" x="5232"/>
        <item m="1" x="7248"/>
        <item m="1" x="1327"/>
        <item m="1" x="3338"/>
        <item m="1" x="5354"/>
        <item m="1" x="7369"/>
        <item m="1" x="1446"/>
        <item m="1" x="3463"/>
        <item m="1" x="5475"/>
        <item m="1" x="7489"/>
        <item m="1" x="1569"/>
        <item m="1" x="3584"/>
        <item m="1" x="5597"/>
        <item m="1" x="7613"/>
        <item m="1" x="1692"/>
        <item m="1" x="3707"/>
        <item m="1" x="5716"/>
        <item m="1" x="7735"/>
        <item m="1" x="1807"/>
        <item m="1" x="3831"/>
        <item m="1" x="5835"/>
        <item m="1" x="7856"/>
        <item m="1" x="1929"/>
        <item m="1" x="3958"/>
        <item m="1" x="5957"/>
        <item m="1" x="7979"/>
        <item m="1" x="2052"/>
        <item m="1" x="4082"/>
        <item m="1" x="6079"/>
        <item m="1" x="1866"/>
        <item m="1" x="3896"/>
        <item m="1" x="5896"/>
        <item m="1" x="7917"/>
        <item m="1" x="1988"/>
        <item m="1" x="4019"/>
        <item m="1" x="6015"/>
        <item m="1" x="111"/>
        <item m="1" x="2110"/>
        <item m="1" x="4140"/>
        <item m="1" x="6139"/>
        <item m="1" x="234"/>
        <item m="1" x="2231"/>
        <item m="1" x="4261"/>
        <item m="1" x="6262"/>
        <item m="1" x="356"/>
        <item m="1" x="2352"/>
        <item m="1" x="4385"/>
        <item m="1" x="6385"/>
        <item m="1" x="478"/>
        <item m="1" x="2477"/>
        <item m="1" x="4509"/>
        <item m="1" x="6507"/>
        <item m="1" x="600"/>
        <item m="1" x="2600"/>
        <item m="1" x="4626"/>
        <item m="1" x="6631"/>
        <item m="1" x="717"/>
        <item m="1" x="2720"/>
        <item m="1" x="4746"/>
        <item m="1" x="6755"/>
        <item m="1" x="838"/>
        <item m="1" x="2844"/>
        <item m="1" x="4867"/>
        <item m="1" x="6877"/>
        <item m="1" x="962"/>
        <item m="1" x="2967"/>
        <item m="1" x="4989"/>
        <item m="1" x="6996"/>
        <item m="1" x="1082"/>
        <item m="1" x="3088"/>
        <item m="1" x="5105"/>
        <item m="1" x="7119"/>
        <item m="1" x="1203"/>
        <item m="1" x="3210"/>
        <item m="1" x="5227"/>
        <item m="1" x="7244"/>
        <item m="1" x="1322"/>
        <item m="1" x="3334"/>
        <item m="1" x="5349"/>
        <item m="1" x="7365"/>
        <item m="1" x="1441"/>
        <item m="1" x="3458"/>
        <item m="1" x="5470"/>
        <item m="1" x="7486"/>
        <item m="1" x="1565"/>
        <item m="1" x="3581"/>
        <item m="1" x="5593"/>
        <item m="1" x="7610"/>
        <item m="1" x="1688"/>
        <item m="1" x="3703"/>
        <item m="1" x="1500"/>
        <item m="1" x="3517"/>
        <item m="1" x="5527"/>
        <item m="1" x="7545"/>
        <item m="1" x="1623"/>
        <item m="1" x="3638"/>
        <item m="1" x="5649"/>
        <item m="1" x="7668"/>
        <item m="1" x="1744"/>
        <item m="1" x="3764"/>
        <item m="1" x="5770"/>
        <item m="1" x="7793"/>
        <item m="1" x="1862"/>
        <item m="1" x="3892"/>
        <item m="1" x="5892"/>
        <item m="1" x="7912"/>
        <item m="1" x="1983"/>
        <item m="1" x="4015"/>
        <item m="1" x="6012"/>
        <item m="1" x="108"/>
        <item m="1" x="2107"/>
        <item m="1" x="4137"/>
        <item m="1" x="6136"/>
        <item m="1" x="231"/>
        <item m="1" x="2228"/>
        <item m="1" x="4258"/>
        <item m="1" x="6258"/>
        <item m="1" x="352"/>
        <item m="1" x="2348"/>
        <item m="1" x="4381"/>
        <item m="1" x="6381"/>
        <item m="1" x="474"/>
        <item m="1" x="2472"/>
        <item m="1" x="4505"/>
        <item m="1" x="6503"/>
        <item m="1" x="595"/>
        <item m="1" x="2596"/>
        <item m="1" x="4621"/>
        <item m="1" x="6627"/>
        <item m="1" x="712"/>
        <item m="1" x="2716"/>
        <item m="1" x="4741"/>
        <item m="1" x="6751"/>
        <item m="1" x="833"/>
        <item m="1" x="2840"/>
        <item m="1" x="4862"/>
        <item m="1" x="6873"/>
        <item m="1" x="956"/>
        <item m="1" x="2962"/>
        <item m="1" x="4982"/>
        <item m="1" x="6991"/>
        <item m="1" x="1076"/>
        <item m="1" x="3083"/>
        <item m="1" x="5100"/>
        <item m="1" x="7115"/>
        <item m="1" x="1198"/>
        <item m="1" x="3206"/>
        <item m="1" x="5222"/>
        <item m="1" x="7239"/>
        <item m="1" x="1317"/>
        <item m="1" x="3330"/>
        <item m="1" x="7050"/>
        <item m="1" x="1137"/>
        <item m="1" x="3142"/>
        <item m="1" x="5159"/>
        <item m="1" x="7175"/>
        <item m="1" x="1255"/>
        <item m="1" x="3265"/>
        <item m="1" x="5281"/>
        <item m="1" x="7297"/>
        <item m="1" x="1375"/>
        <item m="1" x="3391"/>
        <item m="1" x="5402"/>
        <item m="1" x="7418"/>
        <item m="1" x="1496"/>
        <item m="1" x="3513"/>
        <item m="1" x="5523"/>
        <item m="1" x="7541"/>
        <item m="1" x="1619"/>
        <item m="1" x="3634"/>
        <item m="1" x="5646"/>
        <item m="1" x="7665"/>
        <item m="1" x="1741"/>
        <item m="1" x="3761"/>
        <item m="1" x="5767"/>
        <item m="1" x="7790"/>
        <item m="1" x="1859"/>
        <item m="1" x="3888"/>
        <item m="1" x="5887"/>
        <item m="1" x="7907"/>
        <item m="1" x="1979"/>
        <item m="1" x="4011"/>
        <item m="1" x="6008"/>
        <item m="1" x="104"/>
        <item m="1" x="2103"/>
        <item m="1" x="4133"/>
        <item m="1" x="6132"/>
        <item m="1" x="226"/>
        <item m="1" x="2224"/>
        <item m="1" x="4253"/>
        <item m="1" x="6254"/>
        <item m="1" x="347"/>
        <item m="1" x="2344"/>
        <item m="1" x="4376"/>
        <item m="1" x="6376"/>
        <item m="1" x="469"/>
        <item m="1" x="2468"/>
        <item m="1" x="4500"/>
        <item m="1" x="6499"/>
        <item m="1" x="589"/>
        <item m="1" x="2591"/>
        <item m="1" x="4615"/>
        <item m="1" x="6622"/>
        <item m="1" x="707"/>
        <item m="1" x="2712"/>
        <item m="1" x="4736"/>
        <item m="1" x="6747"/>
        <item m="1" x="828"/>
        <item m="1" x="2835"/>
        <item m="1" x="4857"/>
        <item m="1" x="6869"/>
        <item m="1" x="950"/>
        <item m="1" x="4673"/>
        <item m="1" x="6683"/>
        <item m="1" x="766"/>
        <item m="1" x="2771"/>
        <item m="1" x="4794"/>
        <item m="1" x="6804"/>
        <item m="1" x="886"/>
        <item m="1" x="2892"/>
        <item m="1" x="4915"/>
        <item m="1" x="6926"/>
        <item m="1" x="1010"/>
        <item m="1" x="3017"/>
        <item m="1" x="5036"/>
        <item m="1" x="7045"/>
        <item m="1" x="1133"/>
        <item m="1" x="3138"/>
        <item m="1" x="5155"/>
        <item m="1" x="7171"/>
        <item m="1" x="1252"/>
        <item m="1" x="3262"/>
        <item m="1" x="5278"/>
        <item m="1" x="7293"/>
        <item m="1" x="1371"/>
        <item m="1" x="3388"/>
        <item m="1" x="5399"/>
        <item m="1" x="7415"/>
        <item m="1" x="1492"/>
        <item m="1" x="3509"/>
        <item m="1" x="5519"/>
        <item m="1" x="7537"/>
        <item m="1" x="1615"/>
        <item m="1" x="3630"/>
        <item m="1" x="5642"/>
        <item m="1" x="7661"/>
        <item m="1" x="1737"/>
        <item m="1" x="3756"/>
        <item m="1" x="5763"/>
        <item m="1" x="7785"/>
        <item m="1" x="1854"/>
        <item m="1" x="3881"/>
        <item m="1" x="5883"/>
        <item m="1" x="7903"/>
        <item m="1" x="1976"/>
        <item m="1" x="4007"/>
        <item m="1" x="6005"/>
        <item m="1" x="100"/>
        <item m="1" x="2100"/>
        <item m="1" x="4129"/>
        <item m="1" x="6128"/>
        <item m="1" x="221"/>
        <item m="1" x="2220"/>
        <item m="1" x="4248"/>
        <item m="1" x="6250"/>
        <item m="1" x="343"/>
        <item m="1" x="2341"/>
        <item m="1" x="4372"/>
        <item m="1" x="6373"/>
        <item m="1" x="465"/>
        <item m="1" x="2465"/>
        <item m="1" x="4496"/>
        <item m="1" x="6495"/>
        <item m="1" x="4308"/>
        <item m="1" x="6307"/>
        <item m="1" x="400"/>
        <item m="1" x="2398"/>
        <item m="1" x="4432"/>
        <item m="1" x="6429"/>
        <item m="1" x="522"/>
        <item m="1" x="2523"/>
        <item m="1" x="4552"/>
        <item m="1" x="6553"/>
        <item m="1" x="644"/>
        <item m="1" x="2647"/>
        <item m="1" x="4669"/>
        <item m="1" x="6679"/>
        <item m="1" x="762"/>
        <item m="1" x="2766"/>
        <item m="1" x="4789"/>
        <item m="1" x="6800"/>
        <item m="1" x="883"/>
        <item m="1" x="2889"/>
        <item m="1" x="4912"/>
        <item m="1" x="6922"/>
        <item m="1" x="1006"/>
        <item m="1" x="3014"/>
        <item m="1" x="5033"/>
        <item m="1" x="7042"/>
        <item m="1" x="1129"/>
        <item m="1" x="3134"/>
        <item m="1" x="5151"/>
        <item m="1" x="7167"/>
        <item m="1" x="1248"/>
        <item m="1" x="3258"/>
        <item m="1" x="5273"/>
        <item m="1" x="7289"/>
        <item m="1" x="1367"/>
        <item m="1" x="3383"/>
        <item m="1" x="5395"/>
        <item m="1" x="7410"/>
        <item m="1" x="1488"/>
        <item m="1" x="3504"/>
        <item m="1" x="5516"/>
        <item m="1" x="7533"/>
        <item m="1" x="1612"/>
        <item m="1" x="3626"/>
        <item m="1" x="5639"/>
        <item m="1" x="7657"/>
        <item m="1" x="1734"/>
        <item m="1" x="3752"/>
        <item m="1" x="5759"/>
        <item m="1" x="7779"/>
        <item m="1" x="1850"/>
        <item m="1" x="3876"/>
        <item m="1" x="5880"/>
        <item m="1" x="7899"/>
        <item m="1" x="1973"/>
        <item m="1" x="4003"/>
        <item m="1" x="6002"/>
        <item m="1" x="96"/>
        <item m="1" x="2096"/>
        <item m="1" x="4125"/>
        <item m="1" x="6125"/>
        <item m="1" x="1908"/>
        <item m="1" x="3940"/>
        <item m="1" x="5937"/>
        <item m="1" x="7960"/>
        <item m="1" x="2031"/>
        <item m="1" x="6059"/>
        <item m="1" x="154"/>
        <item m="1" x="2152"/>
        <item m="1" x="4183"/>
        <item m="1" x="6183"/>
        <item m="1" x="275"/>
        <item m="1" x="2271"/>
        <item m="1" x="4304"/>
        <item m="1" x="6303"/>
        <item m="1" x="396"/>
        <item m="1" x="2394"/>
        <item m="1" x="4428"/>
        <item m="1" x="6425"/>
        <item m="1" x="519"/>
        <item m="1" x="2520"/>
        <item m="1" x="4549"/>
        <item m="1" x="6549"/>
        <item m="1" x="641"/>
        <item m="1" x="2644"/>
        <item m="1" x="4666"/>
        <item m="1" x="6675"/>
        <item m="1" x="757"/>
        <item m="1" x="2761"/>
        <item m="1" x="4785"/>
        <item m="1" x="6796"/>
        <item m="1" x="879"/>
        <item m="1" x="2885"/>
        <item m="1" x="4908"/>
        <item m="1" x="6918"/>
        <item m="1" x="1002"/>
        <item m="1" x="3009"/>
        <item m="1" x="5029"/>
        <item m="1" x="7037"/>
        <item m="1" x="1125"/>
        <item m="1" x="3130"/>
        <item m="1" x="5148"/>
        <item m="1" x="7163"/>
        <item m="1" x="1244"/>
        <item m="1" x="3254"/>
        <item m="1" x="5270"/>
        <item m="1" x="7285"/>
        <item m="1" x="1364"/>
        <item m="1" x="3378"/>
        <item m="1" x="5391"/>
        <item m="1" x="7405"/>
        <item m="1" x="1484"/>
        <item m="1" x="3500"/>
        <item m="1" x="5513"/>
        <item m="1" x="7529"/>
        <item m="1" x="1609"/>
        <item m="1" x="3622"/>
        <item m="1" x="5635"/>
        <item m="1" x="7653"/>
        <item m="1" x="1731"/>
        <item m="1" x="3747"/>
        <item m="1" x="1544"/>
        <item m="1" x="3562"/>
        <item m="1" x="5571"/>
        <item m="1" x="7589"/>
        <item m="1" x="1667"/>
        <item m="1" x="3683"/>
        <item m="1" x="5691"/>
        <item m="1" x="7712"/>
        <item m="1" x="1784"/>
        <item m="1" x="3808"/>
        <item m="1" x="5812"/>
        <item m="1" x="7835"/>
        <item m="1" x="1903"/>
        <item m="1" x="3936"/>
        <item m="1" x="5933"/>
        <item m="1" x="7956"/>
        <item m="1" x="2027"/>
        <item m="1" x="4060"/>
        <item m="1" x="6056"/>
        <item m="1" x="152"/>
        <item m="1" x="2148"/>
        <item m="1" x="4178"/>
        <item m="1" x="6180"/>
        <item m="1" x="272"/>
        <item m="1" x="2268"/>
        <item m="1" x="4301"/>
        <item m="1" x="6299"/>
        <item m="1" x="392"/>
        <item m="1" x="2390"/>
        <item m="1" x="4424"/>
        <item m="1" x="6421"/>
        <item m="1" x="515"/>
        <item m="1" x="2516"/>
        <item m="1" x="4545"/>
        <item m="1" x="6544"/>
        <item m="1" x="637"/>
        <item m="1" x="2639"/>
        <item m="1" x="4661"/>
        <item m="1" x="6669"/>
        <item m="1" x="753"/>
        <item m="1" x="2757"/>
        <item m="1" x="4782"/>
        <item m="1" x="6792"/>
        <item m="1" x="876"/>
        <item m="1" x="2881"/>
        <item m="1" x="4905"/>
        <item m="1" x="6914"/>
        <item m="1" x="998"/>
        <item m="1" x="3004"/>
        <item m="1" x="5025"/>
        <item m="1" x="7032"/>
        <item m="1" x="1121"/>
        <item m="1" x="3126"/>
        <item m="1" x="5145"/>
        <item m="1" x="7159"/>
        <item m="1" x="1241"/>
        <item m="1" x="3250"/>
        <item m="1" x="5267"/>
        <item m="1" x="7281"/>
        <item m="1" x="1360"/>
        <item m="1" x="3373"/>
        <item m="1" x="7094"/>
        <item m="1" x="1177"/>
        <item m="1" x="3185"/>
        <item m="1" x="5200"/>
        <item m="1" x="7219"/>
        <item m="1" x="1297"/>
        <item m="1" x="3311"/>
        <item m="1" x="5324"/>
        <item m="1" x="7342"/>
        <item m="1" x="1417"/>
        <item m="1" x="3436"/>
        <item m="1" x="5446"/>
        <item m="1" x="7463"/>
        <item m="1" x="1540"/>
        <item m="1" x="3558"/>
        <item m="1" x="5566"/>
        <item m="1" x="7584"/>
        <item m="1" x="1663"/>
        <item m="1" x="3680"/>
        <item m="1" x="5688"/>
        <item m="1" x="7709"/>
        <item m="1" x="1781"/>
        <item m="1" x="3804"/>
        <item m="1" x="5809"/>
        <item m="1" x="7832"/>
        <item m="1" x="1900"/>
        <item m="1" x="3932"/>
        <item m="1" x="5929"/>
        <item m="1" x="7952"/>
        <item m="1" x="2023"/>
        <item m="1" x="4056"/>
        <item m="1" x="6052"/>
        <item m="1" x="147"/>
        <item m="1" x="2144"/>
        <item m="1" x="4174"/>
        <item m="1" x="6175"/>
        <item m="1" x="268"/>
        <item m="1" x="2263"/>
        <item m="1" x="4297"/>
        <item m="1" x="6294"/>
        <item m="1" x="389"/>
        <item m="1" x="2386"/>
        <item m="1" x="4421"/>
        <item m="1" x="6417"/>
        <item m="1" x="513"/>
        <item m="1" x="2512"/>
        <item m="1" x="4542"/>
        <item m="1" x="6540"/>
        <item m="1" x="633"/>
        <item m="1" x="2633"/>
        <item m="1" x="4657"/>
        <item m="1" x="6664"/>
        <item m="1" x="750"/>
        <item m="1" x="2753"/>
        <item m="1" x="4780"/>
        <item m="1" x="6788"/>
        <item m="1" x="873"/>
        <item m="1" x="2877"/>
        <item m="1" x="4901"/>
        <item m="1" x="6910"/>
        <item m="1" x="995"/>
        <item m="1" x="4715"/>
        <item m="1" x="6729"/>
        <item m="1" x="808"/>
        <item m="1" x="2816"/>
        <item m="1" x="4836"/>
        <item m="1" x="6850"/>
        <item m="1" x="931"/>
        <item m="1" x="2939"/>
        <item m="1" x="4958"/>
        <item m="1" x="6970"/>
        <item m="1" x="1053"/>
        <item m="1" x="3060"/>
        <item m="1" x="5076"/>
        <item m="1" x="7091"/>
        <item m="1" x="1174"/>
        <item m="1" x="3182"/>
        <item m="1" x="5197"/>
        <item m="1" x="7216"/>
        <item m="1" x="1293"/>
        <item m="1" x="3308"/>
        <item m="1" x="5321"/>
        <item m="1" x="7339"/>
        <item m="1" x="1413"/>
        <item m="1" x="3433"/>
        <item m="1" x="5443"/>
        <item m="1" x="7460"/>
        <item m="1" x="1536"/>
        <item m="1" x="3553"/>
        <item m="1" x="5561"/>
        <item m="1" x="7580"/>
        <item m="1" x="1659"/>
        <item m="1" x="3676"/>
        <item m="1" x="5684"/>
        <item m="1" x="7705"/>
        <item m="1" x="1777"/>
        <item m="1" x="3800"/>
        <item m="1" x="5804"/>
        <item m="1" x="7828"/>
        <item m="1" x="1895"/>
        <item m="1" x="3928"/>
        <item m="1" x="5925"/>
        <item m="1" x="7949"/>
        <item m="1" x="2019"/>
        <item m="1" x="4052"/>
        <item m="1" x="6048"/>
        <item m="1" x="144"/>
        <item m="1" x="2140"/>
        <item m="1" x="4171"/>
        <item m="1" x="6170"/>
        <item m="1" x="264"/>
        <item m="1" x="2258"/>
        <item m="1" x="4293"/>
        <item m="1" x="6290"/>
        <item m="1" x="386"/>
        <item m="1" x="2382"/>
        <item m="1" x="4418"/>
        <item m="1" x="6413"/>
        <item m="1" x="508"/>
        <item m="1" x="2508"/>
        <item m="1" x="4539"/>
        <item m="1" x="6535"/>
        <item m="1" x="4352"/>
        <item m="1" x="6355"/>
        <item m="1" x="445"/>
        <item m="1" x="2446"/>
        <item m="1" x="4476"/>
        <item m="1" x="6476"/>
        <item m="1" x="566"/>
        <item m="1" x="2569"/>
        <item m="1" x="4593"/>
        <item m="1" x="6600"/>
        <item m="1" x="686"/>
        <item m="1" x="2692"/>
        <item m="1" x="4711"/>
        <item m="1" x="6726"/>
        <item m="1" x="805"/>
        <item m="1" x="2813"/>
        <item m="1" x="4833"/>
        <item m="1" x="6847"/>
        <item m="1" x="928"/>
        <item m="1" x="2936"/>
        <item m="1" x="4954"/>
        <item m="1" x="6965"/>
        <item m="1" x="1050"/>
        <item m="1" x="3057"/>
        <item m="1" x="5073"/>
        <item m="1" x="7088"/>
        <item m="1" x="1170"/>
        <item m="1" x="3178"/>
        <item m="1" x="5193"/>
        <item m="1" x="7212"/>
        <item m="1" x="1289"/>
        <item m="1" x="3304"/>
        <item m="1" x="5317"/>
        <item m="1" x="7335"/>
        <item m="1" x="1408"/>
        <item m="1" x="3429"/>
        <item m="1" x="5438"/>
        <item m="1" x="7455"/>
        <item m="1" x="1530"/>
        <item m="1" x="3549"/>
        <item m="1" x="5557"/>
        <item m="1" x="7577"/>
        <item m="1" x="1655"/>
        <item m="1" x="3673"/>
        <item m="1" x="5680"/>
        <item m="1" x="7702"/>
        <item m="1" x="1773"/>
        <item m="1" x="3796"/>
        <item m="1" x="5799"/>
        <item m="1" x="7824"/>
        <item m="1" x="1890"/>
        <item m="1" x="3924"/>
        <item m="1" x="5921"/>
        <item m="1" x="7946"/>
        <item m="1" x="2014"/>
        <item m="1" x="4049"/>
        <item m="1" x="6043"/>
        <item m="1" x="141"/>
        <item m="1" x="2136"/>
        <item m="1" x="4167"/>
        <item m="1" x="6165"/>
        <item m="1" x="957"/>
        <item m="1" x="1954"/>
        <item m="1" x="2963"/>
        <item m="1" x="3983"/>
        <item m="1" x="4983"/>
        <item m="1" x="5983"/>
        <item m="1" x="6992"/>
        <item m="1" x="75"/>
        <item m="1" x="1077"/>
        <item m="1" x="2078"/>
        <item m="1" x="3084"/>
        <item m="1" x="4106"/>
        <item m="1" x="5101"/>
        <item m="1" x="6107"/>
        <item m="1" x="7116"/>
        <item m="1" x="198"/>
        <item m="1" x="1199"/>
        <item m="1" x="2198"/>
        <item m="1" x="3207"/>
        <item m="1" x="4226"/>
        <item m="1" x="5223"/>
        <item m="1" x="6230"/>
        <item m="1" x="7240"/>
        <item m="1" x="320"/>
        <item m="1" x="1318"/>
        <item m="1" x="2319"/>
        <item m="1" x="3331"/>
        <item m="1" x="4349"/>
        <item m="1" x="5345"/>
        <item m="1" x="6352"/>
        <item m="1" x="7361"/>
        <item m="1" x="441"/>
        <item m="1" x="1437"/>
        <item m="1" x="2442"/>
        <item m="1" x="3455"/>
        <item m="1" x="4472"/>
        <item m="1" x="5466"/>
        <item m="1" x="6473"/>
        <item m="1" x="7482"/>
        <item m="1" x="562"/>
        <item m="1" x="1561"/>
        <item m="1" x="2566"/>
        <item m="1" x="3578"/>
        <item m="1" x="4590"/>
        <item m="1" x="5588"/>
        <item m="1" x="6596"/>
        <item m="1" x="7606"/>
        <item m="1" x="683"/>
        <item m="1" x="1684"/>
        <item m="1" x="2688"/>
        <item m="1" x="3700"/>
        <item m="1" x="4708"/>
        <item m="1" x="5708"/>
        <item m="1" x="6722"/>
        <item m="1" x="7728"/>
        <item m="1" x="801"/>
        <item m="1" x="1799"/>
        <item m="1" x="2809"/>
        <item m="1" x="3824"/>
        <item m="1" x="4829"/>
        <item m="1" x="5827"/>
        <item m="1" x="6843"/>
        <item m="1" x="7849"/>
        <item m="1" x="924"/>
        <item m="1" x="1920"/>
        <item m="1" x="2931"/>
        <item m="1" x="3951"/>
        <item m="1" x="4949"/>
        <item m="1" x="5949"/>
        <item m="1" x="6961"/>
        <item m="1" x="7971"/>
        <item m="1" x="1045"/>
        <item m="1" x="2044"/>
        <item m="1" x="3053"/>
        <item m="1" x="4075"/>
        <item m="1" x="5068"/>
        <item m="1" x="6071"/>
        <item m="1" x="7084"/>
        <item m="1" x="166"/>
        <item m="1" x="1165"/>
        <item m="1" x="2162"/>
        <item m="1" x="3174"/>
        <item m="1" x="4194"/>
        <item m="1" x="5189"/>
        <item m="1" x="6194"/>
        <item m="1" x="7209"/>
        <item m="1" x="287"/>
        <item m="1" x="1285"/>
        <item m="1" x="2283"/>
        <item m="1" x="3301"/>
        <item m="1" x="4317"/>
        <item m="1" x="5313"/>
        <item m="1" x="6315"/>
        <item m="1" x="7331"/>
        <item m="1" x="408"/>
        <item m="1" x="1404"/>
        <item m="1" x="2405"/>
        <item m="1" x="3424"/>
        <item m="1" x="4441"/>
        <item m="1" x="5432"/>
        <item m="1" x="6436"/>
        <item m="1" x="7450"/>
        <item m="1" x="529"/>
        <item m="1" x="1525"/>
        <item m="1" x="2531"/>
        <item m="1" x="3545"/>
        <item m="1" x="4560"/>
        <item m="1" x="5553"/>
        <item m="1" x="6561"/>
        <item m="1" x="7573"/>
        <item m="1" x="651"/>
        <item m="1" x="1651"/>
        <item m="1" x="2654"/>
        <item m="1" x="3667"/>
        <item m="1" x="4677"/>
        <item m="1" x="5675"/>
        <item m="1" x="6687"/>
        <item m="1" x="7697"/>
        <item m="1" x="770"/>
        <item m="1" x="1769"/>
        <item m="1" x="2775"/>
        <item m="1" x="3791"/>
        <item m="1" x="4798"/>
        <item m="1" x="7509"/>
        <item m="1" x="590"/>
        <item m="1" x="1592"/>
        <item m="1" x="2592"/>
        <item m="1" x="3604"/>
        <item m="1" x="4616"/>
        <item m="1" x="5617"/>
        <item m="1" x="6623"/>
        <item m="1" x="7634"/>
        <item m="1" x="708"/>
        <item m="1" x="1713"/>
        <item m="1" x="2713"/>
        <item m="1" x="3728"/>
        <item m="1" x="4737"/>
        <item m="1" x="5737"/>
        <item m="1" x="6748"/>
        <item m="1" x="7756"/>
        <item m="1" x="829"/>
        <item m="1" x="1830"/>
        <item m="1" x="2836"/>
        <item m="1" x="3854"/>
        <item m="1" x="4858"/>
        <item m="1" x="5858"/>
        <item m="1" x="6870"/>
        <item m="1" x="7876"/>
        <item m="1" x="951"/>
        <item m="1" x="1951"/>
        <item m="1" x="2958"/>
        <item m="1" x="3979"/>
        <item m="1" x="4978"/>
        <item m="1" x="5980"/>
        <item m="1" x="6988"/>
        <item m="1" x="72"/>
        <item m="1" x="1072"/>
        <item m="1" x="2075"/>
        <item m="1" x="3079"/>
        <item m="1" x="4102"/>
        <item m="1" x="5096"/>
        <item m="1" x="6103"/>
        <item m="1" x="7112"/>
        <item m="1" x="195"/>
        <item m="1" x="1194"/>
        <item m="1" x="2195"/>
        <item m="1" x="3201"/>
        <item m="1" x="4222"/>
        <item m="1" x="5217"/>
        <item m="1" x="6227"/>
        <item m="1" x="7236"/>
        <item m="1" x="317"/>
        <item m="1" x="1313"/>
        <item m="1" x="2316"/>
        <item m="1" x="3326"/>
        <item m="1" x="4345"/>
        <item m="1" x="5340"/>
        <item m="1" x="6347"/>
        <item m="1" x="7357"/>
        <item m="1" x="436"/>
        <item m="1" x="1432"/>
        <item m="1" x="2437"/>
        <item m="1" x="3450"/>
        <item m="1" x="4468"/>
        <item m="1" x="5461"/>
        <item m="1" x="6469"/>
        <item m="1" x="7478"/>
        <item m="1" x="558"/>
        <item m="1" x="1556"/>
        <item m="1" x="2562"/>
        <item m="1" x="3573"/>
        <item m="1" x="4586"/>
        <item m="1" x="5582"/>
        <item m="1" x="6590"/>
        <item m="1" x="7602"/>
        <item m="1" x="678"/>
        <item m="1" x="1679"/>
        <item m="1" x="2683"/>
        <item m="1" x="3695"/>
        <item m="1" x="4703"/>
        <item m="1" x="5703"/>
        <item m="1" x="6716"/>
        <item m="1" x="7724"/>
        <item m="1" x="796"/>
        <item m="1" x="1795"/>
        <item m="1" x="2805"/>
        <item m="1" x="3820"/>
        <item m="1" x="4825"/>
        <item m="1" x="5822"/>
        <item m="1" x="6838"/>
        <item m="1" x="7846"/>
        <item m="1" x="919"/>
        <item m="1" x="1916"/>
        <item m="1" x="2927"/>
        <item m="1" x="3947"/>
        <item m="1" x="4945"/>
        <item m="1" x="5945"/>
        <item m="1" x="6957"/>
        <item m="1" x="7968"/>
        <item m="1" x="1040"/>
        <item m="1" x="2040"/>
        <item m="1" x="3048"/>
        <item m="1" x="4070"/>
        <item m="1" x="5063"/>
        <item m="1" x="6066"/>
        <item m="1" x="7079"/>
        <item m="1" x="162"/>
        <item m="1" x="1160"/>
        <item m="1" x="2159"/>
        <item m="1" x="3170"/>
        <item m="1" x="4190"/>
        <item m="1" x="5185"/>
        <item m="1" x="6191"/>
        <item m="1" x="7205"/>
        <item m="1" x="284"/>
        <item m="1" x="1281"/>
        <item m="1" x="2279"/>
        <item m="1" x="3295"/>
        <item m="1" x="4313"/>
        <item m="1" x="5309"/>
        <item m="1" x="6311"/>
        <item m="1" x="7326"/>
        <item m="1" x="404"/>
        <item m="1" x="1399"/>
        <item m="1" x="2402"/>
        <item m="1" x="6129"/>
        <item m="1" x="7140"/>
        <item m="1" x="222"/>
        <item m="1" x="1225"/>
        <item m="1" x="2221"/>
        <item m="1" x="3231"/>
        <item m="1" x="4249"/>
        <item m="1" x="5249"/>
        <item m="1" x="6251"/>
        <item m="1" x="7264"/>
        <item m="1" x="344"/>
        <item m="1" x="1343"/>
        <item m="1" x="2342"/>
        <item m="1" x="3355"/>
        <item m="1" x="4373"/>
        <item m="1" x="5370"/>
        <item m="1" x="6374"/>
        <item m="1" x="7384"/>
        <item m="1" x="466"/>
        <item m="1" x="1464"/>
        <item m="1" x="2466"/>
        <item m="1" x="3479"/>
        <item m="1" x="4497"/>
        <item m="1" x="5494"/>
        <item m="1" x="6496"/>
        <item m="1" x="7506"/>
        <item m="1" x="586"/>
        <item m="1" x="1589"/>
        <item m="1" x="2589"/>
        <item m="1" x="3602"/>
        <item m="1" x="4612"/>
        <item m="1" x="5615"/>
        <item m="1" x="6619"/>
        <item m="1" x="7631"/>
        <item m="1" x="704"/>
        <item m="1" x="1711"/>
        <item m="1" x="2710"/>
        <item m="1" x="3726"/>
        <item m="1" x="4733"/>
        <item m="1" x="5735"/>
        <item m="1" x="6744"/>
        <item m="1" x="7753"/>
        <item m="1" x="825"/>
        <item m="1" x="1826"/>
        <item m="1" x="2832"/>
        <item m="1" x="3850"/>
        <item m="1" x="4854"/>
        <item m="1" x="5856"/>
        <item m="1" x="6866"/>
        <item m="1" x="7874"/>
        <item m="1" x="947"/>
        <item m="1" x="1949"/>
        <item m="1" x="2955"/>
        <item m="1" x="3976"/>
        <item m="1" x="4974"/>
        <item m="1" x="5977"/>
        <item m="1" x="6984"/>
        <item m="1" x="7997"/>
        <item m="1" x="1068"/>
        <item m="1" x="2071"/>
        <item m="1" x="3076"/>
        <item m="1" x="4099"/>
        <item m="1" x="5092"/>
        <item m="1" x="6100"/>
        <item m="1" x="7108"/>
        <item m="1" x="192"/>
        <item m="1" x="1190"/>
        <item m="1" x="2192"/>
        <item m="1" x="3198"/>
        <item m="1" x="4218"/>
        <item m="1" x="5213"/>
        <item m="1" x="6223"/>
        <item m="1" x="7232"/>
        <item m="1" x="313"/>
        <item m="1" x="1308"/>
        <item m="1" x="2311"/>
        <item m="1" x="3323"/>
        <item m="1" x="4340"/>
        <item m="1" x="5336"/>
        <item m="1" x="6342"/>
        <item m="1" x="7354"/>
        <item m="1" x="433"/>
        <item m="1" x="1429"/>
        <item m="1" x="2434"/>
        <item m="1" x="3448"/>
        <item m="1" x="4465"/>
        <item m="1" x="5458"/>
        <item m="1" x="6466"/>
        <item m="1" x="7475"/>
        <item m="1" x="555"/>
        <item m="1" x="1552"/>
        <item m="1" x="2559"/>
        <item m="1" x="3571"/>
        <item m="1" x="4583"/>
        <item m="1" x="5579"/>
        <item m="1" x="6587"/>
        <item m="1" x="7598"/>
        <item m="1" x="674"/>
        <item m="1" x="1676"/>
        <item m="1" x="2679"/>
        <item m="1" x="3692"/>
        <item m="1" x="4699"/>
        <item m="1" x="5700"/>
        <item m="1" x="6712"/>
        <item m="1" x="7720"/>
        <item m="1" x="792"/>
        <item m="1" x="1791"/>
        <item m="1" x="2801"/>
        <item m="1" x="3816"/>
        <item m="1" x="4820"/>
        <item m="1" x="5819"/>
        <item m="1" x="6834"/>
        <item m="1" x="7842"/>
        <item m="1" x="914"/>
        <item m="1" x="1912"/>
        <item m="1" x="2922"/>
        <item m="1" x="3944"/>
        <item m="1" x="4941"/>
        <item m="1" x="5942"/>
        <item m="1" x="6953"/>
        <item m="1" x="7964"/>
        <item m="1" x="1036"/>
        <item m="1" x="4761"/>
        <item m="1" x="5760"/>
        <item m="1" x="6770"/>
        <item m="1" x="7780"/>
        <item m="1" x="854"/>
        <item m="1" x="1851"/>
        <item m="1" x="2859"/>
        <item m="1" x="3877"/>
        <item m="1" x="4883"/>
        <item m="1" x="5881"/>
        <item m="1" x="6893"/>
        <item m="1" x="7900"/>
        <item m="1" x="979"/>
        <item m="1" x="1974"/>
        <item m="1" x="2982"/>
        <item m="1" x="4004"/>
        <item m="1" x="5005"/>
        <item m="1" x="6003"/>
        <item m="1" x="7013"/>
        <item m="1" x="97"/>
        <item m="1" x="1102"/>
        <item m="1" x="2097"/>
        <item m="1" x="3106"/>
        <item m="1" x="4126"/>
        <item m="1" x="5125"/>
        <item m="1" x="6126"/>
        <item m="1" x="7138"/>
        <item m="1" x="218"/>
        <item m="1" x="1223"/>
        <item m="1" x="2217"/>
        <item m="1" x="3228"/>
        <item m="1" x="4245"/>
        <item m="1" x="5246"/>
        <item m="1" x="6248"/>
        <item m="1" x="7261"/>
        <item m="1" x="340"/>
        <item m="1" x="1341"/>
        <item m="1" x="2338"/>
        <item m="1" x="3352"/>
        <item m="1" x="4369"/>
        <item m="1" x="5368"/>
        <item m="1" x="6371"/>
        <item m="1" x="7382"/>
        <item m="1" x="462"/>
        <item m="1" x="1462"/>
        <item m="1" x="2462"/>
        <item m="1" x="3477"/>
        <item m="1" x="4493"/>
        <item m="1" x="5491"/>
        <item m="1" x="6493"/>
        <item m="1" x="7504"/>
        <item m="1" x="583"/>
        <item m="1" x="1586"/>
        <item m="1" x="2585"/>
        <item m="1" x="3599"/>
        <item m="1" x="4608"/>
        <item m="1" x="5612"/>
        <item m="1" x="6616"/>
        <item m="1" x="7628"/>
        <item m="1" x="701"/>
        <item m="1" x="1708"/>
        <item m="1" x="2706"/>
        <item m="1" x="3723"/>
        <item m="1" x="4728"/>
        <item m="1" x="5731"/>
        <item m="1" x="6741"/>
        <item m="1" x="7749"/>
        <item m="1" x="821"/>
        <item m="1" x="1823"/>
        <item m="1" x="2828"/>
        <item m="1" x="3846"/>
        <item m="1" x="4850"/>
        <item m="1" x="5852"/>
        <item m="1" x="6863"/>
        <item m="1" x="7870"/>
        <item m="1" x="943"/>
        <item m="1" x="1945"/>
        <item m="1" x="2951"/>
        <item m="1" x="3972"/>
        <item m="1" x="4969"/>
        <item m="1" x="5973"/>
        <item m="1" x="6982"/>
        <item m="1" x="7994"/>
        <item m="1" x="1065"/>
        <item m="1" x="2068"/>
        <item m="1" x="3073"/>
        <item m="1" x="4096"/>
        <item m="1" x="5089"/>
        <item m="1" x="6097"/>
        <item m="1" x="7106"/>
        <item m="1" x="189"/>
        <item m="1" x="1187"/>
        <item m="1" x="2189"/>
        <item m="1" x="3195"/>
        <item m="1" x="4215"/>
        <item m="1" x="5209"/>
        <item m="1" x="6219"/>
        <item m="1" x="7229"/>
        <item m="1" x="308"/>
        <item m="1" x="1305"/>
        <item m="1" x="2306"/>
        <item m="1" x="3319"/>
        <item m="1" x="4336"/>
        <item m="1" x="5333"/>
        <item m="1" x="6338"/>
        <item m="1" x="7351"/>
        <item m="1" x="429"/>
        <item m="1" x="1426"/>
        <item m="1" x="2430"/>
        <item m="1" x="3444"/>
        <item m="1" x="4461"/>
        <item m="1" x="5454"/>
        <item m="1" x="6460"/>
        <item m="1" x="7471"/>
        <item m="1" x="550"/>
        <item m="1" x="1549"/>
        <item m="1" x="2554"/>
        <item m="1" x="3567"/>
        <item m="1" x="4579"/>
        <item m="1" x="5576"/>
        <item m="1" x="6582"/>
        <item m="1" x="7594"/>
        <item m="1" x="2363"/>
        <item m="1" x="3379"/>
        <item m="1" x="4398"/>
        <item m="1" x="5392"/>
        <item m="1" x="7406"/>
        <item m="1" x="488"/>
        <item m="1" x="1485"/>
        <item m="1" x="2488"/>
        <item m="1" x="3501"/>
        <item m="1" x="4520"/>
        <item m="1" x="5514"/>
        <item m="1" x="6518"/>
        <item m="1" x="7530"/>
        <item m="1" x="611"/>
        <item m="1" x="1610"/>
        <item m="1" x="2612"/>
        <item m="1" x="3623"/>
        <item m="1" x="4637"/>
        <item m="1" x="5636"/>
        <item m="1" x="6644"/>
        <item m="1" x="7654"/>
        <item m="1" x="729"/>
        <item m="1" x="1732"/>
        <item m="1" x="2732"/>
        <item m="1" x="3748"/>
        <item m="1" x="4758"/>
        <item m="1" x="5755"/>
        <item m="1" x="6766"/>
        <item m="1" x="7775"/>
        <item m="1" x="851"/>
        <item m="1" x="1847"/>
        <item m="1" x="2856"/>
        <item m="1" x="3872"/>
        <item m="1" x="4880"/>
        <item m="1" x="5876"/>
        <item m="1" x="6889"/>
        <item m="1" x="7895"/>
        <item m="1" x="975"/>
        <item m="1" x="1970"/>
        <item m="1" x="2979"/>
        <item m="1" x="3999"/>
        <item m="1" x="5002"/>
        <item m="1" x="5998"/>
        <item m="1" x="7010"/>
        <item m="1" x="92"/>
        <item m="1" x="1099"/>
        <item m="1" x="3103"/>
        <item m="1" x="4121"/>
        <item m="1" x="5122"/>
        <item m="1" x="6121"/>
        <item m="1" x="7134"/>
        <item m="1" x="213"/>
        <item m="1" x="1218"/>
        <item m="1" x="2213"/>
        <item m="1" x="3223"/>
        <item m="1" x="4240"/>
        <item m="1" x="5241"/>
        <item m="1" x="6243"/>
        <item m="1" x="7257"/>
        <item m="1" x="335"/>
        <item m="1" x="1337"/>
        <item m="1" x="2334"/>
        <item m="1" x="3348"/>
        <item m="1" x="4364"/>
        <item m="1" x="5364"/>
        <item m="1" x="6366"/>
        <item m="1" x="7378"/>
        <item m="1" x="456"/>
        <item m="1" x="1456"/>
        <item m="1" x="2458"/>
        <item m="1" x="3472"/>
        <item m="1" x="4488"/>
        <item m="1" x="5486"/>
        <item m="1" x="6488"/>
        <item m="1" x="7499"/>
        <item m="1" x="578"/>
        <item m="1" x="1580"/>
        <item m="1" x="2581"/>
        <item m="1" x="3594"/>
        <item m="1" x="4604"/>
        <item m="1" x="5608"/>
        <item m="1" x="6612"/>
        <item m="1" x="7624"/>
        <item m="1" x="696"/>
        <item m="1" x="1703"/>
        <item m="1" x="2703"/>
        <item m="1" x="3718"/>
        <item m="1" x="4724"/>
        <item m="1" x="6737"/>
        <item m="1" x="7745"/>
        <item m="1" x="817"/>
        <item m="1" x="1819"/>
        <item m="1" x="2825"/>
        <item m="1" x="3841"/>
        <item m="1" x="4846"/>
        <item m="1" x="5847"/>
        <item m="1" x="6858"/>
        <item m="1" x="7865"/>
        <item m="1" x="938"/>
        <item m="1" x="1940"/>
        <item m="1" x="2947"/>
        <item m="1" x="3967"/>
        <item m="1" x="4965"/>
        <item m="1" x="5968"/>
        <item m="1" x="6977"/>
        <item m="1" x="7989"/>
        <item m="1" x="1061"/>
        <item m="1" x="2063"/>
        <item m="1" x="3069"/>
        <item m="1" x="4091"/>
        <item m="1" x="5084"/>
        <item m="1" x="6090"/>
        <item m="1" x="7100"/>
        <item m="1" x="184"/>
        <item m="1" x="1182"/>
        <item m="1" x="2183"/>
        <item m="1" x="3190"/>
        <item m="1" x="4209"/>
        <item m="1" x="5205"/>
        <item m="1" x="999"/>
        <item m="1" x="1995"/>
        <item m="1" x="3005"/>
        <item m="1" x="4028"/>
        <item m="1" x="5026"/>
        <item m="1" x="6024"/>
        <item m="1" x="7033"/>
        <item m="1" x="120"/>
        <item m="1" x="1122"/>
        <item m="1" x="2118"/>
        <item m="1" x="3127"/>
        <item m="1" x="4147"/>
        <item m="1" x="5146"/>
        <item m="1" x="6147"/>
        <item m="1" x="7160"/>
        <item m="1" x="241"/>
        <item m="1" x="1242"/>
        <item m="1" x="2238"/>
        <item m="1" x="3251"/>
        <item m="1" x="4270"/>
        <item m="1" x="5268"/>
        <item m="1" x="6270"/>
        <item m="1" x="7282"/>
        <item m="1" x="365"/>
        <item m="1" x="1361"/>
        <item m="1" x="2360"/>
        <item m="1" x="3374"/>
        <item m="1" x="4394"/>
        <item m="1" x="5388"/>
        <item m="1" x="6392"/>
        <item m="1" x="7401"/>
        <item m="1" x="485"/>
        <item m="1" x="1480"/>
        <item m="1" x="2484"/>
        <item m="1" x="3496"/>
        <item m="1" x="4517"/>
        <item m="1" x="5510"/>
        <item m="1" x="6515"/>
        <item m="1" x="7525"/>
        <item m="1" x="608"/>
        <item m="1" x="1605"/>
        <item m="1" x="2608"/>
        <item m="1" x="3618"/>
        <item m="1" x="4633"/>
        <item m="1" x="5632"/>
        <item m="1" x="6640"/>
        <item m="1" x="7649"/>
        <item m="1" x="726"/>
        <item m="1" x="1727"/>
        <item m="1" x="2729"/>
        <item m="1" x="3743"/>
        <item m="1" x="4755"/>
        <item m="1" x="5751"/>
        <item m="1" x="6763"/>
        <item m="1" x="7770"/>
        <item m="1" x="847"/>
        <item m="1" x="1842"/>
        <item m="1" x="2852"/>
        <item m="1" x="3867"/>
        <item m="1" x="4875"/>
        <item m="1" x="5872"/>
        <item m="1" x="6885"/>
        <item m="1" x="7890"/>
        <item m="1" x="971"/>
        <item m="1" x="1965"/>
        <item m="1" x="2975"/>
        <item m="1" x="3994"/>
        <item m="1" x="4998"/>
        <item m="1" x="5994"/>
        <item m="1" x="7005"/>
        <item m="1" x="87"/>
        <item m="1" x="1094"/>
        <item m="1" x="2089"/>
        <item m="1" x="3098"/>
        <item m="1" x="4115"/>
        <item m="1" x="5116"/>
        <item m="1" x="6117"/>
        <item m="1" x="7128"/>
        <item m="1" x="208"/>
        <item m="1" x="1213"/>
        <item m="1" x="2209"/>
        <item m="1" x="3219"/>
        <item m="1" x="4236"/>
        <item m="1" x="5237"/>
        <item m="1" x="6240"/>
        <item m="1" x="7253"/>
        <item m="1" x="331"/>
        <item m="1" x="1333"/>
        <item m="1" x="2330"/>
        <item m="1" x="3344"/>
        <item m="1" x="4359"/>
        <item m="1" x="5360"/>
        <item m="1" x="6363"/>
        <item m="1" x="7374"/>
        <item m="1" x="452"/>
        <item m="1" x="1452"/>
        <item m="1" x="2454"/>
        <item m="1" x="3467"/>
        <item m="1" x="4484"/>
        <item m="1" x="5481"/>
        <item m="1" x="6484"/>
        <item m="1" x="7494"/>
        <item m="1" x="574"/>
        <item m="1" x="1575"/>
        <item m="1" x="2576"/>
        <item m="1" x="3589"/>
        <item m="1" x="4599"/>
        <item m="1" x="5603"/>
        <item m="1" x="6607"/>
        <item m="1" x="7618"/>
        <item m="1" x="692"/>
        <item m="1" x="1698"/>
        <item m="1" x="2698"/>
        <item m="1" x="3712"/>
        <item m="1" x="4719"/>
        <item m="1" x="5722"/>
        <item m="1" x="6733"/>
        <item m="1" x="7740"/>
        <item m="1" x="813"/>
        <item m="1" x="1813"/>
        <item m="1" x="2820"/>
        <item m="1" x="3836"/>
        <item m="1" x="7551"/>
        <item m="1" x="634"/>
        <item m="1" x="1632"/>
        <item m="1" x="2634"/>
        <item m="1" x="3645"/>
        <item m="1" x="4658"/>
        <item m="1" x="5656"/>
        <item m="1" x="6665"/>
        <item m="1" x="7676"/>
        <item m="1" x="751"/>
        <item m="1" x="1752"/>
        <item m="1" x="2754"/>
        <item m="1" x="3772"/>
        <item m="1" x="4781"/>
        <item m="1" x="5777"/>
        <item m="1" x="6789"/>
        <item m="1" x="7800"/>
        <item m="1" x="874"/>
        <item m="1" x="1870"/>
        <item m="1" x="2878"/>
        <item m="1" x="3900"/>
        <item m="1" x="4902"/>
        <item m="1" x="5900"/>
        <item m="1" x="6911"/>
        <item m="1" x="7921"/>
        <item m="1" x="996"/>
        <item m="1" x="1992"/>
        <item m="1" x="3000"/>
        <item m="1" x="4025"/>
        <item m="1" x="5021"/>
        <item m="1" x="6020"/>
        <item m="1" x="7028"/>
        <item m="1" x="116"/>
        <item m="1" x="1118"/>
        <item m="1" x="2114"/>
        <item m="1" x="3122"/>
        <item m="1" x="4144"/>
        <item m="1" x="5141"/>
        <item m="1" x="6143"/>
        <item m="1" x="7155"/>
        <item m="1" x="238"/>
        <item m="1" x="1238"/>
        <item m="1" x="2235"/>
        <item m="1" x="3246"/>
        <item m="1" x="4267"/>
        <item m="1" x="5263"/>
        <item m="1" x="6267"/>
        <item m="1" x="7277"/>
        <item m="1" x="361"/>
        <item m="1" x="1357"/>
        <item m="1" x="2357"/>
        <item m="1" x="3369"/>
        <item m="1" x="4390"/>
        <item m="1" x="5383"/>
        <item m="1" x="6389"/>
        <item m="1" x="7397"/>
        <item m="1" x="482"/>
        <item m="1" x="1477"/>
        <item m="1" x="2481"/>
        <item m="1" x="3492"/>
        <item m="1" x="4514"/>
        <item m="1" x="5506"/>
        <item m="1" x="6512"/>
        <item m="1" x="7520"/>
        <item m="1" x="604"/>
        <item m="1" x="1602"/>
        <item m="1" x="2604"/>
        <item m="1" x="3614"/>
        <item m="1" x="4630"/>
        <item m="1" x="5628"/>
        <item m="1" x="6636"/>
        <item m="1" x="7645"/>
        <item m="1" x="722"/>
        <item m="1" x="1724"/>
        <item m="1" x="2725"/>
        <item m="1" x="3739"/>
        <item m="1" x="4751"/>
        <item m="1" x="5747"/>
        <item m="1" x="6760"/>
        <item m="1" x="7766"/>
        <item m="1" x="843"/>
        <item m="1" x="1840"/>
        <item m="1" x="2849"/>
        <item m="1" x="3864"/>
        <item m="1" x="4872"/>
        <item m="1" x="5869"/>
        <item m="1" x="6882"/>
        <item m="1" x="7887"/>
        <item m="1" x="968"/>
        <item m="1" x="1963"/>
        <item m="1" x="2972"/>
        <item m="1" x="3991"/>
        <item m="1" x="4995"/>
        <item m="1" x="5991"/>
        <item m="1" x="7002"/>
        <item m="1" x="83"/>
        <item m="1" x="1090"/>
        <item m="1" x="2086"/>
        <item m="1" x="3093"/>
        <item m="1" x="4112"/>
        <item m="1" x="5111"/>
        <item m="1" x="6113"/>
        <item m="1" x="7124"/>
        <item m="1" x="205"/>
        <item m="1" x="1209"/>
        <item m="1" x="2206"/>
        <item m="1" x="3215"/>
        <item m="1" x="4233"/>
        <item m="1" x="5233"/>
        <item m="1" x="6236"/>
        <item m="1" x="7249"/>
        <item m="1" x="327"/>
        <item m="1" x="1328"/>
        <item m="1" x="2326"/>
        <item m="1" x="3339"/>
        <item m="1" x="4356"/>
        <item m="1" x="5355"/>
        <item m="1" x="6359"/>
        <item m="1" x="7370"/>
        <item m="1" x="449"/>
        <item m="1" x="1447"/>
        <item m="1" x="2450"/>
        <item m="1" x="6171"/>
        <item m="1" x="7184"/>
        <item m="1" x="265"/>
        <item m="1" x="1262"/>
        <item m="1" x="2259"/>
        <item m="1" x="3272"/>
        <item m="1" x="4294"/>
        <item m="1" x="5289"/>
        <item m="1" x="6291"/>
        <item m="1" x="7304"/>
        <item m="1" x="387"/>
        <item m="1" x="1382"/>
        <item m="1" x="2383"/>
        <item m="1" x="3399"/>
        <item m="1" x="4419"/>
        <item m="1" x="5411"/>
        <item m="1" x="6414"/>
        <item m="1" x="7426"/>
        <item m="1" x="509"/>
        <item m="1" x="1505"/>
        <item m="1" x="2509"/>
        <item m="1" x="3521"/>
        <item m="1" x="4540"/>
        <item m="1" x="5531"/>
        <item m="1" x="6536"/>
        <item m="1" x="7549"/>
        <item m="1" x="629"/>
        <item m="1" x="1628"/>
        <item m="1" x="2629"/>
        <item m="1" x="3642"/>
        <item m="1" x="4654"/>
        <item m="1" x="5653"/>
        <item m="1" x="6660"/>
        <item m="1" x="7673"/>
        <item m="1" x="746"/>
        <item m="1" x="1748"/>
        <item m="1" x="2749"/>
        <item m="1" x="3768"/>
        <item m="1" x="4777"/>
        <item m="1" x="5774"/>
        <item m="1" x="6784"/>
        <item m="1" x="7797"/>
        <item m="1" x="869"/>
        <item m="1" x="1867"/>
        <item m="1" x="2873"/>
        <item m="1" x="3897"/>
        <item m="1" x="4898"/>
        <item m="1" x="5897"/>
        <item m="1" x="6906"/>
        <item m="1" x="7918"/>
        <item m="1" x="991"/>
        <item m="1" x="1989"/>
        <item m="1" x="2995"/>
        <item m="1" x="4020"/>
        <item m="1" x="5018"/>
        <item m="1" x="6016"/>
        <item m="1" x="7024"/>
        <item m="1" x="112"/>
        <item m="1" x="1114"/>
        <item m="1" x="2111"/>
        <item m="1" x="3118"/>
        <item m="1" x="4141"/>
        <item m="1" x="5138"/>
        <item m="1" x="6140"/>
        <item m="1" x="7151"/>
        <item m="1" x="235"/>
        <item m="1" x="1234"/>
        <item m="1" x="2232"/>
        <item m="1" x="3241"/>
        <item m="1" x="4262"/>
        <item m="1" x="5260"/>
        <item m="1" x="6263"/>
        <item m="1" x="7273"/>
        <item m="1" x="357"/>
        <item m="1" x="1353"/>
        <item m="1" x="2353"/>
        <item m="1" x="3365"/>
        <item m="1" x="4386"/>
        <item m="1" x="5381"/>
        <item m="1" x="6386"/>
        <item m="1" x="7394"/>
        <item m="1" x="479"/>
        <item m="1" x="1474"/>
        <item m="1" x="2478"/>
        <item m="1" x="3488"/>
        <item m="1" x="4510"/>
        <item m="1" x="5504"/>
        <item m="1" x="6508"/>
        <item m="1" x="7517"/>
        <item m="1" x="601"/>
        <item m="1" x="1599"/>
        <item m="1" x="2601"/>
        <item m="1" x="3611"/>
        <item m="1" x="4627"/>
        <item m="1" x="5626"/>
        <item m="1" x="6632"/>
        <item m="1" x="7642"/>
        <item m="1" x="718"/>
        <item m="1" x="1720"/>
        <item m="1" x="2721"/>
        <item m="1" x="3735"/>
        <item m="1" x="4747"/>
        <item m="1" x="5744"/>
        <item m="1" x="6756"/>
        <item m="1" x="7763"/>
        <item m="1" x="839"/>
        <item m="1" x="1836"/>
        <item m="1" x="2845"/>
        <item m="1" x="3861"/>
        <item m="1" x="4868"/>
        <item m="1" x="5866"/>
        <item m="1" x="6878"/>
        <item m="1" x="7884"/>
        <item m="1" x="963"/>
        <item m="1" x="1959"/>
        <item m="1" x="2968"/>
        <item m="1" x="3987"/>
        <item m="1" x="4990"/>
        <item m="1" x="5987"/>
        <item m="1" x="6997"/>
        <item m="1" x="80"/>
        <item m="1" x="1083"/>
        <item m="1" x="3797"/>
        <item m="1" x="4802"/>
        <item m="1" x="5800"/>
        <item m="1" x="6813"/>
        <item m="1" x="7825"/>
        <item m="1" x="895"/>
        <item m="1" x="1891"/>
        <item m="1" x="2901"/>
        <item m="1" x="3925"/>
        <item m="1" x="4923"/>
        <item m="1" x="5922"/>
        <item m="1" x="6933"/>
        <item m="1" x="7947"/>
        <item m="1" x="1018"/>
        <item m="1" x="2015"/>
        <item m="1" x="3024"/>
        <item m="1" x="4050"/>
        <item m="1" x="5043"/>
        <item m="1" x="6044"/>
        <item m="1" x="7054"/>
        <item m="1" x="142"/>
        <item m="1" x="1141"/>
        <item m="1" x="2137"/>
        <item m="1" x="3147"/>
        <item m="1" x="4168"/>
        <item m="1" x="5163"/>
        <item m="1" x="6166"/>
        <item m="1" x="7180"/>
        <item m="1" x="261"/>
        <item m="1" x="1259"/>
        <item m="1" x="2254"/>
        <item m="1" x="3269"/>
        <item m="1" x="4289"/>
        <item m="1" x="5285"/>
        <item m="1" x="6286"/>
        <item m="1" x="7301"/>
        <item m="1" x="383"/>
        <item m="1" x="1379"/>
        <item m="1" x="2378"/>
        <item m="1" x="3396"/>
        <item m="1" x="4414"/>
        <item m="1" x="5407"/>
        <item m="1" x="6409"/>
        <item m="1" x="7422"/>
        <item m="1" x="505"/>
        <item m="1" x="1501"/>
        <item m="1" x="2504"/>
        <item m="1" x="3518"/>
        <item m="1" x="4535"/>
        <item m="1" x="5528"/>
        <item m="1" x="6531"/>
        <item m="1" x="7546"/>
        <item m="1" x="625"/>
        <item m="1" x="1624"/>
        <item m="1" x="2624"/>
        <item m="1" x="3639"/>
        <item m="1" x="4650"/>
        <item m="1" x="5650"/>
        <item m="1" x="6656"/>
        <item m="1" x="7669"/>
        <item m="1" x="743"/>
        <item m="1" x="1745"/>
        <item m="1" x="2745"/>
        <item m="1" x="3765"/>
        <item m="1" x="4773"/>
        <item m="1" x="5771"/>
        <item m="1" x="6780"/>
        <item m="1" x="7794"/>
        <item m="1" x="866"/>
        <item m="1" x="1863"/>
        <item m="1" x="2869"/>
        <item m="1" x="3893"/>
        <item m="1" x="4894"/>
        <item m="1" x="5893"/>
        <item m="1" x="6901"/>
        <item m="1" x="7913"/>
        <item m="1" x="988"/>
        <item m="1" x="1984"/>
        <item m="1" x="2991"/>
        <item m="1" x="4016"/>
        <item m="1" x="5015"/>
        <item m="1" x="6013"/>
        <item m="1" x="7021"/>
        <item m="1" x="109"/>
        <item m="1" x="1112"/>
        <item m="1" x="2108"/>
        <item m="1" x="3115"/>
        <item m="1" x="4138"/>
        <item m="1" x="5135"/>
        <item m="1" x="6137"/>
        <item m="1" x="7147"/>
        <item m="1" x="232"/>
        <item m="1" x="1232"/>
        <item m="1" x="2229"/>
        <item m="1" x="3238"/>
        <item m="1" x="4259"/>
        <item m="1" x="5256"/>
        <item m="1" x="6259"/>
        <item m="1" x="7270"/>
        <item m="1" x="353"/>
        <item m="1" x="1350"/>
        <item m="1" x="2349"/>
        <item m="1" x="3362"/>
        <item m="1" x="4382"/>
        <item m="1" x="5377"/>
        <item m="1" x="6382"/>
        <item m="1" x="7390"/>
        <item m="1" x="475"/>
        <item m="1" x="1470"/>
        <item m="1" x="2473"/>
        <item m="1" x="3485"/>
        <item m="1" x="4506"/>
        <item m="1" x="5500"/>
        <item m="1" x="6504"/>
        <item m="1" x="7513"/>
        <item m="1" x="596"/>
        <item m="1" x="1596"/>
        <item m="1" x="2597"/>
        <item m="1" x="3608"/>
        <item m="1" x="4622"/>
        <item m="1" x="5622"/>
        <item m="1" x="6628"/>
        <item m="1" x="2406"/>
        <item m="1" x="3425"/>
        <item m="1" x="4442"/>
        <item m="1" x="5433"/>
        <item m="1" x="6437"/>
        <item m="1" x="7451"/>
        <item m="1" x="530"/>
        <item m="1" x="1526"/>
        <item m="1" x="2532"/>
        <item m="1" x="3546"/>
        <item m="1" x="4561"/>
        <item m="1" x="5554"/>
        <item m="1" x="6562"/>
        <item m="1" x="7574"/>
        <item m="1" x="652"/>
        <item m="1" x="1652"/>
        <item m="1" x="2655"/>
        <item m="1" x="3668"/>
        <item m="1" x="4678"/>
        <item m="1" x="5676"/>
        <item m="1" x="6688"/>
        <item m="1" x="7698"/>
        <item m="1" x="771"/>
        <item m="1" x="1770"/>
        <item m="1" x="2776"/>
        <item m="1" x="3792"/>
        <item m="1" x="4799"/>
        <item m="1" x="5795"/>
        <item m="1" x="6810"/>
        <item m="1" x="7819"/>
        <item m="1" x="891"/>
        <item m="1" x="1886"/>
        <item m="1" x="2897"/>
        <item m="1" x="3919"/>
        <item m="1" x="4919"/>
        <item m="1" x="5917"/>
        <item m="1" x="6930"/>
        <item m="1" x="7941"/>
        <item m="1" x="1014"/>
        <item m="1" x="2010"/>
        <item m="1" x="3021"/>
        <item m="1" x="4044"/>
        <item m="1" x="5040"/>
        <item m="1" x="6039"/>
        <item m="1" x="7051"/>
        <item m="1" x="136"/>
        <item m="1" x="1138"/>
        <item m="1" x="2132"/>
        <item m="1" x="3143"/>
        <item m="1" x="4162"/>
        <item m="1" x="5160"/>
        <item m="1" x="6161"/>
        <item m="1" x="7176"/>
        <item m="1" x="255"/>
        <item m="1" x="1256"/>
        <item m="1" x="2250"/>
        <item m="1" x="3266"/>
        <item m="1" x="4284"/>
        <item m="1" x="5282"/>
        <item m="1" x="6282"/>
        <item m="1" x="7298"/>
        <item m="1" x="378"/>
        <item m="1" x="1376"/>
        <item m="1" x="2373"/>
        <item m="1" x="3392"/>
        <item m="1" x="4409"/>
        <item m="1" x="5403"/>
        <item m="1" x="6405"/>
        <item m="1" x="7419"/>
        <item m="1" x="500"/>
        <item m="1" x="1497"/>
        <item m="1" x="2499"/>
        <item m="1" x="3514"/>
        <item m="1" x="4530"/>
        <item m="1" x="5524"/>
        <item m="1" x="6527"/>
        <item m="1" x="7542"/>
        <item m="1" x="620"/>
        <item m="1" x="1620"/>
        <item m="1" x="2620"/>
        <item m="1" x="3635"/>
        <item m="1" x="4646"/>
        <item m="1" x="5647"/>
        <item m="1" x="6653"/>
        <item m="1" x="7666"/>
        <item m="1" x="739"/>
        <item m="1" x="1742"/>
        <item m="1" x="2741"/>
        <item m="1" x="3762"/>
        <item m="1" x="4769"/>
        <item m="1" x="5768"/>
        <item m="1" x="6777"/>
        <item m="1" x="7791"/>
        <item m="1" x="862"/>
        <item m="1" x="1860"/>
        <item m="1" x="2866"/>
        <item m="1" x="3889"/>
        <item m="1" x="4890"/>
        <item m="1" x="5888"/>
        <item m="1" x="6898"/>
        <item m="1" x="7908"/>
        <item m="1" x="984"/>
        <item m="1" x="1980"/>
        <item m="1" x="2987"/>
        <item m="1" x="4012"/>
        <item m="1" x="5011"/>
        <item m="1" x="6009"/>
        <item m="1" x="7018"/>
        <item m="1" x="105"/>
        <item m="1" x="1108"/>
        <item m="1" x="2104"/>
        <item m="1" x="3111"/>
        <item m="1" x="4134"/>
        <item m="1" x="5130"/>
        <item m="1" x="6133"/>
        <item m="1" x="7144"/>
        <item m="1" x="227"/>
        <item m="1" x="1228"/>
        <item m="1" x="2225"/>
        <item m="1" x="3234"/>
        <item m="1" x="4254"/>
        <item m="1" x="5252"/>
        <item m="1" x="1041"/>
        <item m="1" x="2041"/>
        <item m="1" x="3049"/>
        <item m="1" x="4071"/>
        <item m="1" x="5064"/>
        <item m="1" x="6067"/>
        <item m="1" x="7080"/>
        <item m="1" x="163"/>
        <item m="1" x="1161"/>
        <item m="1" x="2160"/>
        <item m="1" x="3171"/>
        <item m="1" x="4191"/>
        <item m="1" x="5186"/>
        <item m="1" x="6192"/>
        <item m="1" x="7206"/>
        <item m="1" x="285"/>
        <item m="1" x="1282"/>
        <item m="1" x="2280"/>
        <item m="1" x="3296"/>
        <item m="1" x="4314"/>
        <item m="1" x="5310"/>
        <item m="1" x="6312"/>
        <item m="1" x="7327"/>
        <item m="1" x="405"/>
        <item m="1" x="1400"/>
        <item m="1" x="2403"/>
        <item m="1" x="3418"/>
        <item m="1" x="4437"/>
        <item m="1" x="5428"/>
        <item m="1" x="6433"/>
        <item m="1" x="7445"/>
        <item m="1" x="526"/>
        <item m="1" x="1521"/>
        <item m="1" x="2528"/>
        <item m="1" x="3540"/>
        <item m="1" x="4556"/>
        <item m="1" x="5549"/>
        <item m="1" x="6557"/>
        <item m="1" x="7568"/>
        <item m="1" x="648"/>
        <item m="1" x="1647"/>
        <item m="1" x="2651"/>
        <item m="1" x="3662"/>
        <item m="1" x="4674"/>
        <item m="1" x="5671"/>
        <item m="1" x="6684"/>
        <item m="1" x="7692"/>
        <item m="1" x="767"/>
        <item m="1" x="1765"/>
        <item m="1" x="2772"/>
        <item m="1" x="3786"/>
        <item m="1" x="4795"/>
        <item m="1" x="5790"/>
        <item m="1" x="6805"/>
        <item m="1" x="7814"/>
        <item m="1" x="887"/>
        <item m="1" x="1882"/>
        <item m="1" x="2893"/>
        <item m="1" x="3914"/>
        <item m="1" x="4916"/>
        <item m="1" x="5912"/>
        <item m="1" x="6927"/>
        <item m="1" x="7936"/>
        <item m="1" x="1011"/>
        <item m="1" x="2006"/>
        <item m="1" x="3018"/>
        <item m="1" x="4039"/>
        <item m="1" x="5037"/>
        <item m="1" x="6034"/>
        <item m="1" x="7046"/>
        <item m="1" x="131"/>
        <item m="1" x="1134"/>
        <item m="1" x="2128"/>
        <item m="1" x="3139"/>
        <item m="1" x="4157"/>
        <item m="1" x="5156"/>
        <item m="1" x="6156"/>
        <item m="1" x="7172"/>
        <item m="1" x="251"/>
        <item m="1" x="1253"/>
        <item m="1" x="2247"/>
        <item m="1" x="3263"/>
        <item m="1" x="4280"/>
        <item m="1" x="5279"/>
        <item m="1" x="6278"/>
        <item m="1" x="7294"/>
        <item m="1" x="374"/>
        <item m="1" x="1372"/>
        <item m="1" x="2370"/>
        <item m="1" x="3389"/>
        <item m="1" x="4405"/>
        <item m="1" x="5400"/>
        <item m="1" x="6401"/>
        <item m="1" x="7416"/>
        <item m="1" x="496"/>
        <item m="1" x="1493"/>
        <item m="1" x="2496"/>
        <item m="1" x="3510"/>
        <item m="1" x="4526"/>
        <item m="1" x="5520"/>
        <item m="1" x="6523"/>
        <item m="1" x="7538"/>
        <item m="1" x="616"/>
        <item m="1" x="1616"/>
        <item m="1" x="2617"/>
        <item m="1" x="3631"/>
        <item m="1" x="4642"/>
        <item m="1" x="5643"/>
        <item m="1" x="6649"/>
        <item m="1" x="7662"/>
        <item m="1" x="735"/>
        <item m="1" x="1738"/>
        <item m="1" x="2738"/>
        <item m="1" x="3757"/>
        <item m="1" x="4765"/>
        <item m="1" x="5764"/>
        <item m="1" x="6773"/>
        <item m="1" x="7786"/>
        <item m="1" x="857"/>
        <item m="1" x="1855"/>
        <item m="1" x="2863"/>
        <item m="1" x="3882"/>
        <item m="1" x="7599"/>
        <item m="1" x="675"/>
        <item m="1" x="1677"/>
        <item m="1" x="2680"/>
        <item m="1" x="3693"/>
        <item m="1" x="4700"/>
        <item m="1" x="5701"/>
        <item m="1" x="6713"/>
        <item m="1" x="7721"/>
        <item m="1" x="793"/>
        <item m="1" x="1792"/>
        <item m="1" x="2802"/>
        <item m="1" x="3817"/>
        <item m="1" x="4821"/>
        <item m="1" x="5820"/>
        <item m="1" x="6835"/>
        <item m="1" x="7843"/>
        <item m="1" x="915"/>
        <item m="1" x="1913"/>
        <item m="1" x="2923"/>
        <item m="1" x="3945"/>
        <item m="1" x="4942"/>
        <item m="1" x="5943"/>
        <item m="1" x="6954"/>
        <item m="1" x="7965"/>
        <item m="1" x="1037"/>
        <item m="1" x="2036"/>
        <item m="1" x="3043"/>
        <item m="1" x="4067"/>
        <item m="1" x="5059"/>
        <item m="1" x="6063"/>
        <item m="1" x="7074"/>
        <item m="1" x="158"/>
        <item m="1" x="1156"/>
        <item m="1" x="2156"/>
        <item m="1" x="3165"/>
        <item m="1" x="4187"/>
        <item m="1" x="5181"/>
        <item m="1" x="6188"/>
        <item m="1" x="7200"/>
        <item m="1" x="280"/>
        <item m="1" x="1277"/>
        <item m="1" x="2275"/>
        <item m="1" x="3290"/>
        <item m="1" x="4309"/>
        <item m="1" x="5305"/>
        <item m="1" x="6308"/>
        <item m="1" x="7320"/>
        <item m="1" x="401"/>
        <item m="1" x="1395"/>
        <item m="1" x="2399"/>
        <item m="1" x="3413"/>
        <item m="1" x="4433"/>
        <item m="1" x="5423"/>
        <item m="1" x="6430"/>
        <item m="1" x="7440"/>
        <item m="1" x="523"/>
        <item m="1" x="1517"/>
        <item m="1" x="2524"/>
        <item m="1" x="3535"/>
        <item m="1" x="4553"/>
        <item m="1" x="5545"/>
        <item m="1" x="6554"/>
        <item m="1" x="7563"/>
        <item m="1" x="645"/>
        <item m="1" x="1642"/>
        <item m="1" x="2648"/>
        <item m="1" x="3657"/>
        <item m="1" x="4670"/>
        <item m="1" x="5667"/>
        <item m="1" x="6680"/>
        <item m="1" x="7687"/>
        <item m="1" x="763"/>
        <item m="1" x="1760"/>
        <item m="1" x="2767"/>
        <item m="1" x="3781"/>
        <item m="1" x="4790"/>
        <item m="1" x="5786"/>
        <item m="1" x="6801"/>
        <item m="1" x="7810"/>
        <item m="1" x="884"/>
        <item m="1" x="1878"/>
        <item m="1" x="2890"/>
        <item m="1" x="3910"/>
        <item m="1" x="4913"/>
        <item m="1" x="5909"/>
        <item m="1" x="6923"/>
        <item m="1" x="7931"/>
        <item m="1" x="1007"/>
        <item m="1" x="2002"/>
        <item m="1" x="3015"/>
        <item m="1" x="4035"/>
        <item m="1" x="5034"/>
        <item m="1" x="6031"/>
        <item m="1" x="7043"/>
        <item m="1" x="127"/>
        <item m="1" x="1130"/>
        <item m="1" x="2124"/>
        <item m="1" x="3135"/>
        <item m="1" x="4153"/>
        <item m="1" x="5152"/>
        <item m="1" x="6153"/>
        <item m="1" x="7168"/>
        <item m="1" x="247"/>
        <item m="1" x="1249"/>
        <item m="1" x="2243"/>
        <item m="1" x="3259"/>
        <item m="1" x="4275"/>
        <item m="1" x="5274"/>
        <item m="1" x="6275"/>
        <item m="1" x="7290"/>
        <item m="1" x="370"/>
        <item m="1" x="1368"/>
        <item m="1" x="2366"/>
        <item m="1" x="3384"/>
        <item m="1" x="4401"/>
        <item m="1" x="5396"/>
        <item m="1" x="6398"/>
        <item m="1" x="7411"/>
        <item m="1" x="492"/>
        <item m="1" x="1489"/>
        <item m="1" x="2491"/>
        <item m="1" x="5210"/>
        <item m="1" x="6220"/>
        <item m="1" x="7230"/>
        <item m="1" x="309"/>
        <item m="1" x="1306"/>
        <item m="1" x="2307"/>
        <item m="1" x="3320"/>
        <item m="1" x="4337"/>
        <item m="1" x="5334"/>
        <item m="1" x="6339"/>
        <item m="1" x="7352"/>
        <item m="1" x="430"/>
        <item m="1" x="1427"/>
        <item m="1" x="2431"/>
        <item m="1" x="3445"/>
        <item m="1" x="4462"/>
        <item m="1" x="5455"/>
        <item m="1" x="6461"/>
        <item m="1" x="7472"/>
        <item m="1" x="551"/>
        <item m="1" x="1550"/>
        <item m="1" x="2555"/>
        <item m="1" x="3568"/>
        <item m="1" x="4580"/>
        <item m="1" x="5577"/>
        <item m="1" x="6583"/>
        <item m="1" x="7595"/>
        <item m="1" x="670"/>
        <item m="1" x="1673"/>
        <item m="1" x="2674"/>
        <item m="1" x="3688"/>
        <item m="1" x="4695"/>
        <item m="1" x="5696"/>
        <item m="1" x="6707"/>
        <item m="1" x="7716"/>
        <item m="1" x="788"/>
        <item m="1" x="1788"/>
        <item m="1" x="2796"/>
        <item m="1" x="3812"/>
        <item m="1" x="4816"/>
        <item m="1" x="5816"/>
        <item m="1" x="6829"/>
        <item m="1" x="7839"/>
        <item m="1" x="910"/>
        <item m="1" x="1909"/>
        <item m="1" x="2917"/>
        <item m="1" x="3941"/>
        <item m="1" x="4937"/>
        <item m="1" x="5938"/>
        <item m="1" x="6948"/>
        <item m="1" x="7961"/>
        <item m="1" x="1032"/>
        <item m="1" x="2032"/>
        <item m="1" x="3038"/>
        <item m="1" x="4063"/>
        <item m="1" x="5055"/>
        <item m="1" x="6060"/>
        <item m="1" x="7069"/>
        <item m="1" x="155"/>
        <item m="1" x="1152"/>
        <item m="1" x="2153"/>
        <item m="1" x="3160"/>
        <item m="1" x="4184"/>
        <item m="1" x="5176"/>
        <item m="1" x="6184"/>
        <item m="1" x="7195"/>
        <item m="1" x="276"/>
        <item m="1" x="1273"/>
        <item m="1" x="2272"/>
        <item m="1" x="3284"/>
        <item m="1" x="4305"/>
        <item m="1" x="5300"/>
        <item m="1" x="6304"/>
        <item m="1" x="7315"/>
        <item m="1" x="397"/>
        <item m="1" x="1391"/>
        <item m="1" x="2395"/>
        <item m="1" x="3408"/>
        <item m="1" x="4429"/>
        <item m="1" x="5419"/>
        <item m="1" x="6426"/>
        <item m="1" x="7436"/>
        <item m="1" x="520"/>
        <item m="1" x="1514"/>
        <item m="1" x="2521"/>
        <item m="1" x="3531"/>
        <item m="1" x="4550"/>
        <item m="1" x="5540"/>
        <item m="1" x="6550"/>
        <item m="1" x="7559"/>
        <item m="1" x="642"/>
        <item m="1" x="1639"/>
        <item m="1" x="2645"/>
        <item m="1" x="3653"/>
        <item m="1" x="4667"/>
        <item m="1" x="5663"/>
        <item m="1" x="6676"/>
        <item m="1" x="7683"/>
        <item m="1" x="758"/>
        <item m="1" x="1757"/>
        <item m="1" x="2762"/>
        <item m="1" x="3777"/>
        <item m="1" x="4786"/>
        <item m="1" x="5782"/>
        <item m="1" x="6797"/>
        <item m="1" x="7806"/>
        <item m="1" x="880"/>
        <item m="1" x="1875"/>
        <item m="1" x="2886"/>
        <item m="1" x="3906"/>
        <item m="1" x="4909"/>
        <item m="1" x="5905"/>
        <item m="1" x="6919"/>
        <item m="1" x="7926"/>
        <item m="1" x="1003"/>
        <item m="1" x="1999"/>
        <item m="1" x="3010"/>
        <item m="1" x="4031"/>
        <item m="1" x="5030"/>
        <item m="1" x="6027"/>
        <item m="1" x="7038"/>
        <item m="1" x="123"/>
        <item m="1" x="3842"/>
        <item m="1" x="4847"/>
        <item m="1" x="5848"/>
        <item m="1" x="6859"/>
        <item m="1" x="7866"/>
        <item m="1" x="939"/>
        <item m="1" x="1941"/>
        <item m="1" x="2948"/>
        <item m="1" x="3968"/>
        <item m="1" x="4966"/>
        <item m="1" x="5969"/>
        <item m="1" x="6978"/>
        <item m="1" x="7990"/>
        <item m="1" x="1062"/>
        <item m="1" x="2064"/>
        <item m="1" x="3070"/>
        <item m="1" x="4092"/>
        <item m="1" x="5085"/>
        <item m="1" x="6091"/>
        <item m="1" x="7101"/>
        <item m="1" x="185"/>
        <item m="1" x="1183"/>
        <item m="1" x="2184"/>
        <item m="1" x="3191"/>
        <item m="1" x="4210"/>
        <item m="1" x="5206"/>
        <item m="1" x="6212"/>
        <item m="1" x="7224"/>
        <item m="1" x="303"/>
        <item m="1" x="1301"/>
        <item m="1" x="2300"/>
        <item m="1" x="3315"/>
        <item m="1" x="4331"/>
        <item m="1" x="5329"/>
        <item m="1" x="6332"/>
        <item m="1" x="7346"/>
        <item m="1" x="424"/>
        <item m="1" x="1421"/>
        <item m="1" x="2424"/>
        <item m="1" x="3440"/>
        <item m="1" x="5450"/>
        <item m="1" x="6454"/>
        <item m="1" x="7467"/>
        <item m="1" x="545"/>
        <item m="1" x="1545"/>
        <item m="1" x="2548"/>
        <item m="1" x="3563"/>
        <item m="1" x="4574"/>
        <item m="1" x="5572"/>
        <item m="1" x="6576"/>
        <item m="1" x="7590"/>
        <item m="1" x="665"/>
        <item m="1" x="1668"/>
        <item m="1" x="2669"/>
        <item m="1" x="3684"/>
        <item m="1" x="4691"/>
        <item m="1" x="5692"/>
        <item m="1" x="6702"/>
        <item m="1" x="7713"/>
        <item m="1" x="783"/>
        <item m="1" x="1785"/>
        <item m="1" x="2791"/>
        <item m="1" x="3809"/>
        <item m="1" x="4812"/>
        <item m="1" x="5813"/>
        <item m="1" x="6824"/>
        <item m="1" x="7836"/>
        <item m="1" x="905"/>
        <item m="1" x="1904"/>
        <item m="1" x="2912"/>
        <item m="1" x="3937"/>
        <item m="1" x="4933"/>
        <item m="1" x="5934"/>
        <item m="1" x="6943"/>
        <item m="1" x="7957"/>
        <item m="1" x="1027"/>
        <item m="1" x="2028"/>
        <item m="1" x="3034"/>
        <item m="1" x="4061"/>
        <item m="1" x="5052"/>
        <item m="1" x="6057"/>
        <item m="1" x="7065"/>
        <item m="1" x="1148"/>
        <item m="1" x="2149"/>
        <item m="1" x="3156"/>
        <item m="1" x="4179"/>
        <item m="1" x="5172"/>
        <item m="1" x="6181"/>
        <item m="1" x="7191"/>
        <item m="1" x="273"/>
        <item m="1" x="1269"/>
        <item m="1" x="2269"/>
        <item m="1" x="3280"/>
        <item m="1" x="4302"/>
        <item m="1" x="5297"/>
        <item m="1" x="6300"/>
        <item m="1" x="7311"/>
        <item m="1" x="393"/>
        <item m="1" x="1387"/>
        <item m="1" x="2391"/>
        <item m="1" x="3404"/>
        <item m="1" x="4425"/>
        <item m="1" x="5416"/>
        <item m="1" x="6422"/>
        <item m="1" x="7432"/>
        <item m="1" x="516"/>
        <item m="1" x="1510"/>
        <item m="1" x="2517"/>
        <item m="1" x="3527"/>
        <item m="1" x="4546"/>
        <item m="1" x="5537"/>
        <item m="1" x="6545"/>
        <item m="1" x="7555"/>
        <item m="1" x="638"/>
        <item m="1" x="1635"/>
        <item m="1" x="2640"/>
        <item m="1" x="3648"/>
        <item m="1" x="4662"/>
        <item m="1" x="5660"/>
        <item m="1" x="6670"/>
        <item m="1" x="2455"/>
        <item m="1" x="3468"/>
        <item m="1" x="4485"/>
        <item m="1" x="5482"/>
        <item m="1" x="6485"/>
        <item m="1" x="7495"/>
        <item m="1" x="575"/>
        <item m="1" x="1576"/>
        <item m="1" x="2577"/>
        <item m="1" x="3590"/>
        <item m="1" x="4600"/>
        <item m="1" x="5604"/>
        <item m="1" x="6608"/>
        <item m="1" x="7619"/>
        <item m="1" x="693"/>
        <item m="1" x="1699"/>
        <item m="1" x="2699"/>
        <item m="1" x="3713"/>
        <item m="1" x="4720"/>
        <item m="1" x="5723"/>
        <item m="1" x="6734"/>
        <item m="1" x="7741"/>
        <item m="1" x="814"/>
        <item m="1" x="1814"/>
        <item m="1" x="2821"/>
        <item m="1" x="3837"/>
        <item m="1" x="4841"/>
        <item m="1" x="5841"/>
        <item m="1" x="6854"/>
        <item m="1" x="7860"/>
        <item m="1" x="934"/>
        <item m="1" x="1934"/>
        <item m="1" x="2942"/>
        <item m="1" x="3962"/>
        <item m="1" x="4961"/>
        <item m="1" x="5962"/>
        <item m="1" x="6973"/>
        <item m="1" x="7984"/>
        <item m="1" x="1057"/>
        <item m="1" x="2057"/>
        <item m="1" x="3064"/>
        <item m="1" x="4086"/>
        <item m="1" x="5079"/>
        <item m="1" x="6085"/>
        <item m="1" x="7095"/>
        <item m="1" x="179"/>
        <item m="1" x="1178"/>
        <item m="1" x="2176"/>
        <item m="1" x="3186"/>
        <item m="1" x="4204"/>
        <item m="1" x="5201"/>
        <item m="1" x="6206"/>
        <item m="1" x="7220"/>
        <item m="1" x="298"/>
        <item m="1" x="1298"/>
        <item m="1" x="2295"/>
        <item m="1" x="3312"/>
        <item m="1" x="4327"/>
        <item m="1" x="5325"/>
        <item m="1" x="6327"/>
        <item m="1" x="7343"/>
        <item m="1" x="420"/>
        <item m="1" x="1418"/>
        <item m="1" x="2419"/>
        <item m="1" x="3437"/>
        <item m="1" x="4452"/>
        <item m="1" x="5447"/>
        <item m="1" x="6449"/>
        <item m="1" x="7464"/>
        <item m="1" x="541"/>
        <item m="1" x="1541"/>
        <item m="1" x="2543"/>
        <item m="1" x="3559"/>
        <item m="1" x="4569"/>
        <item m="1" x="5567"/>
        <item m="1" x="6571"/>
        <item m="1" x="7585"/>
        <item m="1" x="661"/>
        <item m="1" x="1664"/>
        <item m="1" x="2665"/>
        <item m="1" x="3681"/>
        <item m="1" x="4687"/>
        <item m="1" x="5689"/>
        <item m="1" x="6698"/>
        <item m="1" x="7710"/>
        <item m="1" x="780"/>
        <item m="1" x="1782"/>
        <item m="1" x="2786"/>
        <item m="1" x="3805"/>
        <item m="1" x="4809"/>
        <item m="1" x="5810"/>
        <item m="1" x="6820"/>
        <item m="1" x="7833"/>
        <item m="1" x="902"/>
        <item m="1" x="1901"/>
        <item m="1" x="2908"/>
        <item m="1" x="3933"/>
        <item m="1" x="4929"/>
        <item m="1" x="5930"/>
        <item m="1" x="6939"/>
        <item m="1" x="7953"/>
        <item m="1" x="1024"/>
        <item m="1" x="2024"/>
        <item m="1" x="3030"/>
        <item m="1" x="4057"/>
        <item m="1" x="5048"/>
        <item m="1" x="6053"/>
        <item m="1" x="7060"/>
        <item m="1" x="148"/>
        <item m="1" x="1146"/>
        <item m="1" x="2145"/>
        <item m="1" x="3152"/>
        <item m="1" x="4175"/>
        <item m="1" x="5168"/>
        <item m="1" x="6176"/>
        <item m="1" x="7187"/>
        <item m="1" x="269"/>
        <item m="1" x="1266"/>
        <item m="1" x="2264"/>
        <item m="1" x="3276"/>
        <item m="1" x="4298"/>
        <item m="1" x="5292"/>
        <item m="1" x="84"/>
        <item m="1" x="1091"/>
        <item m="1" x="2087"/>
        <item m="1" x="3094"/>
        <item m="1" x="4113"/>
        <item m="1" x="5112"/>
        <item m="1" x="6114"/>
        <item m="1" x="7125"/>
        <item m="1" x="206"/>
        <item m="1" x="1210"/>
        <item m="1" x="2207"/>
        <item m="1" x="3216"/>
        <item m="1" x="4234"/>
        <item m="1" x="5234"/>
        <item m="1" x="6237"/>
        <item m="1" x="7250"/>
        <item m="1" x="328"/>
        <item m="1" x="1329"/>
        <item m="1" x="2327"/>
        <item m="1" x="3340"/>
        <item m="1" x="4357"/>
        <item m="1" x="5356"/>
        <item m="1" x="6360"/>
        <item m="1" x="7371"/>
        <item m="1" x="450"/>
        <item m="1" x="1448"/>
        <item m="1" x="2451"/>
        <item m="1" x="3464"/>
        <item m="1" x="4481"/>
        <item m="1" x="5476"/>
        <item m="1" x="6480"/>
        <item m="1" x="7490"/>
        <item m="1" x="570"/>
        <item m="1" x="1570"/>
        <item m="1" x="2572"/>
        <item m="1" x="3585"/>
        <item m="1" x="4596"/>
        <item m="1" x="5598"/>
        <item m="1" x="6603"/>
        <item m="1" x="7614"/>
        <item m="1" x="689"/>
        <item m="1" x="1693"/>
        <item m="1" x="2695"/>
        <item m="1" x="3708"/>
        <item m="1" x="4716"/>
        <item m="1" x="5717"/>
        <item m="1" x="6730"/>
        <item m="1" x="7736"/>
        <item m="1" x="809"/>
        <item m="1" x="1808"/>
        <item m="1" x="2817"/>
        <item m="1" x="3832"/>
        <item m="1" x="4837"/>
        <item m="1" x="5836"/>
        <item m="1" x="6851"/>
        <item m="1" x="7857"/>
        <item m="1" x="932"/>
        <item m="1" x="1930"/>
        <item m="1" x="2940"/>
        <item m="1" x="3959"/>
        <item m="1" x="4959"/>
        <item m="1" x="5958"/>
        <item m="1" x="6971"/>
        <item m="1" x="7980"/>
        <item m="1" x="1054"/>
        <item m="1" x="2053"/>
        <item m="1" x="3061"/>
        <item m="1" x="4083"/>
        <item m="1" x="5077"/>
        <item m="1" x="6080"/>
        <item m="1" x="7092"/>
        <item m="1" x="175"/>
        <item m="1" x="1175"/>
        <item m="1" x="2172"/>
        <item m="1" x="3183"/>
        <item m="1" x="4201"/>
        <item m="1" x="5198"/>
        <item m="1" x="6202"/>
        <item m="1" x="7217"/>
        <item m="1" x="294"/>
        <item m="1" x="1294"/>
        <item m="1" x="2291"/>
        <item m="1" x="3309"/>
        <item m="1" x="4324"/>
        <item m="1" x="5322"/>
        <item m="1" x="6323"/>
        <item m="1" x="7340"/>
        <item m="1" x="415"/>
        <item m="1" x="1414"/>
        <item m="1" x="2414"/>
        <item m="1" x="3434"/>
        <item m="1" x="4449"/>
        <item m="1" x="5444"/>
        <item m="1" x="6445"/>
        <item m="1" x="7461"/>
        <item m="1" x="537"/>
        <item m="1" x="1537"/>
        <item m="1" x="2539"/>
        <item m="1" x="3554"/>
        <item m="1" x="4566"/>
        <item m="1" x="5562"/>
        <item m="1" x="6567"/>
        <item m="1" x="7581"/>
        <item m="1" x="657"/>
        <item m="1" x="1660"/>
        <item m="1" x="2661"/>
        <item m="1" x="3677"/>
        <item m="1" x="4684"/>
        <item m="1" x="5685"/>
        <item m="1" x="6694"/>
        <item m="1" x="7706"/>
        <item m="1" x="776"/>
        <item m="1" x="1778"/>
        <item m="1" x="2781"/>
        <item m="1" x="3801"/>
        <item m="1" x="4806"/>
        <item m="1" x="5805"/>
        <item m="1" x="6816"/>
        <item m="1" x="7829"/>
        <item m="1" x="898"/>
        <item m="1" x="1896"/>
        <item m="1" x="2904"/>
        <item m="1" x="6633"/>
        <item m="1" x="7643"/>
        <item m="1" x="719"/>
        <item m="1" x="1721"/>
        <item m="1" x="2722"/>
        <item m="1" x="3736"/>
        <item m="1" x="4748"/>
        <item m="1" x="5745"/>
        <item m="1" x="6757"/>
        <item m="1" x="7764"/>
        <item m="1" x="840"/>
        <item m="1" x="1837"/>
        <item m="1" x="2846"/>
        <item m="1" x="3862"/>
        <item m="1" x="4869"/>
        <item m="1" x="5867"/>
        <item m="1" x="6879"/>
        <item m="1" x="7885"/>
        <item m="1" x="964"/>
        <item m="1" x="1960"/>
        <item m="1" x="2969"/>
        <item m="1" x="3988"/>
        <item m="1" x="4991"/>
        <item m="1" x="5988"/>
        <item m="1" x="6998"/>
        <item m="1" x="81"/>
        <item m="1" x="1084"/>
        <item m="1" x="2082"/>
        <item m="1" x="3089"/>
        <item m="1" x="4109"/>
        <item m="1" x="5106"/>
        <item m="1" x="6110"/>
        <item m="1" x="7120"/>
        <item m="1" x="202"/>
        <item m="1" x="1204"/>
        <item m="1" x="2202"/>
        <item m="1" x="3211"/>
        <item m="1" x="4229"/>
        <item m="1" x="5228"/>
        <item m="1" x="6233"/>
        <item m="1" x="7245"/>
        <item m="1" x="324"/>
        <item m="1" x="1323"/>
        <item m="1" x="2322"/>
        <item m="1" x="3335"/>
        <item m="1" x="4353"/>
        <item m="1" x="5350"/>
        <item m="1" x="6356"/>
        <item m="1" x="7366"/>
        <item m="1" x="446"/>
        <item m="1" x="1442"/>
        <item m="1" x="2447"/>
        <item m="1" x="3459"/>
        <item m="1" x="4477"/>
        <item m="1" x="5471"/>
        <item m="1" x="6477"/>
        <item m="1" x="7487"/>
        <item m="1" x="567"/>
        <item m="1" x="1566"/>
        <item m="1" x="2570"/>
        <item m="1" x="3582"/>
        <item m="1" x="4594"/>
        <item m="1" x="5594"/>
        <item m="1" x="6601"/>
        <item m="1" x="7611"/>
        <item m="1" x="687"/>
        <item m="1" x="1689"/>
        <item m="1" x="2693"/>
        <item m="1" x="3704"/>
        <item m="1" x="4712"/>
        <item m="1" x="5713"/>
        <item m="1" x="6727"/>
        <item m="1" x="7733"/>
        <item m="1" x="806"/>
        <item m="1" x="1804"/>
        <item m="1" x="2814"/>
        <item m="1" x="3828"/>
        <item m="1" x="4834"/>
        <item m="1" x="5832"/>
        <item m="1" x="6848"/>
        <item m="1" x="7854"/>
        <item m="1" x="929"/>
        <item m="1" x="1926"/>
        <item m="1" x="2937"/>
        <item m="1" x="3955"/>
        <item m="1" x="4955"/>
        <item m="1" x="5954"/>
        <item m="1" x="6966"/>
        <item m="1" x="7976"/>
        <item m="1" x="1051"/>
        <item m="1" x="2049"/>
        <item m="1" x="3058"/>
        <item m="1" x="4079"/>
        <item m="1" x="5074"/>
        <item m="1" x="6076"/>
        <item m="1" x="7089"/>
        <item m="1" x="172"/>
        <item m="1" x="1171"/>
        <item m="1" x="2168"/>
        <item m="1" x="3179"/>
        <item m="1" x="4197"/>
        <item m="1" x="5194"/>
        <item m="1" x="6198"/>
        <item m="1" x="7213"/>
        <item m="1" x="291"/>
        <item m="1" x="1290"/>
        <item m="1" x="2287"/>
        <item m="1" x="3305"/>
        <item m="1" x="4320"/>
        <item m="1" x="5318"/>
        <item m="1" x="6319"/>
        <item m="1" x="7336"/>
        <item m="1" x="412"/>
        <item m="1" x="1409"/>
        <item m="1" x="2410"/>
        <item m="1" x="3430"/>
        <item m="1" x="4445"/>
        <item m="1" x="5439"/>
        <item m="1" x="6440"/>
        <item m="1" x="7456"/>
        <item m="1" x="534"/>
        <item m="1" x="1531"/>
        <item m="1" x="4759"/>
        <item m="1" x="5257"/>
        <item m="1" x="5756"/>
        <item m="1" x="6260"/>
        <item m="1" x="6767"/>
        <item m="1" x="7271"/>
        <item m="1" x="7776"/>
        <item m="1" x="354"/>
        <item m="1" x="852"/>
        <item m="1" x="1351"/>
        <item m="1" x="1848"/>
        <item m="1" x="2350"/>
        <item m="1" x="2857"/>
        <item m="1" x="3363"/>
        <item m="1" x="3873"/>
        <item m="1" x="4383"/>
        <item m="1" x="4881"/>
        <item m="1" x="5378"/>
        <item m="1" x="5877"/>
        <item m="1" x="6383"/>
        <item m="1" x="6890"/>
        <item m="1" x="7391"/>
        <item m="1" x="7896"/>
        <item m="1" x="476"/>
        <item m="1" x="976"/>
        <item m="1" x="1471"/>
        <item m="1" x="1971"/>
        <item m="1" x="2474"/>
        <item m="1" x="2980"/>
        <item m="1" x="3486"/>
        <item m="1" x="4000"/>
        <item m="1" x="4507"/>
        <item m="1" x="5003"/>
        <item m="1" x="5501"/>
        <item m="1" x="5999"/>
        <item m="1" x="6505"/>
        <item m="1" x="7011"/>
        <item m="1" x="7514"/>
        <item m="1" x="93"/>
        <item m="1" x="597"/>
        <item m="1" x="1100"/>
        <item m="1" x="1597"/>
        <item m="1" x="2094"/>
        <item m="1" x="2598"/>
        <item m="1" x="3104"/>
        <item m="1" x="3609"/>
        <item m="1" x="4122"/>
        <item m="1" x="4623"/>
        <item m="1" x="5123"/>
        <item m="1" x="5623"/>
        <item m="1" x="6122"/>
        <item m="1" x="6629"/>
        <item m="1" x="7135"/>
        <item m="1" x="7638"/>
        <item m="1" x="214"/>
        <item m="1" x="713"/>
        <item m="1" x="1219"/>
        <item m="1" x="1716"/>
        <item m="1" x="2214"/>
        <item m="1" x="2717"/>
        <item m="1" x="3224"/>
        <item m="1" x="3732"/>
        <item m="1" x="4241"/>
        <item m="1" x="4742"/>
        <item m="1" x="5242"/>
        <item m="1" x="5740"/>
        <item m="1" x="6244"/>
        <item m="1" x="6752"/>
        <item m="1" x="7258"/>
        <item m="1" x="7759"/>
        <item m="1" x="336"/>
        <item m="1" x="834"/>
        <item m="1" x="1338"/>
        <item m="1" x="1833"/>
        <item m="1" x="2335"/>
        <item m="1" x="2841"/>
        <item m="1" x="3349"/>
        <item m="1" x="3858"/>
        <item m="1" x="4365"/>
        <item m="1" x="4863"/>
        <item m="1" x="5365"/>
        <item m="1" x="5862"/>
        <item m="1" x="6367"/>
        <item m="1" x="6874"/>
        <item m="1" x="7379"/>
        <item m="1" x="7880"/>
        <item m="1" x="457"/>
        <item m="1" x="958"/>
        <item m="1" x="1457"/>
        <item m="1" x="1955"/>
        <item m="1" x="2459"/>
        <item m="1" x="2964"/>
        <item m="1" x="3473"/>
        <item m="1" x="3984"/>
        <item m="1" x="4489"/>
        <item m="1" x="4984"/>
        <item m="1" x="5487"/>
        <item m="1" x="5984"/>
        <item m="1" x="6489"/>
        <item m="1" x="6993"/>
        <item m="1" x="7500"/>
        <item m="1" x="76"/>
        <item m="1" x="579"/>
        <item m="1" x="1078"/>
        <item m="1" x="1581"/>
        <item m="1" x="2079"/>
        <item m="1" x="2582"/>
        <item m="1" x="3085"/>
        <item m="1" x="3595"/>
        <item m="1" x="4107"/>
        <item m="1" x="4605"/>
        <item m="1" x="5102"/>
        <item m="1" x="5609"/>
        <item m="1" x="6108"/>
        <item m="1" x="6613"/>
        <item m="1" x="7117"/>
        <item m="1" x="7625"/>
        <item m="1" x="199"/>
        <item m="1" x="697"/>
        <item m="1" x="1200"/>
        <item m="1" x="1704"/>
        <item m="1" x="2199"/>
        <item m="1" x="2704"/>
        <item m="1" x="3208"/>
        <item m="1" x="3719"/>
        <item m="1" x="4227"/>
        <item m="1" x="4725"/>
        <item m="1" x="5224"/>
        <item m="1" x="5728"/>
        <item m="1" x="6231"/>
        <item m="1" x="6738"/>
        <item m="1" x="7241"/>
        <item m="1" x="7746"/>
        <item m="1" x="321"/>
        <item m="1" x="818"/>
        <item m="1" x="1319"/>
        <item m="1" x="1820"/>
        <item m="1" x="2320"/>
        <item m="1" x="2826"/>
        <item m="1" x="3332"/>
        <item m="1" x="3843"/>
        <item m="1" x="4350"/>
        <item m="1" x="4848"/>
        <item m="1" x="5346"/>
        <item m="1" x="5849"/>
        <item m="1" x="6353"/>
        <item m="1" x="6860"/>
        <item m="1" x="7362"/>
        <item m="1" x="7867"/>
        <item m="1" x="442"/>
        <item m="1" x="940"/>
        <item m="1" x="1438"/>
        <item m="1" x="1942"/>
        <item m="1" x="2443"/>
        <item m="1" x="2949"/>
        <item m="1" x="3456"/>
        <item m="1" x="3969"/>
        <item m="1" x="4473"/>
        <item m="1" x="4967"/>
        <item m="1" x="5467"/>
        <item m="1" x="5970"/>
        <item m="1" x="6474"/>
        <item m="1" x="6979"/>
        <item m="1" x="7483"/>
        <item m="1" x="7991"/>
        <item m="1" x="563"/>
        <item m="1" x="1063"/>
        <item m="1" x="1562"/>
        <item m="1" x="2065"/>
        <item m="1" x="2567"/>
        <item m="1" x="3071"/>
        <item m="1" x="3579"/>
        <item m="1" x="4093"/>
        <item m="1" x="4591"/>
        <item m="1" x="5086"/>
        <item m="1" x="5589"/>
        <item m="1" x="6092"/>
        <item m="1" x="6597"/>
        <item m="1" x="7102"/>
        <item m="1" x="7607"/>
        <item m="1" x="186"/>
        <item m="1" x="684"/>
        <item m="1" x="1184"/>
        <item m="1" x="1685"/>
        <item m="1" x="2185"/>
        <item m="1" x="2689"/>
        <item m="1" x="3192"/>
        <item m="1" x="3701"/>
        <item m="1" x="4211"/>
        <item m="1" x="4709"/>
        <item m="1" x="5207"/>
        <item m="1" x="5709"/>
        <item m="1" x="6213"/>
        <item m="1" x="6723"/>
        <item m="1" x="7225"/>
        <item m="1" x="7729"/>
        <item m="1" x="304"/>
        <item m="1" x="802"/>
        <item m="1" x="1302"/>
        <item m="1" x="1800"/>
        <item m="1" x="2301"/>
        <item m="1" x="2810"/>
        <item m="1" x="3316"/>
        <item m="1" x="3825"/>
        <item m="1" x="4332"/>
        <item m="1" x="4830"/>
        <item m="1" x="5330"/>
        <item m="1" x="5828"/>
        <item m="1" x="6333"/>
        <item m="1" x="6844"/>
        <item m="1" x="7347"/>
        <item m="1" x="7850"/>
        <item m="1" x="425"/>
        <item m="1" x="925"/>
        <item m="1" x="1422"/>
        <item m="1" x="1921"/>
        <item m="1" x="2425"/>
        <item m="1" x="2932"/>
        <item m="1" x="3441"/>
        <item m="1" x="3952"/>
        <item m="1" x="4457"/>
        <item m="1" x="4950"/>
        <item m="1" x="5451"/>
        <item m="1" x="5950"/>
        <item m="1" x="6455"/>
        <item m="1" x="6962"/>
        <item m="1" x="7468"/>
        <item m="1" x="7972"/>
        <item m="1" x="546"/>
        <item m="1" x="1046"/>
        <item m="1" x="1546"/>
        <item m="1" x="2045"/>
        <item m="1" x="2549"/>
        <item m="1" x="3054"/>
        <item m="1" x="3564"/>
        <item m="1" x="4076"/>
        <item m="1" x="4575"/>
        <item m="1" x="5069"/>
        <item m="1" x="5573"/>
        <item m="1" x="6072"/>
        <item m="1" x="6577"/>
        <item m="1" x="7085"/>
        <item m="1" x="7591"/>
        <item m="1" x="167"/>
        <item m="1" x="3375"/>
        <item m="1" x="3890"/>
        <item m="1" x="4395"/>
        <item m="1" x="4891"/>
        <item m="1" x="5389"/>
        <item m="1" x="5889"/>
        <item m="1" x="6393"/>
        <item m="1" x="6899"/>
        <item m="1" x="7402"/>
        <item m="1" x="7909"/>
        <item m="1" x="486"/>
        <item m="1" x="985"/>
        <item m="1" x="1481"/>
        <item m="1" x="1981"/>
        <item m="1" x="2485"/>
        <item m="1" x="2988"/>
        <item m="1" x="3497"/>
        <item m="1" x="4013"/>
        <item m="1" x="4518"/>
        <item m="1" x="5012"/>
        <item m="1" x="5511"/>
        <item m="1" x="6010"/>
        <item m="1" x="6516"/>
        <item m="1" x="7019"/>
        <item m="1" x="7526"/>
        <item m="1" x="106"/>
        <item m="1" x="609"/>
        <item m="1" x="1109"/>
        <item m="1" x="1606"/>
        <item m="1" x="2105"/>
        <item m="1" x="2609"/>
        <item m="1" x="3112"/>
        <item m="1" x="3619"/>
        <item m="1" x="4135"/>
        <item m="1" x="4634"/>
        <item m="1" x="5131"/>
        <item m="1" x="5633"/>
        <item m="1" x="6134"/>
        <item m="1" x="6641"/>
        <item m="1" x="7145"/>
        <item m="1" x="7650"/>
        <item m="1" x="228"/>
        <item m="1" x="727"/>
        <item m="1" x="1229"/>
        <item m="1" x="1728"/>
        <item m="1" x="2226"/>
        <item m="1" x="2730"/>
        <item m="1" x="3235"/>
        <item m="1" x="3744"/>
        <item m="1" x="4255"/>
        <item m="1" x="4756"/>
        <item m="1" x="5253"/>
        <item m="1" x="5752"/>
        <item m="1" x="6255"/>
        <item m="1" x="7267"/>
        <item m="1" x="7771"/>
        <item m="1" x="348"/>
        <item m="1" x="848"/>
        <item m="1" x="1346"/>
        <item m="1" x="1843"/>
        <item m="1" x="2345"/>
        <item m="1" x="2853"/>
        <item m="1" x="3358"/>
        <item m="1" x="3868"/>
        <item m="1" x="4377"/>
        <item m="1" x="4876"/>
        <item m="1" x="5372"/>
        <item m="1" x="5873"/>
        <item m="1" x="6377"/>
        <item m="1" x="6886"/>
        <item m="1" x="7387"/>
        <item m="1" x="7891"/>
        <item m="1" x="470"/>
        <item m="1" x="972"/>
        <item m="1" x="1466"/>
        <item m="1" x="1966"/>
        <item m="1" x="2469"/>
        <item m="1" x="2976"/>
        <item m="1" x="3481"/>
        <item m="1" x="3995"/>
        <item m="1" x="4501"/>
        <item m="1" x="4999"/>
        <item m="1" x="5496"/>
        <item m="1" x="5995"/>
        <item m="1" x="6500"/>
        <item m="1" x="7006"/>
        <item m="1" x="7510"/>
        <item m="1" x="88"/>
        <item m="1" x="591"/>
        <item m="1" x="1095"/>
        <item m="1" x="1593"/>
        <item m="1" x="2090"/>
        <item m="1" x="2593"/>
        <item m="1" x="3099"/>
        <item m="1" x="3605"/>
        <item m="1" x="4116"/>
        <item m="1" x="4617"/>
        <item m="1" x="5117"/>
        <item m="1" x="5618"/>
        <item m="1" x="6118"/>
        <item m="1" x="6624"/>
        <item m="1" x="7129"/>
        <item m="1" x="7635"/>
        <item m="1" x="209"/>
        <item m="1" x="709"/>
        <item m="1" x="1214"/>
        <item m="1" x="1714"/>
        <item m="1" x="2210"/>
        <item m="1" x="2714"/>
        <item m="1" x="3220"/>
        <item m="1" x="3729"/>
        <item m="1" x="4237"/>
        <item m="1" x="4738"/>
        <item m="1" x="5238"/>
        <item m="1" x="5738"/>
        <item m="1" x="6241"/>
        <item m="1" x="6749"/>
        <item m="1" x="7254"/>
        <item m="1" x="7757"/>
        <item m="1" x="332"/>
        <item m="1" x="830"/>
        <item m="1" x="1334"/>
        <item m="1" x="1831"/>
        <item m="1" x="2331"/>
        <item m="1" x="2837"/>
        <item m="1" x="3345"/>
        <item m="1" x="3855"/>
        <item m="1" x="4360"/>
        <item m="1" x="4859"/>
        <item m="1" x="5361"/>
        <item m="1" x="5859"/>
        <item m="1" x="6364"/>
        <item m="1" x="6871"/>
        <item m="1" x="7375"/>
        <item m="1" x="7877"/>
        <item m="1" x="453"/>
        <item m="1" x="952"/>
        <item m="1" x="1453"/>
        <item m="1" x="1952"/>
        <item m="1" x="2959"/>
        <item m="1" x="3469"/>
        <item m="1" x="3980"/>
        <item m="1" x="4486"/>
        <item m="1" x="4979"/>
        <item m="1" x="5483"/>
        <item m="1" x="5981"/>
        <item m="1" x="6486"/>
        <item m="1" x="6989"/>
        <item m="1" x="7496"/>
        <item m="1" x="73"/>
        <item m="1" x="576"/>
        <item m="1" x="1073"/>
        <item m="1" x="1577"/>
        <item m="1" x="2076"/>
        <item m="1" x="2578"/>
        <item m="1" x="3080"/>
        <item m="1" x="3591"/>
        <item m="1" x="4103"/>
        <item m="1" x="4601"/>
        <item m="1" x="5097"/>
        <item m="1" x="5605"/>
        <item m="1" x="6104"/>
        <item m="1" x="6609"/>
        <item m="1" x="7113"/>
        <item m="1" x="7620"/>
        <item m="1" x="196"/>
        <item m="1" x="694"/>
        <item m="1" x="1195"/>
        <item m="1" x="1700"/>
        <item m="1" x="2196"/>
        <item m="1" x="2700"/>
        <item m="1" x="3202"/>
        <item m="1" x="3714"/>
        <item m="1" x="4223"/>
        <item m="1" x="4721"/>
        <item m="1" x="5218"/>
        <item m="1" x="5724"/>
        <item m="1" x="6228"/>
        <item m="1" x="6735"/>
        <item m="1" x="7237"/>
        <item m="1" x="7742"/>
        <item m="1" x="318"/>
        <item m="1" x="815"/>
        <item m="1" x="1314"/>
        <item m="1" x="1815"/>
        <item m="1" x="2317"/>
        <item m="1" x="2822"/>
        <item m="1" x="3327"/>
        <item m="1" x="3838"/>
        <item m="1" x="4346"/>
        <item m="1" x="4842"/>
        <item m="1" x="5341"/>
        <item m="1" x="5842"/>
        <item m="1" x="6348"/>
        <item m="1" x="6855"/>
        <item m="1" x="7358"/>
        <item m="1" x="7861"/>
        <item m="1" x="437"/>
        <item m="1" x="935"/>
        <item m="1" x="1433"/>
        <item m="1" x="1935"/>
        <item m="1" x="2438"/>
        <item m="1" x="2943"/>
        <item m="1" x="3451"/>
        <item m="1" x="3963"/>
        <item m="1" x="4469"/>
        <item m="1" x="4962"/>
        <item m="1" x="5462"/>
        <item m="1" x="5963"/>
        <item m="1" x="6470"/>
        <item m="1" x="6974"/>
        <item m="1" x="7479"/>
        <item m="1" x="7985"/>
        <item m="1" x="559"/>
        <item m="1" x="1058"/>
        <item m="1" x="1557"/>
        <item m="1" x="2058"/>
        <item m="1" x="2563"/>
        <item m="1" x="3065"/>
        <item m="1" x="3574"/>
        <item m="1" x="4087"/>
        <item m="1" x="4587"/>
        <item m="1" x="5080"/>
        <item m="1" x="5583"/>
        <item m="1" x="6591"/>
        <item m="1" x="7096"/>
        <item m="1" x="7603"/>
        <item m="1" x="180"/>
        <item m="1" x="679"/>
        <item m="1" x="1179"/>
        <item m="1" x="1680"/>
        <item m="1" x="2177"/>
        <item m="1" x="2684"/>
        <item m="1" x="3187"/>
        <item m="1" x="3696"/>
        <item m="1" x="4205"/>
        <item m="1" x="4704"/>
        <item m="1" x="5202"/>
        <item m="1" x="5704"/>
        <item m="1" x="6207"/>
        <item m="1" x="6717"/>
        <item m="1" x="1494"/>
        <item m="1" x="1993"/>
        <item m="1" x="2497"/>
        <item m="1" x="3001"/>
        <item m="1" x="3511"/>
        <item m="1" x="4026"/>
        <item m="1" x="4527"/>
        <item m="1" x="5022"/>
        <item m="1" x="5521"/>
        <item m="1" x="6021"/>
        <item m="1" x="6524"/>
        <item m="1" x="7029"/>
        <item m="1" x="7539"/>
        <item m="1" x="117"/>
        <item m="1" x="617"/>
        <item m="1" x="1119"/>
        <item m="1" x="1617"/>
        <item m="1" x="2115"/>
        <item m="1" x="2618"/>
        <item m="1" x="3123"/>
        <item m="1" x="3632"/>
        <item m="1" x="4145"/>
        <item m="1" x="4643"/>
        <item m="1" x="5142"/>
        <item m="1" x="5644"/>
        <item m="1" x="6144"/>
        <item m="1" x="6650"/>
        <item m="1" x="7156"/>
        <item m="1" x="7663"/>
        <item m="1" x="239"/>
        <item m="1" x="736"/>
        <item m="1" x="1239"/>
        <item m="1" x="1739"/>
        <item m="1" x="2236"/>
        <item m="1" x="2739"/>
        <item m="1" x="3247"/>
        <item m="1" x="3758"/>
        <item m="1" x="4268"/>
        <item m="1" x="4766"/>
        <item m="1" x="5264"/>
        <item m="1" x="5765"/>
        <item m="1" x="6268"/>
        <item m="1" x="6774"/>
        <item m="1" x="7278"/>
        <item m="1" x="7787"/>
        <item m="1" x="362"/>
        <item m="1" x="858"/>
        <item m="1" x="1358"/>
        <item m="1" x="1856"/>
        <item m="1" x="2358"/>
        <item m="1" x="2864"/>
        <item m="1" x="3370"/>
        <item m="1" x="3883"/>
        <item m="1" x="4391"/>
        <item m="1" x="4886"/>
        <item m="1" x="5384"/>
        <item m="1" x="5884"/>
        <item m="1" x="6390"/>
        <item m="1" x="6895"/>
        <item m="1" x="7398"/>
        <item m="1" x="7904"/>
        <item m="1" x="483"/>
        <item m="1" x="981"/>
        <item m="1" x="1478"/>
        <item m="1" x="1977"/>
        <item m="1" x="2482"/>
        <item m="1" x="2985"/>
        <item m="1" x="3493"/>
        <item m="1" x="4008"/>
        <item m="1" x="4515"/>
        <item m="1" x="5008"/>
        <item m="1" x="5507"/>
        <item m="1" x="6006"/>
        <item m="1" x="6513"/>
        <item m="1" x="7015"/>
        <item m="1" x="7521"/>
        <item m="1" x="101"/>
        <item m="1" x="605"/>
        <item m="1" x="1104"/>
        <item m="1" x="1603"/>
        <item m="1" x="2101"/>
        <item m="1" x="2605"/>
        <item m="1" x="3109"/>
        <item m="1" x="3615"/>
        <item m="1" x="4130"/>
        <item m="1" x="4631"/>
        <item m="1" x="5127"/>
        <item m="1" x="5629"/>
        <item m="1" x="6130"/>
        <item m="1" x="6637"/>
        <item m="1" x="7141"/>
        <item m="1" x="7646"/>
        <item m="1" x="223"/>
        <item m="1" x="723"/>
        <item m="1" x="1226"/>
        <item m="1" x="1725"/>
        <item m="1" x="2222"/>
        <item m="1" x="2726"/>
        <item m="1" x="3232"/>
        <item m="1" x="3740"/>
        <item m="1" x="4250"/>
        <item m="1" x="4752"/>
        <item m="1" x="5250"/>
        <item m="1" x="5748"/>
        <item m="1" x="6252"/>
        <item m="1" x="6761"/>
        <item m="1" x="7265"/>
        <item m="1" x="7767"/>
        <item m="1" x="345"/>
        <item m="1" x="844"/>
        <item m="1" x="1344"/>
        <item m="1" x="1841"/>
        <item m="1" x="2343"/>
        <item m="1" x="2850"/>
        <item m="1" x="3356"/>
        <item m="1" x="3865"/>
        <item m="1" x="4374"/>
        <item m="1" x="4873"/>
        <item m="1" x="5371"/>
        <item m="1" x="5870"/>
        <item m="1" x="6375"/>
        <item m="1" x="6883"/>
        <item m="1" x="7385"/>
        <item m="1" x="7888"/>
        <item m="1" x="467"/>
        <item m="1" x="969"/>
        <item m="1" x="1465"/>
        <item m="1" x="1964"/>
        <item m="1" x="2467"/>
        <item m="1" x="2973"/>
        <item m="1" x="3480"/>
        <item m="1" x="3992"/>
        <item m="1" x="4498"/>
        <item m="1" x="4996"/>
        <item m="1" x="5495"/>
        <item m="1" x="5992"/>
        <item m="1" x="6497"/>
        <item m="1" x="7003"/>
        <item m="1" x="7507"/>
        <item m="1" x="85"/>
        <item m="1" x="587"/>
        <item m="1" x="1092"/>
        <item m="1" x="1590"/>
        <item m="1" x="2088"/>
        <item m="1" x="2590"/>
        <item m="1" x="3095"/>
        <item m="1" x="3603"/>
        <item m="1" x="4114"/>
        <item m="1" x="4613"/>
        <item m="1" x="5113"/>
        <item m="1" x="5616"/>
        <item m="1" x="6115"/>
        <item m="1" x="6620"/>
        <item m="1" x="7126"/>
        <item m="1" x="7632"/>
        <item m="1" x="207"/>
        <item m="1" x="705"/>
        <item m="1" x="1211"/>
        <item m="1" x="1712"/>
        <item m="1" x="2208"/>
        <item m="1" x="2711"/>
        <item m="1" x="3217"/>
        <item m="1" x="3727"/>
        <item m="1" x="4235"/>
        <item m="1" x="4734"/>
        <item m="1" x="5235"/>
        <item m="1" x="5736"/>
        <item m="1" x="6238"/>
        <item m="1" x="6745"/>
        <item m="1" x="7251"/>
        <item m="1" x="7754"/>
        <item m="1" x="329"/>
        <item m="1" x="826"/>
        <item m="1" x="1330"/>
        <item m="1" x="1827"/>
        <item m="1" x="2328"/>
        <item m="1" x="2833"/>
        <item m="1" x="3341"/>
        <item m="1" x="3851"/>
        <item m="1" x="4358"/>
        <item m="1" x="4855"/>
        <item m="1" x="5357"/>
        <item m="1" x="5857"/>
        <item m="1" x="6361"/>
        <item m="1" x="6867"/>
        <item m="1" x="7372"/>
        <item m="1" x="7875"/>
        <item m="1" x="451"/>
        <item m="1" x="948"/>
        <item m="1" x="1449"/>
        <item m="1" x="1950"/>
        <item m="1" x="2452"/>
        <item m="1" x="2956"/>
        <item m="1" x="3465"/>
        <item m="1" x="3977"/>
        <item m="1" x="4482"/>
        <item m="1" x="4975"/>
        <item m="1" x="5477"/>
        <item m="1" x="5978"/>
        <item m="1" x="6481"/>
        <item m="1" x="6985"/>
        <item m="1" x="7491"/>
        <item m="1" x="7998"/>
        <item m="1" x="571"/>
        <item m="1" x="1069"/>
        <item m="1" x="1571"/>
        <item m="1" x="2072"/>
        <item m="1" x="2573"/>
        <item m="1" x="3077"/>
        <item m="1" x="3586"/>
        <item m="1" x="4100"/>
        <item m="1" x="4597"/>
        <item m="1" x="5093"/>
        <item m="1" x="5599"/>
        <item m="1" x="6101"/>
        <item m="1" x="6604"/>
        <item m="1" x="7109"/>
        <item m="1" x="7615"/>
        <item m="1" x="193"/>
        <item m="1" x="690"/>
        <item m="1" x="1191"/>
        <item m="1" x="1694"/>
        <item m="1" x="2193"/>
        <item m="1" x="2696"/>
        <item m="1" x="3199"/>
        <item m="1" x="3709"/>
        <item m="1" x="4219"/>
        <item m="1" x="4717"/>
        <item m="1" x="5214"/>
        <item m="1" x="5718"/>
        <item m="1" x="6224"/>
        <item m="1" x="6731"/>
        <item m="1" x="7233"/>
        <item m="1" x="7737"/>
        <item m="1" x="314"/>
        <item m="1" x="810"/>
        <item m="1" x="1309"/>
        <item m="1" x="1809"/>
        <item m="1" x="2312"/>
        <item m="1" x="2818"/>
        <item m="1" x="3324"/>
        <item m="1" x="3833"/>
        <item m="1" x="4341"/>
        <item m="1" x="4838"/>
        <item m="1" x="128"/>
        <item m="1" x="630"/>
        <item m="1" x="1131"/>
        <item m="1" x="1629"/>
        <item m="1" x="2125"/>
        <item m="1" x="2630"/>
        <item m="1" x="3136"/>
        <item m="1" x="3643"/>
        <item m="1" x="4154"/>
        <item m="1" x="4655"/>
        <item m="1" x="5153"/>
        <item m="1" x="5654"/>
        <item m="1" x="6154"/>
        <item m="1" x="6661"/>
        <item m="1" x="7169"/>
        <item m="1" x="7674"/>
        <item m="1" x="248"/>
        <item m="1" x="747"/>
        <item m="1" x="1250"/>
        <item m="1" x="1749"/>
        <item m="1" x="2244"/>
        <item m="1" x="2750"/>
        <item m="1" x="3260"/>
        <item m="1" x="3769"/>
        <item m="1" x="4276"/>
        <item m="1" x="4778"/>
        <item m="1" x="5275"/>
        <item m="1" x="5775"/>
        <item m="1" x="6276"/>
        <item m="1" x="6785"/>
        <item m="1" x="7291"/>
        <item m="1" x="7798"/>
        <item m="1" x="371"/>
        <item m="1" x="870"/>
        <item m="1" x="1369"/>
        <item m="1" x="1868"/>
        <item m="1" x="2367"/>
        <item m="1" x="2874"/>
        <item m="1" x="3385"/>
        <item m="1" x="3898"/>
        <item m="1" x="4402"/>
        <item m="1" x="4899"/>
        <item m="1" x="5397"/>
        <item m="1" x="5898"/>
        <item m="1" x="6399"/>
        <item m="1" x="6907"/>
        <item m="1" x="7412"/>
        <item m="1" x="7919"/>
        <item m="1" x="493"/>
        <item m="1" x="992"/>
        <item m="1" x="1490"/>
        <item m="1" x="1990"/>
        <item m="1" x="2492"/>
        <item m="1" x="2996"/>
        <item m="1" x="3505"/>
        <item m="1" x="4021"/>
        <item m="1" x="4522"/>
        <item m="1" x="5019"/>
        <item m="1" x="5517"/>
        <item m="1" x="6017"/>
        <item m="1" x="6521"/>
        <item m="1" x="7025"/>
        <item m="1" x="7534"/>
        <item m="1" x="113"/>
        <item m="1" x="613"/>
        <item m="1" x="1115"/>
        <item m="1" x="1613"/>
        <item m="1" x="2112"/>
        <item m="1" x="2614"/>
        <item m="1" x="3119"/>
        <item m="1" x="3627"/>
        <item m="1" x="4142"/>
        <item m="1" x="4639"/>
        <item m="1" x="5139"/>
        <item m="1" x="5640"/>
        <item m="1" x="6141"/>
        <item m="1" x="6647"/>
        <item m="1" x="7152"/>
        <item m="1" x="7658"/>
        <item m="1" x="236"/>
        <item m="1" x="732"/>
        <item m="1" x="1235"/>
        <item m="1" x="1735"/>
        <item m="1" x="2233"/>
        <item m="1" x="2735"/>
        <item m="1" x="3242"/>
        <item m="1" x="3753"/>
        <item m="1" x="4263"/>
        <item m="1" x="4762"/>
        <item m="1" x="5261"/>
        <item m="1" x="5761"/>
        <item m="1" x="6264"/>
        <item m="1" x="6771"/>
        <item m="1" x="7274"/>
        <item m="1" x="7781"/>
        <item m="1" x="358"/>
        <item m="1" x="855"/>
        <item m="1" x="1354"/>
        <item m="1" x="1852"/>
        <item m="1" x="2354"/>
        <item m="1" x="2860"/>
        <item m="1" x="3366"/>
        <item m="1" x="3878"/>
        <item m="1" x="4387"/>
        <item m="1" x="4884"/>
        <item m="1" x="5382"/>
        <item m="1" x="5882"/>
        <item m="1" x="6387"/>
        <item m="1" x="6894"/>
        <item m="1" x="7395"/>
        <item m="1" x="7901"/>
        <item m="1" x="480"/>
        <item m="1" x="980"/>
        <item m="1" x="1475"/>
        <item m="1" x="1975"/>
        <item m="1" x="2479"/>
        <item m="1" x="2983"/>
        <item m="1" x="3489"/>
        <item m="1" x="4005"/>
        <item m="1" x="4511"/>
        <item m="1" x="5006"/>
        <item m="1" x="5505"/>
        <item m="1" x="6004"/>
        <item m="1" x="6509"/>
        <item m="1" x="7014"/>
        <item m="1" x="7518"/>
        <item m="1" x="98"/>
        <item m="1" x="602"/>
        <item m="1" x="1103"/>
        <item m="1" x="1600"/>
        <item m="1" x="2098"/>
        <item m="1" x="2602"/>
        <item m="1" x="3107"/>
        <item m="1" x="3612"/>
        <item m="1" x="4127"/>
        <item m="1" x="4628"/>
        <item m="1" x="5126"/>
        <item m="1" x="5627"/>
        <item m="1" x="6127"/>
        <item m="1" x="6634"/>
        <item m="1" x="7139"/>
        <item m="1" x="7644"/>
        <item m="1" x="219"/>
        <item m="1" x="720"/>
        <item m="1" x="1224"/>
        <item m="1" x="1722"/>
        <item m="1" x="2218"/>
        <item m="1" x="2723"/>
        <item m="1" x="3229"/>
        <item m="1" x="3737"/>
        <item m="1" x="4246"/>
        <item m="1" x="4749"/>
        <item m="1" x="5247"/>
        <item m="1" x="5746"/>
        <item m="1" x="6249"/>
        <item m="1" x="6758"/>
        <item m="1" x="7262"/>
        <item m="1" x="7765"/>
        <item m="1" x="341"/>
        <item m="1" x="841"/>
        <item m="1" x="1342"/>
        <item m="1" x="1838"/>
        <item m="1" x="2339"/>
        <item m="1" x="2847"/>
        <item m="1" x="3353"/>
        <item m="1" x="3863"/>
        <item m="1" x="4370"/>
        <item m="1" x="4870"/>
        <item m="1" x="5369"/>
        <item m="1" x="5868"/>
        <item m="1" x="6372"/>
        <item m="1" x="6880"/>
        <item m="1" x="7383"/>
        <item m="1" x="7886"/>
        <item m="1" x="463"/>
        <item m="1" x="965"/>
        <item m="1" x="1463"/>
        <item m="1" x="1961"/>
        <item m="1" x="2463"/>
        <item m="1" x="2970"/>
        <item m="1" x="3478"/>
        <item m="1" x="3989"/>
        <item m="1" x="4494"/>
        <item m="1" x="4992"/>
        <item m="1" x="5492"/>
        <item m="1" x="5989"/>
        <item m="1" x="6494"/>
        <item m="1" x="6999"/>
        <item m="1" x="7505"/>
        <item m="1" x="82"/>
        <item m="1" x="584"/>
        <item m="1" x="1085"/>
        <item m="1" x="1587"/>
        <item m="1" x="2083"/>
        <item m="1" x="2586"/>
        <item m="1" x="3090"/>
        <item m="1" x="3600"/>
        <item m="1" x="4110"/>
        <item m="1" x="4609"/>
        <item m="1" x="5107"/>
        <item m="1" x="5613"/>
        <item m="1" x="6111"/>
        <item m="1" x="6617"/>
        <item m="1" x="7121"/>
        <item m="1" x="7629"/>
        <item m="1" x="203"/>
        <item m="1" x="702"/>
        <item m="1" x="1205"/>
        <item m="1" x="1709"/>
        <item m="1" x="2203"/>
        <item m="1" x="2707"/>
        <item m="1" x="3212"/>
        <item m="1" x="3724"/>
        <item m="1" x="4230"/>
        <item m="1" x="4729"/>
        <item m="1" x="5229"/>
        <item m="1" x="5732"/>
        <item m="1" x="6234"/>
        <item m="1" x="6742"/>
        <item m="1" x="7246"/>
        <item m="1" x="7750"/>
        <item m="1" x="325"/>
        <item m="1" x="822"/>
        <item m="1" x="1324"/>
        <item m="1" x="1824"/>
        <item m="1" x="2323"/>
        <item m="1" x="2829"/>
        <item m="1" x="3336"/>
        <item m="1" x="3847"/>
        <item m="1" x="4354"/>
        <item m="1" x="4851"/>
        <item m="1" x="5351"/>
        <item m="1" x="5853"/>
        <item m="1" x="6357"/>
        <item m="1" x="6864"/>
        <item m="1" x="7367"/>
        <item m="1" x="7871"/>
        <item m="1" x="447"/>
        <item m="1" x="944"/>
        <item m="1" x="1443"/>
        <item m="1" x="1946"/>
        <item m="1" x="2448"/>
        <item m="1" x="2952"/>
        <item m="1" x="3460"/>
        <item m="1" x="6167"/>
        <item m="1" x="6677"/>
        <item m="1" x="7181"/>
        <item m="1" x="7684"/>
        <item m="1" x="262"/>
        <item m="1" x="759"/>
        <item m="1" x="1260"/>
        <item m="1" x="1758"/>
        <item m="1" x="2255"/>
        <item m="1" x="2763"/>
        <item m="1" x="3270"/>
        <item m="1" x="3778"/>
        <item m="1" x="4290"/>
        <item m="1" x="4787"/>
        <item m="1" x="5286"/>
        <item m="1" x="5783"/>
        <item m="1" x="6287"/>
        <item m="1" x="6798"/>
        <item m="1" x="7302"/>
        <item m="1" x="7807"/>
        <item m="1" x="384"/>
        <item m="1" x="881"/>
        <item m="1" x="1380"/>
        <item m="1" x="1876"/>
        <item m="1" x="2379"/>
        <item m="1" x="2887"/>
        <item m="1" x="3397"/>
        <item m="1" x="3907"/>
        <item m="1" x="4415"/>
        <item m="1" x="4910"/>
        <item m="1" x="5408"/>
        <item m="1" x="5906"/>
        <item m="1" x="6410"/>
        <item m="1" x="6920"/>
        <item m="1" x="7423"/>
        <item m="1" x="7927"/>
        <item m="1" x="506"/>
        <item m="1" x="1004"/>
        <item m="1" x="1502"/>
        <item m="1" x="2000"/>
        <item m="1" x="2505"/>
        <item m="1" x="3011"/>
        <item m="1" x="3519"/>
        <item m="1" x="4032"/>
        <item m="1" x="4536"/>
        <item m="1" x="5031"/>
        <item m="1" x="5529"/>
        <item m="1" x="6028"/>
        <item m="1" x="6532"/>
        <item m="1" x="7039"/>
        <item m="1" x="7547"/>
        <item m="1" x="124"/>
        <item m="1" x="626"/>
        <item m="1" x="1126"/>
        <item m="1" x="1625"/>
        <item m="1" x="2121"/>
        <item m="1" x="2625"/>
        <item m="1" x="3131"/>
        <item m="1" x="3640"/>
        <item m="1" x="4150"/>
        <item m="1" x="4651"/>
        <item m="1" x="5149"/>
        <item m="1" x="5651"/>
        <item m="1" x="6150"/>
        <item m="1" x="6657"/>
        <item m="1" x="7164"/>
        <item m="1" x="7670"/>
        <item m="1" x="243"/>
        <item m="1" x="744"/>
        <item m="1" x="1245"/>
        <item m="1" x="1746"/>
        <item m="1" x="2241"/>
        <item m="1" x="2746"/>
        <item m="1" x="3255"/>
        <item m="1" x="3766"/>
        <item m="1" x="4272"/>
        <item m="1" x="4774"/>
        <item m="1" x="5271"/>
        <item m="1" x="5772"/>
        <item m="1" x="6272"/>
        <item m="1" x="6781"/>
        <item m="1" x="7286"/>
        <item m="1" x="7795"/>
        <item m="1" x="367"/>
        <item m="1" x="867"/>
        <item m="1" x="1365"/>
        <item m="1" x="1864"/>
        <item m="1" x="2364"/>
        <item m="1" x="2870"/>
        <item m="1" x="3380"/>
        <item m="1" x="3894"/>
        <item m="1" x="4399"/>
        <item m="1" x="4895"/>
        <item m="1" x="5393"/>
        <item m="1" x="5894"/>
        <item m="1" x="6395"/>
        <item m="1" x="6902"/>
        <item m="1" x="7407"/>
        <item m="1" x="7914"/>
        <item m="1" x="489"/>
        <item m="1" x="989"/>
        <item m="1" x="1486"/>
        <item m="1" x="1985"/>
        <item m="1" x="2489"/>
        <item m="1" x="2992"/>
        <item m="1" x="3502"/>
        <item m="1" x="4017"/>
        <item m="1" x="4521"/>
        <item m="1" x="5016"/>
        <item m="1" x="5515"/>
        <item m="1" x="6014"/>
        <item m="1" x="6519"/>
        <item m="1" x="7022"/>
        <item m="1" x="7531"/>
        <item m="1" x="110"/>
        <item m="1" x="612"/>
        <item m="1" x="1113"/>
        <item m="1" x="1611"/>
        <item m="1" x="2109"/>
        <item m="1" x="2613"/>
        <item m="1" x="3116"/>
        <item m="1" x="3624"/>
        <item m="1" x="4139"/>
        <item m="1" x="4638"/>
        <item m="1" x="5136"/>
        <item m="1" x="5637"/>
        <item m="1" x="6138"/>
        <item m="1" x="6645"/>
        <item m="1" x="7148"/>
        <item m="1" x="7655"/>
        <item m="1" x="233"/>
        <item m="1" x="730"/>
        <item m="1" x="1233"/>
        <item m="1" x="1733"/>
        <item m="1" x="2230"/>
        <item m="1" x="2733"/>
        <item m="1" x="3239"/>
        <item m="1" x="3749"/>
        <item m="1" x="4260"/>
        <item m="1" x="4760"/>
        <item m="1" x="5258"/>
        <item m="1" x="5757"/>
        <item m="1" x="6261"/>
        <item m="1" x="6768"/>
        <item m="1" x="7272"/>
        <item m="1" x="7777"/>
        <item m="1" x="355"/>
        <item m="1" x="853"/>
        <item m="1" x="1352"/>
        <item m="1" x="1849"/>
        <item m="1" x="2351"/>
        <item m="1" x="2858"/>
        <item m="1" x="3364"/>
        <item m="1" x="3874"/>
        <item m="1" x="4384"/>
        <item m="1" x="4882"/>
        <item m="1" x="5379"/>
        <item m="1" x="5878"/>
        <item m="1" x="6384"/>
        <item m="1" x="6891"/>
        <item m="1" x="7392"/>
        <item m="1" x="7897"/>
        <item m="1" x="477"/>
        <item m="1" x="977"/>
        <item m="1" x="1472"/>
        <item m="1" x="1972"/>
        <item m="1" x="2475"/>
        <item m="1" x="2981"/>
        <item m="1" x="3487"/>
        <item m="1" x="4001"/>
        <item m="1" x="4508"/>
        <item m="1" x="5004"/>
        <item m="1" x="5502"/>
        <item m="1" x="6000"/>
        <item m="1" x="6506"/>
        <item m="1" x="7012"/>
        <item m="1" x="7515"/>
        <item m="1" x="94"/>
        <item m="1" x="598"/>
        <item m="1" x="1101"/>
        <item m="1" x="1598"/>
        <item m="1" x="2095"/>
        <item m="1" x="2599"/>
        <item m="1" x="3105"/>
        <item m="1" x="3610"/>
        <item m="1" x="4123"/>
        <item m="1" x="4624"/>
        <item m="1" x="5124"/>
        <item m="1" x="5624"/>
        <item m="1" x="6123"/>
        <item m="1" x="6630"/>
        <item m="1" x="7136"/>
        <item m="1" x="7639"/>
        <item m="1" x="215"/>
        <item m="1" x="714"/>
        <item m="1" x="1220"/>
        <item m="1" x="1717"/>
        <item m="1" x="2215"/>
        <item m="1" x="2718"/>
        <item m="1" x="3225"/>
        <item m="1" x="3733"/>
        <item m="1" x="4242"/>
        <item m="1" x="4743"/>
        <item m="1" x="5243"/>
        <item m="1" x="5741"/>
        <item m="1" x="6245"/>
        <item m="1" x="6753"/>
        <item m="1" x="7259"/>
        <item m="1" x="7760"/>
        <item m="1" x="337"/>
        <item m="1" x="835"/>
        <item m="1" x="1339"/>
        <item m="1" x="1834"/>
        <item m="1" x="2336"/>
        <item m="1" x="2842"/>
        <item m="1" x="3350"/>
        <item m="1" x="3859"/>
        <item m="1" x="4366"/>
        <item m="1" x="4864"/>
        <item m="1" x="5366"/>
        <item m="1" x="5863"/>
        <item m="1" x="6368"/>
        <item m="1" x="6875"/>
        <item m="1" x="7380"/>
        <item m="1" x="7881"/>
        <item m="1" x="458"/>
        <item m="1" x="959"/>
        <item m="1" x="1458"/>
        <item m="1" x="1956"/>
        <item m="1" x="2460"/>
        <item m="1" x="2965"/>
        <item m="1" x="3474"/>
        <item m="1" x="3985"/>
        <item m="1" x="4490"/>
        <item m="1" x="4985"/>
        <item m="1" x="5488"/>
        <item m="1" x="5985"/>
        <item m="1" x="6490"/>
        <item m="1" x="6994"/>
        <item m="1" x="7501"/>
        <item m="1" x="77"/>
        <item m="1" x="580"/>
        <item m="1" x="1079"/>
        <item m="1" x="1582"/>
        <item m="1" x="4800"/>
        <item m="1" x="5298"/>
        <item m="1" x="5796"/>
        <item m="1" x="6301"/>
        <item m="1" x="6811"/>
        <item m="1" x="7312"/>
        <item m="1" x="7820"/>
        <item m="1" x="394"/>
        <item m="1" x="892"/>
        <item m="1" x="1388"/>
        <item m="1" x="1887"/>
        <item m="1" x="2392"/>
        <item m="1" x="2898"/>
        <item m="1" x="3405"/>
        <item m="1" x="3920"/>
        <item m="1" x="4426"/>
        <item m="1" x="4920"/>
        <item m="1" x="5417"/>
        <item m="1" x="5918"/>
        <item m="1" x="6423"/>
        <item m="1" x="6931"/>
        <item m="1" x="7433"/>
        <item m="1" x="7942"/>
        <item m="1" x="517"/>
        <item m="1" x="1015"/>
        <item m="1" x="1511"/>
        <item m="1" x="2011"/>
        <item m="1" x="2518"/>
        <item m="1" x="3022"/>
        <item m="1" x="3528"/>
        <item m="1" x="4045"/>
        <item m="1" x="4547"/>
        <item m="1" x="5041"/>
        <item m="1" x="5538"/>
        <item m="1" x="6040"/>
        <item m="1" x="6546"/>
        <item m="1" x="7052"/>
        <item m="1" x="7556"/>
        <item m="1" x="137"/>
        <item m="1" x="639"/>
        <item m="1" x="1139"/>
        <item m="1" x="1636"/>
        <item m="1" x="2133"/>
        <item m="1" x="2641"/>
        <item m="1" x="3144"/>
        <item m="1" x="3649"/>
        <item m="1" x="4163"/>
        <item m="1" x="4663"/>
        <item m="1" x="5161"/>
        <item m="1" x="5661"/>
        <item m="1" x="6162"/>
        <item m="1" x="6671"/>
        <item m="1" x="7177"/>
        <item m="1" x="7679"/>
        <item m="1" x="256"/>
        <item m="1" x="754"/>
        <item m="1" x="1257"/>
        <item m="1" x="1754"/>
        <item m="1" x="2251"/>
        <item m="1" x="2758"/>
        <item m="1" x="3267"/>
        <item m="1" x="3774"/>
        <item m="1" x="4285"/>
        <item m="1" x="4783"/>
        <item m="1" x="5283"/>
        <item m="1" x="5780"/>
        <item m="1" x="6283"/>
        <item m="1" x="6793"/>
        <item m="1" x="7299"/>
        <item m="1" x="7803"/>
        <item m="1" x="379"/>
        <item m="1" x="877"/>
        <item m="1" x="1377"/>
        <item m="1" x="1872"/>
        <item m="1" x="2374"/>
        <item m="1" x="2882"/>
        <item m="1" x="3393"/>
        <item m="1" x="3902"/>
        <item m="1" x="4410"/>
        <item m="1" x="4906"/>
        <item m="1" x="5404"/>
        <item m="1" x="5903"/>
        <item m="1" x="6406"/>
        <item m="1" x="6915"/>
        <item m="1" x="7420"/>
        <item m="1" x="7923"/>
        <item m="1" x="501"/>
        <item m="1" x="1000"/>
        <item m="1" x="1498"/>
        <item m="1" x="1996"/>
        <item m="1" x="2500"/>
        <item m="1" x="3006"/>
        <item m="1" x="3515"/>
        <item m="1" x="4029"/>
        <item m="1" x="4531"/>
        <item m="1" x="5027"/>
        <item m="1" x="5525"/>
        <item m="1" x="6025"/>
        <item m="1" x="6528"/>
        <item m="1" x="7034"/>
        <item m="1" x="7543"/>
        <item m="1" x="121"/>
        <item m="1" x="621"/>
        <item m="1" x="1123"/>
        <item m="1" x="1621"/>
        <item m="1" x="2119"/>
        <item m="1" x="2621"/>
        <item m="1" x="3128"/>
        <item m="1" x="3636"/>
        <item m="1" x="4148"/>
        <item m="1" x="4647"/>
        <item m="1" x="5147"/>
        <item m="1" x="5648"/>
        <item m="1" x="6148"/>
        <item m="1" x="6654"/>
        <item m="1" x="7161"/>
        <item m="1" x="7667"/>
        <item m="1" x="242"/>
        <item m="1" x="740"/>
        <item m="1" x="1243"/>
        <item m="1" x="1743"/>
        <item m="1" x="2239"/>
        <item m="1" x="2742"/>
        <item m="1" x="3252"/>
        <item m="1" x="3763"/>
        <item m="1" x="4271"/>
        <item m="1" x="4770"/>
        <item m="1" x="5269"/>
        <item m="1" x="5769"/>
        <item m="1" x="6271"/>
        <item m="1" x="6778"/>
        <item m="1" x="7283"/>
        <item m="1" x="7792"/>
        <item m="1" x="366"/>
        <item m="1" x="863"/>
        <item m="1" x="1362"/>
        <item m="1" x="1861"/>
        <item m="1" x="2361"/>
        <item m="1" x="2867"/>
        <item m="1" x="3376"/>
        <item m="1" x="3891"/>
        <item m="1" x="4396"/>
        <item m="1" x="4892"/>
        <item m="1" x="5390"/>
        <item m="1" x="5890"/>
        <item m="1" x="6394"/>
        <item m="1" x="6900"/>
        <item m="1" x="7403"/>
        <item m="1" x="7910"/>
        <item m="1" x="487"/>
        <item m="1" x="986"/>
        <item m="1" x="1482"/>
        <item m="1" x="1982"/>
        <item m="1" x="2486"/>
        <item m="1" x="2989"/>
        <item m="1" x="3498"/>
        <item m="1" x="4014"/>
        <item m="1" x="4519"/>
        <item m="1" x="5013"/>
        <item m="1" x="5512"/>
        <item m="1" x="6011"/>
        <item m="1" x="6517"/>
        <item m="1" x="7020"/>
        <item m="1" x="7527"/>
        <item m="1" x="107"/>
        <item m="1" x="610"/>
        <item m="1" x="1110"/>
        <item m="1" x="1607"/>
        <item m="1" x="2106"/>
        <item m="1" x="2610"/>
        <item m="1" x="3113"/>
        <item m="1" x="3620"/>
        <item m="1" x="4136"/>
        <item m="1" x="4635"/>
        <item m="1" x="5132"/>
        <item m="1" x="5634"/>
        <item m="1" x="6135"/>
        <item m="1" x="6642"/>
        <item m="1" x="7146"/>
        <item m="1" x="7651"/>
        <item m="1" x="229"/>
        <item m="1" x="728"/>
        <item m="1" x="1230"/>
        <item m="1" x="1729"/>
        <item m="1" x="2227"/>
        <item m="1" x="2731"/>
        <item m="1" x="3236"/>
        <item m="1" x="3745"/>
        <item m="1" x="4256"/>
        <item m="1" x="4757"/>
        <item m="1" x="5254"/>
        <item m="1" x="5753"/>
        <item m="1" x="6256"/>
        <item m="1" x="6764"/>
        <item m="1" x="7268"/>
        <item m="1" x="7772"/>
        <item m="1" x="349"/>
        <item m="1" x="849"/>
        <item m="1" x="1347"/>
        <item m="1" x="1844"/>
        <item m="1" x="2346"/>
        <item m="1" x="2854"/>
        <item m="1" x="3359"/>
        <item m="1" x="3869"/>
        <item m="1" x="4378"/>
        <item m="1" x="4877"/>
        <item m="1" x="5373"/>
        <item m="1" x="5874"/>
        <item m="1" x="6378"/>
        <item m="1" x="6887"/>
        <item m="1" x="7388"/>
        <item m="1" x="7892"/>
        <item m="1" x="471"/>
        <item m="1" x="973"/>
        <item m="1" x="1467"/>
        <item m="1" x="1967"/>
        <item m="1" x="2470"/>
        <item m="1" x="2977"/>
        <item m="1" x="3482"/>
        <item m="1" x="3996"/>
        <item m="1" x="4502"/>
        <item m="1" x="5000"/>
        <item m="1" x="5497"/>
        <item m="1" x="5996"/>
        <item m="1" x="6501"/>
        <item m="1" x="7007"/>
        <item m="1" x="7511"/>
        <item m="1" x="89"/>
        <item m="1" x="592"/>
        <item m="1" x="1096"/>
        <item m="1" x="1594"/>
        <item m="1" x="2091"/>
        <item m="1" x="2594"/>
        <item m="1" x="3100"/>
        <item m="1" x="3606"/>
        <item m="1" x="4117"/>
        <item m="1" x="4618"/>
        <item m="1" x="5118"/>
        <item m="1" x="5619"/>
        <item m="1" x="6119"/>
        <item m="1" x="6625"/>
        <item m="1" x="7130"/>
        <item m="1" x="7636"/>
        <item m="1" x="210"/>
        <item m="1" x="2909"/>
        <item m="1" x="3419"/>
        <item m="1" x="3934"/>
        <item m="1" x="4438"/>
        <item m="1" x="4930"/>
        <item m="1" x="5429"/>
        <item m="1" x="5931"/>
        <item m="1" x="6434"/>
        <item m="1" x="6940"/>
        <item m="1" x="7446"/>
        <item m="1" x="7954"/>
        <item m="1" x="527"/>
        <item m="1" x="1025"/>
        <item m="1" x="1522"/>
        <item m="1" x="2025"/>
        <item m="1" x="2529"/>
        <item m="1" x="3031"/>
        <item m="1" x="3541"/>
        <item m="1" x="4058"/>
        <item m="1" x="4557"/>
        <item m="1" x="5049"/>
        <item m="1" x="5550"/>
        <item m="1" x="6054"/>
        <item m="1" x="6558"/>
        <item m="1" x="7061"/>
        <item m="1" x="7569"/>
        <item m="1" x="149"/>
        <item m="1" x="649"/>
        <item m="1" x="1648"/>
        <item m="1" x="2146"/>
        <item m="1" x="2652"/>
        <item m="1" x="3153"/>
        <item m="1" x="3663"/>
        <item m="1" x="4176"/>
        <item m="1" x="4675"/>
        <item m="1" x="5169"/>
        <item m="1" x="5672"/>
        <item m="1" x="6177"/>
        <item m="1" x="6685"/>
        <item m="1" x="7188"/>
        <item m="1" x="7693"/>
        <item m="1" x="270"/>
        <item m="1" x="768"/>
        <item m="1" x="1267"/>
        <item m="1" x="1766"/>
        <item m="1" x="2265"/>
        <item m="1" x="2773"/>
        <item m="1" x="3277"/>
        <item m="1" x="3787"/>
        <item m="1" x="4299"/>
        <item m="1" x="4796"/>
        <item m="1" x="5293"/>
        <item m="1" x="5791"/>
        <item m="1" x="6295"/>
        <item m="1" x="6806"/>
        <item m="1" x="7306"/>
        <item m="1" x="7815"/>
        <item m="1" x="390"/>
        <item m="1" x="888"/>
        <item m="1" x="1385"/>
        <item m="1" x="1883"/>
        <item m="1" x="2387"/>
        <item m="1" x="2894"/>
        <item m="1" x="3401"/>
        <item m="1" x="3915"/>
        <item m="1" x="4422"/>
        <item m="1" x="4917"/>
        <item m="1" x="5413"/>
        <item m="1" x="5913"/>
        <item m="1" x="6418"/>
        <item m="1" x="6928"/>
        <item m="1" x="7429"/>
        <item m="1" x="7937"/>
        <item m="1" x="514"/>
        <item m="1" x="1012"/>
        <item m="1" x="1508"/>
        <item m="1" x="2007"/>
        <item m="1" x="2513"/>
        <item m="1" x="3019"/>
        <item m="1" x="3524"/>
        <item m="1" x="4040"/>
        <item m="1" x="4543"/>
        <item m="1" x="5038"/>
        <item m="1" x="5534"/>
        <item m="1" x="6035"/>
        <item m="1" x="6541"/>
        <item m="1" x="7047"/>
        <item m="1" x="7552"/>
        <item m="1" x="132"/>
        <item m="1" x="635"/>
        <item m="1" x="1135"/>
        <item m="1" x="1633"/>
        <item m="1" x="2129"/>
        <item m="1" x="2635"/>
        <item m="1" x="3140"/>
        <item m="1" x="3646"/>
        <item m="1" x="4158"/>
        <item m="1" x="4659"/>
        <item m="1" x="5157"/>
        <item m="1" x="5657"/>
        <item m="1" x="6157"/>
        <item m="1" x="6666"/>
        <item m="1" x="7173"/>
        <item m="1" x="7677"/>
        <item m="1" x="252"/>
        <item m="1" x="752"/>
        <item m="1" x="1254"/>
        <item m="1" x="1753"/>
        <item m="1" x="2248"/>
        <item m="1" x="2755"/>
        <item m="1" x="3264"/>
        <item m="1" x="3773"/>
        <item m="1" x="4281"/>
        <item m="1" x="5280"/>
        <item m="1" x="5778"/>
        <item m="1" x="6279"/>
        <item m="1" x="6790"/>
        <item m="1" x="7295"/>
        <item m="1" x="7801"/>
        <item m="1" x="375"/>
        <item m="1" x="875"/>
        <item m="1" x="1373"/>
        <item m="1" x="1871"/>
        <item m="1" x="2371"/>
        <item m="1" x="2879"/>
        <item m="1" x="3390"/>
        <item m="1" x="3901"/>
        <item m="1" x="4406"/>
        <item m="1" x="4903"/>
        <item m="1" x="5401"/>
        <item m="1" x="5901"/>
        <item m="1" x="6402"/>
        <item m="1" x="6912"/>
        <item m="1" x="7417"/>
        <item m="1" x="7922"/>
        <item m="1" x="497"/>
        <item m="1" x="997"/>
        <item m="1" x="1495"/>
        <item m="1" x="1994"/>
        <item m="1" x="2498"/>
        <item m="1" x="3002"/>
        <item m="1" x="3512"/>
        <item m="1" x="4027"/>
        <item m="1" x="4528"/>
        <item m="1" x="5023"/>
        <item m="1" x="5522"/>
        <item m="1" x="6022"/>
        <item m="1" x="6525"/>
        <item m="1" x="7030"/>
        <item m="1" x="7540"/>
        <item m="1" x="118"/>
        <item m="1" x="618"/>
        <item m="1" x="1120"/>
        <item m="1" x="1618"/>
        <item m="1" x="2116"/>
        <item m="1" x="2619"/>
        <item m="1" x="3124"/>
        <item m="1" x="3633"/>
        <item m="1" x="4146"/>
        <item m="1" x="4644"/>
        <item m="1" x="5143"/>
        <item m="1" x="5645"/>
        <item m="1" x="6145"/>
        <item m="1" x="6651"/>
        <item m="1" x="7157"/>
        <item m="1" x="7664"/>
        <item m="1" x="240"/>
        <item m="1" x="737"/>
        <item m="1" x="1240"/>
        <item m="1" x="1740"/>
        <item m="1" x="2237"/>
        <item m="1" x="2740"/>
        <item m="1" x="3248"/>
        <item m="1" x="3759"/>
        <item m="1" x="4269"/>
        <item m="1" x="4767"/>
        <item m="1" x="5265"/>
        <item m="1" x="5766"/>
        <item m="1" x="6269"/>
        <item m="1" x="6775"/>
        <item m="1" x="7279"/>
        <item m="1" x="7788"/>
        <item m="1" x="363"/>
        <item m="1" x="859"/>
        <item m="1" x="1359"/>
        <item m="1" x="1857"/>
        <item m="1" x="2359"/>
        <item m="1" x="2865"/>
        <item m="1" x="3371"/>
        <item m="1" x="3884"/>
        <item m="1" x="4392"/>
        <item m="1" x="4887"/>
        <item m="1" x="5385"/>
        <item m="1" x="5885"/>
        <item m="1" x="6391"/>
        <item m="1" x="6896"/>
        <item m="1" x="7399"/>
        <item m="1" x="7905"/>
        <item m="1" x="484"/>
        <item m="1" x="982"/>
        <item m="1" x="1479"/>
        <item m="1" x="1978"/>
        <item m="1" x="2483"/>
        <item m="1" x="2986"/>
        <item m="1" x="3494"/>
        <item m="1" x="4009"/>
        <item m="1" x="4516"/>
        <item m="1" x="5009"/>
        <item m="1" x="5508"/>
        <item m="1" x="6007"/>
        <item m="1" x="6514"/>
        <item m="1" x="7016"/>
        <item m="1" x="7522"/>
        <item m="1" x="102"/>
        <item m="1" x="606"/>
        <item m="1" x="1105"/>
        <item m="1" x="1604"/>
        <item m="1" x="2102"/>
        <item m="1" x="2606"/>
        <item m="1" x="3110"/>
        <item m="1" x="3616"/>
        <item m="1" x="4131"/>
        <item m="1" x="4632"/>
        <item m="1" x="5128"/>
        <item m="1" x="5630"/>
        <item m="1" x="6131"/>
        <item m="1" x="6638"/>
        <item m="1" x="7142"/>
        <item m="1" x="7647"/>
        <item m="1" x="224"/>
        <item m="1" x="724"/>
        <item m="1" x="1227"/>
        <item m="1" x="1726"/>
        <item m="1" x="2223"/>
        <item m="1" x="2727"/>
        <item m="1" x="3233"/>
        <item m="1" x="3741"/>
        <item m="1" x="4251"/>
        <item m="1" x="4753"/>
        <item m="1" x="5251"/>
        <item m="1" x="5749"/>
        <item m="1" x="6253"/>
        <item m="1" x="1538"/>
        <item m="1" x="2037"/>
        <item m="1" x="2540"/>
        <item m="1" x="3044"/>
        <item m="1" x="3555"/>
        <item m="1" x="4068"/>
        <item m="1" x="4567"/>
        <item m="1" x="5060"/>
        <item m="1" x="5563"/>
        <item m="1" x="6064"/>
        <item m="1" x="6568"/>
        <item m="1" x="7075"/>
        <item m="1" x="7582"/>
        <item m="1" x="159"/>
        <item m="1" x="658"/>
        <item m="1" x="1157"/>
        <item m="1" x="1661"/>
        <item m="1" x="2157"/>
        <item m="1" x="2662"/>
        <item m="1" x="3166"/>
        <item m="1" x="3678"/>
        <item m="1" x="4188"/>
        <item m="1" x="4685"/>
        <item m="1" x="5182"/>
        <item m="1" x="5686"/>
        <item m="1" x="6189"/>
        <item m="1" x="6695"/>
        <item m="1" x="7201"/>
        <item m="1" x="7707"/>
        <item m="1" x="281"/>
        <item m="1" x="777"/>
        <item m="1" x="1278"/>
        <item m="1" x="1779"/>
        <item m="1" x="2276"/>
        <item m="1" x="2782"/>
        <item m="1" x="3291"/>
        <item m="1" x="3802"/>
        <item m="1" x="4310"/>
        <item m="1" x="4807"/>
        <item m="1" x="5306"/>
        <item m="1" x="5806"/>
        <item m="1" x="6309"/>
        <item m="1" x="6817"/>
        <item m="1" x="7321"/>
        <item m="1" x="7830"/>
        <item m="1" x="402"/>
        <item m="1" x="899"/>
        <item m="1" x="1396"/>
        <item m="1" x="1897"/>
        <item m="1" x="2400"/>
        <item m="1" x="2905"/>
        <item m="1" x="3414"/>
        <item m="1" x="3929"/>
        <item m="1" x="4434"/>
        <item m="1" x="4926"/>
        <item m="1" x="5424"/>
        <item m="1" x="5926"/>
        <item m="1" x="6431"/>
        <item m="1" x="6936"/>
        <item m="1" x="7441"/>
        <item m="1" x="7950"/>
        <item m="1" x="524"/>
        <item m="1" x="1021"/>
        <item m="1" x="1518"/>
        <item m="1" x="2020"/>
        <item m="1" x="2525"/>
        <item m="1" x="3026"/>
        <item m="1" x="3536"/>
        <item m="1" x="4053"/>
        <item m="1" x="4554"/>
        <item m="1" x="5046"/>
        <item m="1" x="5546"/>
        <item m="1" x="6049"/>
        <item m="1" x="6555"/>
        <item m="1" x="7057"/>
        <item m="1" x="7564"/>
        <item m="1" x="145"/>
        <item m="1" x="646"/>
        <item m="1" x="1143"/>
        <item m="1" x="1643"/>
        <item m="1" x="2141"/>
        <item m="1" x="2649"/>
        <item m="1" x="3149"/>
        <item m="1" x="3658"/>
        <item m="1" x="4172"/>
        <item m="1" x="4671"/>
        <item m="1" x="5166"/>
        <item m="1" x="5668"/>
        <item m="1" x="6172"/>
        <item m="1" x="6681"/>
        <item m="1" x="7185"/>
        <item m="1" x="7688"/>
        <item m="1" x="266"/>
        <item m="1" x="764"/>
        <item m="1" x="1263"/>
        <item m="1" x="1761"/>
        <item m="1" x="2260"/>
        <item m="1" x="2768"/>
        <item m="1" x="3273"/>
        <item m="1" x="3782"/>
        <item m="1" x="4295"/>
        <item m="1" x="4791"/>
        <item m="1" x="5290"/>
        <item m="1" x="5787"/>
        <item m="1" x="6292"/>
        <item m="1" x="6802"/>
        <item m="1" x="7305"/>
        <item m="1" x="7811"/>
        <item m="1" x="388"/>
        <item m="1" x="885"/>
        <item m="1" x="1383"/>
        <item m="1" x="1879"/>
        <item m="1" x="2384"/>
        <item m="1" x="2891"/>
        <item m="1" x="3400"/>
        <item m="1" x="3911"/>
        <item m="1" x="4420"/>
        <item m="1" x="4914"/>
        <item m="1" x="5412"/>
        <item m="1" x="5910"/>
        <item m="1" x="6415"/>
        <item m="1" x="6924"/>
        <item m="1" x="7427"/>
        <item m="1" x="7932"/>
        <item m="1" x="510"/>
        <item m="1" x="1008"/>
        <item m="1" x="1506"/>
        <item m="1" x="2003"/>
        <item m="1" x="2510"/>
        <item m="1" x="3016"/>
        <item m="1" x="3522"/>
        <item m="1" x="4036"/>
        <item m="1" x="4541"/>
        <item m="1" x="5035"/>
        <item m="1" x="5532"/>
        <item m="1" x="6032"/>
        <item m="1" x="6537"/>
        <item m="1" x="7044"/>
        <item m="1" x="7550"/>
        <item m="1" x="129"/>
        <item m="1" x="631"/>
        <item m="1" x="1132"/>
        <item m="1" x="1630"/>
        <item m="1" x="2126"/>
        <item m="1" x="2631"/>
        <item m="1" x="3137"/>
        <item m="1" x="3644"/>
        <item m="1" x="4155"/>
        <item m="1" x="4656"/>
        <item m="1" x="5154"/>
        <item m="1" x="5655"/>
        <item m="1" x="6155"/>
        <item m="1" x="6662"/>
        <item m="1" x="7170"/>
        <item m="1" x="7675"/>
        <item m="1" x="249"/>
        <item m="1" x="748"/>
        <item m="1" x="1251"/>
        <item m="1" x="1750"/>
        <item m="1" x="2245"/>
        <item m="1" x="2751"/>
        <item m="1" x="3261"/>
        <item m="1" x="3770"/>
        <item m="1" x="4277"/>
        <item m="1" x="4779"/>
        <item m="1" x="5276"/>
        <item m="1" x="5776"/>
        <item m="1" x="6277"/>
        <item m="1" x="6786"/>
        <item m="1" x="7292"/>
        <item m="1" x="7799"/>
        <item m="1" x="372"/>
        <item m="1" x="871"/>
        <item m="1" x="1370"/>
        <item m="1" x="1869"/>
        <item m="1" x="2368"/>
        <item m="1" x="2875"/>
        <item m="1" x="3386"/>
        <item m="1" x="3899"/>
        <item m="1" x="4403"/>
        <item m="1" x="4900"/>
        <item m="1" x="5398"/>
        <item m="1" x="5899"/>
        <item m="1" x="6400"/>
        <item m="1" x="6908"/>
        <item m="1" x="7413"/>
        <item m="1" x="7920"/>
        <item m="1" x="494"/>
        <item m="1" x="993"/>
        <item m="1" x="1491"/>
        <item m="1" x="1991"/>
        <item m="1" x="2493"/>
        <item m="1" x="2997"/>
        <item m="1" x="3506"/>
        <item m="1" x="4022"/>
        <item m="1" x="4523"/>
        <item m="1" x="5020"/>
        <item m="1" x="5518"/>
        <item m="1" x="6018"/>
        <item m="1" x="6522"/>
        <item m="1" x="7026"/>
        <item m="1" x="7535"/>
        <item m="1" x="114"/>
        <item m="1" x="614"/>
        <item m="1" x="1116"/>
        <item m="1" x="1614"/>
        <item m="1" x="2113"/>
        <item m="1" x="2615"/>
        <item m="1" x="3120"/>
        <item m="1" x="3628"/>
        <item m="1" x="4143"/>
        <item m="1" x="4640"/>
        <item m="1" x="5140"/>
        <item m="1" x="5641"/>
        <item m="1" x="6142"/>
        <item m="1" x="6648"/>
        <item m="1" x="7153"/>
        <item m="1" x="7659"/>
        <item m="1" x="237"/>
        <item m="1" x="733"/>
        <item m="1" x="1236"/>
        <item m="1" x="1736"/>
        <item m="1" x="2234"/>
        <item m="1" x="2736"/>
        <item m="1" x="3243"/>
        <item m="1" x="3754"/>
        <item m="1" x="4264"/>
        <item m="1" x="4763"/>
        <item m="1" x="5262"/>
        <item m="1" x="5762"/>
        <item m="1" x="6265"/>
        <item m="1" x="6772"/>
        <item m="1" x="7275"/>
        <item m="1" x="7782"/>
        <item m="1" x="359"/>
        <item m="1" x="856"/>
        <item m="1" x="1355"/>
        <item m="1" x="1853"/>
        <item m="1" x="2355"/>
        <item m="1" x="2861"/>
        <item m="1" x="3367"/>
        <item m="1" x="3879"/>
        <item m="1" x="4388"/>
        <item m="1" x="4885"/>
        <item m="1" x="7596"/>
        <item m="1" x="173"/>
        <item m="1" x="671"/>
        <item m="1" x="1172"/>
        <item m="1" x="1674"/>
        <item m="1" x="2169"/>
        <item m="1" x="2675"/>
        <item m="1" x="3180"/>
        <item m="1" x="3689"/>
        <item m="1" x="4198"/>
        <item m="1" x="4696"/>
        <item m="1" x="5195"/>
        <item m="1" x="5697"/>
        <item m="1" x="6199"/>
        <item m="1" x="6708"/>
        <item m="1" x="7214"/>
        <item m="1" x="7717"/>
        <item m="1" x="292"/>
        <item m="1" x="789"/>
        <item m="1" x="1291"/>
        <item m="1" x="1789"/>
        <item m="1" x="2288"/>
        <item m="1" x="2797"/>
        <item m="1" x="3306"/>
        <item m="1" x="3813"/>
        <item m="1" x="4321"/>
        <item m="1" x="4817"/>
        <item m="1" x="5319"/>
        <item m="1" x="5817"/>
        <item m="1" x="6320"/>
        <item m="1" x="6830"/>
        <item m="1" x="7337"/>
        <item m="1" x="7840"/>
        <item m="1" x="413"/>
        <item m="1" x="911"/>
        <item m="1" x="1410"/>
        <item m="1" x="1910"/>
        <item m="1" x="2411"/>
        <item m="1" x="2918"/>
        <item m="1" x="3431"/>
        <item m="1" x="3942"/>
        <item m="1" x="4446"/>
        <item m="1" x="4938"/>
        <item m="1" x="5440"/>
        <item m="1" x="5939"/>
        <item m="1" x="6441"/>
        <item m="1" x="6949"/>
        <item m="1" x="7457"/>
        <item m="1" x="7962"/>
        <item m="1" x="535"/>
        <item m="1" x="1033"/>
        <item m="1" x="1532"/>
        <item m="1" x="2033"/>
        <item m="1" x="2535"/>
        <item m="1" x="3039"/>
        <item m="1" x="3550"/>
        <item m="1" x="4064"/>
        <item m="1" x="4563"/>
        <item m="1" x="5056"/>
        <item m="1" x="5558"/>
        <item m="1" x="6061"/>
        <item m="1" x="6564"/>
        <item m="1" x="7070"/>
        <item m="1" x="7578"/>
        <item m="1" x="156"/>
        <item m="1" x="655"/>
        <item m="1" x="1153"/>
        <item m="1" x="1656"/>
        <item m="1" x="2154"/>
        <item m="1" x="2658"/>
        <item m="1" x="3161"/>
        <item m="1" x="3674"/>
        <item m="1" x="4185"/>
        <item m="1" x="4681"/>
        <item m="1" x="5177"/>
        <item m="1" x="5681"/>
        <item m="1" x="6185"/>
        <item m="1" x="6690"/>
        <item m="1" x="7196"/>
        <item m="1" x="7703"/>
        <item m="1" x="277"/>
        <item m="1" x="774"/>
        <item m="1" x="1274"/>
        <item m="1" x="1774"/>
        <item m="1" x="2273"/>
        <item m="1" x="2778"/>
        <item m="1" x="3285"/>
        <item m="1" x="3798"/>
        <item m="1" x="4306"/>
        <item m="1" x="4803"/>
        <item m="1" x="5301"/>
        <item m="1" x="5801"/>
        <item m="1" x="6305"/>
        <item m="1" x="6814"/>
        <item m="1" x="7316"/>
        <item m="1" x="7826"/>
        <item m="1" x="398"/>
        <item m="1" x="896"/>
        <item m="1" x="1392"/>
        <item m="1" x="1892"/>
        <item m="1" x="2396"/>
        <item m="1" x="2902"/>
        <item m="1" x="3409"/>
        <item m="1" x="3926"/>
        <item m="1" x="4430"/>
        <item m="1" x="4924"/>
        <item m="1" x="5420"/>
        <item m="1" x="5923"/>
        <item m="1" x="6427"/>
        <item m="1" x="6934"/>
        <item m="1" x="7437"/>
        <item m="1" x="7948"/>
        <item m="1" x="521"/>
        <item m="1" x="1019"/>
        <item m="1" x="1515"/>
        <item m="1" x="2016"/>
        <item m="1" x="2522"/>
        <item m="1" x="3025"/>
        <item m="1" x="3532"/>
        <item m="1" x="4051"/>
        <item m="1" x="4551"/>
        <item m="1" x="5044"/>
        <item m="1" x="5541"/>
        <item m="1" x="6045"/>
        <item m="1" x="6551"/>
        <item m="1" x="7055"/>
        <item m="1" x="7560"/>
        <item m="1" x="143"/>
        <item m="1" x="643"/>
        <item m="1" x="1142"/>
        <item m="1" x="1640"/>
        <item m="1" x="2138"/>
        <item m="1" x="2646"/>
        <item m="1" x="3148"/>
        <item m="1" x="3654"/>
        <item m="1" x="4169"/>
        <item m="1" x="4668"/>
        <item m="1" x="5164"/>
        <item m="1" x="5664"/>
        <item m="1" x="6168"/>
        <item m="1" x="6678"/>
        <item m="1" x="7182"/>
        <item m="1" x="7685"/>
        <item m="1" x="263"/>
        <item m="1" x="760"/>
        <item m="1" x="1261"/>
        <item m="1" x="1759"/>
        <item m="1" x="2256"/>
        <item m="1" x="2764"/>
        <item m="1" x="3271"/>
        <item m="1" x="3779"/>
        <item m="1" x="4291"/>
        <item m="1" x="4788"/>
        <item m="1" x="5287"/>
        <item m="1" x="5784"/>
        <item m="1" x="6288"/>
        <item m="1" x="6799"/>
        <item m="1" x="7303"/>
        <item m="1" x="7808"/>
        <item m="1" x="385"/>
        <item m="1" x="882"/>
        <item m="1" x="1381"/>
        <item m="1" x="1877"/>
        <item m="1" x="2380"/>
        <item m="1" x="2888"/>
        <item m="1" x="3398"/>
        <item m="1" x="3908"/>
        <item m="1" x="4416"/>
        <item m="1" x="4911"/>
        <item m="1" x="5409"/>
        <item m="1" x="5907"/>
        <item m="1" x="6411"/>
        <item m="1" x="6921"/>
        <item m="1" x="7424"/>
        <item m="1" x="7928"/>
        <item m="1" x="507"/>
        <item m="1" x="1005"/>
        <item m="1" x="1503"/>
        <item m="1" x="2001"/>
        <item m="1" x="2506"/>
        <item m="1" x="3012"/>
        <item m="1" x="3520"/>
        <item m="1" x="4033"/>
        <item m="1" x="4537"/>
        <item m="1" x="5032"/>
        <item m="1" x="5530"/>
        <item m="1" x="6029"/>
        <item m="1" x="6533"/>
        <item m="1" x="7040"/>
        <item m="1" x="7548"/>
        <item m="1" x="125"/>
        <item m="1" x="627"/>
        <item m="1" x="1127"/>
        <item m="1" x="1626"/>
        <item m="1" x="2122"/>
        <item m="1" x="2626"/>
        <item m="1" x="3132"/>
        <item m="1" x="3641"/>
        <item m="1" x="4151"/>
        <item m="1" x="4652"/>
        <item m="1" x="5150"/>
        <item m="1" x="5652"/>
        <item m="1" x="6151"/>
        <item m="1" x="6658"/>
        <item m="1" x="7165"/>
        <item m="1" x="7671"/>
        <item m="1" x="244"/>
        <item m="1" x="745"/>
        <item m="1" x="1246"/>
        <item m="1" x="1747"/>
        <item m="1" x="2242"/>
        <item m="1" x="2747"/>
        <item m="1" x="3256"/>
        <item m="1" x="3767"/>
        <item m="1" x="4273"/>
        <item m="1" x="4775"/>
        <item m="1" x="5272"/>
        <item m="1" x="5773"/>
        <item m="1" x="6273"/>
        <item m="1" x="6782"/>
        <item m="1" x="7287"/>
        <item m="1" x="7796"/>
        <item m="1" x="368"/>
        <item m="1" x="868"/>
        <item m="1" x="1366"/>
        <item m="1" x="1865"/>
        <item m="1" x="2365"/>
        <item m="1" x="2871"/>
        <item m="1" x="3381"/>
        <item m="1" x="3895"/>
        <item m="1" x="4400"/>
        <item m="1" x="4896"/>
        <item m="1" x="5394"/>
        <item m="1" x="5895"/>
        <item m="1" x="6396"/>
        <item m="1" x="6903"/>
        <item m="1" x="7408"/>
        <item m="1" x="7915"/>
        <item m="1" x="490"/>
        <item m="1" x="990"/>
        <item m="1" x="1487"/>
        <item m="1" x="1986"/>
        <item m="1" x="2490"/>
        <item m="1" x="2993"/>
        <item m="1" x="5710"/>
        <item m="1" x="6214"/>
        <item m="1" x="6724"/>
        <item m="1" x="7226"/>
        <item m="1" x="7730"/>
        <item m="1" x="305"/>
        <item m="1" x="803"/>
        <item m="1" x="1303"/>
        <item m="1" x="1801"/>
        <item m="1" x="2302"/>
        <item m="1" x="2811"/>
        <item m="1" x="3317"/>
        <item m="1" x="3826"/>
        <item m="1" x="4333"/>
        <item m="1" x="4831"/>
        <item m="1" x="5331"/>
        <item m="1" x="5829"/>
        <item m="1" x="6334"/>
        <item m="1" x="6845"/>
        <item m="1" x="7348"/>
        <item m="1" x="7851"/>
        <item m="1" x="426"/>
        <item m="1" x="926"/>
        <item m="1" x="1423"/>
        <item m="1" x="1922"/>
        <item m="1" x="2426"/>
        <item m="1" x="2933"/>
        <item m="1" x="3442"/>
        <item m="1" x="3953"/>
        <item m="1" x="4458"/>
        <item m="1" x="4951"/>
        <item m="1" x="5452"/>
        <item m="1" x="5951"/>
        <item m="1" x="6456"/>
        <item m="1" x="6963"/>
        <item m="1" x="7469"/>
        <item m="1" x="7973"/>
        <item m="1" x="547"/>
        <item m="1" x="1047"/>
        <item m="1" x="1547"/>
        <item m="1" x="2046"/>
        <item m="1" x="2550"/>
        <item m="1" x="3055"/>
        <item m="1" x="3565"/>
        <item m="1" x="4077"/>
        <item m="1" x="4576"/>
        <item m="1" x="5070"/>
        <item m="1" x="5574"/>
        <item m="1" x="6073"/>
        <item m="1" x="6578"/>
        <item m="1" x="7086"/>
        <item m="1" x="7592"/>
        <item m="1" x="168"/>
        <item m="1" x="666"/>
        <item m="1" x="1166"/>
        <item m="1" x="1669"/>
        <item m="1" x="2163"/>
        <item m="1" x="2670"/>
        <item m="1" x="3175"/>
        <item m="1" x="3685"/>
        <item m="1" x="4195"/>
        <item m="1" x="4692"/>
        <item m="1" x="5190"/>
        <item m="1" x="5693"/>
        <item m="1" x="6195"/>
        <item m="1" x="6703"/>
        <item m="1" x="7210"/>
        <item m="1" x="7714"/>
        <item m="1" x="288"/>
        <item m="1" x="784"/>
        <item m="1" x="1286"/>
        <item m="1" x="1786"/>
        <item m="1" x="2284"/>
        <item m="1" x="2792"/>
        <item m="1" x="3302"/>
        <item m="1" x="3810"/>
        <item m="1" x="4318"/>
        <item m="1" x="4813"/>
        <item m="1" x="5314"/>
        <item m="1" x="5814"/>
        <item m="1" x="6316"/>
        <item m="1" x="6825"/>
        <item m="1" x="7332"/>
        <item m="1" x="7837"/>
        <item m="1" x="409"/>
        <item m="1" x="906"/>
        <item m="1" x="1405"/>
        <item m="1" x="1905"/>
        <item m="1" x="2407"/>
        <item m="1" x="2913"/>
        <item m="1" x="3426"/>
        <item m="1" x="3938"/>
        <item m="1" x="4443"/>
        <item m="1" x="4934"/>
        <item m="1" x="5434"/>
        <item m="1" x="5935"/>
        <item m="1" x="6438"/>
        <item m="1" x="6944"/>
        <item m="1" x="7452"/>
        <item m="1" x="7958"/>
        <item m="1" x="531"/>
        <item m="1" x="1028"/>
        <item m="1" x="1527"/>
        <item m="1" x="2029"/>
        <item m="1" x="2533"/>
        <item m="1" x="3035"/>
        <item m="1" x="3547"/>
        <item m="1" x="4062"/>
        <item m="1" x="4562"/>
        <item m="1" x="5053"/>
        <item m="1" x="5555"/>
        <item m="1" x="6058"/>
        <item m="1" x="6563"/>
        <item m="1" x="7066"/>
        <item m="1" x="7575"/>
        <item m="1" x="153"/>
        <item m="1" x="653"/>
        <item m="1" x="1149"/>
        <item m="1" x="1653"/>
        <item m="1" x="2150"/>
        <item m="1" x="2656"/>
        <item m="1" x="3157"/>
        <item m="1" x="3669"/>
        <item m="1" x="4180"/>
        <item m="1" x="4679"/>
        <item m="1" x="5173"/>
        <item m="1" x="5677"/>
        <item m="1" x="6182"/>
        <item m="1" x="6689"/>
        <item m="1" x="7192"/>
        <item m="1" x="7699"/>
        <item m="1" x="274"/>
        <item m="1" x="772"/>
        <item m="1" x="1270"/>
        <item m="1" x="1771"/>
        <item m="1" x="2270"/>
        <item m="1" x="2777"/>
        <item m="1" x="3281"/>
        <item m="1" x="3793"/>
        <item m="1" x="4303"/>
        <item m="1" x="4801"/>
        <item m="1" x="5299"/>
        <item m="1" x="5797"/>
        <item m="1" x="6302"/>
        <item m="1" x="6812"/>
        <item m="1" x="7313"/>
        <item m="1" x="7821"/>
        <item m="1" x="395"/>
        <item m="1" x="893"/>
        <item m="1" x="1389"/>
        <item m="1" x="1888"/>
        <item m="1" x="2393"/>
        <item m="1" x="2899"/>
        <item m="1" x="3406"/>
        <item m="1" x="3921"/>
        <item m="1" x="4427"/>
        <item m="1" x="4921"/>
        <item m="1" x="5418"/>
        <item m="1" x="5919"/>
        <item m="1" x="6424"/>
        <item m="1" x="6932"/>
        <item m="1" x="7434"/>
        <item m="1" x="7943"/>
        <item m="1" x="518"/>
        <item m="1" x="1016"/>
        <item m="1" x="1512"/>
        <item m="1" x="2012"/>
        <item m="1" x="2519"/>
        <item m="1" x="3023"/>
        <item m="1" x="3529"/>
        <item m="1" x="4046"/>
        <item m="1" x="4548"/>
        <item m="1" x="5042"/>
        <item m="1" x="5539"/>
        <item m="1" x="6041"/>
        <item m="1" x="6547"/>
        <item m="1" x="7053"/>
        <item m="1" x="7557"/>
        <item m="1" x="138"/>
        <item m="1" x="640"/>
        <item m="1" x="1140"/>
        <item m="1" x="1637"/>
        <item m="1" x="2134"/>
        <item m="1" x="2642"/>
        <item m="1" x="3145"/>
        <item m="1" x="3650"/>
        <item m="1" x="4164"/>
        <item m="1" x="4664"/>
        <item m="1" x="5162"/>
        <item m="1" x="5662"/>
        <item m="1" x="6163"/>
        <item m="1" x="6672"/>
        <item m="1" x="7178"/>
        <item m="1" x="7680"/>
        <item m="1" x="257"/>
        <item m="1" x="755"/>
        <item m="1" x="1258"/>
        <item m="1" x="1755"/>
        <item m="1" x="2252"/>
        <item m="1" x="2759"/>
        <item m="1" x="3268"/>
        <item m="1" x="3775"/>
        <item m="1" x="4286"/>
        <item m="1" x="4784"/>
        <item m="1" x="5284"/>
        <item m="1" x="5781"/>
        <item m="1" x="6284"/>
        <item m="1" x="6794"/>
        <item m="1" x="7300"/>
        <item m="1" x="7804"/>
        <item m="1" x="380"/>
        <item m="1" x="878"/>
        <item m="1" x="1378"/>
        <item m="1" x="1873"/>
        <item m="1" x="2375"/>
        <item m="1" x="2883"/>
        <item m="1" x="3394"/>
        <item m="1" x="3903"/>
        <item m="1" x="4411"/>
        <item m="1" x="4907"/>
        <item m="1" x="5405"/>
        <item m="1" x="5904"/>
        <item m="1" x="6407"/>
        <item m="1" x="6916"/>
        <item m="1" x="7421"/>
        <item m="1" x="7924"/>
        <item m="1" x="502"/>
        <item m="1" x="1001"/>
        <item m="1" x="1499"/>
        <item m="1" x="1997"/>
        <item m="1" x="2501"/>
        <item m="1" x="3007"/>
        <item m="1" x="3516"/>
        <item m="1" x="4030"/>
        <item m="1" x="4532"/>
        <item m="1" x="5028"/>
        <item m="1" x="5526"/>
        <item m="1" x="6026"/>
        <item m="1" x="6529"/>
        <item m="1" x="7035"/>
        <item m="1" x="7544"/>
        <item m="1" x="122"/>
        <item m="1" x="622"/>
        <item m="1" x="1124"/>
        <item m="1" x="1622"/>
        <item m="1" x="4347"/>
        <item m="1" x="4843"/>
        <item m="1" x="5342"/>
        <item m="1" x="5843"/>
        <item m="1" x="6349"/>
        <item m="1" x="6856"/>
        <item m="1" x="7359"/>
        <item m="1" x="7862"/>
        <item m="1" x="438"/>
        <item m="1" x="936"/>
        <item m="1" x="1434"/>
        <item m="1" x="1936"/>
        <item m="1" x="2439"/>
        <item m="1" x="2944"/>
        <item m="1" x="3452"/>
        <item m="1" x="3964"/>
        <item m="1" x="4470"/>
        <item m="1" x="4963"/>
        <item m="1" x="5463"/>
        <item m="1" x="5964"/>
        <item m="1" x="6471"/>
        <item m="1" x="6975"/>
        <item m="1" x="7480"/>
        <item m="1" x="7986"/>
        <item m="1" x="560"/>
        <item m="1" x="1059"/>
        <item m="1" x="1558"/>
        <item m="1" x="2059"/>
        <item m="1" x="2564"/>
        <item m="1" x="3066"/>
        <item m="1" x="3575"/>
        <item m="1" x="4088"/>
        <item m="1" x="4588"/>
        <item m="1" x="5081"/>
        <item m="1" x="5584"/>
        <item m="1" x="6086"/>
        <item m="1" x="6592"/>
        <item m="1" x="7097"/>
        <item m="1" x="7604"/>
        <item m="1" x="181"/>
        <item m="1" x="680"/>
        <item m="1" x="1180"/>
        <item m="1" x="1681"/>
        <item m="1" x="2178"/>
        <item m="1" x="2685"/>
        <item m="1" x="3188"/>
        <item m="1" x="3697"/>
        <item m="1" x="4206"/>
        <item m="1" x="4705"/>
        <item m="1" x="5203"/>
        <item m="1" x="5705"/>
        <item m="1" x="6208"/>
        <item m="1" x="6718"/>
        <item m="1" x="7221"/>
        <item m="1" x="7725"/>
        <item m="1" x="299"/>
        <item m="1" x="797"/>
        <item m="1" x="1299"/>
        <item m="1" x="1796"/>
        <item m="1" x="2296"/>
        <item m="1" x="2806"/>
        <item m="1" x="3313"/>
        <item m="1" x="3821"/>
        <item m="1" x="4328"/>
        <item m="1" x="4826"/>
        <item m="1" x="5326"/>
        <item m="1" x="5823"/>
        <item m="1" x="6328"/>
        <item m="1" x="6839"/>
        <item m="1" x="7344"/>
        <item m="1" x="7847"/>
        <item m="1" x="421"/>
        <item m="1" x="920"/>
        <item m="1" x="1419"/>
        <item m="1" x="1917"/>
        <item m="1" x="2420"/>
        <item m="1" x="2928"/>
        <item m="1" x="3438"/>
        <item m="1" x="3948"/>
        <item m="1" x="4453"/>
        <item m="1" x="4946"/>
        <item m="1" x="5448"/>
        <item m="1" x="5946"/>
        <item m="1" x="6450"/>
        <item m="1" x="6958"/>
        <item m="1" x="7465"/>
        <item m="1" x="7969"/>
        <item m="1" x="542"/>
        <item m="1" x="1042"/>
        <item m="1" x="1542"/>
        <item m="1" x="2042"/>
        <item m="1" x="2544"/>
        <item m="1" x="3050"/>
        <item m="1" x="3560"/>
        <item m="1" x="4072"/>
        <item m="1" x="4570"/>
        <item m="1" x="5065"/>
        <item m="1" x="5568"/>
        <item m="1" x="6068"/>
        <item m="1" x="6572"/>
        <item m="1" x="7081"/>
        <item m="1" x="7586"/>
        <item m="1" x="164"/>
        <item m="1" x="662"/>
        <item m="1" x="1162"/>
        <item m="1" x="1665"/>
        <item m="1" x="2161"/>
        <item m="1" x="2666"/>
        <item m="1" x="3172"/>
        <item m="1" x="3682"/>
        <item m="1" x="4192"/>
        <item m="1" x="4688"/>
        <item m="1" x="5187"/>
        <item m="1" x="5690"/>
        <item m="1" x="6193"/>
        <item m="1" x="6699"/>
        <item m="1" x="7207"/>
        <item m="1" x="7711"/>
        <item m="1" x="286"/>
        <item m="1" x="781"/>
        <item m="1" x="1283"/>
        <item m="1" x="1783"/>
        <item m="1" x="2281"/>
        <item m="1" x="2787"/>
        <item m="1" x="3297"/>
        <item m="1" x="3806"/>
        <item m="1" x="4315"/>
        <item m="1" x="5311"/>
        <item m="1" x="5811"/>
        <item m="1" x="6313"/>
        <item m="1" x="6821"/>
        <item m="1" x="7328"/>
        <item m="1" x="7834"/>
        <item m="1" x="406"/>
        <item m="1" x="903"/>
        <item m="1" x="1401"/>
        <item m="1" x="1902"/>
        <item m="1" x="2404"/>
        <item m="1" x="2910"/>
        <item m="1" x="3420"/>
        <item m="1" x="3935"/>
        <item m="1" x="4439"/>
        <item m="1" x="4931"/>
        <item m="1" x="5430"/>
        <item m="1" x="5932"/>
        <item m="1" x="6435"/>
        <item m="1" x="6941"/>
        <item m="1" x="7447"/>
        <item m="1" x="7955"/>
        <item m="1" x="528"/>
        <item m="1" x="1026"/>
        <item m="1" x="1523"/>
        <item m="1" x="2026"/>
        <item m="1" x="2530"/>
        <item m="1" x="3032"/>
        <item m="1" x="3542"/>
        <item m="1" x="4059"/>
        <item m="1" x="4558"/>
        <item m="1" x="5050"/>
        <item m="1" x="5551"/>
        <item m="1" x="6055"/>
        <item m="1" x="6559"/>
        <item m="1" x="7062"/>
        <item m="1" x="7570"/>
        <item m="1" x="150"/>
        <item m="1" x="650"/>
        <item m="1" x="1147"/>
        <item m="1" x="1649"/>
        <item m="1" x="2147"/>
        <item m="1" x="2653"/>
        <item m="1" x="3154"/>
        <item m="1" x="3664"/>
        <item m="1" x="4177"/>
        <item m="1" x="4676"/>
        <item m="1" x="5170"/>
        <item m="1" x="5673"/>
        <item m="1" x="6178"/>
        <item m="1" x="6686"/>
        <item m="1" x="7189"/>
        <item m="1" x="7694"/>
        <item m="1" x="271"/>
        <item m="1" x="769"/>
        <item m="1" x="1268"/>
        <item m="1" x="1767"/>
        <item m="1" x="2266"/>
        <item m="1" x="2774"/>
        <item m="1" x="3278"/>
        <item m="1" x="3788"/>
        <item m="1" x="4300"/>
        <item m="1" x="4797"/>
        <item m="1" x="5294"/>
        <item m="1" x="5792"/>
        <item m="1" x="6296"/>
        <item m="1" x="6807"/>
        <item m="1" x="7307"/>
        <item m="1" x="7816"/>
        <item m="1" x="391"/>
        <item m="1" x="889"/>
        <item m="1" x="1386"/>
        <item m="1" x="1884"/>
        <item m="1" x="2388"/>
        <item m="1" x="2895"/>
        <item m="1" x="3402"/>
        <item m="1" x="3916"/>
        <item m="1" x="4423"/>
        <item m="1" x="4918"/>
        <item m="1" x="5414"/>
        <item m="1" x="5914"/>
        <item m="1" x="6419"/>
        <item m="1" x="6929"/>
        <item m="1" x="7430"/>
        <item m="1" x="7938"/>
        <item m="1" x="1013"/>
        <item m="1" x="1509"/>
        <item m="1" x="2008"/>
        <item m="1" x="2514"/>
        <item m="1" x="3020"/>
        <item m="1" x="3525"/>
        <item m="1" x="4041"/>
        <item m="1" x="4544"/>
        <item m="1" x="5039"/>
        <item m="1" x="5535"/>
        <item m="1" x="6036"/>
        <item m="1" x="6542"/>
        <item m="1" x="7048"/>
        <item m="1" x="7553"/>
        <item m="1" x="133"/>
        <item m="1" x="636"/>
        <item m="1" x="1136"/>
        <item m="1" x="1634"/>
        <item m="1" x="2130"/>
        <item m="1" x="2636"/>
        <item m="1" x="3141"/>
        <item m="1" x="3647"/>
        <item m="1" x="4159"/>
        <item m="1" x="4660"/>
        <item m="1" x="5158"/>
        <item m="1" x="5658"/>
        <item m="1" x="6158"/>
        <item m="1" x="6667"/>
        <item m="1" x="7174"/>
        <item m="1" x="7678"/>
        <item m="1" x="2453"/>
        <item m="1" x="2957"/>
        <item m="1" x="3978"/>
        <item m="1" x="4483"/>
        <item m="1" x="4976"/>
        <item m="1" x="5478"/>
        <item m="1" x="5979"/>
        <item m="1" x="6482"/>
        <item m="1" x="6986"/>
        <item m="1" x="7492"/>
        <item m="1" x="7999"/>
        <item m="1" x="572"/>
        <item m="1" x="1070"/>
        <item m="1" x="1572"/>
        <item m="1" x="2073"/>
        <item m="1" x="2574"/>
        <item m="1" x="3078"/>
        <item m="1" x="3587"/>
        <item m="1" x="4101"/>
        <item m="1" x="4598"/>
        <item m="1" x="5094"/>
        <item m="1" x="5600"/>
        <item m="1" x="6102"/>
        <item m="1" x="6605"/>
        <item m="1" x="7110"/>
        <item m="1" x="7616"/>
        <item m="1" x="194"/>
        <item m="1" x="691"/>
        <item m="1" x="1192"/>
        <item m="1" x="1695"/>
        <item m="1" x="2194"/>
        <item m="1" x="2697"/>
        <item m="1" x="3200"/>
        <item m="1" x="3710"/>
        <item m="1" x="4220"/>
        <item m="1" x="4718"/>
        <item m="1" x="5215"/>
        <item m="1" x="5719"/>
        <item m="1" x="6225"/>
        <item m="1" x="6732"/>
        <item m="1" x="7234"/>
        <item m="1" x="7738"/>
        <item m="1" x="315"/>
        <item m="1" x="811"/>
        <item m="1" x="1310"/>
        <item m="1" x="1810"/>
        <item m="1" x="2313"/>
        <item m="1" x="2819"/>
        <item m="1" x="3325"/>
        <item m="1" x="3834"/>
        <item m="1" x="4342"/>
        <item m="1" x="4839"/>
        <item m="1" x="5337"/>
        <item m="1" x="5837"/>
        <item m="1" x="6343"/>
        <item m="1" x="6852"/>
        <item m="1" x="7355"/>
        <item m="1" x="7858"/>
        <item m="1" x="434"/>
        <item m="1" x="933"/>
        <item m="1" x="1430"/>
        <item m="1" x="1931"/>
        <item m="1" x="2435"/>
        <item m="1" x="2941"/>
        <item m="1" x="3449"/>
        <item m="1" x="3960"/>
        <item m="1" x="4466"/>
        <item m="1" x="4960"/>
        <item m="1" x="5459"/>
        <item m="1" x="5959"/>
        <item m="1" x="6467"/>
        <item m="1" x="6972"/>
        <item m="1" x="7476"/>
        <item m="1" x="7981"/>
        <item m="1" x="556"/>
        <item m="1" x="1055"/>
        <item m="1" x="1553"/>
        <item m="1" x="2054"/>
        <item m="1" x="2560"/>
        <item m="1" x="3062"/>
        <item m="1" x="3572"/>
        <item m="1" x="4084"/>
        <item m="1" x="4584"/>
        <item m="1" x="5078"/>
        <item m="1" x="5580"/>
        <item m="1" x="6081"/>
        <item m="1" x="6588"/>
        <item m="1" x="7093"/>
        <item m="1" x="7600"/>
        <item m="1" x="176"/>
        <item m="1" x="676"/>
        <item m="1" x="1176"/>
        <item m="1" x="1678"/>
        <item m="1" x="2173"/>
        <item m="1" x="2681"/>
        <item m="1" x="3184"/>
        <item m="1" x="3694"/>
        <item m="1" x="4202"/>
        <item m="1" x="4701"/>
        <item m="1" x="5199"/>
        <item m="1" x="5702"/>
        <item m="1" x="6203"/>
        <item m="1" x="6714"/>
        <item m="1" x="7218"/>
        <item m="1" x="7722"/>
        <item m="1" x="295"/>
        <item m="1" x="794"/>
        <item m="1" x="1295"/>
        <item m="1" x="1793"/>
        <item m="1" x="2292"/>
        <item m="1" x="2803"/>
        <item m="1" x="3310"/>
        <item m="1" x="3818"/>
        <item m="1" x="4325"/>
        <item m="1" x="4822"/>
        <item m="1" x="5323"/>
        <item m="1" x="5821"/>
        <item m="1" x="6324"/>
        <item m="1" x="6836"/>
        <item m="1" x="7341"/>
        <item m="1" x="7844"/>
        <item m="1" x="416"/>
        <item m="1" x="916"/>
        <item m="1" x="1415"/>
        <item m="1" x="1914"/>
        <item m="1" x="2415"/>
        <item m="1" x="2924"/>
        <item m="1" x="3435"/>
        <item m="1" x="3946"/>
        <item m="1" x="4450"/>
        <item m="1" x="4943"/>
        <item m="1" x="5445"/>
        <item m="1" x="5944"/>
        <item m="1" x="6446"/>
        <item m="1" x="6955"/>
        <item m="1" x="7462"/>
        <item m="1" x="7966"/>
        <item m="1" x="538"/>
        <item m="1" x="1038"/>
        <item m="1" x="1539"/>
        <item m="1" x="2038"/>
        <item m="1" x="2541"/>
        <item m="1" x="3045"/>
        <item m="1" x="3556"/>
        <item m="1" x="4069"/>
        <item m="1" x="4568"/>
        <item m="1" x="5061"/>
        <item m="1" x="5564"/>
        <item m="1" x="6065"/>
        <item m="1" x="6569"/>
        <item m="1" x="7076"/>
        <item m="1" x="7583"/>
        <item m="1" x="160"/>
        <item m="1" x="659"/>
        <item m="1" x="1158"/>
        <item m="1" x="1662"/>
        <item m="1" x="2158"/>
        <item m="1" x="2663"/>
        <item m="1" x="3167"/>
        <item m="1" x="3679"/>
        <item m="1" x="4189"/>
        <item m="1" x="4686"/>
        <item m="1" x="5183"/>
        <item m="1" x="5687"/>
        <item m="1" x="6190"/>
        <item m="1" x="6696"/>
        <item m="1" x="7202"/>
        <item m="1" x="7708"/>
        <item m="1" x="282"/>
        <item m="1" x="778"/>
        <item m="1" x="1279"/>
        <item m="1" x="1780"/>
        <item m="1" x="2277"/>
        <item m="1" x="2783"/>
        <item m="1" x="3292"/>
        <item m="1" x="3803"/>
        <item m="1" x="4311"/>
        <item m="1" x="4808"/>
        <item m="1" x="5307"/>
        <item m="1" x="5807"/>
        <item m="1" x="6310"/>
        <item m="1" x="6818"/>
        <item m="1" x="7322"/>
        <item m="1" x="7831"/>
        <item m="1" x="403"/>
        <item m="1" x="900"/>
        <item m="1" x="1397"/>
        <item m="1" x="1898"/>
        <item m="1" x="2401"/>
        <item m="1" x="2906"/>
        <item m="1" x="3415"/>
        <item m="1" x="3930"/>
        <item m="1" x="4435"/>
        <item m="1" x="4927"/>
        <item m="1" x="5425"/>
        <item m="1" x="5927"/>
        <item m="1" x="6432"/>
        <item m="1" x="6937"/>
        <item m="1" x="7442"/>
        <item m="1" x="7951"/>
        <item m="1" x="525"/>
        <item m="1" x="1022"/>
        <item m="1" x="1519"/>
        <item m="1" x="2021"/>
        <item m="1" x="2526"/>
        <item m="1" x="3027"/>
        <item m="1" x="3537"/>
        <item m="1" x="4054"/>
        <item m="1" x="4555"/>
        <item m="1" x="5047"/>
        <item m="1" x="5547"/>
        <item m="1" x="6050"/>
        <item m="1" x="6556"/>
        <item m="1" x="7058"/>
        <item m="1" x="7565"/>
        <item m="1" x="146"/>
        <item m="1" x="647"/>
        <item m="1" x="1144"/>
        <item m="1" x="1644"/>
        <item m="1" x="2142"/>
        <item m="1" x="2650"/>
        <item m="1" x="3150"/>
        <item m="1" x="3659"/>
        <item m="1" x="4173"/>
        <item m="1" x="4672"/>
        <item m="1" x="5167"/>
        <item m="1" x="5669"/>
        <item m="1" x="6173"/>
        <item m="1" x="6682"/>
        <item m="1" x="7186"/>
        <item m="1" x="7689"/>
        <item m="1" x="267"/>
        <item m="1" x="765"/>
        <item m="1" x="1264"/>
        <item m="1" x="1762"/>
        <item m="1" x="2261"/>
        <item m="1" x="2769"/>
        <item m="1" x="3274"/>
        <item m="1" x="3783"/>
        <item m="1" x="4296"/>
        <item m="1" x="4792"/>
        <item m="1" x="5291"/>
        <item m="1" x="5788"/>
        <item m="1" x="1086"/>
        <item m="1" x="1588"/>
        <item m="1" x="2084"/>
        <item m="1" x="2587"/>
        <item m="1" x="3091"/>
        <item m="1" x="3601"/>
        <item m="1" x="4111"/>
        <item m="1" x="4610"/>
        <item m="1" x="5108"/>
        <item m="1" x="5614"/>
        <item m="1" x="6112"/>
        <item m="1" x="6618"/>
        <item m="1" x="7122"/>
        <item m="1" x="7630"/>
        <item m="1" x="204"/>
        <item m="1" x="703"/>
        <item m="1" x="1206"/>
        <item m="1" x="1710"/>
        <item m="1" x="2204"/>
        <item m="1" x="2708"/>
        <item m="1" x="3213"/>
        <item m="1" x="3725"/>
        <item m="1" x="4231"/>
        <item m="1" x="4730"/>
        <item m="1" x="5230"/>
        <item m="1" x="5733"/>
        <item m="1" x="6235"/>
        <item m="1" x="6743"/>
        <item m="1" x="7247"/>
        <item m="1" x="7751"/>
        <item m="1" x="326"/>
        <item m="1" x="823"/>
        <item m="1" x="1325"/>
        <item m="1" x="1825"/>
        <item m="1" x="2324"/>
        <item m="1" x="2830"/>
        <item m="1" x="3337"/>
        <item m="1" x="3848"/>
        <item m="1" x="4355"/>
        <item m="1" x="4852"/>
        <item m="1" x="5352"/>
        <item m="1" x="5854"/>
        <item m="1" x="6358"/>
        <item m="1" x="6865"/>
        <item m="1" x="7368"/>
        <item m="1" x="7872"/>
        <item m="1" x="448"/>
        <item m="1" x="945"/>
        <item m="1" x="1444"/>
        <item m="1" x="1947"/>
        <item m="1" x="2449"/>
        <item m="1" x="2953"/>
        <item m="1" x="3461"/>
        <item m="1" x="3973"/>
        <item m="1" x="4478"/>
        <item m="1" x="4970"/>
        <item m="1" x="5472"/>
        <item m="1" x="5974"/>
        <item m="1" x="6478"/>
        <item m="1" x="6983"/>
        <item m="1" x="7488"/>
        <item m="1" x="7995"/>
        <item m="1" x="568"/>
        <item m="1" x="1066"/>
        <item m="1" x="1567"/>
        <item m="1" x="2069"/>
        <item m="1" x="2571"/>
        <item m="1" x="3074"/>
        <item m="1" x="3583"/>
        <item m="1" x="4097"/>
        <item m="1" x="4595"/>
        <item m="1" x="5090"/>
        <item m="1" x="5595"/>
        <item m="1" x="6098"/>
        <item m="1" x="6602"/>
        <item m="1" x="7107"/>
        <item m="1" x="7612"/>
        <item m="1" x="190"/>
        <item m="1" x="688"/>
        <item m="1" x="1188"/>
        <item m="1" x="1690"/>
        <item m="1" x="2190"/>
        <item m="1" x="2694"/>
        <item m="1" x="3196"/>
        <item m="1" x="3705"/>
        <item m="1" x="4216"/>
        <item m="1" x="4713"/>
        <item m="1" x="5211"/>
        <item m="1" x="5714"/>
        <item m="1" x="6221"/>
        <item m="1" x="6728"/>
        <item m="1" x="7231"/>
        <item m="1" x="7734"/>
        <item m="1" x="310"/>
        <item m="1" x="807"/>
        <item m="1" x="1307"/>
        <item m="1" x="1805"/>
        <item m="1" x="2308"/>
        <item m="1" x="2815"/>
        <item m="1" x="3321"/>
        <item m="1" x="3829"/>
        <item m="1" x="4338"/>
        <item m="1" x="4835"/>
        <item m="1" x="5335"/>
        <item m="1" x="5833"/>
        <item m="1" x="6340"/>
        <item m="1" x="6849"/>
        <item m="1" x="7353"/>
        <item m="1" x="7855"/>
        <item m="1" x="431"/>
        <item m="1" x="930"/>
        <item m="1" x="1428"/>
        <item m="1" x="1927"/>
        <item m="1" x="2432"/>
        <item m="1" x="2938"/>
        <item m="1" x="3446"/>
        <item m="1" x="3956"/>
        <item m="1" x="4463"/>
        <item m="1" x="4956"/>
        <item m="1" x="5456"/>
        <item m="1" x="5955"/>
        <item m="1" x="6462"/>
        <item m="1" x="6967"/>
        <item m="1" x="7473"/>
        <item m="1" x="7977"/>
        <item m="1" x="552"/>
        <item m="1" x="1052"/>
        <item m="1" x="1551"/>
        <item m="1" x="2050"/>
        <item m="1" x="2556"/>
        <item m="1" x="3059"/>
        <item m="1" x="3569"/>
        <item m="1" x="4080"/>
        <item m="1" x="4581"/>
        <item m="1" x="5075"/>
        <item m="1" x="5578"/>
        <item m="1" x="6077"/>
        <item m="1" x="6584"/>
        <item m="1" x="7090"/>
        <item m="1" x="7597"/>
        <item m="1" x="174"/>
        <item m="1" x="672"/>
        <item m="1" x="1173"/>
        <item m="1" x="1675"/>
        <item m="1" x="2170"/>
        <item m="1" x="2676"/>
        <item m="1" x="3181"/>
        <item m="1" x="3690"/>
        <item m="1" x="4199"/>
        <item m="1" x="4697"/>
        <item m="1" x="5196"/>
        <item m="1" x="5698"/>
        <item m="1" x="6200"/>
        <item m="1" x="6709"/>
        <item m="1" x="7215"/>
        <item m="1" x="7718"/>
        <item m="1" x="293"/>
        <item m="1" x="790"/>
        <item m="1" x="1292"/>
        <item m="1" x="1790"/>
        <item m="1" x="2289"/>
        <item m="1" x="2798"/>
        <item m="1" x="3307"/>
        <item m="1" x="3814"/>
        <item m="1" x="4322"/>
        <item m="1" x="4818"/>
        <item m="1" x="5320"/>
        <item m="1" x="5818"/>
        <item m="1" x="6321"/>
        <item m="1" x="6831"/>
        <item m="1" x="7338"/>
        <item m="1" x="7841"/>
        <item m="1" x="414"/>
        <item m="1" x="912"/>
        <item m="1" x="1411"/>
        <item m="1" x="1911"/>
        <item m="1" x="2412"/>
        <item m="1" x="2919"/>
        <item m="1" x="3432"/>
        <item m="1" x="3943"/>
        <item m="1" x="4447"/>
        <item m="1" x="4939"/>
        <item m="1" x="5441"/>
        <item m="1" x="5940"/>
        <item m="1" x="6442"/>
        <item m="1" x="6950"/>
        <item m="1" x="7458"/>
        <item m="1" x="7963"/>
        <item m="1" x="536"/>
        <item m="1" x="1034"/>
        <item m="1" x="1533"/>
        <item m="1" x="2034"/>
        <item m="1" x="2536"/>
        <item m="1" x="3040"/>
        <item m="1" x="3551"/>
        <item m="1" x="4065"/>
        <item m="1" x="4564"/>
        <item m="1" x="5057"/>
        <item m="1" x="5559"/>
        <item m="1" x="6062"/>
        <item m="1" x="6565"/>
        <item m="1" x="7071"/>
        <item m="1" x="7579"/>
        <item m="1" x="157"/>
        <item m="1" x="656"/>
        <item m="1" x="1154"/>
        <item m="1" x="1657"/>
        <item m="1" x="2155"/>
        <item m="1" x="2659"/>
        <item m="1" x="3162"/>
        <item m="1" x="3675"/>
        <item m="1" x="4186"/>
        <item m="1" x="4682"/>
        <item m="1" x="5178"/>
        <item m="1" x="5682"/>
        <item m="1" x="6186"/>
        <item m="1" x="6691"/>
        <item m="1" x="7197"/>
        <item m="1" x="7704"/>
        <item m="1" x="278"/>
        <item m="1" x="775"/>
        <item m="1" x="1275"/>
        <item m="1" x="1775"/>
        <item m="1" x="2274"/>
        <item m="1" x="2779"/>
        <item m="1" x="3286"/>
        <item m="1" x="3799"/>
        <item m="1" x="4307"/>
        <item m="1" x="4804"/>
        <item m="1" x="5302"/>
        <item m="1" x="5802"/>
        <item m="1" x="6306"/>
        <item m="1" x="6815"/>
        <item m="1" x="7317"/>
        <item m="1" x="7827"/>
        <item m="1" x="399"/>
        <item m="1" x="897"/>
        <item m="1" x="1393"/>
        <item m="1" x="1893"/>
        <item m="1" x="2397"/>
        <item m="1" x="2903"/>
        <item m="1" x="3410"/>
        <item m="1" x="3927"/>
        <item m="1" x="4431"/>
        <item m="1" x="7137"/>
        <item m="1" x="7640"/>
        <item m="1" x="216"/>
        <item m="1" x="715"/>
        <item m="1" x="1221"/>
        <item m="1" x="1718"/>
        <item m="1" x="2216"/>
        <item m="1" x="2719"/>
        <item m="1" x="3226"/>
        <item m="1" x="3734"/>
        <item m="1" x="4243"/>
        <item m="1" x="4744"/>
        <item m="1" x="5244"/>
        <item m="1" x="5742"/>
        <item m="1" x="6246"/>
        <item m="1" x="6754"/>
        <item m="1" x="7260"/>
        <item m="1" x="7761"/>
        <item m="1" x="338"/>
        <item m="1" x="836"/>
        <item m="1" x="1340"/>
        <item m="1" x="1835"/>
        <item m="1" x="2337"/>
        <item m="1" x="2843"/>
        <item m="1" x="3351"/>
        <item m="1" x="3860"/>
        <item m="1" x="4367"/>
        <item m="1" x="4865"/>
        <item m="1" x="5367"/>
        <item m="1" x="5864"/>
        <item m="1" x="6369"/>
        <item m="1" x="6876"/>
        <item m="1" x="7381"/>
        <item m="1" x="7882"/>
        <item m="1" x="459"/>
        <item m="1" x="960"/>
        <item m="1" x="1459"/>
        <item m="1" x="1957"/>
        <item m="1" x="2461"/>
        <item m="1" x="2966"/>
        <item m="1" x="3475"/>
        <item m="1" x="3986"/>
        <item m="1" x="4491"/>
        <item m="1" x="4986"/>
        <item m="1" x="5489"/>
        <item m="1" x="5986"/>
        <item m="1" x="6491"/>
        <item m="1" x="6995"/>
        <item m="1" x="7502"/>
        <item m="1" x="78"/>
        <item m="1" x="581"/>
        <item m="1" x="1080"/>
        <item m="1" x="1583"/>
        <item m="1" x="2080"/>
        <item m="1" x="2583"/>
        <item m="1" x="3086"/>
        <item m="1" x="3596"/>
        <item m="1" x="4108"/>
        <item m="1" x="4606"/>
        <item m="1" x="5103"/>
        <item m="1" x="5610"/>
        <item m="1" x="6109"/>
        <item m="1" x="6614"/>
        <item m="1" x="7118"/>
        <item m="1" x="7626"/>
        <item m="1" x="200"/>
        <item m="1" x="698"/>
        <item m="1" x="1201"/>
        <item m="1" x="1705"/>
        <item m="1" x="2200"/>
        <item m="1" x="2705"/>
        <item m="1" x="3209"/>
        <item m="1" x="3720"/>
        <item m="1" x="4228"/>
        <item m="1" x="4726"/>
        <item m="1" x="5225"/>
        <item m="1" x="5729"/>
        <item m="1" x="6232"/>
        <item m="1" x="6739"/>
        <item m="1" x="7242"/>
        <item m="1" x="7747"/>
        <item m="1" x="322"/>
        <item m="1" x="819"/>
        <item m="1" x="1320"/>
        <item m="1" x="1821"/>
        <item m="1" x="2321"/>
        <item m="1" x="2827"/>
        <item m="1" x="3333"/>
        <item m="1" x="3844"/>
        <item m="1" x="4351"/>
        <item m="1" x="4849"/>
        <item m="1" x="5347"/>
        <item m="1" x="5850"/>
        <item m="1" x="6354"/>
        <item m="1" x="6861"/>
        <item m="1" x="7363"/>
        <item m="1" x="7868"/>
        <item m="1" x="443"/>
        <item m="1" x="941"/>
        <item m="1" x="1439"/>
        <item m="1" x="1943"/>
        <item m="1" x="2444"/>
        <item m="1" x="2950"/>
        <item m="1" x="3457"/>
        <item m="1" x="3970"/>
        <item m="1" x="4474"/>
        <item m="1" x="4968"/>
        <item m="1" x="5468"/>
        <item m="1" x="5971"/>
        <item m="1" x="6475"/>
        <item m="1" x="6980"/>
        <item m="1" x="7484"/>
        <item m="1" x="7992"/>
        <item m="1" x="564"/>
        <item m="1" x="1064"/>
        <item m="1" x="1563"/>
        <item m="1" x="2066"/>
        <item m="1" x="2568"/>
        <item m="1" x="3072"/>
        <item m="1" x="3580"/>
        <item m="1" x="4094"/>
        <item m="1" x="4592"/>
        <item m="1" x="5087"/>
        <item m="1" x="5590"/>
        <item m="1" x="6093"/>
        <item m="1" x="6598"/>
        <item m="1" x="7103"/>
        <item m="1" x="7608"/>
        <item m="1" x="187"/>
        <item m="1" x="685"/>
        <item m="1" x="1185"/>
        <item m="1" x="1686"/>
        <item m="1" x="2186"/>
        <item m="1" x="2690"/>
        <item m="1" x="3193"/>
        <item m="1" x="3702"/>
        <item m="1" x="4212"/>
        <item m="1" x="4710"/>
        <item m="1" x="5208"/>
        <item m="1" x="5711"/>
        <item m="1" x="6215"/>
        <item m="1" x="6725"/>
        <item m="1" x="7227"/>
        <item m="1" x="7731"/>
        <item m="1" x="306"/>
        <item m="1" x="804"/>
        <item m="1" x="1304"/>
        <item m="1" x="1802"/>
        <item m="1" x="2303"/>
        <item m="1" x="2812"/>
        <item m="1" x="3318"/>
        <item m="1" x="3827"/>
        <item m="1" x="4334"/>
        <item m="1" x="4832"/>
        <item m="1" x="5332"/>
        <item m="1" x="5830"/>
        <item m="1" x="6335"/>
        <item m="1" x="6846"/>
        <item m="1" x="7349"/>
        <item m="1" x="7852"/>
        <item m="1" x="427"/>
        <item m="1" x="927"/>
        <item m="1" x="1424"/>
        <item m="1" x="1923"/>
        <item m="1" x="2427"/>
        <item m="1" x="2934"/>
        <item m="1" x="3443"/>
        <item m="1" x="3954"/>
        <item m="1" x="4459"/>
        <item m="1" x="4952"/>
        <item m="1" x="5453"/>
        <item m="1" x="5952"/>
        <item m="1" x="6457"/>
        <item m="1" x="6964"/>
        <item m="1" x="7470"/>
        <item m="1" x="7974"/>
        <item m="1" x="548"/>
        <item m="1" x="1048"/>
        <item m="1" x="1548"/>
        <item m="1" x="2047"/>
        <item m="1" x="2551"/>
        <item m="1" x="3056"/>
        <item m="1" x="3566"/>
        <item m="1" x="4078"/>
        <item m="1" x="4577"/>
        <item m="1" x="5071"/>
        <item m="1" x="5575"/>
        <item m="1" x="6074"/>
        <item m="1" x="6579"/>
        <item m="1" x="7087"/>
        <item m="1" x="7593"/>
        <item m="1" x="169"/>
        <item m="1" x="667"/>
        <item m="1" x="1167"/>
        <item m="1" x="1670"/>
        <item m="1" x="2164"/>
        <item m="1" x="2671"/>
        <item m="1" x="3176"/>
        <item m="1" x="3686"/>
        <item m="1" x="4196"/>
        <item m="1" x="4693"/>
        <item m="1" x="5191"/>
        <item m="1" x="5694"/>
        <item m="1" x="6196"/>
        <item m="1" x="6704"/>
        <item m="1" x="7211"/>
        <item m="1" x="7715"/>
        <item m="1" x="289"/>
        <item m="1" x="785"/>
        <item m="1" x="1287"/>
        <item m="1" x="1787"/>
        <item m="1" x="2285"/>
        <item m="1" x="2793"/>
        <item m="1" x="3303"/>
        <item m="1" x="3811"/>
        <item m="1" x="4319"/>
        <item m="1" x="4814"/>
        <item m="1" x="5315"/>
        <item m="1" x="5815"/>
        <item m="1" x="6317"/>
        <item m="1" x="6826"/>
        <item m="1" x="7333"/>
        <item m="1" x="7838"/>
        <item m="1" x="410"/>
        <item m="1" x="907"/>
        <item m="1" x="1406"/>
        <item m="1" x="1906"/>
        <item m="1" x="2408"/>
        <item m="1" x="2914"/>
        <item m="1" x="3427"/>
        <item m="1" x="3939"/>
        <item m="1" x="4444"/>
        <item m="1" x="4935"/>
        <item m="1" x="5435"/>
        <item m="1" x="5936"/>
        <item m="1" x="6439"/>
        <item m="1" x="6945"/>
        <item m="1" x="7453"/>
        <item m="1" x="7959"/>
        <item m="1" x="532"/>
        <item m="1" x="1029"/>
        <item m="1" x="1528"/>
        <item m="1" x="2030"/>
        <item m="1" x="2534"/>
        <item m="1" x="5754"/>
        <item m="1" x="6257"/>
        <item m="1" x="6765"/>
        <item m="1" x="7269"/>
        <item m="1" x="7773"/>
        <item m="1" x="350"/>
        <item m="1" x="850"/>
        <item m="1" x="1348"/>
        <item m="1" x="1845"/>
        <item m="1" x="2347"/>
        <item m="1" x="2855"/>
        <item m="1" x="3360"/>
        <item m="1" x="3870"/>
        <item m="1" x="4379"/>
        <item m="1" x="4878"/>
        <item m="1" x="5374"/>
        <item m="1" x="5875"/>
        <item m="1" x="6379"/>
        <item m="1" x="6888"/>
        <item m="1" x="7389"/>
        <item m="1" x="7893"/>
        <item m="1" x="472"/>
        <item m="1" x="974"/>
        <item m="1" x="1468"/>
        <item m="1" x="1968"/>
        <item m="1" x="2471"/>
        <item m="1" x="2978"/>
        <item m="1" x="3483"/>
        <item m="1" x="3997"/>
        <item m="1" x="4503"/>
        <item m="1" x="5001"/>
        <item m="1" x="5498"/>
        <item m="1" x="5997"/>
        <item m="1" x="6502"/>
        <item m="1" x="7008"/>
        <item m="1" x="7512"/>
        <item m="1" x="90"/>
        <item m="1" x="593"/>
        <item m="1" x="1097"/>
        <item m="1" x="1595"/>
        <item m="1" x="2092"/>
        <item m="1" x="2595"/>
        <item m="1" x="3101"/>
        <item m="1" x="3607"/>
        <item m="1" x="4118"/>
        <item m="1" x="4619"/>
        <item m="1" x="5119"/>
        <item m="1" x="5620"/>
        <item m="1" x="6120"/>
        <item m="1" x="6626"/>
        <item m="1" x="7131"/>
        <item m="1" x="7637"/>
        <item m="1" x="211"/>
        <item m="1" x="710"/>
        <item m="1" x="1215"/>
        <item m="1" x="1715"/>
        <item m="1" x="2211"/>
        <item m="1" x="2715"/>
        <item m="1" x="3221"/>
        <item m="1" x="3730"/>
        <item m="1" x="4238"/>
        <item m="1" x="4739"/>
        <item m="1" x="5239"/>
        <item m="1" x="5739"/>
        <item m="1" x="6242"/>
        <item m="1" x="6750"/>
        <item m="1" x="7255"/>
        <item m="1" x="7758"/>
        <item m="1" x="333"/>
        <item m="1" x="831"/>
        <item m="1" x="1335"/>
        <item m="1" x="1832"/>
        <item m="1" x="2332"/>
        <item m="1" x="2838"/>
        <item m="1" x="3346"/>
        <item m="1" x="3856"/>
        <item m="1" x="4361"/>
        <item m="1" x="4860"/>
        <item m="1" x="5362"/>
        <item m="1" x="5860"/>
        <item m="1" x="6365"/>
        <item m="1" x="6872"/>
        <item m="1" x="7376"/>
        <item m="1" x="7878"/>
        <item m="1" x="454"/>
        <item m="1" x="953"/>
        <item m="1" x="1454"/>
        <item m="1" x="1953"/>
        <item m="1" x="2456"/>
        <item m="1" x="2960"/>
        <item m="1" x="3470"/>
        <item m="1" x="3981"/>
        <item m="1" x="4487"/>
        <item m="1" x="4980"/>
        <item m="1" x="5484"/>
        <item m="1" x="5982"/>
        <item m="1" x="6487"/>
        <item m="1" x="6990"/>
        <item m="1" x="7497"/>
        <item m="1" x="74"/>
        <item m="1" x="577"/>
        <item m="1" x="1074"/>
        <item m="1" x="1578"/>
        <item m="1" x="2077"/>
        <item m="1" x="2579"/>
        <item m="1" x="3081"/>
        <item m="1" x="3592"/>
        <item m="1" x="4104"/>
        <item m="1" x="4602"/>
        <item m="1" x="5098"/>
        <item m="1" x="5606"/>
        <item m="1" x="6105"/>
        <item m="1" x="6610"/>
        <item m="1" x="7114"/>
        <item m="1" x="7621"/>
        <item m="1" x="197"/>
        <item m="1" x="695"/>
        <item m="1" x="1196"/>
        <item m="1" x="1701"/>
        <item m="1" x="2197"/>
        <item m="1" x="2701"/>
        <item m="1" x="3203"/>
        <item m="1" x="3715"/>
        <item m="1" x="4224"/>
        <item m="1" x="4722"/>
        <item m="1" x="5219"/>
        <item m="1" x="5725"/>
        <item m="1" x="6229"/>
        <item m="1" x="6736"/>
        <item m="1" x="7238"/>
        <item m="1" x="7743"/>
        <item m="1" x="319"/>
        <item m="1" x="816"/>
        <item m="1" x="1315"/>
        <item m="1" x="1816"/>
        <item m="1" x="2318"/>
        <item m="1" x="2823"/>
        <item m="1" x="3328"/>
        <item m="1" x="3839"/>
        <item m="1" x="4348"/>
        <item m="1" x="4844"/>
        <item m="1" x="5343"/>
        <item m="1" x="5844"/>
        <item m="1" x="6350"/>
        <item m="1" x="6857"/>
        <item m="1" x="7360"/>
        <item m="1" x="7863"/>
        <item m="1" x="439"/>
        <item m="1" x="937"/>
        <item m="1" x="1435"/>
        <item m="1" x="1937"/>
        <item m="1" x="2440"/>
        <item m="1" x="2945"/>
        <item m="1" x="3453"/>
        <item m="1" x="3965"/>
        <item m="1" x="4471"/>
        <item m="1" x="4964"/>
        <item m="1" x="5464"/>
        <item m="1" x="5965"/>
        <item m="1" x="6472"/>
        <item m="1" x="6976"/>
        <item m="1" x="7481"/>
        <item m="1" x="7987"/>
        <item m="1" x="561"/>
        <item m="1" x="1060"/>
        <item m="1" x="1559"/>
        <item m="1" x="2060"/>
        <item m="1" x="2565"/>
        <item m="1" x="3067"/>
        <item m="1" x="3576"/>
        <item m="1" x="4089"/>
        <item m="1" x="4589"/>
        <item m="1" x="5082"/>
        <item m="1" x="5585"/>
        <item m="1" x="6087"/>
        <item m="1" x="6593"/>
        <item m="1" x="7098"/>
        <item m="1" x="7605"/>
        <item m="1" x="182"/>
        <item m="1" x="681"/>
        <item m="1" x="1181"/>
        <item m="1" x="1682"/>
        <item m="1" x="2179"/>
        <item m="1" x="2686"/>
        <item m="1" x="3189"/>
        <item m="1" x="3698"/>
        <item m="1" x="4207"/>
        <item m="1" x="4706"/>
        <item m="1" x="5204"/>
        <item m="1" x="5706"/>
        <item m="1" x="6209"/>
        <item m="1" x="6719"/>
        <item m="1" x="7222"/>
        <item m="1" x="7726"/>
        <item m="1" x="300"/>
        <item m="1" x="798"/>
        <item m="1" x="1300"/>
        <item m="1" x="1797"/>
        <item m="1" x="2297"/>
        <item m="1" x="2807"/>
        <item m="1" x="3314"/>
        <item m="1" x="3822"/>
        <item m="1" x="4329"/>
        <item m="1" x="4827"/>
        <item m="1" x="5327"/>
        <item m="1" x="5824"/>
        <item m="1" x="6329"/>
        <item m="1" x="6840"/>
        <item m="1" x="7345"/>
        <item m="1" x="7848"/>
        <item m="1" x="422"/>
        <item m="1" x="921"/>
        <item m="1" x="1420"/>
        <item m="1" x="1918"/>
        <item m="1" x="2421"/>
        <item m="1" x="2929"/>
        <item m="1" x="3439"/>
        <item m="1" x="3949"/>
        <item m="1" x="4454"/>
        <item m="1" x="4947"/>
        <item m="1" x="5449"/>
        <item m="1" x="5947"/>
        <item m="1" x="6451"/>
        <item m="1" x="6959"/>
        <item m="1" x="7466"/>
        <item m="1" x="7970"/>
        <item m="1" x="543"/>
        <item m="1" x="1043"/>
        <item m="1" x="1543"/>
        <item m="1" x="2043"/>
        <item m="1" x="2545"/>
        <item m="1" x="3051"/>
        <item m="1" x="3561"/>
        <item m="1" x="4073"/>
        <item m="1" x="4571"/>
        <item m="1" x="5066"/>
        <item m="1" x="5569"/>
        <item m="1" x="6069"/>
        <item m="1" x="6573"/>
        <item m="1" x="7082"/>
        <item m="1" x="7587"/>
        <item m="1" x="165"/>
        <item m="1" x="663"/>
        <item m="1" x="1163"/>
        <item m="1" x="3885"/>
        <item m="1" x="4393"/>
        <item m="1" x="4888"/>
        <item m="1" x="5386"/>
        <item m="1" x="5886"/>
        <item m="1" x="2494"/>
        <item m="1" x="2998"/>
        <item m="1" x="3507"/>
        <item m="1" x="4023"/>
        <item m="1" x="628"/>
        <item m="1" x="1128"/>
        <item m="1" x="1627"/>
        <item m="1" x="2123"/>
        <item m="1" x="2627"/>
        <item m="1" x="6925"/>
        <item m="1" x="7179"/>
        <item m="1" x="7428"/>
        <item m="1" x="7681"/>
        <item m="1" x="7933"/>
        <item m="1" x="258"/>
        <item m="1" x="511"/>
        <item m="1" x="756"/>
        <item m="1" x="1009"/>
        <item m="1" x="5295"/>
        <item m="1" x="5542"/>
        <item m="1" x="5793"/>
        <item m="1" x="6046"/>
        <item m="1" x="6297"/>
        <item m="1" x="6552"/>
        <item m="1" x="6808"/>
        <item m="1" x="7056"/>
        <item m="1" x="7308"/>
        <item m="1" x="3670"/>
        <item m="1" x="3931"/>
        <item m="1" x="4181"/>
        <item m="1" x="4436"/>
        <item m="1" x="4680"/>
        <item m="1" x="4928"/>
        <item m="1" x="5174"/>
        <item m="1" x="5426"/>
        <item m="1" x="5678"/>
        <item m="1" x="2035"/>
        <item m="1" x="2282"/>
        <item m="1" x="2537"/>
        <item m="1" x="2788"/>
        <item m="1" x="3041"/>
        <item m="1" x="3298"/>
        <item m="1" x="3552"/>
        <item m="1" x="3807"/>
        <item m="1" x="4066"/>
        <item m="1" x="170"/>
        <item m="1" x="417"/>
        <item m="1" x="668"/>
        <item m="1" x="917"/>
        <item m="1" x="1168"/>
        <item m="1" x="1416"/>
        <item m="1" x="1671"/>
        <item m="1" x="1915"/>
        <item m="1" x="2165"/>
        <item m="1" x="2416"/>
        <item m="1" x="6463"/>
        <item m="1" x="6720"/>
        <item m="1" x="6968"/>
        <item m="1" x="7223"/>
        <item m="1" x="7474"/>
        <item m="1" x="7727"/>
        <item m="1" x="7978"/>
        <item m="1" x="301"/>
        <item m="1" x="553"/>
        <item m="1" x="799"/>
        <item m="1" x="4840"/>
        <item m="1" x="5088"/>
        <item m="1" x="5338"/>
        <item m="1" x="5591"/>
        <item m="1" x="5838"/>
        <item m="1" x="6094"/>
        <item m="1" x="6344"/>
        <item m="1" x="6599"/>
        <item m="1" x="6853"/>
        <item m="1" x="7104"/>
        <item m="1" x="3204"/>
        <item m="1" x="3462"/>
        <item m="1" x="3716"/>
        <item m="1" x="3974"/>
        <item m="1" x="4225"/>
        <item m="1" x="4479"/>
        <item m="1" x="4723"/>
        <item m="1" x="4971"/>
        <item m="1" x="5220"/>
        <item m="1" x="5473"/>
        <item m="1" x="1584"/>
        <item m="1" x="1828"/>
        <item m="1" x="2081"/>
        <item m="1" x="2329"/>
        <item m="1" x="2584"/>
        <item m="1" x="2834"/>
        <item m="1" x="3087"/>
        <item m="1" x="3342"/>
        <item m="1" x="3597"/>
        <item m="1" x="3852"/>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1802" firstHeaderRow="0" firstDataRow="1" firstDataCol="1"/>
  <pivotFields count="20">
    <pivotField showAll="0">
      <items count="192">
        <item m="1" x="184"/>
        <item m="1" x="164"/>
        <item m="1" x="75"/>
        <item m="1" x="19"/>
        <item m="1" x="62"/>
        <item x="0"/>
        <item m="1" x="185"/>
        <item m="1" x="7"/>
        <item m="1" x="161"/>
        <item m="1" x="46"/>
        <item m="1" x="135"/>
        <item m="1" x="79"/>
        <item m="1" x="182"/>
        <item m="1" x="68"/>
        <item m="1" x="11"/>
        <item m="1" x="136"/>
        <item m="1" x="82"/>
        <item m="1" x="143"/>
        <item m="1" x="88"/>
        <item m="1" x="115"/>
        <item m="1" x="141"/>
        <item m="1" x="34"/>
        <item m="1" x="50"/>
        <item m="1" x="186"/>
        <item m="1" x="8"/>
        <item m="1" x="179"/>
        <item m="1" x="51"/>
        <item m="1" x="83"/>
        <item m="1" x="58"/>
        <item m="1" x="91"/>
        <item m="1" x="95"/>
        <item m="1" x="69"/>
        <item m="1" x="23"/>
        <item m="1" x="156"/>
        <item m="1" x="32"/>
        <item m="1" x="35"/>
        <item m="1" x="146"/>
        <item m="1" x="99"/>
        <item m="1" x="63"/>
        <item m="1" x="187"/>
        <item m="1" x="147"/>
        <item m="1" x="100"/>
        <item m="1" x="168"/>
        <item m="1" x="44"/>
        <item m="1" x="12"/>
        <item m="1" x="20"/>
        <item m="1" x="128"/>
        <item m="1" x="109"/>
        <item m="1" x="148"/>
        <item m="1" x="111"/>
        <item m="1" x="80"/>
        <item m="1" x="92"/>
        <item m="1" x="89"/>
        <item m="1" x="66"/>
        <item m="1" x="180"/>
        <item m="1" x="4"/>
        <item m="1" x="188"/>
        <item m="1" x="116"/>
        <item m="1" x="5"/>
        <item m="1" x="84"/>
        <item m="1" x="153"/>
        <item m="1" x="151"/>
        <item m="1" x="21"/>
        <item m="1" x="93"/>
        <item m="1" x="67"/>
        <item m="1" x="142"/>
        <item m="1" x="40"/>
        <item m="1" x="162"/>
        <item m="1" x="173"/>
        <item m="1" x="24"/>
        <item m="1" x="120"/>
        <item m="1" x="138"/>
        <item m="1" x="169"/>
        <item m="1" x="160"/>
        <item m="1" x="104"/>
        <item m="1" x="131"/>
        <item m="1" x="165"/>
        <item m="1" x="52"/>
        <item m="1" x="36"/>
        <item m="1" x="70"/>
        <item m="1" x="105"/>
        <item m="1" x="101"/>
        <item m="1" x="41"/>
        <item m="1" x="150"/>
        <item m="1" x="37"/>
        <item m="1" x="152"/>
        <item m="1" x="72"/>
        <item m="1" x="64"/>
        <item m="1" x="174"/>
        <item m="1" x="189"/>
        <item m="1" x="1"/>
        <item m="1" x="170"/>
        <item m="1" x="190"/>
        <item m="1" x="132"/>
        <item m="1" x="139"/>
        <item m="1" x="27"/>
        <item m="1" x="157"/>
        <item m="1" x="134"/>
        <item m="1" x="47"/>
        <item m="1" x="73"/>
        <item m="1" x="117"/>
        <item m="1" x="129"/>
        <item m="1" x="90"/>
        <item m="1" x="76"/>
        <item m="1" x="48"/>
        <item m="1" x="14"/>
        <item m="1" x="118"/>
        <item m="1" x="59"/>
        <item m="1" x="158"/>
        <item m="1" x="85"/>
        <item m="1" x="56"/>
        <item m="1" x="28"/>
        <item m="1" x="60"/>
        <item m="1" x="2"/>
        <item m="1" x="33"/>
        <item m="1" x="22"/>
        <item m="1" x="6"/>
        <item m="1" x="124"/>
        <item m="1" x="86"/>
        <item m="1" x="49"/>
        <item m="1" x="30"/>
        <item m="1" x="38"/>
        <item m="1" x="130"/>
        <item m="1" x="163"/>
        <item m="1" x="29"/>
        <item m="1" x="125"/>
        <item m="1" x="13"/>
        <item m="1" x="42"/>
        <item m="1" x="17"/>
        <item m="1" x="102"/>
        <item m="1" x="74"/>
        <item m="1" x="77"/>
        <item m="1" x="16"/>
        <item m="1" x="175"/>
        <item m="1" x="176"/>
        <item m="1" x="110"/>
        <item m="1" x="144"/>
        <item m="1" x="53"/>
        <item m="1" x="25"/>
        <item m="1" x="106"/>
        <item m="1" x="149"/>
        <item m="1" x="121"/>
        <item m="1" x="39"/>
        <item m="1" x="177"/>
        <item m="1" x="112"/>
        <item m="1" x="9"/>
        <item m="1" x="166"/>
        <item m="1" x="18"/>
        <item m="1" x="45"/>
        <item m="1" x="96"/>
        <item m="1" x="71"/>
        <item m="1" x="126"/>
        <item m="1" x="159"/>
        <item m="1" x="103"/>
        <item m="1" x="113"/>
        <item m="1" x="54"/>
        <item m="1" x="15"/>
        <item m="1" x="43"/>
        <item m="1" x="55"/>
        <item m="1" x="107"/>
        <item m="1" x="122"/>
        <item m="1" x="133"/>
        <item m="1" x="127"/>
        <item m="1" x="78"/>
        <item m="1" x="94"/>
        <item m="1" x="26"/>
        <item m="1" x="57"/>
        <item m="1" x="167"/>
        <item m="1" x="97"/>
        <item m="1" x="3"/>
        <item m="1" x="145"/>
        <item m="1" x="183"/>
        <item m="1" x="65"/>
        <item m="1" x="119"/>
        <item m="1" x="137"/>
        <item m="1" x="81"/>
        <item m="1" x="98"/>
        <item m="1" x="114"/>
        <item m="1" x="123"/>
        <item m="1" x="171"/>
        <item m="1" x="10"/>
        <item m="1" x="140"/>
        <item m="1" x="178"/>
        <item m="1" x="181"/>
        <item m="1" x="31"/>
        <item m="1" x="61"/>
        <item m="1" x="154"/>
        <item m="1" x="172"/>
        <item m="1" x="155"/>
        <item m="1" x="87"/>
        <item m="1" x="108"/>
        <item t="default"/>
      </items>
    </pivotField>
    <pivotField showAll="0">
      <items count="456">
        <item m="1" x="39"/>
        <item m="1" x="421"/>
        <item m="1" x="348"/>
        <item m="1" x="120"/>
        <item m="1" x="341"/>
        <item m="1" x="304"/>
        <item m="1" x="355"/>
        <item m="1" x="349"/>
        <item m="1" x="317"/>
        <item m="1" x="413"/>
        <item m="1" x="156"/>
        <item m="1" x="76"/>
        <item m="1" x="350"/>
        <item m="1" x="232"/>
        <item m="1" x="289"/>
        <item x="20"/>
        <item m="1" x="64"/>
        <item m="1" x="404"/>
        <item m="1" x="305"/>
        <item m="1" x="233"/>
        <item m="1" x="356"/>
        <item m="1" x="369"/>
        <item m="1" x="240"/>
        <item m="1" x="65"/>
        <item m="1" x="318"/>
        <item m="1" x="259"/>
        <item m="1" x="90"/>
        <item m="1" x="40"/>
        <item x="18"/>
        <item m="1" x="332"/>
        <item m="1" x="210"/>
        <item m="1" x="363"/>
        <item m="1" x="385"/>
        <item m="1" x="56"/>
        <item m="1" x="276"/>
        <item m="1" x="144"/>
        <item m="1" x="31"/>
        <item m="1" x="422"/>
        <item m="1" x="98"/>
        <item m="1" x="192"/>
        <item m="1" x="46"/>
        <item m="1" x="436"/>
        <item m="1" x="306"/>
        <item m="1" x="234"/>
        <item m="1" x="177"/>
        <item m="1" x="392"/>
        <item m="1" x="411"/>
        <item m="1" x="218"/>
        <item m="1" x="437"/>
        <item m="1" x="145"/>
        <item x="11"/>
        <item m="1" x="91"/>
        <item m="1" x="47"/>
        <item m="1" x="370"/>
        <item m="1" x="307"/>
        <item m="1" x="146"/>
        <item m="1" x="138"/>
        <item m="1" x="135"/>
        <item m="1" x="405"/>
        <item m="1" x="398"/>
        <item m="1" x="147"/>
        <item m="1" x="260"/>
        <item x="2"/>
        <item m="1" x="374"/>
        <item m="1" x="34"/>
        <item m="1" x="399"/>
        <item m="1" x="428"/>
        <item m="1" x="193"/>
        <item m="1" x="364"/>
        <item m="1" x="48"/>
        <item m="1" x="106"/>
        <item m="1" x="277"/>
        <item m="1" x="152"/>
        <item m="1" x="35"/>
        <item m="1" x="333"/>
        <item m="1" x="269"/>
        <item m="1" x="127"/>
        <item m="1" x="297"/>
        <item x="0"/>
        <item m="1" x="226"/>
        <item m="1" x="386"/>
        <item m="1" x="319"/>
        <item m="1" x="57"/>
        <item m="1" x="113"/>
        <item m="1" x="163"/>
        <item m="1" x="334"/>
        <item m="1" x="235"/>
        <item m="1" x="41"/>
        <item m="1" x="58"/>
        <item m="1" x="114"/>
        <item m="1" x="178"/>
        <item m="1" x="278"/>
        <item m="1" x="414"/>
        <item m="1" x="194"/>
        <item m="1" x="423"/>
        <item m="1" x="360"/>
        <item m="1" x="227"/>
        <item m="1" x="241"/>
        <item m="1" x="429"/>
        <item m="1" x="128"/>
        <item m="1" x="298"/>
        <item m="1" x="49"/>
        <item m="1" x="443"/>
        <item m="1" x="387"/>
        <item m="1" x="308"/>
        <item m="1" x="195"/>
        <item m="1" x="50"/>
        <item m="1" x="179"/>
        <item m="1" x="279"/>
        <item m="1" x="444"/>
        <item m="1" x="139"/>
        <item m="1" x="219"/>
        <item m="1" x="201"/>
        <item m="1" x="309"/>
        <item x="5"/>
        <item m="1" x="211"/>
        <item m="1" x="312"/>
        <item m="1" x="299"/>
        <item m="1" x="84"/>
        <item m="1" x="187"/>
        <item m="1" x="406"/>
        <item x="8"/>
        <item m="1" x="438"/>
        <item m="1" x="205"/>
        <item m="1" x="249"/>
        <item m="1" x="342"/>
        <item m="1" x="415"/>
        <item m="1" x="285"/>
        <item m="1" x="400"/>
        <item m="1" x="212"/>
        <item m="1" x="70"/>
        <item m="1" x="430"/>
        <item x="22"/>
        <item m="1" x="157"/>
        <item m="1" x="311"/>
        <item m="1" x="250"/>
        <item m="1" x="188"/>
        <item m="1" x="99"/>
        <item m="1" x="153"/>
        <item m="1" x="66"/>
        <item m="1" x="357"/>
        <item m="1" x="115"/>
        <item m="1" x="365"/>
        <item m="1" x="51"/>
        <item m="1" x="264"/>
        <item m="1" x="121"/>
        <item m="1" x="290"/>
        <item m="1" x="228"/>
        <item m="1" x="154"/>
        <item m="1" x="116"/>
        <item m="1" x="323"/>
        <item m="1" x="140"/>
        <item m="1" x="189"/>
        <item x="17"/>
        <item m="1" x="222"/>
        <item m="1" x="335"/>
        <item m="1" x="92"/>
        <item m="1" x="256"/>
        <item m="1" x="77"/>
        <item m="1" x="93"/>
        <item m="1" x="180"/>
        <item m="1" x="202"/>
        <item m="1" x="136"/>
        <item m="1" x="85"/>
        <item m="1" x="206"/>
        <item x="9"/>
        <item x="19"/>
        <item m="1" x="361"/>
        <item m="1" x="213"/>
        <item m="1" x="42"/>
        <item m="1" x="169"/>
        <item m="1" x="25"/>
        <item m="1" x="129"/>
        <item m="1" x="78"/>
        <item m="1" x="261"/>
        <item x="16"/>
        <item m="1" x="375"/>
        <item m="1" x="251"/>
        <item m="1" x="272"/>
        <item m="1" x="52"/>
        <item m="1" x="320"/>
        <item m="1" x="280"/>
        <item m="1" x="324"/>
        <item m="1" x="416"/>
        <item m="1" x="445"/>
        <item m="1" x="291"/>
        <item x="10"/>
        <item m="1" x="407"/>
        <item x="24"/>
        <item m="1" x="181"/>
        <item m="1" x="351"/>
        <item m="1" x="158"/>
        <item m="1" x="86"/>
        <item m="1" x="223"/>
        <item m="1" x="292"/>
        <item m="1" x="148"/>
        <item m="1" x="71"/>
        <item m="1" x="242"/>
        <item m="1" x="417"/>
        <item m="1" x="100"/>
        <item m="1" x="366"/>
        <item m="1" x="325"/>
        <item m="1" x="67"/>
        <item m="1" x="214"/>
        <item m="1" x="313"/>
        <item m="1" x="170"/>
        <item m="1" x="300"/>
        <item m="1" x="32"/>
        <item m="1" x="137"/>
        <item m="1" x="184"/>
        <item m="1" x="358"/>
        <item m="1" x="446"/>
        <item m="1" x="376"/>
        <item m="1" x="452"/>
        <item m="1" x="149"/>
        <item x="1"/>
        <item m="1" x="196"/>
        <item m="1" x="26"/>
        <item m="1" x="388"/>
        <item m="1" x="321"/>
        <item m="1" x="87"/>
        <item m="1" x="265"/>
        <item m="1" x="447"/>
        <item m="1" x="207"/>
        <item m="1" x="68"/>
        <item m="1" x="215"/>
        <item m="1" x="293"/>
        <item m="1" x="380"/>
        <item m="1" x="229"/>
        <item m="1" x="314"/>
        <item m="1" x="301"/>
        <item m="1" x="53"/>
        <item m="1" x="236"/>
        <item m="1" x="79"/>
        <item m="1" x="352"/>
        <item m="1" x="439"/>
        <item m="1" x="371"/>
        <item m="1" x="117"/>
        <item m="1" x="208"/>
        <item m="1" x="286"/>
        <item m="1" x="453"/>
        <item m="1" x="122"/>
        <item m="1" x="216"/>
        <item m="1" x="72"/>
        <item m="1" x="431"/>
        <item m="1" x="302"/>
        <item m="1" x="182"/>
        <item m="1" x="281"/>
        <item m="1" x="159"/>
        <item m="1" x="224"/>
        <item m="1" x="381"/>
        <item m="1" x="315"/>
        <item m="1" x="171"/>
        <item m="1" x="101"/>
        <item m="1" x="412"/>
        <item m="1" x="393"/>
        <item m="1" x="418"/>
        <item m="1" x="287"/>
        <item m="1" x="36"/>
        <item m="1" x="141"/>
        <item m="1" x="123"/>
        <item m="1" x="217"/>
        <item m="1" x="408"/>
        <item m="1" x="73"/>
        <item m="1" x="102"/>
        <item m="1" x="273"/>
        <item m="1" x="27"/>
        <item m="1" x="80"/>
        <item m="1" x="107"/>
        <item x="15"/>
        <item m="1" x="243"/>
        <item m="1" x="326"/>
        <item m="1" x="336"/>
        <item m="1" x="124"/>
        <item m="1" x="294"/>
        <item m="1" x="150"/>
        <item m="1" x="172"/>
        <item m="1" x="103"/>
        <item m="1" x="197"/>
        <item m="1" x="367"/>
        <item m="1" x="389"/>
        <item m="1" x="81"/>
        <item m="1" x="59"/>
        <item m="1" x="160"/>
        <item m="1" x="327"/>
        <item m="1" x="419"/>
        <item m="1" x="88"/>
        <item m="1" x="209"/>
        <item m="1" x="401"/>
        <item m="1" x="94"/>
        <item m="1" x="125"/>
        <item m="1" x="43"/>
        <item m="1" x="343"/>
        <item m="1" x="104"/>
        <item m="1" x="353"/>
        <item m="1" x="440"/>
        <item m="1" x="108"/>
        <item m="1" x="328"/>
        <item m="1" x="359"/>
        <item m="1" x="142"/>
        <item m="1" x="164"/>
        <item m="1" x="252"/>
        <item m="1" x="382"/>
        <item m="1" x="409"/>
        <item m="1" x="74"/>
        <item m="1" x="432"/>
        <item m="1" x="28"/>
        <item m="1" x="220"/>
        <item m="1" x="390"/>
        <item m="1" x="82"/>
        <item m="1" x="109"/>
        <item m="1" x="372"/>
        <item m="1" x="394"/>
        <item m="1" x="244"/>
        <item m="1" x="329"/>
        <item m="1" x="448"/>
        <item m="1" x="402"/>
        <item m="1" x="337"/>
        <item m="1" x="454"/>
        <item m="1" x="230"/>
        <item m="1" x="173"/>
        <item m="1" x="257"/>
        <item m="1" x="344"/>
        <item m="1" x="54"/>
        <item m="1" x="83"/>
        <item x="21"/>
        <item x="4"/>
        <item m="1" x="161"/>
        <item m="1" x="245"/>
        <item m="1" x="330"/>
        <item m="1" x="377"/>
        <item m="1" x="424"/>
        <item m="1" x="95"/>
        <item m="1" x="270"/>
        <item m="1" x="44"/>
        <item m="1" x="151"/>
        <item m="1" x="316"/>
        <item m="1" x="105"/>
        <item m="1" x="130"/>
        <item m="1" x="221"/>
        <item m="1" x="237"/>
        <item m="1" x="262"/>
        <item m="1" x="441"/>
        <item m="1" x="282"/>
        <item m="1" x="395"/>
        <item m="1" x="60"/>
        <item x="23"/>
        <item m="1" x="253"/>
        <item m="1" x="295"/>
        <item m="1" x="75"/>
        <item m="1" x="345"/>
        <item m="1" x="433"/>
        <item m="1" x="131"/>
        <item m="1" x="110"/>
        <item m="1" x="203"/>
        <item m="1" x="373"/>
        <item m="1" x="396"/>
        <item m="1" x="185"/>
        <item m="1" x="266"/>
        <item m="1" x="449"/>
        <item m="1" x="383"/>
        <item x="6"/>
        <item m="1" x="174"/>
        <item m="1" x="258"/>
        <item m="1" x="346"/>
        <item m="1" x="183"/>
        <item m="1" x="111"/>
        <item m="1" x="204"/>
        <item m="1" x="162"/>
        <item x="7"/>
        <item m="1" x="450"/>
        <item m="1" x="118"/>
        <item m="1" x="143"/>
        <item m="1" x="425"/>
        <item m="1" x="362"/>
        <item m="1" x="126"/>
        <item m="1" x="175"/>
        <item m="1" x="434"/>
        <item m="1" x="198"/>
        <item m="1" x="263"/>
        <item m="1" x="354"/>
        <item m="1" x="33"/>
        <item m="1" x="310"/>
        <item m="1" x="246"/>
        <item m="1" x="420"/>
        <item m="1" x="165"/>
        <item m="1" x="199"/>
        <item m="1" x="274"/>
        <item m="1" x="132"/>
        <item m="1" x="55"/>
        <item m="1" x="238"/>
        <item m="1" x="112"/>
        <item m="1" x="397"/>
        <item m="1" x="61"/>
        <item m="1" x="247"/>
        <item x="3"/>
        <item m="1" x="267"/>
        <item m="1" x="451"/>
        <item m="1" x="288"/>
        <item m="1" x="166"/>
        <item m="1" x="254"/>
        <item m="1" x="338"/>
        <item m="1" x="426"/>
        <item m="1" x="384"/>
        <item m="1" x="45"/>
        <item m="1" x="176"/>
        <item m="1" x="435"/>
        <item m="1" x="133"/>
        <item x="13"/>
        <item m="1" x="283"/>
        <item m="1" x="62"/>
        <item m="1" x="186"/>
        <item m="1" x="69"/>
        <item m="1" x="96"/>
        <item m="1" x="410"/>
        <item m="1" x="275"/>
        <item m="1" x="29"/>
        <item x="14"/>
        <item m="1" x="303"/>
        <item m="1" x="322"/>
        <item m="1" x="284"/>
        <item x="12"/>
        <item m="1" x="248"/>
        <item m="1" x="403"/>
        <item m="1" x="368"/>
        <item m="1" x="30"/>
        <item m="1" x="391"/>
        <item m="1" x="155"/>
        <item m="1" x="63"/>
        <item m="1" x="89"/>
        <item m="1" x="225"/>
        <item m="1" x="167"/>
        <item m="1" x="339"/>
        <item m="1" x="190"/>
        <item m="1" x="296"/>
        <item m="1" x="134"/>
        <item m="1" x="378"/>
        <item m="1" x="37"/>
        <item m="1" x="168"/>
        <item m="1" x="191"/>
        <item m="1" x="271"/>
        <item m="1" x="239"/>
        <item m="1" x="119"/>
        <item m="1" x="379"/>
        <item m="1" x="427"/>
        <item m="1" x="231"/>
        <item m="1" x="200"/>
        <item m="1" x="331"/>
        <item m="1" x="268"/>
        <item m="1" x="38"/>
        <item m="1" x="255"/>
        <item m="1" x="340"/>
        <item m="1" x="97"/>
        <item m="1" x="442"/>
        <item m="1" x="347"/>
        <item t="default"/>
      </items>
    </pivotField>
    <pivotField showAll="0" defaultSubtotal="0"/>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41">
        <item m="1" x="46"/>
        <item m="1" x="109"/>
        <item m="1" x="69"/>
        <item m="1" x="173"/>
        <item m="1" x="186"/>
        <item m="1" x="49"/>
        <item m="1" x="154"/>
        <item m="1" x="102"/>
        <item m="1" x="319"/>
        <item m="1" x="213"/>
        <item m="1" x="150"/>
        <item m="1" x="272"/>
        <item m="1" x="320"/>
        <item m="1" x="337"/>
        <item m="1" x="295"/>
        <item m="1" x="230"/>
        <item m="1" x="214"/>
        <item m="1" x="321"/>
        <item m="1" x="242"/>
        <item m="1" x="114"/>
        <item m="1" x="59"/>
        <item m="1" x="222"/>
        <item m="1" x="411"/>
        <item m="1" x="39"/>
        <item m="1" x="330"/>
        <item m="1" x="223"/>
        <item m="1" x="155"/>
        <item m="1" x="281"/>
        <item m="1" x="303"/>
        <item m="1" x="124"/>
        <item m="1" x="252"/>
        <item m="1" x="199"/>
        <item m="1" x="296"/>
        <item m="1" x="297"/>
        <item m="1" x="412"/>
        <item m="1" x="151"/>
        <item m="1" x="304"/>
        <item m="1" x="152"/>
        <item m="1" x="276"/>
        <item m="1" x="23"/>
        <item m="1" x="121"/>
        <item m="1" x="425"/>
        <item m="1" x="347"/>
        <item m="1" x="253"/>
        <item m="1" x="68"/>
        <item m="1" x="174"/>
        <item m="1" x="209"/>
        <item m="1" x="110"/>
        <item m="1" x="74"/>
        <item m="1" x="50"/>
        <item m="1" x="377"/>
        <item m="1" x="175"/>
        <item m="1" x="167"/>
        <item m="1" x="47"/>
        <item m="1" x="266"/>
        <item m="1" x="111"/>
        <item m="1" x="331"/>
        <item m="1" x="305"/>
        <item m="1" x="138"/>
        <item m="1" x="282"/>
        <item m="1" x="431"/>
        <item m="1" x="156"/>
        <item m="1" x="51"/>
        <item m="1" x="215"/>
        <item m="1" x="383"/>
        <item m="1" x="168"/>
        <item m="1" x="290"/>
        <item m="1" x="176"/>
        <item m="1" x="395"/>
        <item m="1" x="413"/>
        <item m="1" x="70"/>
        <item m="1" x="277"/>
        <item m="1" x="243"/>
        <item m="1" x="398"/>
        <item m="1" x="384"/>
        <item m="1" x="177"/>
        <item m="1" x="273"/>
        <item m="1" x="33"/>
        <item m="1" x="283"/>
        <item m="1" x="231"/>
        <item m="1" x="368"/>
        <item m="1" x="402"/>
        <item m="1" x="267"/>
        <item m="1" x="224"/>
        <item m="1" x="342"/>
        <item m="1" x="52"/>
        <item m="1" x="115"/>
        <item m="1" x="238"/>
        <item m="1" x="403"/>
        <item m="1" x="417"/>
        <item m="1" x="97"/>
        <item m="1" x="157"/>
        <item m="1" x="232"/>
        <item m="1" x="326"/>
        <item m="1" x="426"/>
        <item m="1" x="244"/>
        <item m="1" x="158"/>
        <item m="1" x="91"/>
        <item m="1" x="159"/>
        <item m="1" x="254"/>
        <item m="1" x="291"/>
        <item m="1" x="60"/>
        <item m="1" x="245"/>
        <item m="1" x="40"/>
        <item m="1" x="274"/>
        <item m="1" x="140"/>
        <item m="1" x="75"/>
        <item m="1" x="200"/>
        <item m="1" x="434"/>
        <item m="1" x="332"/>
        <item m="1" x="28"/>
        <item m="1" x="298"/>
        <item m="1" x="112"/>
        <item m="1" x="24"/>
        <item m="1" x="369"/>
        <item m="1" x="233"/>
        <item m="1" x="133"/>
        <item m="1" x="160"/>
        <item m="1" x="327"/>
        <item m="1" x="306"/>
        <item m="1" x="134"/>
        <item m="1" x="275"/>
        <item m="1" x="246"/>
        <item m="1" x="76"/>
        <item m="1" x="92"/>
        <item m="1" x="29"/>
        <item m="1" x="122"/>
        <item m="1" x="34"/>
        <item m="1" x="98"/>
        <item m="1" x="234"/>
        <item m="1" x="80"/>
        <item m="1" x="278"/>
        <item m="1" x="370"/>
        <item m="1" x="284"/>
        <item m="1" x="352"/>
        <item m="1" x="312"/>
        <item m="1" x="103"/>
        <item m="1" x="178"/>
        <item m="1" x="139"/>
        <item m="1" x="179"/>
        <item m="1" x="201"/>
        <item m="1" x="385"/>
        <item m="1" x="25"/>
        <item m="1" x="255"/>
        <item m="1" x="378"/>
        <item m="1" x="407"/>
        <item m="1" x="379"/>
        <item m="1" x="386"/>
        <item m="1" x="225"/>
        <item m="1" x="81"/>
        <item m="1" x="210"/>
        <item m="1" x="418"/>
        <item m="1" x="348"/>
        <item m="1" x="380"/>
        <item m="1" x="314"/>
        <item m="1" x="359"/>
        <item m="1" x="292"/>
        <item m="1" x="387"/>
        <item m="1" x="77"/>
        <item m="1" x="322"/>
        <item m="1" x="404"/>
        <item m="1" x="360"/>
        <item m="1" x="30"/>
        <item m="1" x="381"/>
        <item m="1" x="202"/>
        <item m="1" x="279"/>
        <item m="1" x="141"/>
        <item m="1" x="247"/>
        <item m="1" x="161"/>
        <item m="1" x="61"/>
        <item m="1" x="113"/>
        <item m="1" x="371"/>
        <item m="1" x="116"/>
        <item m="1" x="203"/>
        <item m="1" x="408"/>
        <item m="1" x="93"/>
        <item m="1" x="41"/>
        <item m="1" x="419"/>
        <item m="1" x="191"/>
        <item m="1" x="372"/>
        <item m="1" x="361"/>
        <item m="1" x="35"/>
        <item m="1" x="349"/>
        <item m="1" x="125"/>
        <item m="1" x="268"/>
        <item m="1" x="153"/>
        <item m="1" x="71"/>
        <item m="1" x="414"/>
        <item m="1" x="142"/>
        <item m="1" x="26"/>
        <item m="1" x="399"/>
        <item m="1" x="388"/>
        <item m="1" x="415"/>
        <item m="1" x="394"/>
        <item m="1" x="62"/>
        <item m="1" x="181"/>
        <item m="1" x="78"/>
        <item m="1" x="192"/>
        <item m="1" x="350"/>
        <item m="1" x="362"/>
        <item m="1" x="435"/>
        <item m="1" x="204"/>
        <item m="1" x="193"/>
        <item m="1" x="117"/>
        <item m="1" x="285"/>
        <item m="1" x="162"/>
        <item m="1" x="343"/>
        <item m="1" x="344"/>
        <item m="1" x="333"/>
        <item m="1" x="194"/>
        <item m="1" x="169"/>
        <item m="1" x="143"/>
        <item m="1" x="187"/>
        <item m="1" x="86"/>
        <item m="1" x="373"/>
        <item m="1" x="353"/>
        <item m="1" x="87"/>
        <item m="1" x="220"/>
        <item m="1" x="211"/>
        <item m="1" x="307"/>
        <item m="1" x="196"/>
        <item m="1" x="135"/>
        <item m="1" x="31"/>
        <item m="1" x="308"/>
        <item m="1" x="53"/>
        <item m="1" x="79"/>
        <item m="1" x="309"/>
        <item m="1" x="126"/>
        <item m="1" x="72"/>
        <item m="1" x="400"/>
        <item m="1" x="315"/>
        <item m="1" x="299"/>
        <item m="1" x="323"/>
        <item m="1" x="88"/>
        <item m="1" x="436"/>
        <item m="1" x="197"/>
        <item m="1" x="123"/>
        <item m="1" x="221"/>
        <item m="1" x="63"/>
        <item m="1" x="432"/>
        <item m="1" x="239"/>
        <item m="1" x="351"/>
        <item m="1" x="363"/>
        <item m="1" x="240"/>
        <item m="1" x="82"/>
        <item m="1" x="405"/>
        <item m="1" x="144"/>
        <item m="1" x="316"/>
        <item m="1" x="259"/>
        <item m="1" x="324"/>
        <item m="1" x="420"/>
        <item m="1" x="241"/>
        <item m="1" x="364"/>
        <item m="1" x="136"/>
        <item m="1" x="99"/>
        <item m="1" x="374"/>
        <item m="1" x="248"/>
        <item m="1" x="345"/>
        <item m="1" x="127"/>
        <item m="1" x="64"/>
        <item m="1" x="42"/>
        <item m="1" x="421"/>
        <item m="1" x="118"/>
        <item m="1" x="54"/>
        <item m="1" x="260"/>
        <item m="1" x="269"/>
        <item m="1" x="375"/>
        <item m="1" x="354"/>
        <item m="1" x="334"/>
        <item m="1" x="73"/>
        <item m="1" x="422"/>
        <item m="1" x="128"/>
        <item m="1" x="235"/>
        <item m="1" x="129"/>
        <item m="1" x="338"/>
        <item m="1" x="409"/>
        <item m="1" x="36"/>
        <item m="1" x="389"/>
        <item m="1" x="236"/>
        <item m="1" x="355"/>
        <item m="1" x="256"/>
        <item m="1" x="390"/>
        <item m="1" x="83"/>
        <item m="1" x="145"/>
        <item m="1" x="317"/>
        <item m="1" x="401"/>
        <item m="1" x="104"/>
        <item m="1" x="293"/>
        <item m="1" x="65"/>
        <item m="1" x="423"/>
        <item m="1" x="32"/>
        <item m="1" x="146"/>
        <item m="1" x="105"/>
        <item m="1" x="163"/>
        <item m="1" x="280"/>
        <item m="1" x="437"/>
        <item m="1" x="261"/>
        <item m="1" x="382"/>
        <item m="1" x="335"/>
        <item m="1" x="286"/>
        <item m="1" x="325"/>
        <item m="1" x="365"/>
        <item m="1" x="249"/>
        <item m="1" x="188"/>
        <item m="1" x="356"/>
        <item m="1" x="366"/>
        <item m="1" x="147"/>
        <item m="1" x="137"/>
        <item m="1" x="164"/>
        <item m="1" x="262"/>
        <item m="1" x="84"/>
        <item m="1" x="416"/>
        <item m="1" x="205"/>
        <item m="1" x="310"/>
        <item m="1" x="410"/>
        <item m="1" x="165"/>
        <item m="1" x="106"/>
        <item m="1" x="55"/>
        <item m="1" x="198"/>
        <item m="1" x="119"/>
        <item m="1" x="43"/>
        <item m="1" x="130"/>
        <item m="1" x="328"/>
        <item m="1" x="48"/>
        <item m="1" x="212"/>
        <item m="1" x="270"/>
        <item m="1" x="336"/>
        <item m="1" x="37"/>
        <item m="1" x="100"/>
        <item m="1" x="170"/>
        <item m="1" x="250"/>
        <item m="1" x="226"/>
        <item m="1" x="131"/>
        <item m="1" x="376"/>
        <item m="1" x="257"/>
        <item m="1" x="216"/>
        <item m="1" x="251"/>
        <item m="1" x="391"/>
        <item m="1" x="227"/>
        <item m="1" x="271"/>
        <item m="1" x="189"/>
        <item m="1" x="438"/>
        <item m="1" x="56"/>
        <item m="1" x="300"/>
        <item m="1" x="301"/>
        <item m="1" x="313"/>
        <item m="1" x="263"/>
        <item m="1" x="107"/>
        <item m="1" x="171"/>
        <item m="1" x="357"/>
        <item m="1" x="132"/>
        <item m="1" x="329"/>
        <item m="1" x="406"/>
        <item m="1" x="94"/>
        <item m="1" x="180"/>
        <item m="1" x="38"/>
        <item m="1" x="264"/>
        <item m="1" x="439"/>
        <item m="1" x="217"/>
        <item m="1" x="95"/>
        <item m="1" x="66"/>
        <item m="1" x="67"/>
        <item m="1" x="108"/>
        <item m="1" x="44"/>
        <item m="1" x="427"/>
        <item m="1" x="57"/>
        <item m="1" x="190"/>
        <item m="1" x="206"/>
        <item m="1" x="358"/>
        <item m="1" x="207"/>
        <item m="1" x="392"/>
        <item m="1" x="346"/>
        <item m="1" x="166"/>
        <item m="1" x="182"/>
        <item m="1" x="396"/>
        <item m="1" x="318"/>
        <item m="1" x="428"/>
        <item m="1" x="101"/>
        <item m="1" x="287"/>
        <item m="1" x="237"/>
        <item m="1" x="96"/>
        <item m="1" x="429"/>
        <item m="1" x="85"/>
        <item m="1" x="302"/>
        <item m="1" x="228"/>
        <item m="1" x="58"/>
        <item m="1" x="424"/>
        <item m="1" x="45"/>
        <item m="1" x="430"/>
        <item m="1" x="148"/>
        <item m="1" x="229"/>
        <item m="1" x="288"/>
        <item m="1" x="183"/>
        <item m="1" x="89"/>
        <item m="1" x="195"/>
        <item m="1" x="294"/>
        <item m="1" x="172"/>
        <item m="1" x="149"/>
        <item m="1" x="120"/>
        <item m="1" x="367"/>
        <item m="1" x="339"/>
        <item m="1" x="208"/>
        <item m="1" x="265"/>
        <item m="1" x="289"/>
        <item m="1" x="218"/>
        <item m="1" x="27"/>
        <item m="1" x="433"/>
        <item m="1" x="397"/>
        <item m="1" x="340"/>
        <item m="1" x="393"/>
        <item m="1" x="90"/>
        <item m="1" x="184"/>
        <item m="1" x="219"/>
        <item x="22"/>
        <item x="7"/>
        <item x="1"/>
        <item x="2"/>
        <item x="6"/>
        <item x="8"/>
        <item x="21"/>
        <item x="14"/>
        <item x="20"/>
        <item x="10"/>
        <item x="9"/>
        <item x="15"/>
        <item x="3"/>
        <item x="19"/>
        <item x="17"/>
        <item m="1" x="311"/>
        <item x="5"/>
        <item x="4"/>
        <item x="16"/>
        <item x="13"/>
        <item x="18"/>
        <item x="0"/>
        <item x="11"/>
        <item x="12"/>
        <item m="1" x="258"/>
        <item m="1" x="341"/>
        <item m="1" x="185"/>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2441"/>
        <item m="1" x="3421"/>
        <item m="1" x="6345"/>
        <item m="1" x="7323"/>
        <item m="1" x="2309"/>
        <item m="1" x="3287"/>
        <item m="1" x="5245"/>
        <item m="1" x="6216"/>
        <item m="1" x="1216"/>
        <item m="1" x="2180"/>
        <item m="1" x="5114"/>
        <item m="1" x="6082"/>
        <item m="1" x="115"/>
        <item m="1" x="1087"/>
        <item m="1" x="4018"/>
        <item m="1" x="4987"/>
        <item m="1" x="7911"/>
        <item m="1" x="954"/>
        <item m="1" x="2896"/>
        <item m="1" x="3886"/>
        <item m="1" x="6803"/>
        <item m="1" x="7783"/>
        <item m="1" x="2765"/>
        <item m="1" x="3750"/>
        <item m="1" x="5695"/>
        <item m="1" x="6673"/>
        <item m="1" x="1666"/>
        <item m="1" x="2637"/>
        <item m="1" x="5565"/>
        <item m="1" x="6538"/>
        <item m="1" x="569"/>
        <item m="1" x="1534"/>
        <item m="1" x="2017"/>
        <item m="1" x="4475"/>
        <item m="1" x="4953"/>
        <item m="1" x="5436"/>
        <item m="1" x="7879"/>
        <item m="1" x="440"/>
        <item m="1" x="922"/>
        <item m="1" x="1402"/>
        <item m="1" x="3357"/>
        <item m="1" x="3853"/>
        <item m="1" x="4343"/>
        <item m="1" x="4823"/>
        <item m="1" x="7263"/>
        <item m="1" x="7752"/>
        <item m="1" x="311"/>
        <item m="1" x="2734"/>
        <item m="1" x="3227"/>
        <item m="1" x="3721"/>
        <item m="1" x="4213"/>
        <item m="1" x="6149"/>
        <item m="1" x="6643"/>
        <item m="1" x="7132"/>
        <item m="1" x="7622"/>
        <item m="1" x="2117"/>
        <item m="1" x="2607"/>
        <item m="1" x="3096"/>
        <item m="1" x="5533"/>
        <item m="1" x="6019"/>
        <item m="1" x="6510"/>
        <item m="1" x="7000"/>
        <item m="1" x="1020"/>
        <item m="1" x="1504"/>
        <item m="1" x="1987"/>
        <item m="1" x="2476"/>
        <item m="1" x="4922"/>
        <item m="1" x="5406"/>
        <item m="1" x="5891"/>
        <item m="1" x="6380"/>
        <item m="1" x="407"/>
        <item m="1" x="890"/>
        <item m="1" x="1374"/>
        <item m="1" x="1858"/>
        <item m="1" x="3819"/>
        <item m="1" x="4312"/>
        <item m="1" x="4793"/>
        <item m="1" x="5277"/>
        <item m="1" x="7719"/>
        <item m="1" x="279"/>
        <item m="1" x="761"/>
        <item m="1" x="1247"/>
        <item m="1" x="3194"/>
        <item m="1" x="3687"/>
        <item m="1" x="4182"/>
        <item m="1" x="4665"/>
        <item m="1" x="6611"/>
        <item m="1" x="7099"/>
        <item m="1" x="7588"/>
        <item m="1" x="151"/>
        <item m="1" x="2575"/>
        <item m="1" x="3063"/>
        <item m="1" x="3557"/>
        <item m="1" x="4055"/>
        <item m="1" x="5990"/>
        <item m="1" x="6479"/>
        <item m="1" x="6969"/>
        <item m="1" x="7459"/>
        <item m="1" x="1473"/>
        <item m="1" x="1719"/>
        <item m="1" x="1958"/>
        <item m="1" x="2201"/>
        <item m="1" x="2445"/>
        <item m="1" x="2691"/>
        <item m="1" x="2935"/>
        <item m="1" x="3177"/>
        <item m="1" x="5133"/>
        <item m="1" x="5375"/>
        <item m="1" x="5621"/>
        <item m="1" x="5861"/>
        <item m="1" x="6106"/>
        <item m="1" x="6351"/>
        <item m="1" x="6594"/>
        <item m="1" x="6841"/>
        <item m="1" x="860"/>
        <item m="1" x="1106"/>
        <item m="1" x="1345"/>
        <item m="1" x="1591"/>
        <item m="1" x="1829"/>
        <item m="1" x="2074"/>
        <item m="1" x="2314"/>
        <item m="1" x="4278"/>
        <item m="1" x="4524"/>
        <item m="1" x="4764"/>
        <item m="1" x="5007"/>
        <item m="1" x="5248"/>
        <item m="1" x="5493"/>
        <item m="1" x="5734"/>
        <item m="1" x="5975"/>
        <item m="1" x="7929"/>
        <item m="1" x="245"/>
        <item m="1" x="491"/>
        <item m="1" x="731"/>
        <item m="1" x="978"/>
        <item m="1" x="1222"/>
        <item m="1" x="1460"/>
        <item m="1" x="1706"/>
        <item m="1" x="3651"/>
        <item m="1" x="3904"/>
        <item m="1" x="4149"/>
        <item m="1" x="4397"/>
        <item m="1" x="4636"/>
        <item m="1" x="4879"/>
        <item m="1" x="5120"/>
        <item m="1" x="7063"/>
        <item m="1" x="7309"/>
        <item m="1" x="7554"/>
        <item m="1" x="7802"/>
        <item m="1" x="119"/>
        <item m="1" x="364"/>
        <item m="1" x="607"/>
        <item m="1" x="845"/>
        <item m="1" x="2784"/>
        <item m="1" x="3028"/>
        <item m="1" x="3275"/>
        <item m="1" x="3523"/>
        <item m="1" x="3771"/>
        <item m="1" x="4024"/>
        <item m="1" x="4265"/>
        <item m="1" x="4512"/>
        <item m="1" x="6443"/>
        <item m="1" x="6692"/>
        <item m="1" x="6935"/>
        <item m="1" x="7183"/>
        <item m="1" x="7425"/>
        <item m="1" x="7672"/>
        <item m="1" x="7916"/>
        <item m="1" x="1924"/>
        <item m="1" x="2166"/>
        <item m="1" x="2409"/>
        <item m="1" x="2657"/>
        <item m="1" x="2900"/>
        <item m="1" x="3146"/>
        <item m="1" x="3395"/>
        <item m="1" x="3637"/>
        <item m="1" x="5586"/>
        <item m="1" x="5825"/>
        <item m="1" x="6070"/>
        <item m="1" x="6314"/>
        <item m="1" x="6560"/>
        <item m="1" x="6809"/>
        <item m="1" x="7049"/>
        <item m="1" x="7296"/>
        <item m="1" x="1311"/>
        <item m="1" x="1554"/>
        <item m="1" x="1794"/>
        <item m="1" x="2039"/>
        <item m="1" x="2278"/>
        <item m="1" x="2527"/>
        <item m="1" x="2770"/>
        <item m="1" x="4731"/>
        <item m="1" x="4972"/>
        <item m="1" x="5212"/>
        <item m="1" x="5457"/>
        <item m="1" x="5699"/>
        <item m="1" x="5941"/>
        <item m="1" x="6187"/>
        <item m="1" x="6428"/>
        <item m="1" x="460"/>
        <item m="1" x="699"/>
        <item m="1" x="942"/>
        <item m="1" x="1186"/>
        <item m="1" x="1425"/>
        <item m="1" x="1672"/>
        <item m="1" x="1907"/>
        <item m="1" x="2151"/>
        <item m="1" x="4119"/>
        <item m="1" x="4362"/>
        <item m="1" x="4603"/>
        <item m="1" x="4845"/>
        <item m="1" x="5083"/>
        <item m="1" x="5328"/>
        <item m="1" x="5570"/>
        <item m="1" x="7523"/>
        <item m="1" x="7768"/>
        <item m="1" x="86"/>
        <item m="1" x="330"/>
        <item m="1" x="573"/>
        <item m="1" x="812"/>
        <item m="1" x="1056"/>
        <item m="1" x="1296"/>
        <item m="1" x="3244"/>
        <item m="1" x="3490"/>
        <item m="1" x="3738"/>
        <item m="1" x="3990"/>
        <item m="1" x="4232"/>
        <item m="1" x="4480"/>
        <item m="1" x="4714"/>
        <item m="1" x="4957"/>
        <item m="1" x="6904"/>
        <item m="1" x="7149"/>
        <item m="1" x="7393"/>
        <item m="1" x="7516"/>
        <item m="1" x="7641"/>
        <item m="1" x="7762"/>
        <item m="1" x="7883"/>
        <item m="1" x="79"/>
        <item m="1" x="201"/>
        <item m="1" x="323"/>
        <item m="1" x="444"/>
        <item m="1" x="565"/>
        <item m="1" x="2376"/>
        <item m="1" x="2502"/>
        <item m="1" x="2622"/>
        <item m="1" x="2743"/>
        <item m="1" x="2868"/>
        <item m="1" x="2990"/>
        <item m="1" x="3114"/>
        <item m="1" x="3237"/>
        <item m="1" x="3361"/>
        <item m="1" x="3484"/>
        <item m="1" x="3731"/>
        <item m="1" x="3857"/>
        <item m="1" x="3982"/>
        <item m="1" x="4105"/>
        <item m="1" x="5915"/>
        <item m="1" x="6037"/>
        <item m="1" x="6159"/>
        <item m="1" x="6280"/>
        <item m="1" x="6403"/>
        <item m="1" x="6526"/>
        <item m="1" x="6652"/>
        <item m="1" x="6776"/>
        <item m="1" x="6897"/>
        <item m="1" x="7017"/>
        <item m="1" x="7143"/>
        <item m="1" x="7266"/>
        <item m="1" x="7386"/>
        <item m="1" x="7508"/>
        <item m="1" x="7633"/>
        <item m="1" x="7755"/>
        <item m="1" x="1645"/>
        <item m="1" x="1763"/>
        <item m="1" x="1880"/>
        <item m="1" x="2004"/>
        <item m="1" x="2127"/>
        <item m="1" x="2246"/>
        <item m="1" x="2369"/>
        <item m="1" x="2495"/>
        <item m="1" x="2616"/>
        <item m="1" x="2737"/>
        <item m="1" x="2862"/>
        <item m="1" x="2984"/>
        <item m="1" x="3108"/>
        <item m="1" x="3230"/>
        <item m="1" x="3354"/>
        <item m="1" x="5179"/>
        <item m="1" x="5303"/>
        <item m="1" x="5421"/>
        <item m="1" x="5543"/>
        <item m="1" x="5665"/>
        <item m="1" x="5785"/>
        <item m="1" x="5908"/>
        <item m="1" x="6030"/>
        <item m="1" x="6152"/>
        <item m="1" x="6274"/>
        <item m="1" x="6397"/>
        <item m="1" x="6520"/>
        <item m="1" x="6646"/>
        <item m="1" x="6769"/>
        <item m="1" x="6892"/>
        <item m="1" x="786"/>
        <item m="1" x="908"/>
        <item m="1" x="1030"/>
        <item m="1" x="1150"/>
        <item m="1" x="1271"/>
        <item m="1" x="1390"/>
        <item m="1" x="1513"/>
        <item m="1" x="1638"/>
        <item m="1" x="1756"/>
        <item m="1" x="1874"/>
        <item m="1" x="1998"/>
        <item m="1" x="2120"/>
        <item m="1" x="2240"/>
        <item m="1" x="2362"/>
        <item m="1" x="2487"/>
        <item m="1" x="2611"/>
        <item m="1" x="4455"/>
        <item m="1" x="4572"/>
        <item m="1" x="4689"/>
        <item m="1" x="4810"/>
        <item m="1" x="4932"/>
        <item m="1" x="5051"/>
        <item m="1" x="5171"/>
        <item m="1" x="5296"/>
        <item m="1" x="5415"/>
        <item m="1" x="5536"/>
        <item m="1" x="5659"/>
        <item m="1" x="5779"/>
        <item m="1" x="5902"/>
        <item m="1" x="6023"/>
        <item m="1" x="6146"/>
        <item m="1" x="7982"/>
        <item m="1" x="177"/>
        <item m="1" x="296"/>
        <item m="1" x="418"/>
        <item m="1" x="539"/>
        <item m="1" x="660"/>
        <item m="1" x="779"/>
        <item m="1" x="901"/>
        <item m="1" x="1023"/>
        <item m="1" x="1145"/>
        <item m="1" x="1265"/>
        <item m="1" x="1384"/>
        <item m="1" x="1507"/>
        <item m="1" x="1631"/>
        <item m="1" x="1751"/>
        <item m="1" x="3706"/>
        <item m="1" x="3830"/>
        <item m="1" x="3957"/>
        <item m="1" x="4081"/>
        <item m="1" x="4200"/>
        <item m="1" x="4323"/>
        <item m="1" x="4448"/>
        <item m="1" x="4565"/>
        <item m="1" x="4683"/>
        <item m="1" x="4805"/>
        <item m="1" x="4925"/>
        <item m="1" x="5045"/>
        <item m="1" x="5165"/>
        <item m="1" x="5288"/>
        <item m="1" x="5410"/>
        <item m="1" x="7243"/>
        <item m="1" x="7364"/>
        <item m="1" x="7485"/>
        <item m="1" x="7609"/>
        <item m="1" x="7732"/>
        <item m="1" x="7853"/>
        <item m="1" x="7975"/>
        <item m="1" x="171"/>
        <item m="1" x="290"/>
        <item m="1" x="411"/>
        <item m="1" x="533"/>
        <item m="1" x="654"/>
        <item m="1" x="773"/>
        <item m="1" x="894"/>
        <item m="1" x="1017"/>
        <item m="1" x="2839"/>
        <item m="1" x="2961"/>
        <item m="1" x="3082"/>
        <item m="1" x="3205"/>
        <item m="1" x="3329"/>
        <item m="1" x="3454"/>
        <item m="1" x="3577"/>
        <item m="1" x="3699"/>
        <item m="1" x="3823"/>
        <item m="1" x="3950"/>
        <item m="1" x="4074"/>
        <item m="1" x="4193"/>
        <item m="1" x="4316"/>
        <item m="1" x="4440"/>
        <item m="1" x="4559"/>
        <item m="1" x="6498"/>
        <item m="1" x="6621"/>
        <item m="1" x="6746"/>
        <item m="1" x="6868"/>
        <item m="1" x="6987"/>
        <item m="1" x="7111"/>
        <item m="1" x="7235"/>
        <item m="1" x="7356"/>
        <item m="1" x="7477"/>
        <item m="1" x="7601"/>
        <item m="1" x="7723"/>
        <item m="1" x="7845"/>
        <item m="1" x="7967"/>
        <item m="1" x="161"/>
        <item m="1" x="283"/>
        <item m="1" x="2099"/>
        <item m="1" x="2219"/>
        <item m="1" x="2340"/>
        <item m="1" x="2464"/>
        <item m="1" x="2588"/>
        <item m="1" x="2709"/>
        <item m="1" x="2831"/>
        <item m="1" x="2954"/>
        <item m="1" x="3075"/>
        <item m="1" x="3197"/>
        <item m="1" x="3322"/>
        <item m="1" x="3447"/>
        <item m="1" x="3570"/>
        <item m="1" x="3691"/>
        <item m="1" x="3815"/>
        <item m="1" x="5638"/>
        <item m="1" x="5758"/>
        <item m="1" x="5879"/>
        <item m="1" x="6001"/>
        <item m="1" x="6124"/>
        <item m="1" x="6247"/>
        <item m="1" x="6370"/>
        <item m="1" x="6492"/>
        <item m="1" x="6615"/>
        <item m="1" x="6740"/>
        <item m="1" x="6862"/>
        <item m="1" x="6981"/>
        <item m="1" x="7105"/>
        <item m="1" x="7228"/>
        <item m="1" x="7350"/>
        <item m="1" x="1363"/>
        <item m="1" x="1483"/>
        <item m="1" x="1608"/>
        <item m="1" x="1730"/>
        <item m="1" x="1846"/>
        <item m="1" x="1969"/>
        <item m="1" x="2093"/>
        <item m="1" x="2212"/>
        <item m="1" x="2333"/>
        <item m="1" x="2457"/>
        <item m="1" x="2580"/>
        <item m="1" x="2702"/>
        <item m="1" x="2824"/>
        <item m="1" x="2946"/>
        <item m="1" x="3068"/>
        <item m="1" x="4904"/>
        <item m="1" x="5024"/>
        <item m="1" x="5144"/>
        <item m="1" x="5266"/>
        <item m="1" x="5387"/>
        <item m="1" x="5509"/>
        <item m="1" x="5631"/>
        <item m="1" x="5750"/>
        <item m="1" x="5871"/>
        <item m="1" x="5993"/>
        <item m="1" x="6116"/>
        <item m="1" x="6239"/>
        <item m="1" x="6362"/>
        <item m="1" x="6483"/>
        <item m="1" x="6606"/>
        <item m="1" x="512"/>
        <item m="1" x="632"/>
        <item m="1" x="749"/>
        <item m="1" x="872"/>
        <item m="1" x="994"/>
        <item m="1" x="1117"/>
        <item m="1" x="1237"/>
        <item m="1" x="1356"/>
        <item m="1" x="1476"/>
        <item m="1" x="1601"/>
        <item m="1" x="1723"/>
        <item m="1" x="1839"/>
        <item m="1" x="1962"/>
        <item m="1" x="2085"/>
        <item m="1" x="2205"/>
        <item m="1" x="2325"/>
        <item m="1" x="4170"/>
        <item m="1" x="4292"/>
        <item m="1" x="4417"/>
        <item m="1" x="4538"/>
        <item m="1" x="4653"/>
        <item m="1" x="4776"/>
        <item m="1" x="4897"/>
        <item m="1" x="5017"/>
        <item m="1" x="5137"/>
        <item m="1" x="5259"/>
        <item m="1" x="5380"/>
        <item m="1" x="5503"/>
        <item m="1" x="5625"/>
        <item m="1" x="5743"/>
        <item m="1" x="5865"/>
        <item m="1" x="3671"/>
        <item m="1" x="7700"/>
        <item m="1" x="3794"/>
        <item m="1" x="7822"/>
        <item m="1" x="3922"/>
        <item m="1" x="7944"/>
        <item m="1" x="4047"/>
        <item m="1" x="139"/>
        <item m="1" x="4165"/>
        <item m="1" x="259"/>
        <item m="1" x="4287"/>
        <item m="1" x="381"/>
        <item m="1" x="4412"/>
        <item m="1" x="503"/>
        <item m="1" x="4533"/>
        <item m="1" x="623"/>
        <item m="1" x="4648"/>
        <item m="1" x="741"/>
        <item m="1" x="4771"/>
        <item m="1" x="864"/>
        <item m="1" x="4893"/>
        <item m="1" x="987"/>
        <item m="1" x="5014"/>
        <item m="1" x="1111"/>
        <item m="1" x="5134"/>
        <item m="1" x="1231"/>
        <item m="1" x="5255"/>
        <item m="1" x="1349"/>
        <item m="1" x="5376"/>
        <item m="1" x="1469"/>
        <item m="1" x="5499"/>
        <item m="1" x="3299"/>
        <item m="1" x="7329"/>
        <item m="1" x="3422"/>
        <item m="1" x="7448"/>
        <item m="1" x="3543"/>
        <item m="1" x="7571"/>
        <item m="1" x="3665"/>
        <item m="1" x="7695"/>
        <item m="1" x="3789"/>
        <item m="1" x="7817"/>
        <item m="1" x="3917"/>
        <item m="1" x="7939"/>
        <item m="1" x="4042"/>
        <item m="1" x="134"/>
        <item m="1" x="4160"/>
        <item m="1" x="253"/>
        <item m="1" x="4282"/>
        <item m="1" x="376"/>
        <item m="1" x="4407"/>
        <item m="1" x="498"/>
        <item m="1" x="4529"/>
        <item m="1" x="619"/>
        <item m="1" x="4645"/>
        <item m="1" x="738"/>
        <item m="1" x="4768"/>
        <item m="1" x="861"/>
        <item m="1" x="4889"/>
        <item m="1" x="983"/>
        <item m="1" x="5010"/>
        <item m="1" x="1107"/>
        <item m="1" x="5129"/>
        <item m="1" x="2925"/>
        <item m="1" x="3046"/>
        <item m="1" x="7077"/>
        <item m="1" x="3168"/>
        <item m="1" x="7203"/>
        <item m="1" x="3293"/>
        <item m="1" x="7324"/>
        <item m="1" x="3416"/>
        <item m="1" x="7443"/>
        <item m="1" x="3538"/>
        <item m="1" x="7566"/>
        <item m="1" x="3660"/>
        <item m="1" x="7690"/>
        <item m="1" x="3784"/>
        <item m="1" x="7812"/>
        <item m="1" x="3912"/>
        <item m="1" x="7934"/>
        <item m="1" x="4037"/>
        <item m="1" x="130"/>
        <item m="1" x="4156"/>
        <item m="1" x="250"/>
        <item m="1" x="4279"/>
        <item m="1" x="373"/>
        <item m="1" x="4404"/>
        <item m="1" x="495"/>
        <item m="1" x="4525"/>
        <item m="1" x="615"/>
        <item m="1" x="4641"/>
        <item m="1" x="734"/>
        <item m="1" x="6464"/>
        <item m="1" x="2557"/>
        <item m="1" x="6585"/>
        <item m="1" x="2677"/>
        <item m="1" x="6710"/>
        <item m="1" x="2799"/>
        <item m="1" x="6832"/>
        <item m="1" x="2920"/>
        <item m="1" x="6951"/>
        <item m="1" x="3042"/>
        <item m="1" x="7072"/>
        <item m="1" x="3163"/>
        <item m="1" x="7198"/>
        <item m="1" x="3288"/>
        <item m="1" x="7318"/>
        <item m="1" x="3411"/>
        <item m="1" x="7438"/>
        <item m="1" x="3533"/>
        <item m="1" x="7561"/>
        <item m="1" x="3655"/>
        <item m="1" x="7686"/>
        <item m="1" x="3780"/>
        <item m="1" x="7809"/>
        <item m="1" x="3909"/>
        <item m="1" x="7930"/>
        <item m="1" x="4034"/>
        <item m="1" x="126"/>
        <item m="1" x="4152"/>
        <item m="1" x="246"/>
        <item m="1" x="4274"/>
        <item m="1" x="369"/>
        <item m="1" x="6095"/>
        <item m="1" x="2187"/>
        <item m="1" x="6217"/>
        <item m="1" x="2304"/>
        <item m="1" x="6336"/>
        <item m="1" x="2428"/>
        <item m="1" x="6458"/>
        <item m="1" x="2552"/>
        <item m="1" x="6580"/>
        <item m="1" x="2672"/>
        <item m="1" x="6705"/>
        <item m="1" x="2794"/>
        <item m="1" x="6827"/>
        <item m="1" x="2915"/>
        <item m="1" x="6946"/>
        <item m="1" x="3036"/>
        <item m="1" x="7067"/>
        <item m="1" x="3158"/>
        <item m="1" x="7193"/>
        <item m="1" x="3282"/>
        <item m="1" x="7314"/>
        <item m="1" x="3407"/>
        <item m="1" x="7435"/>
        <item m="1" x="3530"/>
        <item m="1" x="7558"/>
        <item m="1" x="3652"/>
        <item m="1" x="7682"/>
        <item m="1" x="3776"/>
        <item m="1" x="7805"/>
        <item m="1" x="3905"/>
        <item m="1" x="7925"/>
        <item m="1" x="5726"/>
        <item m="1" x="1817"/>
        <item m="1" x="5845"/>
        <item m="1" x="1938"/>
        <item m="1" x="5966"/>
        <item m="1" x="2061"/>
        <item m="1" x="6088"/>
        <item m="1" x="2181"/>
        <item m="1" x="6210"/>
        <item m="1" x="2298"/>
        <item m="1" x="6330"/>
        <item m="1" x="2422"/>
        <item m="1" x="6452"/>
        <item m="1" x="2546"/>
        <item m="1" x="6574"/>
        <item m="1" x="2667"/>
        <item m="1" x="6700"/>
        <item m="1" x="2789"/>
        <item m="1" x="6822"/>
        <item m="1" x="2911"/>
        <item m="1" x="6942"/>
        <item m="1" x="3033"/>
        <item m="1" x="7064"/>
        <item m="1" x="3155"/>
        <item m="1" x="7190"/>
        <item m="1" x="3279"/>
        <item m="1" x="7310"/>
        <item m="1" x="3403"/>
        <item m="1" x="7431"/>
        <item m="1" x="3526"/>
        <item m="1" x="1331"/>
        <item m="1" x="5358"/>
        <item m="1" x="1450"/>
        <item m="1" x="5479"/>
        <item m="1" x="1573"/>
        <item m="1" x="5601"/>
        <item m="1" x="1696"/>
        <item m="1" x="5720"/>
        <item m="1" x="1811"/>
        <item m="1" x="5839"/>
        <item m="1" x="1932"/>
        <item m="1" x="5960"/>
        <item m="1" x="2055"/>
        <item m="1" x="6083"/>
        <item m="1" x="2174"/>
        <item m="1" x="6204"/>
        <item m="1" x="2293"/>
        <item m="1" x="6325"/>
        <item m="1" x="2417"/>
        <item m="1" x="6447"/>
        <item m="1" x="2542"/>
        <item m="1" x="6570"/>
        <item m="1" x="2664"/>
        <item m="1" x="6697"/>
        <item m="1" x="2785"/>
        <item m="1" x="6819"/>
        <item m="1" x="2907"/>
        <item m="1" x="6938"/>
        <item m="1" x="3029"/>
        <item m="1" x="7059"/>
        <item m="1" x="3151"/>
        <item m="1" x="966"/>
        <item m="1" x="4993"/>
        <item m="1" x="1088"/>
        <item m="1" x="5109"/>
        <item m="1" x="1207"/>
        <item m="1" x="5231"/>
        <item m="1" x="1326"/>
        <item m="1" x="5353"/>
        <item m="1" x="1445"/>
        <item m="1" x="5474"/>
        <item m="1" x="1568"/>
        <item m="1" x="5596"/>
        <item m="1" x="1691"/>
        <item m="1" x="5715"/>
        <item m="1" x="1806"/>
        <item m="1" x="5834"/>
        <item m="1" x="1928"/>
        <item m="1" x="5956"/>
        <item m="1" x="2051"/>
        <item m="1" x="6078"/>
        <item m="1" x="2171"/>
        <item m="1" x="6201"/>
        <item m="1" x="2290"/>
        <item m="1" x="6322"/>
        <item m="1" x="2413"/>
        <item m="1" x="6444"/>
        <item m="1" x="2538"/>
        <item m="1" x="6566"/>
        <item m="1" x="2660"/>
        <item m="1" x="6693"/>
        <item m="1" x="2780"/>
        <item m="1" x="599"/>
        <item m="1" x="4625"/>
        <item m="1" x="716"/>
        <item m="1" x="4745"/>
        <item m="1" x="837"/>
        <item m="1" x="4866"/>
        <item m="1" x="961"/>
        <item m="1" x="4988"/>
        <item m="1" x="1081"/>
        <item m="1" x="5104"/>
        <item m="1" x="1202"/>
        <item m="1" x="5226"/>
        <item m="1" x="1321"/>
        <item m="1" x="5348"/>
        <item m="1" x="1440"/>
        <item m="1" x="5469"/>
        <item m="1" x="1564"/>
        <item m="1" x="5592"/>
        <item m="1" x="1687"/>
        <item m="1" x="5712"/>
        <item m="1" x="1803"/>
        <item m="1" x="5831"/>
        <item m="1" x="1925"/>
        <item m="1" x="5953"/>
        <item m="1" x="2048"/>
        <item m="1" x="6075"/>
        <item m="1" x="2167"/>
        <item m="1" x="6197"/>
        <item m="1" x="2286"/>
        <item m="1" x="6318"/>
        <item m="1" x="230"/>
        <item m="1" x="4257"/>
        <item m="1" x="351"/>
        <item m="1" x="4380"/>
        <item m="1" x="473"/>
        <item m="1" x="4504"/>
        <item m="1" x="594"/>
        <item m="1" x="4620"/>
        <item m="1" x="711"/>
        <item m="1" x="4740"/>
        <item m="1" x="832"/>
        <item m="1" x="4861"/>
        <item m="1" x="955"/>
        <item m="1" x="4981"/>
        <item m="1" x="1075"/>
        <item m="1" x="5099"/>
        <item m="1" x="1197"/>
        <item m="1" x="5221"/>
        <item m="1" x="1316"/>
        <item m="1" x="5344"/>
        <item m="1" x="1436"/>
        <item m="1" x="5465"/>
        <item m="1" x="1560"/>
        <item m="1" x="5587"/>
        <item m="1" x="1683"/>
        <item m="1" x="5707"/>
        <item m="1" x="1798"/>
        <item m="1" x="5826"/>
        <item m="1" x="1919"/>
        <item m="1" x="5948"/>
        <item m="1" x="3760"/>
        <item m="1" x="7789"/>
        <item m="1" x="3887"/>
        <item m="1" x="7906"/>
        <item m="1" x="4010"/>
        <item m="1" x="103"/>
        <item m="1" x="4132"/>
        <item m="1" x="225"/>
        <item m="1" x="4252"/>
        <item m="1" x="346"/>
        <item m="1" x="4375"/>
        <item m="1" x="468"/>
        <item m="1" x="4499"/>
        <item m="1" x="588"/>
        <item m="1" x="4614"/>
        <item m="1" x="706"/>
        <item m="1" x="4735"/>
        <item m="1" x="827"/>
        <item m="1" x="4856"/>
        <item m="1" x="949"/>
        <item m="1" x="4977"/>
        <item m="1" x="1071"/>
        <item m="1" x="5095"/>
        <item m="1" x="1193"/>
        <item m="1" x="5216"/>
        <item m="1" x="1312"/>
        <item m="1" x="5339"/>
        <item m="1" x="1431"/>
        <item m="1" x="5460"/>
        <item m="1" x="1555"/>
        <item m="1" x="5581"/>
        <item m="1" x="3387"/>
        <item m="1" x="7414"/>
        <item m="1" x="3508"/>
        <item m="1" x="7536"/>
        <item m="1" x="3629"/>
        <item m="1" x="7660"/>
        <item m="1" x="3755"/>
        <item m="1" x="7784"/>
        <item m="1" x="3880"/>
        <item m="1" x="7902"/>
        <item m="1" x="4006"/>
        <item m="1" x="99"/>
        <item m="1" x="4128"/>
        <item m="1" x="220"/>
        <item m="1" x="4247"/>
        <item m="1" x="342"/>
        <item m="1" x="4371"/>
        <item m="1" x="464"/>
        <item m="1" x="4495"/>
        <item m="1" x="585"/>
        <item m="1" x="4611"/>
        <item m="1" x="4732"/>
        <item m="1" x="824"/>
        <item m="1" x="4853"/>
        <item m="1" x="946"/>
        <item m="1" x="4973"/>
        <item m="1" x="1067"/>
        <item m="1" x="5091"/>
        <item m="1" x="1189"/>
        <item m="1" x="3013"/>
        <item m="1" x="7041"/>
        <item m="1" x="3133"/>
        <item m="1" x="7166"/>
        <item m="1" x="3257"/>
        <item m="1" x="7288"/>
        <item m="1" x="3382"/>
        <item m="1" x="7409"/>
        <item m="1" x="3503"/>
        <item m="1" x="7532"/>
        <item m="1" x="3625"/>
        <item m="1" x="7656"/>
        <item m="1" x="3751"/>
        <item m="1" x="7778"/>
        <item m="1" x="3875"/>
        <item m="1" x="7898"/>
        <item m="1" x="4002"/>
        <item m="1" x="95"/>
        <item m="1" x="4124"/>
        <item m="1" x="217"/>
        <item m="1" x="4244"/>
        <item m="1" x="339"/>
        <item m="1" x="4368"/>
        <item m="1" x="461"/>
        <item m="1" x="4492"/>
        <item m="1" x="582"/>
        <item m="1" x="4607"/>
        <item m="1" x="700"/>
        <item m="1" x="4727"/>
        <item m="1" x="820"/>
        <item m="1" x="6548"/>
        <item m="1" x="2643"/>
        <item m="1" x="6674"/>
        <item m="1" x="2760"/>
        <item m="1" x="6795"/>
        <item m="1" x="2884"/>
        <item m="1" x="6917"/>
        <item m="1" x="3008"/>
        <item m="1" x="7036"/>
        <item m="1" x="3129"/>
        <item m="1" x="7162"/>
        <item m="1" x="3253"/>
        <item m="1" x="7284"/>
        <item m="1" x="3377"/>
        <item m="1" x="7404"/>
        <item m="1" x="3499"/>
        <item m="1" x="7528"/>
        <item m="1" x="3621"/>
        <item m="1" x="7652"/>
        <item m="1" x="3746"/>
        <item m="1" x="7774"/>
        <item m="1" x="3871"/>
        <item m="1" x="7894"/>
        <item m="1" x="3998"/>
        <item m="1" x="91"/>
        <item m="1" x="4120"/>
        <item m="1" x="212"/>
        <item m="1" x="4239"/>
        <item m="1" x="334"/>
        <item m="1" x="4363"/>
        <item m="1" x="455"/>
        <item m="1" x="6179"/>
        <item m="1" x="2267"/>
        <item m="1" x="6298"/>
        <item m="1" x="2389"/>
        <item m="1" x="6420"/>
        <item m="1" x="2515"/>
        <item m="1" x="6543"/>
        <item m="1" x="2638"/>
        <item m="1" x="6668"/>
        <item m="1" x="2756"/>
        <item m="1" x="6791"/>
        <item m="1" x="2880"/>
        <item m="1" x="6913"/>
        <item m="1" x="3003"/>
        <item m="1" x="7031"/>
        <item m="1" x="3125"/>
        <item m="1" x="7158"/>
        <item m="1" x="3249"/>
        <item m="1" x="7280"/>
        <item m="1" x="3372"/>
        <item m="1" x="7400"/>
        <item m="1" x="3495"/>
        <item m="1" x="7524"/>
        <item m="1" x="3617"/>
        <item m="1" x="7648"/>
        <item m="1" x="3742"/>
        <item m="1" x="7769"/>
        <item m="1" x="3866"/>
        <item m="1" x="7889"/>
        <item m="1" x="3993"/>
        <item m="1" x="5808"/>
        <item m="1" x="1899"/>
        <item m="1" x="5928"/>
        <item m="1" x="2022"/>
        <item m="1" x="6051"/>
        <item m="1" x="2143"/>
        <item m="1" x="6174"/>
        <item m="1" x="2262"/>
        <item m="1" x="6293"/>
        <item m="1" x="2385"/>
        <item m="1" x="6416"/>
        <item m="1" x="2511"/>
        <item m="1" x="6539"/>
        <item m="1" x="2632"/>
        <item m="1" x="6663"/>
        <item m="1" x="2752"/>
        <item m="1" x="6787"/>
        <item m="1" x="2876"/>
        <item m="1" x="6909"/>
        <item m="1" x="2999"/>
        <item m="1" x="7027"/>
        <item m="1" x="3121"/>
        <item m="1" x="7154"/>
        <item m="1" x="3245"/>
        <item m="1" x="7276"/>
        <item m="1" x="3368"/>
        <item m="1" x="7396"/>
        <item m="1" x="3491"/>
        <item m="1" x="7519"/>
        <item m="1" x="3613"/>
        <item m="1" x="1412"/>
        <item m="1" x="5442"/>
        <item m="1" x="1535"/>
        <item m="1" x="5560"/>
        <item m="1" x="1658"/>
        <item m="1" x="5683"/>
        <item m="1" x="1776"/>
        <item m="1" x="5803"/>
        <item m="1" x="1894"/>
        <item m="1" x="5924"/>
        <item m="1" x="2018"/>
        <item m="1" x="6047"/>
        <item m="1" x="2139"/>
        <item m="1" x="6169"/>
        <item m="1" x="2257"/>
        <item m="1" x="6289"/>
        <item m="1" x="2381"/>
        <item m="1" x="6412"/>
        <item m="1" x="2507"/>
        <item m="1" x="6534"/>
        <item m="1" x="2628"/>
        <item m="1" x="6659"/>
        <item m="1" x="2748"/>
        <item m="1" x="6783"/>
        <item m="1" x="2872"/>
        <item m="1" x="6905"/>
        <item m="1" x="2994"/>
        <item m="1" x="7023"/>
        <item m="1" x="3117"/>
        <item m="1" x="7150"/>
        <item m="1" x="3240"/>
        <item m="1" x="1049"/>
        <item m="1" x="5072"/>
        <item m="1" x="1169"/>
        <item m="1" x="5192"/>
        <item m="1" x="1288"/>
        <item m="1" x="5316"/>
        <item m="1" x="7334"/>
        <item m="1" x="1407"/>
        <item m="1" x="3428"/>
        <item m="1" x="5437"/>
        <item m="1" x="7454"/>
        <item m="1" x="1529"/>
        <item m="1" x="3548"/>
        <item m="1" x="5556"/>
        <item m="1" x="7576"/>
        <item m="1" x="1654"/>
        <item m="1" x="3672"/>
        <item m="1" x="5679"/>
        <item m="1" x="7701"/>
        <item m="1" x="1772"/>
        <item m="1" x="3795"/>
        <item m="1" x="5798"/>
        <item m="1" x="7823"/>
        <item m="1" x="1889"/>
        <item m="1" x="3923"/>
        <item m="1" x="5920"/>
        <item m="1" x="7945"/>
        <item m="1" x="2013"/>
        <item m="1" x="4048"/>
        <item m="1" x="6042"/>
        <item m="1" x="140"/>
        <item m="1" x="2135"/>
        <item m="1" x="4166"/>
        <item m="1" x="6164"/>
        <item m="1" x="260"/>
        <item m="1" x="2253"/>
        <item m="1" x="4288"/>
        <item m="1" x="6285"/>
        <item m="1" x="382"/>
        <item m="1" x="2377"/>
        <item m="1" x="4413"/>
        <item m="1" x="6408"/>
        <item m="1" x="504"/>
        <item m="1" x="2503"/>
        <item m="1" x="4534"/>
        <item m="1" x="6530"/>
        <item m="1" x="624"/>
        <item m="1" x="2623"/>
        <item m="1" x="4649"/>
        <item m="1" x="6655"/>
        <item m="1" x="742"/>
        <item m="1" x="2744"/>
        <item m="1" x="4772"/>
        <item m="1" x="6779"/>
        <item m="1" x="865"/>
        <item m="1" x="6595"/>
        <item m="1" x="682"/>
        <item m="1" x="2687"/>
        <item m="1" x="4707"/>
        <item m="1" x="6721"/>
        <item m="1" x="800"/>
        <item m="1" x="2808"/>
        <item m="1" x="4828"/>
        <item m="1" x="6842"/>
        <item m="1" x="923"/>
        <item m="1" x="2930"/>
        <item m="1" x="4948"/>
        <item m="1" x="6960"/>
        <item m="1" x="1044"/>
        <item m="1" x="3052"/>
        <item m="1" x="5067"/>
        <item m="1" x="7083"/>
        <item m="1" x="1164"/>
        <item m="1" x="3173"/>
        <item m="1" x="5188"/>
        <item m="1" x="7208"/>
        <item m="1" x="1284"/>
        <item m="1" x="3300"/>
        <item m="1" x="5312"/>
        <item m="1" x="7330"/>
        <item m="1" x="1403"/>
        <item m="1" x="3423"/>
        <item m="1" x="5431"/>
        <item m="1" x="7449"/>
        <item m="1" x="1524"/>
        <item m="1" x="3544"/>
        <item m="1" x="5552"/>
        <item m="1" x="7572"/>
        <item m="1" x="1650"/>
        <item m="1" x="3666"/>
        <item m="1" x="5674"/>
        <item m="1" x="7696"/>
        <item m="1" x="1768"/>
        <item m="1" x="3790"/>
        <item m="1" x="5794"/>
        <item m="1" x="7818"/>
        <item m="1" x="1885"/>
        <item m="1" x="3918"/>
        <item m="1" x="5916"/>
        <item m="1" x="7940"/>
        <item m="1" x="2009"/>
        <item m="1" x="4043"/>
        <item m="1" x="6038"/>
        <item m="1" x="135"/>
        <item m="1" x="2131"/>
        <item m="1" x="4161"/>
        <item m="1" x="6160"/>
        <item m="1" x="254"/>
        <item m="1" x="2249"/>
        <item m="1" x="4283"/>
        <item m="1" x="6281"/>
        <item m="1" x="377"/>
        <item m="1" x="2372"/>
        <item m="1" x="4408"/>
        <item m="1" x="6404"/>
        <item m="1" x="499"/>
        <item m="1" x="4221"/>
        <item m="1" x="6226"/>
        <item m="1" x="316"/>
        <item m="1" x="2315"/>
        <item m="1" x="4344"/>
        <item m="1" x="6346"/>
        <item m="1" x="435"/>
        <item m="1" x="2436"/>
        <item m="1" x="4467"/>
        <item m="1" x="6468"/>
        <item m="1" x="557"/>
        <item m="1" x="2561"/>
        <item m="1" x="4585"/>
        <item m="1" x="6589"/>
        <item m="1" x="677"/>
        <item m="1" x="2682"/>
        <item m="1" x="4702"/>
        <item m="1" x="6715"/>
        <item m="1" x="795"/>
        <item m="1" x="2804"/>
        <item m="1" x="4824"/>
        <item m="1" x="6837"/>
        <item m="1" x="918"/>
        <item m="1" x="2926"/>
        <item m="1" x="4944"/>
        <item m="1" x="6956"/>
        <item m="1" x="1039"/>
        <item m="1" x="3047"/>
        <item m="1" x="5062"/>
        <item m="1" x="7078"/>
        <item m="1" x="1159"/>
        <item m="1" x="3169"/>
        <item m="1" x="5184"/>
        <item m="1" x="7204"/>
        <item m="1" x="1280"/>
        <item m="1" x="3294"/>
        <item m="1" x="5308"/>
        <item m="1" x="7325"/>
        <item m="1" x="1398"/>
        <item m="1" x="3417"/>
        <item m="1" x="5427"/>
        <item m="1" x="7444"/>
        <item m="1" x="1520"/>
        <item m="1" x="3539"/>
        <item m="1" x="5548"/>
        <item m="1" x="7567"/>
        <item m="1" x="1646"/>
        <item m="1" x="3661"/>
        <item m="1" x="5670"/>
        <item m="1" x="7691"/>
        <item m="1" x="1764"/>
        <item m="1" x="3785"/>
        <item m="1" x="5789"/>
        <item m="1" x="7813"/>
        <item m="1" x="1881"/>
        <item m="1" x="3913"/>
        <item m="1" x="5911"/>
        <item m="1" x="7935"/>
        <item m="1" x="2005"/>
        <item m="1" x="4038"/>
        <item m="1" x="6033"/>
        <item m="1" x="3849"/>
        <item m="1" x="5855"/>
        <item m="1" x="7873"/>
        <item m="1" x="1948"/>
        <item m="1" x="3975"/>
        <item m="1" x="5976"/>
        <item m="1" x="7996"/>
        <item m="1" x="2070"/>
        <item m="1" x="4098"/>
        <item m="1" x="6099"/>
        <item m="1" x="191"/>
        <item m="1" x="2191"/>
        <item m="1" x="4217"/>
        <item m="1" x="6222"/>
        <item m="1" x="312"/>
        <item m="1" x="2310"/>
        <item m="1" x="4339"/>
        <item m="1" x="6341"/>
        <item m="1" x="432"/>
        <item m="1" x="2433"/>
        <item m="1" x="4464"/>
        <item m="1" x="6465"/>
        <item m="1" x="554"/>
        <item m="1" x="2558"/>
        <item m="1" x="4582"/>
        <item m="1" x="6586"/>
        <item m="1" x="673"/>
        <item m="1" x="2678"/>
        <item m="1" x="4698"/>
        <item m="1" x="6711"/>
        <item m="1" x="791"/>
        <item m="1" x="2800"/>
        <item m="1" x="4819"/>
        <item m="1" x="6833"/>
        <item m="1" x="913"/>
        <item m="1" x="2921"/>
        <item m="1" x="4940"/>
        <item m="1" x="6952"/>
        <item m="1" x="1035"/>
        <item m="1" x="5058"/>
        <item m="1" x="7073"/>
        <item m="1" x="1155"/>
        <item m="1" x="3164"/>
        <item m="1" x="5180"/>
        <item m="1" x="7199"/>
        <item m="1" x="1276"/>
        <item m="1" x="3289"/>
        <item m="1" x="5304"/>
        <item m="1" x="7319"/>
        <item m="1" x="1394"/>
        <item m="1" x="3412"/>
        <item m="1" x="5422"/>
        <item m="1" x="7439"/>
        <item m="1" x="1516"/>
        <item m="1" x="3534"/>
        <item m="1" x="5544"/>
        <item m="1" x="7562"/>
        <item m="1" x="1641"/>
        <item m="1" x="3656"/>
        <item m="1" x="5666"/>
        <item m="1" x="1461"/>
        <item m="1" x="3476"/>
        <item m="1" x="5490"/>
        <item m="1" x="7503"/>
        <item m="1" x="1585"/>
        <item m="1" x="3598"/>
        <item m="1" x="5611"/>
        <item m="1" x="7627"/>
        <item m="1" x="1707"/>
        <item m="1" x="3722"/>
        <item m="1" x="5730"/>
        <item m="1" x="7748"/>
        <item m="1" x="1822"/>
        <item m="1" x="3845"/>
        <item m="1" x="5851"/>
        <item m="1" x="7869"/>
        <item m="1" x="1944"/>
        <item m="1" x="3971"/>
        <item m="1" x="5972"/>
        <item m="1" x="7993"/>
        <item m="1" x="2067"/>
        <item m="1" x="4095"/>
        <item m="1" x="6096"/>
        <item m="1" x="188"/>
        <item m="1" x="2188"/>
        <item m="1" x="4214"/>
        <item m="1" x="6218"/>
        <item m="1" x="307"/>
        <item m="1" x="2305"/>
        <item m="1" x="4335"/>
        <item m="1" x="6337"/>
        <item m="1" x="428"/>
        <item m="1" x="2429"/>
        <item m="1" x="4460"/>
        <item m="1" x="6459"/>
        <item m="1" x="549"/>
        <item m="1" x="2553"/>
        <item m="1" x="4578"/>
        <item m="1" x="6581"/>
        <item m="1" x="669"/>
        <item m="1" x="2673"/>
        <item m="1" x="4694"/>
        <item m="1" x="6706"/>
        <item m="1" x="787"/>
        <item m="1" x="2795"/>
        <item m="1" x="4815"/>
        <item m="1" x="6828"/>
        <item m="1" x="909"/>
        <item m="1" x="2916"/>
        <item m="1" x="4936"/>
        <item m="1" x="6947"/>
        <item m="1" x="1031"/>
        <item m="1" x="3037"/>
        <item m="1" x="5054"/>
        <item m="1" x="7068"/>
        <item m="1" x="1151"/>
        <item m="1" x="3159"/>
        <item m="1" x="5175"/>
        <item m="1" x="7194"/>
        <item m="1" x="1272"/>
        <item m="1" x="3283"/>
        <item m="1" x="7009"/>
        <item m="1" x="1098"/>
        <item m="1" x="3102"/>
        <item m="1" x="5121"/>
        <item m="1" x="7133"/>
        <item m="1" x="1217"/>
        <item m="1" x="3222"/>
        <item m="1" x="5240"/>
        <item m="1" x="7256"/>
        <item m="1" x="1336"/>
        <item m="1" x="3347"/>
        <item m="1" x="5363"/>
        <item m="1" x="7377"/>
        <item m="1" x="1455"/>
        <item m="1" x="3471"/>
        <item m="1" x="5485"/>
        <item m="1" x="7498"/>
        <item m="1" x="1579"/>
        <item m="1" x="3593"/>
        <item m="1" x="5607"/>
        <item m="1" x="7623"/>
        <item m="1" x="1702"/>
        <item m="1" x="3717"/>
        <item m="1" x="5727"/>
        <item m="1" x="7744"/>
        <item m="1" x="1818"/>
        <item m="1" x="3840"/>
        <item m="1" x="5846"/>
        <item m="1" x="7864"/>
        <item m="1" x="1939"/>
        <item m="1" x="3966"/>
        <item m="1" x="5967"/>
        <item m="1" x="7988"/>
        <item m="1" x="2062"/>
        <item m="1" x="4090"/>
        <item m="1" x="6089"/>
        <item m="1" x="183"/>
        <item m="1" x="2182"/>
        <item m="1" x="4208"/>
        <item m="1" x="6211"/>
        <item m="1" x="302"/>
        <item m="1" x="2299"/>
        <item m="1" x="4330"/>
        <item m="1" x="6331"/>
        <item m="1" x="423"/>
        <item m="1" x="2423"/>
        <item m="1" x="4456"/>
        <item m="1" x="6453"/>
        <item m="1" x="544"/>
        <item m="1" x="2547"/>
        <item m="1" x="4573"/>
        <item m="1" x="6575"/>
        <item m="1" x="664"/>
        <item m="1" x="2668"/>
        <item m="1" x="4690"/>
        <item m="1" x="6701"/>
        <item m="1" x="782"/>
        <item m="1" x="2790"/>
        <item m="1" x="4811"/>
        <item m="1" x="6823"/>
        <item m="1" x="904"/>
        <item m="1" x="6639"/>
        <item m="1" x="725"/>
        <item m="1" x="2728"/>
        <item m="1" x="4754"/>
        <item m="1" x="6762"/>
        <item m="1" x="846"/>
        <item m="1" x="2851"/>
        <item m="1" x="4874"/>
        <item m="1" x="6884"/>
        <item m="1" x="970"/>
        <item m="1" x="2974"/>
        <item m="1" x="4997"/>
        <item m="1" x="7004"/>
        <item m="1" x="1093"/>
        <item m="1" x="3097"/>
        <item m="1" x="5115"/>
        <item m="1" x="7127"/>
        <item m="1" x="1212"/>
        <item m="1" x="3218"/>
        <item m="1" x="5236"/>
        <item m="1" x="7252"/>
        <item m="1" x="1332"/>
        <item m="1" x="3343"/>
        <item m="1" x="5359"/>
        <item m="1" x="7373"/>
        <item m="1" x="1451"/>
        <item m="1" x="3466"/>
        <item m="1" x="5480"/>
        <item m="1" x="7493"/>
        <item m="1" x="1574"/>
        <item m="1" x="3588"/>
        <item m="1" x="5602"/>
        <item m="1" x="7617"/>
        <item m="1" x="1697"/>
        <item m="1" x="3711"/>
        <item m="1" x="5721"/>
        <item m="1" x="7739"/>
        <item m="1" x="1812"/>
        <item m="1" x="3835"/>
        <item m="1" x="5840"/>
        <item m="1" x="7859"/>
        <item m="1" x="1933"/>
        <item m="1" x="3961"/>
        <item m="1" x="5961"/>
        <item m="1" x="7983"/>
        <item m="1" x="2056"/>
        <item m="1" x="4085"/>
        <item m="1" x="6084"/>
        <item m="1" x="178"/>
        <item m="1" x="2175"/>
        <item m="1" x="4203"/>
        <item m="1" x="6205"/>
        <item m="1" x="297"/>
        <item m="1" x="2294"/>
        <item m="1" x="4326"/>
        <item m="1" x="6326"/>
        <item m="1" x="419"/>
        <item m="1" x="2418"/>
        <item m="1" x="4451"/>
        <item m="1" x="6448"/>
        <item m="1" x="540"/>
        <item m="1" x="4266"/>
        <item m="1" x="6266"/>
        <item m="1" x="360"/>
        <item m="1" x="2356"/>
        <item m="1" x="4389"/>
        <item m="1" x="6388"/>
        <item m="1" x="481"/>
        <item m="1" x="2480"/>
        <item m="1" x="4513"/>
        <item m="1" x="6511"/>
        <item m="1" x="603"/>
        <item m="1" x="2603"/>
        <item m="1" x="4629"/>
        <item m="1" x="6635"/>
        <item m="1" x="721"/>
        <item m="1" x="2724"/>
        <item m="1" x="4750"/>
        <item m="1" x="6759"/>
        <item m="1" x="842"/>
        <item m="1" x="2848"/>
        <item m="1" x="4871"/>
        <item m="1" x="6881"/>
        <item m="1" x="967"/>
        <item m="1" x="2971"/>
        <item m="1" x="4994"/>
        <item m="1" x="7001"/>
        <item m="1" x="1089"/>
        <item m="1" x="3092"/>
        <item m="1" x="5110"/>
        <item m="1" x="7123"/>
        <item m="1" x="1208"/>
        <item m="1" x="3214"/>
        <item m="1" x="5232"/>
        <item m="1" x="7248"/>
        <item m="1" x="1327"/>
        <item m="1" x="3338"/>
        <item m="1" x="5354"/>
        <item m="1" x="7369"/>
        <item m="1" x="1446"/>
        <item m="1" x="3463"/>
        <item m="1" x="5475"/>
        <item m="1" x="7489"/>
        <item m="1" x="1569"/>
        <item m="1" x="3584"/>
        <item m="1" x="5597"/>
        <item m="1" x="7613"/>
        <item m="1" x="1692"/>
        <item m="1" x="3707"/>
        <item m="1" x="5716"/>
        <item m="1" x="7735"/>
        <item m="1" x="1807"/>
        <item m="1" x="3831"/>
        <item m="1" x="5835"/>
        <item m="1" x="7856"/>
        <item m="1" x="1929"/>
        <item m="1" x="3958"/>
        <item m="1" x="5957"/>
        <item m="1" x="7979"/>
        <item m="1" x="2052"/>
        <item m="1" x="4082"/>
        <item m="1" x="6079"/>
        <item m="1" x="1866"/>
        <item m="1" x="3896"/>
        <item m="1" x="5896"/>
        <item m="1" x="7917"/>
        <item m="1" x="1988"/>
        <item m="1" x="4019"/>
        <item m="1" x="6015"/>
        <item m="1" x="111"/>
        <item m="1" x="2110"/>
        <item m="1" x="4140"/>
        <item m="1" x="6139"/>
        <item m="1" x="234"/>
        <item m="1" x="2231"/>
        <item m="1" x="4261"/>
        <item m="1" x="6262"/>
        <item m="1" x="356"/>
        <item m="1" x="2352"/>
        <item m="1" x="4385"/>
        <item m="1" x="6385"/>
        <item m="1" x="478"/>
        <item m="1" x="2477"/>
        <item m="1" x="4509"/>
        <item m="1" x="6507"/>
        <item m="1" x="600"/>
        <item m="1" x="2600"/>
        <item m="1" x="4626"/>
        <item m="1" x="6631"/>
        <item m="1" x="717"/>
        <item m="1" x="2720"/>
        <item m="1" x="4746"/>
        <item m="1" x="6755"/>
        <item m="1" x="838"/>
        <item m="1" x="2844"/>
        <item m="1" x="4867"/>
        <item m="1" x="6877"/>
        <item m="1" x="962"/>
        <item m="1" x="2967"/>
        <item m="1" x="4989"/>
        <item m="1" x="6996"/>
        <item m="1" x="1082"/>
        <item m="1" x="3088"/>
        <item m="1" x="5105"/>
        <item m="1" x="7119"/>
        <item m="1" x="1203"/>
        <item m="1" x="3210"/>
        <item m="1" x="5227"/>
        <item m="1" x="7244"/>
        <item m="1" x="1322"/>
        <item m="1" x="3334"/>
        <item m="1" x="5349"/>
        <item m="1" x="7365"/>
        <item m="1" x="1441"/>
        <item m="1" x="3458"/>
        <item m="1" x="5470"/>
        <item m="1" x="7486"/>
        <item m="1" x="1565"/>
        <item m="1" x="3581"/>
        <item m="1" x="5593"/>
        <item m="1" x="7610"/>
        <item m="1" x="1688"/>
        <item m="1" x="3703"/>
        <item m="1" x="1500"/>
        <item m="1" x="3517"/>
        <item m="1" x="5527"/>
        <item m="1" x="7545"/>
        <item m="1" x="1623"/>
        <item m="1" x="3638"/>
        <item m="1" x="5649"/>
        <item m="1" x="7668"/>
        <item m="1" x="1744"/>
        <item m="1" x="3764"/>
        <item m="1" x="5770"/>
        <item m="1" x="7793"/>
        <item m="1" x="1862"/>
        <item m="1" x="3892"/>
        <item m="1" x="5892"/>
        <item m="1" x="7912"/>
        <item m="1" x="1983"/>
        <item m="1" x="4015"/>
        <item m="1" x="6012"/>
        <item m="1" x="108"/>
        <item m="1" x="2107"/>
        <item m="1" x="4137"/>
        <item m="1" x="6136"/>
        <item m="1" x="231"/>
        <item m="1" x="2228"/>
        <item m="1" x="4258"/>
        <item m="1" x="6258"/>
        <item m="1" x="352"/>
        <item m="1" x="2348"/>
        <item m="1" x="4381"/>
        <item m="1" x="6381"/>
        <item m="1" x="474"/>
        <item m="1" x="2472"/>
        <item m="1" x="4505"/>
        <item m="1" x="6503"/>
        <item m="1" x="595"/>
        <item m="1" x="2596"/>
        <item m="1" x="4621"/>
        <item m="1" x="6627"/>
        <item m="1" x="712"/>
        <item m="1" x="2716"/>
        <item m="1" x="4741"/>
        <item m="1" x="6751"/>
        <item m="1" x="833"/>
        <item m="1" x="2840"/>
        <item m="1" x="4862"/>
        <item m="1" x="6873"/>
        <item m="1" x="956"/>
        <item m="1" x="2962"/>
        <item m="1" x="4982"/>
        <item m="1" x="6991"/>
        <item m="1" x="1076"/>
        <item m="1" x="3083"/>
        <item m="1" x="5100"/>
        <item m="1" x="7115"/>
        <item m="1" x="1198"/>
        <item m="1" x="3206"/>
        <item m="1" x="5222"/>
        <item m="1" x="7239"/>
        <item m="1" x="1317"/>
        <item m="1" x="3330"/>
        <item m="1" x="7050"/>
        <item m="1" x="1137"/>
        <item m="1" x="3142"/>
        <item m="1" x="5159"/>
        <item m="1" x="7175"/>
        <item m="1" x="1255"/>
        <item m="1" x="3265"/>
        <item m="1" x="5281"/>
        <item m="1" x="7297"/>
        <item m="1" x="1375"/>
        <item m="1" x="3391"/>
        <item m="1" x="5402"/>
        <item m="1" x="7418"/>
        <item m="1" x="1496"/>
        <item m="1" x="3513"/>
        <item m="1" x="5523"/>
        <item m="1" x="7541"/>
        <item m="1" x="1619"/>
        <item m="1" x="3634"/>
        <item m="1" x="5646"/>
        <item m="1" x="7665"/>
        <item m="1" x="1741"/>
        <item m="1" x="3761"/>
        <item m="1" x="5767"/>
        <item m="1" x="7790"/>
        <item m="1" x="1859"/>
        <item m="1" x="3888"/>
        <item m="1" x="5887"/>
        <item m="1" x="7907"/>
        <item m="1" x="1979"/>
        <item m="1" x="4011"/>
        <item m="1" x="6008"/>
        <item m="1" x="104"/>
        <item m="1" x="2103"/>
        <item m="1" x="4133"/>
        <item m="1" x="6132"/>
        <item m="1" x="226"/>
        <item m="1" x="2224"/>
        <item m="1" x="4253"/>
        <item m="1" x="6254"/>
        <item m="1" x="347"/>
        <item m="1" x="2344"/>
        <item m="1" x="4376"/>
        <item m="1" x="6376"/>
        <item m="1" x="469"/>
        <item m="1" x="2468"/>
        <item m="1" x="4500"/>
        <item m="1" x="6499"/>
        <item m="1" x="589"/>
        <item m="1" x="2591"/>
        <item m="1" x="4615"/>
        <item m="1" x="6622"/>
        <item m="1" x="707"/>
        <item m="1" x="2712"/>
        <item m="1" x="4736"/>
        <item m="1" x="6747"/>
        <item m="1" x="828"/>
        <item m="1" x="2835"/>
        <item m="1" x="4857"/>
        <item m="1" x="6869"/>
        <item m="1" x="950"/>
        <item m="1" x="4673"/>
        <item m="1" x="6683"/>
        <item m="1" x="766"/>
        <item m="1" x="2771"/>
        <item m="1" x="4794"/>
        <item m="1" x="6804"/>
        <item m="1" x="886"/>
        <item m="1" x="2892"/>
        <item m="1" x="4915"/>
        <item m="1" x="6926"/>
        <item m="1" x="1010"/>
        <item m="1" x="3017"/>
        <item m="1" x="5036"/>
        <item m="1" x="7045"/>
        <item m="1" x="1133"/>
        <item m="1" x="3138"/>
        <item m="1" x="5155"/>
        <item m="1" x="7171"/>
        <item m="1" x="1252"/>
        <item m="1" x="3262"/>
        <item m="1" x="5278"/>
        <item m="1" x="7293"/>
        <item m="1" x="1371"/>
        <item m="1" x="3388"/>
        <item m="1" x="5399"/>
        <item m="1" x="7415"/>
        <item m="1" x="1492"/>
        <item m="1" x="3509"/>
        <item m="1" x="5519"/>
        <item m="1" x="7537"/>
        <item m="1" x="1615"/>
        <item m="1" x="3630"/>
        <item m="1" x="5642"/>
        <item m="1" x="7661"/>
        <item m="1" x="1737"/>
        <item m="1" x="3756"/>
        <item m="1" x="5763"/>
        <item m="1" x="7785"/>
        <item m="1" x="1854"/>
        <item m="1" x="3881"/>
        <item m="1" x="5883"/>
        <item m="1" x="7903"/>
        <item m="1" x="1976"/>
        <item m="1" x="4007"/>
        <item m="1" x="6005"/>
        <item m="1" x="100"/>
        <item m="1" x="2100"/>
        <item m="1" x="4129"/>
        <item m="1" x="6128"/>
        <item m="1" x="221"/>
        <item m="1" x="2220"/>
        <item m="1" x="4248"/>
        <item m="1" x="6250"/>
        <item m="1" x="343"/>
        <item m="1" x="2341"/>
        <item m="1" x="4372"/>
        <item m="1" x="6373"/>
        <item m="1" x="465"/>
        <item m="1" x="2465"/>
        <item m="1" x="4496"/>
        <item m="1" x="6495"/>
        <item m="1" x="4308"/>
        <item m="1" x="6307"/>
        <item m="1" x="400"/>
        <item m="1" x="2398"/>
        <item m="1" x="4432"/>
        <item m="1" x="6429"/>
        <item m="1" x="522"/>
        <item m="1" x="2523"/>
        <item m="1" x="4552"/>
        <item m="1" x="6553"/>
        <item m="1" x="644"/>
        <item m="1" x="2647"/>
        <item m="1" x="4669"/>
        <item m="1" x="6679"/>
        <item m="1" x="762"/>
        <item m="1" x="2766"/>
        <item m="1" x="4789"/>
        <item m="1" x="6800"/>
        <item m="1" x="883"/>
        <item m="1" x="2889"/>
        <item m="1" x="4912"/>
        <item m="1" x="6922"/>
        <item m="1" x="1006"/>
        <item m="1" x="3014"/>
        <item m="1" x="5033"/>
        <item m="1" x="7042"/>
        <item m="1" x="1129"/>
        <item m="1" x="3134"/>
        <item m="1" x="5151"/>
        <item m="1" x="7167"/>
        <item m="1" x="1248"/>
        <item m="1" x="3258"/>
        <item m="1" x="5273"/>
        <item m="1" x="7289"/>
        <item m="1" x="1367"/>
        <item m="1" x="3383"/>
        <item m="1" x="5395"/>
        <item m="1" x="7410"/>
        <item m="1" x="1488"/>
        <item m="1" x="3504"/>
        <item m="1" x="5516"/>
        <item m="1" x="7533"/>
        <item m="1" x="1612"/>
        <item m="1" x="3626"/>
        <item m="1" x="5639"/>
        <item m="1" x="7657"/>
        <item m="1" x="1734"/>
        <item m="1" x="3752"/>
        <item m="1" x="5759"/>
        <item m="1" x="7779"/>
        <item m="1" x="1850"/>
        <item m="1" x="3876"/>
        <item m="1" x="5880"/>
        <item m="1" x="7899"/>
        <item m="1" x="1973"/>
        <item m="1" x="4003"/>
        <item m="1" x="6002"/>
        <item m="1" x="96"/>
        <item m="1" x="2096"/>
        <item m="1" x="4125"/>
        <item m="1" x="6125"/>
        <item m="1" x="1908"/>
        <item m="1" x="3940"/>
        <item m="1" x="5937"/>
        <item m="1" x="7960"/>
        <item m="1" x="2031"/>
        <item m="1" x="6059"/>
        <item m="1" x="154"/>
        <item m="1" x="2152"/>
        <item m="1" x="4183"/>
        <item m="1" x="6183"/>
        <item m="1" x="275"/>
        <item m="1" x="2271"/>
        <item m="1" x="4304"/>
        <item m="1" x="6303"/>
        <item m="1" x="396"/>
        <item m="1" x="2394"/>
        <item m="1" x="4428"/>
        <item m="1" x="6425"/>
        <item m="1" x="519"/>
        <item m="1" x="2520"/>
        <item m="1" x="4549"/>
        <item m="1" x="6549"/>
        <item m="1" x="641"/>
        <item m="1" x="2644"/>
        <item m="1" x="4666"/>
        <item m="1" x="6675"/>
        <item m="1" x="757"/>
        <item m="1" x="2761"/>
        <item m="1" x="4785"/>
        <item m="1" x="6796"/>
        <item m="1" x="879"/>
        <item m="1" x="2885"/>
        <item m="1" x="4908"/>
        <item m="1" x="6918"/>
        <item m="1" x="1002"/>
        <item m="1" x="3009"/>
        <item m="1" x="5029"/>
        <item m="1" x="7037"/>
        <item m="1" x="1125"/>
        <item m="1" x="3130"/>
        <item m="1" x="5148"/>
        <item m="1" x="7163"/>
        <item m="1" x="1244"/>
        <item m="1" x="3254"/>
        <item m="1" x="5270"/>
        <item m="1" x="7285"/>
        <item m="1" x="1364"/>
        <item m="1" x="3378"/>
        <item m="1" x="5391"/>
        <item m="1" x="7405"/>
        <item m="1" x="1484"/>
        <item m="1" x="3500"/>
        <item m="1" x="5513"/>
        <item m="1" x="7529"/>
        <item m="1" x="1609"/>
        <item m="1" x="3622"/>
        <item m="1" x="5635"/>
        <item m="1" x="7653"/>
        <item m="1" x="1731"/>
        <item m="1" x="3747"/>
        <item m="1" x="1544"/>
        <item m="1" x="3562"/>
        <item m="1" x="5571"/>
        <item m="1" x="7589"/>
        <item m="1" x="1667"/>
        <item m="1" x="3683"/>
        <item m="1" x="5691"/>
        <item m="1" x="7712"/>
        <item m="1" x="1784"/>
        <item m="1" x="3808"/>
        <item m="1" x="5812"/>
        <item m="1" x="7835"/>
        <item m="1" x="1903"/>
        <item m="1" x="3936"/>
        <item m="1" x="5933"/>
        <item m="1" x="7956"/>
        <item m="1" x="2027"/>
        <item m="1" x="4060"/>
        <item m="1" x="6056"/>
        <item m="1" x="152"/>
        <item m="1" x="2148"/>
        <item m="1" x="4178"/>
        <item m="1" x="6180"/>
        <item m="1" x="272"/>
        <item m="1" x="2268"/>
        <item m="1" x="4301"/>
        <item m="1" x="6299"/>
        <item m="1" x="392"/>
        <item m="1" x="2390"/>
        <item m="1" x="4424"/>
        <item m="1" x="6421"/>
        <item m="1" x="515"/>
        <item m="1" x="2516"/>
        <item m="1" x="4545"/>
        <item m="1" x="6544"/>
        <item m="1" x="637"/>
        <item m="1" x="2639"/>
        <item m="1" x="4661"/>
        <item m="1" x="6669"/>
        <item m="1" x="753"/>
        <item m="1" x="2757"/>
        <item m="1" x="4782"/>
        <item m="1" x="6792"/>
        <item m="1" x="876"/>
        <item m="1" x="2881"/>
        <item m="1" x="4905"/>
        <item m="1" x="6914"/>
        <item m="1" x="998"/>
        <item m="1" x="3004"/>
        <item m="1" x="5025"/>
        <item m="1" x="7032"/>
        <item m="1" x="1121"/>
        <item m="1" x="3126"/>
        <item m="1" x="5145"/>
        <item m="1" x="7159"/>
        <item m="1" x="1241"/>
        <item m="1" x="3250"/>
        <item m="1" x="5267"/>
        <item m="1" x="7281"/>
        <item m="1" x="1360"/>
        <item m="1" x="3373"/>
        <item m="1" x="7094"/>
        <item m="1" x="1177"/>
        <item m="1" x="3185"/>
        <item m="1" x="5200"/>
        <item m="1" x="7219"/>
        <item m="1" x="1297"/>
        <item m="1" x="3311"/>
        <item m="1" x="5324"/>
        <item m="1" x="7342"/>
        <item m="1" x="1417"/>
        <item m="1" x="3436"/>
        <item m="1" x="5446"/>
        <item m="1" x="7463"/>
        <item m="1" x="1540"/>
        <item m="1" x="3558"/>
        <item m="1" x="5566"/>
        <item m="1" x="7584"/>
        <item m="1" x="1663"/>
        <item m="1" x="3680"/>
        <item m="1" x="5688"/>
        <item m="1" x="7709"/>
        <item m="1" x="1781"/>
        <item m="1" x="3804"/>
        <item m="1" x="5809"/>
        <item m="1" x="7832"/>
        <item m="1" x="1900"/>
        <item m="1" x="3932"/>
        <item m="1" x="5929"/>
        <item m="1" x="7952"/>
        <item m="1" x="2023"/>
        <item m="1" x="4056"/>
        <item m="1" x="6052"/>
        <item m="1" x="147"/>
        <item m="1" x="2144"/>
        <item m="1" x="4174"/>
        <item m="1" x="6175"/>
        <item m="1" x="268"/>
        <item m="1" x="2263"/>
        <item m="1" x="4297"/>
        <item m="1" x="6294"/>
        <item m="1" x="389"/>
        <item m="1" x="2386"/>
        <item m="1" x="4421"/>
        <item m="1" x="6417"/>
        <item m="1" x="513"/>
        <item m="1" x="2512"/>
        <item m="1" x="4542"/>
        <item m="1" x="6540"/>
        <item m="1" x="633"/>
        <item m="1" x="2633"/>
        <item m="1" x="4657"/>
        <item m="1" x="6664"/>
        <item m="1" x="750"/>
        <item m="1" x="2753"/>
        <item m="1" x="4780"/>
        <item m="1" x="6788"/>
        <item m="1" x="873"/>
        <item m="1" x="2877"/>
        <item m="1" x="4901"/>
        <item m="1" x="6910"/>
        <item m="1" x="995"/>
        <item m="1" x="4715"/>
        <item m="1" x="6729"/>
        <item m="1" x="808"/>
        <item m="1" x="2816"/>
        <item m="1" x="4836"/>
        <item m="1" x="6850"/>
        <item m="1" x="931"/>
        <item m="1" x="2939"/>
        <item m="1" x="4958"/>
        <item m="1" x="6970"/>
        <item m="1" x="1053"/>
        <item m="1" x="3060"/>
        <item m="1" x="5076"/>
        <item m="1" x="7091"/>
        <item m="1" x="1174"/>
        <item m="1" x="3182"/>
        <item m="1" x="5197"/>
        <item m="1" x="7216"/>
        <item m="1" x="1293"/>
        <item m="1" x="3308"/>
        <item m="1" x="5321"/>
        <item m="1" x="7339"/>
        <item m="1" x="1413"/>
        <item m="1" x="3433"/>
        <item m="1" x="5443"/>
        <item m="1" x="7460"/>
        <item m="1" x="1536"/>
        <item m="1" x="3553"/>
        <item m="1" x="5561"/>
        <item m="1" x="7580"/>
        <item m="1" x="1659"/>
        <item m="1" x="3676"/>
        <item m="1" x="5684"/>
        <item m="1" x="7705"/>
        <item m="1" x="1777"/>
        <item m="1" x="3800"/>
        <item m="1" x="5804"/>
        <item m="1" x="7828"/>
        <item m="1" x="1895"/>
        <item m="1" x="3928"/>
        <item m="1" x="5925"/>
        <item m="1" x="7949"/>
        <item m="1" x="2019"/>
        <item m="1" x="4052"/>
        <item m="1" x="6048"/>
        <item m="1" x="144"/>
        <item m="1" x="2140"/>
        <item m="1" x="4171"/>
        <item m="1" x="6170"/>
        <item m="1" x="264"/>
        <item m="1" x="2258"/>
        <item m="1" x="4293"/>
        <item m="1" x="6290"/>
        <item m="1" x="386"/>
        <item m="1" x="2382"/>
        <item m="1" x="4418"/>
        <item m="1" x="6413"/>
        <item m="1" x="508"/>
        <item m="1" x="2508"/>
        <item m="1" x="4539"/>
        <item m="1" x="6535"/>
        <item m="1" x="4352"/>
        <item m="1" x="6355"/>
        <item m="1" x="445"/>
        <item m="1" x="2446"/>
        <item m="1" x="4476"/>
        <item m="1" x="6476"/>
        <item m="1" x="566"/>
        <item m="1" x="2569"/>
        <item m="1" x="4593"/>
        <item m="1" x="6600"/>
        <item m="1" x="686"/>
        <item m="1" x="2692"/>
        <item m="1" x="4711"/>
        <item m="1" x="6726"/>
        <item m="1" x="805"/>
        <item m="1" x="2813"/>
        <item m="1" x="4833"/>
        <item m="1" x="6847"/>
        <item m="1" x="928"/>
        <item m="1" x="2936"/>
        <item m="1" x="4954"/>
        <item m="1" x="6965"/>
        <item m="1" x="1050"/>
        <item m="1" x="3057"/>
        <item m="1" x="5073"/>
        <item m="1" x="7088"/>
        <item m="1" x="1170"/>
        <item m="1" x="3178"/>
        <item m="1" x="5193"/>
        <item m="1" x="7212"/>
        <item m="1" x="1289"/>
        <item m="1" x="3304"/>
        <item m="1" x="5317"/>
        <item m="1" x="7335"/>
        <item m="1" x="1408"/>
        <item m="1" x="3429"/>
        <item m="1" x="5438"/>
        <item m="1" x="7455"/>
        <item m="1" x="1530"/>
        <item m="1" x="3549"/>
        <item m="1" x="5557"/>
        <item m="1" x="7577"/>
        <item m="1" x="1655"/>
        <item m="1" x="3673"/>
        <item m="1" x="5680"/>
        <item m="1" x="7702"/>
        <item m="1" x="1773"/>
        <item m="1" x="3796"/>
        <item m="1" x="5799"/>
        <item m="1" x="7824"/>
        <item m="1" x="1890"/>
        <item m="1" x="3924"/>
        <item m="1" x="5921"/>
        <item m="1" x="7946"/>
        <item m="1" x="2014"/>
        <item m="1" x="4049"/>
        <item m="1" x="6043"/>
        <item m="1" x="141"/>
        <item m="1" x="2136"/>
        <item m="1" x="4167"/>
        <item m="1" x="6165"/>
        <item m="1" x="957"/>
        <item m="1" x="1954"/>
        <item m="1" x="2963"/>
        <item m="1" x="3983"/>
        <item m="1" x="4983"/>
        <item m="1" x="5983"/>
        <item m="1" x="6992"/>
        <item m="1" x="75"/>
        <item m="1" x="1077"/>
        <item m="1" x="2078"/>
        <item m="1" x="3084"/>
        <item m="1" x="4106"/>
        <item m="1" x="5101"/>
        <item m="1" x="6107"/>
        <item m="1" x="7116"/>
        <item m="1" x="198"/>
        <item m="1" x="1199"/>
        <item m="1" x="2198"/>
        <item m="1" x="3207"/>
        <item m="1" x="4226"/>
        <item m="1" x="5223"/>
        <item m="1" x="6230"/>
        <item m="1" x="7240"/>
        <item m="1" x="320"/>
        <item m="1" x="1318"/>
        <item m="1" x="2319"/>
        <item m="1" x="3331"/>
        <item m="1" x="4349"/>
        <item m="1" x="5345"/>
        <item m="1" x="6352"/>
        <item m="1" x="7361"/>
        <item m="1" x="441"/>
        <item m="1" x="1437"/>
        <item m="1" x="2442"/>
        <item m="1" x="3455"/>
        <item m="1" x="4472"/>
        <item m="1" x="5466"/>
        <item m="1" x="6473"/>
        <item m="1" x="7482"/>
        <item m="1" x="562"/>
        <item m="1" x="1561"/>
        <item m="1" x="2566"/>
        <item m="1" x="3578"/>
        <item m="1" x="4590"/>
        <item m="1" x="5588"/>
        <item m="1" x="6596"/>
        <item m="1" x="7606"/>
        <item m="1" x="683"/>
        <item m="1" x="1684"/>
        <item m="1" x="2688"/>
        <item m="1" x="3700"/>
        <item m="1" x="4708"/>
        <item m="1" x="5708"/>
        <item m="1" x="6722"/>
        <item m="1" x="7728"/>
        <item m="1" x="801"/>
        <item m="1" x="1799"/>
        <item m="1" x="2809"/>
        <item m="1" x="3824"/>
        <item m="1" x="4829"/>
        <item m="1" x="5827"/>
        <item m="1" x="6843"/>
        <item m="1" x="7849"/>
        <item m="1" x="924"/>
        <item m="1" x="1920"/>
        <item m="1" x="2931"/>
        <item m="1" x="3951"/>
        <item m="1" x="4949"/>
        <item m="1" x="5949"/>
        <item m="1" x="6961"/>
        <item m="1" x="7971"/>
        <item m="1" x="1045"/>
        <item m="1" x="2044"/>
        <item m="1" x="3053"/>
        <item m="1" x="4075"/>
        <item m="1" x="5068"/>
        <item m="1" x="6071"/>
        <item m="1" x="7084"/>
        <item m="1" x="166"/>
        <item m="1" x="1165"/>
        <item m="1" x="2162"/>
        <item m="1" x="3174"/>
        <item m="1" x="4194"/>
        <item m="1" x="5189"/>
        <item m="1" x="6194"/>
        <item m="1" x="7209"/>
        <item m="1" x="287"/>
        <item m="1" x="1285"/>
        <item m="1" x="2283"/>
        <item m="1" x="3301"/>
        <item m="1" x="4317"/>
        <item m="1" x="5313"/>
        <item m="1" x="6315"/>
        <item m="1" x="7331"/>
        <item m="1" x="408"/>
        <item m="1" x="1404"/>
        <item m="1" x="2405"/>
        <item m="1" x="3424"/>
        <item m="1" x="4441"/>
        <item m="1" x="5432"/>
        <item m="1" x="6436"/>
        <item m="1" x="7450"/>
        <item m="1" x="529"/>
        <item m="1" x="1525"/>
        <item m="1" x="2531"/>
        <item m="1" x="3545"/>
        <item m="1" x="4560"/>
        <item m="1" x="5553"/>
        <item m="1" x="6561"/>
        <item m="1" x="7573"/>
        <item m="1" x="651"/>
        <item m="1" x="1651"/>
        <item m="1" x="2654"/>
        <item m="1" x="3667"/>
        <item m="1" x="4677"/>
        <item m="1" x="5675"/>
        <item m="1" x="6687"/>
        <item m="1" x="7697"/>
        <item m="1" x="770"/>
        <item m="1" x="1769"/>
        <item m="1" x="2775"/>
        <item m="1" x="3791"/>
        <item m="1" x="4798"/>
        <item m="1" x="7509"/>
        <item m="1" x="590"/>
        <item m="1" x="1592"/>
        <item m="1" x="2592"/>
        <item m="1" x="3604"/>
        <item m="1" x="4616"/>
        <item m="1" x="5617"/>
        <item m="1" x="6623"/>
        <item m="1" x="7634"/>
        <item m="1" x="708"/>
        <item m="1" x="1713"/>
        <item m="1" x="2713"/>
        <item m="1" x="3728"/>
        <item m="1" x="4737"/>
        <item m="1" x="5737"/>
        <item m="1" x="6748"/>
        <item m="1" x="7756"/>
        <item m="1" x="829"/>
        <item m="1" x="1830"/>
        <item m="1" x="2836"/>
        <item m="1" x="3854"/>
        <item m="1" x="4858"/>
        <item m="1" x="5858"/>
        <item m="1" x="6870"/>
        <item m="1" x="7876"/>
        <item m="1" x="951"/>
        <item m="1" x="1951"/>
        <item m="1" x="2958"/>
        <item m="1" x="3979"/>
        <item m="1" x="4978"/>
        <item m="1" x="5980"/>
        <item m="1" x="6988"/>
        <item m="1" x="72"/>
        <item m="1" x="1072"/>
        <item m="1" x="2075"/>
        <item m="1" x="3079"/>
        <item m="1" x="4102"/>
        <item m="1" x="5096"/>
        <item m="1" x="6103"/>
        <item m="1" x="7112"/>
        <item m="1" x="195"/>
        <item m="1" x="1194"/>
        <item m="1" x="2195"/>
        <item m="1" x="3201"/>
        <item m="1" x="4222"/>
        <item m="1" x="5217"/>
        <item m="1" x="6227"/>
        <item m="1" x="7236"/>
        <item m="1" x="317"/>
        <item m="1" x="1313"/>
        <item m="1" x="2316"/>
        <item m="1" x="3326"/>
        <item m="1" x="4345"/>
        <item m="1" x="5340"/>
        <item m="1" x="6347"/>
        <item m="1" x="7357"/>
        <item m="1" x="436"/>
        <item m="1" x="1432"/>
        <item m="1" x="2437"/>
        <item m="1" x="3450"/>
        <item m="1" x="4468"/>
        <item m="1" x="5461"/>
        <item m="1" x="6469"/>
        <item m="1" x="7478"/>
        <item m="1" x="558"/>
        <item m="1" x="1556"/>
        <item m="1" x="2562"/>
        <item m="1" x="3573"/>
        <item m="1" x="4586"/>
        <item m="1" x="5582"/>
        <item m="1" x="6590"/>
        <item m="1" x="7602"/>
        <item m="1" x="678"/>
        <item m="1" x="1679"/>
        <item m="1" x="2683"/>
        <item m="1" x="3695"/>
        <item m="1" x="4703"/>
        <item m="1" x="5703"/>
        <item m="1" x="6716"/>
        <item m="1" x="7724"/>
        <item m="1" x="796"/>
        <item m="1" x="1795"/>
        <item m="1" x="2805"/>
        <item m="1" x="3820"/>
        <item m="1" x="4825"/>
        <item m="1" x="5822"/>
        <item m="1" x="6838"/>
        <item m="1" x="7846"/>
        <item m="1" x="919"/>
        <item m="1" x="1916"/>
        <item m="1" x="2927"/>
        <item m="1" x="3947"/>
        <item m="1" x="4945"/>
        <item m="1" x="5945"/>
        <item m="1" x="6957"/>
        <item m="1" x="7968"/>
        <item m="1" x="1040"/>
        <item m="1" x="2040"/>
        <item m="1" x="3048"/>
        <item m="1" x="4070"/>
        <item m="1" x="5063"/>
        <item m="1" x="6066"/>
        <item m="1" x="7079"/>
        <item m="1" x="162"/>
        <item m="1" x="1160"/>
        <item m="1" x="2159"/>
        <item m="1" x="3170"/>
        <item m="1" x="4190"/>
        <item m="1" x="5185"/>
        <item m="1" x="6191"/>
        <item m="1" x="7205"/>
        <item m="1" x="284"/>
        <item m="1" x="1281"/>
        <item m="1" x="2279"/>
        <item m="1" x="3295"/>
        <item m="1" x="4313"/>
        <item m="1" x="5309"/>
        <item m="1" x="6311"/>
        <item m="1" x="7326"/>
        <item m="1" x="404"/>
        <item m="1" x="1399"/>
        <item m="1" x="2402"/>
        <item m="1" x="6129"/>
        <item m="1" x="7140"/>
        <item m="1" x="222"/>
        <item m="1" x="1225"/>
        <item m="1" x="2221"/>
        <item m="1" x="3231"/>
        <item m="1" x="4249"/>
        <item m="1" x="5249"/>
        <item m="1" x="6251"/>
        <item m="1" x="7264"/>
        <item m="1" x="344"/>
        <item m="1" x="1343"/>
        <item m="1" x="2342"/>
        <item m="1" x="3355"/>
        <item m="1" x="4373"/>
        <item m="1" x="5370"/>
        <item m="1" x="6374"/>
        <item m="1" x="7384"/>
        <item m="1" x="466"/>
        <item m="1" x="1464"/>
        <item m="1" x="2466"/>
        <item m="1" x="3479"/>
        <item m="1" x="4497"/>
        <item m="1" x="5494"/>
        <item m="1" x="6496"/>
        <item m="1" x="7506"/>
        <item m="1" x="586"/>
        <item m="1" x="1589"/>
        <item m="1" x="2589"/>
        <item m="1" x="3602"/>
        <item m="1" x="4612"/>
        <item m="1" x="5615"/>
        <item m="1" x="6619"/>
        <item m="1" x="7631"/>
        <item m="1" x="704"/>
        <item m="1" x="1711"/>
        <item m="1" x="2710"/>
        <item m="1" x="3726"/>
        <item m="1" x="4733"/>
        <item m="1" x="5735"/>
        <item m="1" x="6744"/>
        <item m="1" x="7753"/>
        <item m="1" x="825"/>
        <item m="1" x="1826"/>
        <item m="1" x="2832"/>
        <item m="1" x="3850"/>
        <item m="1" x="4854"/>
        <item m="1" x="5856"/>
        <item m="1" x="6866"/>
        <item m="1" x="7874"/>
        <item m="1" x="947"/>
        <item m="1" x="1949"/>
        <item m="1" x="2955"/>
        <item m="1" x="3976"/>
        <item m="1" x="4974"/>
        <item m="1" x="5977"/>
        <item m="1" x="6984"/>
        <item m="1" x="7997"/>
        <item m="1" x="1068"/>
        <item m="1" x="2071"/>
        <item m="1" x="3076"/>
        <item m="1" x="4099"/>
        <item m="1" x="5092"/>
        <item m="1" x="6100"/>
        <item m="1" x="7108"/>
        <item m="1" x="192"/>
        <item m="1" x="1190"/>
        <item m="1" x="2192"/>
        <item m="1" x="3198"/>
        <item m="1" x="4218"/>
        <item m="1" x="5213"/>
        <item m="1" x="6223"/>
        <item m="1" x="7232"/>
        <item m="1" x="313"/>
        <item m="1" x="1308"/>
        <item m="1" x="2311"/>
        <item m="1" x="3323"/>
        <item m="1" x="4340"/>
        <item m="1" x="5336"/>
        <item m="1" x="6342"/>
        <item m="1" x="7354"/>
        <item m="1" x="433"/>
        <item m="1" x="1429"/>
        <item m="1" x="2434"/>
        <item m="1" x="3448"/>
        <item m="1" x="4465"/>
        <item m="1" x="5458"/>
        <item m="1" x="6466"/>
        <item m="1" x="7475"/>
        <item m="1" x="555"/>
        <item m="1" x="1552"/>
        <item m="1" x="2559"/>
        <item m="1" x="3571"/>
        <item m="1" x="4583"/>
        <item m="1" x="5579"/>
        <item m="1" x="6587"/>
        <item m="1" x="7598"/>
        <item m="1" x="674"/>
        <item m="1" x="1676"/>
        <item m="1" x="2679"/>
        <item m="1" x="3692"/>
        <item m="1" x="4699"/>
        <item m="1" x="5700"/>
        <item m="1" x="6712"/>
        <item m="1" x="7720"/>
        <item m="1" x="792"/>
        <item m="1" x="1791"/>
        <item m="1" x="2801"/>
        <item m="1" x="3816"/>
        <item m="1" x="4820"/>
        <item m="1" x="5819"/>
        <item m="1" x="6834"/>
        <item m="1" x="7842"/>
        <item m="1" x="914"/>
        <item m="1" x="1912"/>
        <item m="1" x="2922"/>
        <item m="1" x="3944"/>
        <item m="1" x="4941"/>
        <item m="1" x="5942"/>
        <item m="1" x="6953"/>
        <item m="1" x="7964"/>
        <item m="1" x="1036"/>
        <item m="1" x="4761"/>
        <item m="1" x="5760"/>
        <item m="1" x="6770"/>
        <item m="1" x="7780"/>
        <item m="1" x="854"/>
        <item m="1" x="1851"/>
        <item m="1" x="2859"/>
        <item m="1" x="3877"/>
        <item m="1" x="4883"/>
        <item m="1" x="5881"/>
        <item m="1" x="6893"/>
        <item m="1" x="7900"/>
        <item m="1" x="979"/>
        <item m="1" x="1974"/>
        <item m="1" x="2982"/>
        <item m="1" x="4004"/>
        <item m="1" x="5005"/>
        <item m="1" x="6003"/>
        <item m="1" x="7013"/>
        <item m="1" x="97"/>
        <item m="1" x="1102"/>
        <item m="1" x="2097"/>
        <item m="1" x="3106"/>
        <item m="1" x="4126"/>
        <item m="1" x="5125"/>
        <item m="1" x="6126"/>
        <item m="1" x="7138"/>
        <item m="1" x="218"/>
        <item m="1" x="1223"/>
        <item m="1" x="2217"/>
        <item m="1" x="3228"/>
        <item m="1" x="4245"/>
        <item m="1" x="5246"/>
        <item m="1" x="6248"/>
        <item m="1" x="7261"/>
        <item m="1" x="340"/>
        <item m="1" x="1341"/>
        <item m="1" x="2338"/>
        <item m="1" x="3352"/>
        <item m="1" x="4369"/>
        <item m="1" x="5368"/>
        <item m="1" x="6371"/>
        <item m="1" x="7382"/>
        <item m="1" x="462"/>
        <item m="1" x="1462"/>
        <item m="1" x="2462"/>
        <item m="1" x="3477"/>
        <item m="1" x="4493"/>
        <item m="1" x="5491"/>
        <item m="1" x="6493"/>
        <item m="1" x="7504"/>
        <item m="1" x="583"/>
        <item m="1" x="1586"/>
        <item m="1" x="2585"/>
        <item m="1" x="3599"/>
        <item m="1" x="4608"/>
        <item m="1" x="5612"/>
        <item m="1" x="6616"/>
        <item m="1" x="7628"/>
        <item m="1" x="701"/>
        <item m="1" x="1708"/>
        <item m="1" x="2706"/>
        <item m="1" x="3723"/>
        <item m="1" x="4728"/>
        <item m="1" x="5731"/>
        <item m="1" x="6741"/>
        <item m="1" x="7749"/>
        <item m="1" x="821"/>
        <item m="1" x="1823"/>
        <item m="1" x="2828"/>
        <item m="1" x="3846"/>
        <item m="1" x="4850"/>
        <item m="1" x="5852"/>
        <item m="1" x="6863"/>
        <item m="1" x="7870"/>
        <item m="1" x="943"/>
        <item m="1" x="1945"/>
        <item m="1" x="2951"/>
        <item m="1" x="3972"/>
        <item m="1" x="4969"/>
        <item m="1" x="5973"/>
        <item m="1" x="6982"/>
        <item m="1" x="7994"/>
        <item m="1" x="1065"/>
        <item m="1" x="2068"/>
        <item m="1" x="3073"/>
        <item m="1" x="4096"/>
        <item m="1" x="5089"/>
        <item m="1" x="6097"/>
        <item m="1" x="7106"/>
        <item m="1" x="189"/>
        <item m="1" x="1187"/>
        <item m="1" x="2189"/>
        <item m="1" x="3195"/>
        <item m="1" x="4215"/>
        <item m="1" x="5209"/>
        <item m="1" x="6219"/>
        <item m="1" x="7229"/>
        <item m="1" x="308"/>
        <item m="1" x="1305"/>
        <item m="1" x="2306"/>
        <item m="1" x="3319"/>
        <item m="1" x="4336"/>
        <item m="1" x="5333"/>
        <item m="1" x="6338"/>
        <item m="1" x="7351"/>
        <item m="1" x="429"/>
        <item m="1" x="1426"/>
        <item m="1" x="2430"/>
        <item m="1" x="3444"/>
        <item m="1" x="4461"/>
        <item m="1" x="5454"/>
        <item m="1" x="6460"/>
        <item m="1" x="7471"/>
        <item m="1" x="550"/>
        <item m="1" x="1549"/>
        <item m="1" x="2554"/>
        <item m="1" x="3567"/>
        <item m="1" x="4579"/>
        <item m="1" x="5576"/>
        <item m="1" x="6582"/>
        <item m="1" x="7594"/>
        <item m="1" x="2363"/>
        <item m="1" x="3379"/>
        <item m="1" x="4398"/>
        <item m="1" x="5392"/>
        <item m="1" x="7406"/>
        <item m="1" x="488"/>
        <item m="1" x="1485"/>
        <item m="1" x="2488"/>
        <item m="1" x="3501"/>
        <item m="1" x="4520"/>
        <item m="1" x="5514"/>
        <item m="1" x="6518"/>
        <item m="1" x="7530"/>
        <item m="1" x="611"/>
        <item m="1" x="1610"/>
        <item m="1" x="2612"/>
        <item m="1" x="3623"/>
        <item m="1" x="4637"/>
        <item m="1" x="5636"/>
        <item m="1" x="6644"/>
        <item m="1" x="7654"/>
        <item m="1" x="729"/>
        <item m="1" x="1732"/>
        <item m="1" x="2732"/>
        <item m="1" x="3748"/>
        <item m="1" x="4758"/>
        <item m="1" x="5755"/>
        <item m="1" x="6766"/>
        <item m="1" x="7775"/>
        <item m="1" x="851"/>
        <item m="1" x="1847"/>
        <item m="1" x="2856"/>
        <item m="1" x="3872"/>
        <item m="1" x="4880"/>
        <item m="1" x="5876"/>
        <item m="1" x="6889"/>
        <item m="1" x="7895"/>
        <item m="1" x="975"/>
        <item m="1" x="1970"/>
        <item m="1" x="2979"/>
        <item m="1" x="3999"/>
        <item m="1" x="5002"/>
        <item m="1" x="5998"/>
        <item m="1" x="7010"/>
        <item m="1" x="92"/>
        <item m="1" x="1099"/>
        <item m="1" x="3103"/>
        <item m="1" x="4121"/>
        <item m="1" x="5122"/>
        <item m="1" x="6121"/>
        <item m="1" x="7134"/>
        <item m="1" x="213"/>
        <item m="1" x="1218"/>
        <item m="1" x="2213"/>
        <item m="1" x="3223"/>
        <item m="1" x="4240"/>
        <item m="1" x="5241"/>
        <item m="1" x="6243"/>
        <item m="1" x="7257"/>
        <item m="1" x="335"/>
        <item m="1" x="1337"/>
        <item m="1" x="2334"/>
        <item m="1" x="3348"/>
        <item m="1" x="4364"/>
        <item m="1" x="5364"/>
        <item m="1" x="6366"/>
        <item m="1" x="7378"/>
        <item m="1" x="456"/>
        <item m="1" x="1456"/>
        <item m="1" x="2458"/>
        <item m="1" x="3472"/>
        <item m="1" x="4488"/>
        <item m="1" x="5486"/>
        <item m="1" x="6488"/>
        <item m="1" x="7499"/>
        <item m="1" x="578"/>
        <item m="1" x="1580"/>
        <item m="1" x="2581"/>
        <item m="1" x="3594"/>
        <item m="1" x="4604"/>
        <item m="1" x="5608"/>
        <item m="1" x="6612"/>
        <item m="1" x="7624"/>
        <item m="1" x="696"/>
        <item m="1" x="1703"/>
        <item m="1" x="2703"/>
        <item m="1" x="3718"/>
        <item m="1" x="4724"/>
        <item m="1" x="6737"/>
        <item m="1" x="7745"/>
        <item m="1" x="817"/>
        <item m="1" x="1819"/>
        <item m="1" x="2825"/>
        <item m="1" x="3841"/>
        <item m="1" x="4846"/>
        <item m="1" x="5847"/>
        <item m="1" x="6858"/>
        <item m="1" x="7865"/>
        <item m="1" x="938"/>
        <item m="1" x="1940"/>
        <item m="1" x="2947"/>
        <item m="1" x="3967"/>
        <item m="1" x="4965"/>
        <item m="1" x="5968"/>
        <item m="1" x="6977"/>
        <item m="1" x="7989"/>
        <item m="1" x="1061"/>
        <item m="1" x="2063"/>
        <item m="1" x="3069"/>
        <item m="1" x="4091"/>
        <item m="1" x="5084"/>
        <item m="1" x="6090"/>
        <item m="1" x="7100"/>
        <item m="1" x="184"/>
        <item m="1" x="1182"/>
        <item m="1" x="2183"/>
        <item m="1" x="3190"/>
        <item m="1" x="4209"/>
        <item m="1" x="5205"/>
        <item m="1" x="999"/>
        <item m="1" x="1995"/>
        <item m="1" x="3005"/>
        <item m="1" x="4028"/>
        <item m="1" x="5026"/>
        <item m="1" x="6024"/>
        <item m="1" x="7033"/>
        <item m="1" x="120"/>
        <item m="1" x="1122"/>
        <item m="1" x="2118"/>
        <item m="1" x="3127"/>
        <item m="1" x="4147"/>
        <item m="1" x="5146"/>
        <item m="1" x="6147"/>
        <item m="1" x="7160"/>
        <item m="1" x="241"/>
        <item m="1" x="1242"/>
        <item m="1" x="2238"/>
        <item m="1" x="3251"/>
        <item m="1" x="4270"/>
        <item m="1" x="5268"/>
        <item m="1" x="6270"/>
        <item m="1" x="7282"/>
        <item m="1" x="365"/>
        <item m="1" x="1361"/>
        <item m="1" x="2360"/>
        <item m="1" x="3374"/>
        <item m="1" x="4394"/>
        <item m="1" x="5388"/>
        <item m="1" x="6392"/>
        <item m="1" x="7401"/>
        <item m="1" x="485"/>
        <item m="1" x="1480"/>
        <item m="1" x="2484"/>
        <item m="1" x="3496"/>
        <item m="1" x="4517"/>
        <item m="1" x="5510"/>
        <item m="1" x="6515"/>
        <item m="1" x="7525"/>
        <item m="1" x="608"/>
        <item m="1" x="1605"/>
        <item m="1" x="2608"/>
        <item m="1" x="3618"/>
        <item m="1" x="4633"/>
        <item m="1" x="5632"/>
        <item m="1" x="6640"/>
        <item m="1" x="7649"/>
        <item m="1" x="726"/>
        <item m="1" x="1727"/>
        <item m="1" x="2729"/>
        <item m="1" x="3743"/>
        <item m="1" x="4755"/>
        <item m="1" x="5751"/>
        <item m="1" x="6763"/>
        <item m="1" x="7770"/>
        <item m="1" x="847"/>
        <item m="1" x="1842"/>
        <item m="1" x="2852"/>
        <item m="1" x="3867"/>
        <item m="1" x="4875"/>
        <item m="1" x="5872"/>
        <item m="1" x="6885"/>
        <item m="1" x="7890"/>
        <item m="1" x="971"/>
        <item m="1" x="1965"/>
        <item m="1" x="2975"/>
        <item m="1" x="3994"/>
        <item m="1" x="4998"/>
        <item m="1" x="5994"/>
        <item m="1" x="7005"/>
        <item m="1" x="87"/>
        <item m="1" x="1094"/>
        <item m="1" x="2089"/>
        <item m="1" x="3098"/>
        <item m="1" x="4115"/>
        <item m="1" x="5116"/>
        <item m="1" x="6117"/>
        <item m="1" x="7128"/>
        <item m="1" x="208"/>
        <item m="1" x="1213"/>
        <item m="1" x="2209"/>
        <item m="1" x="3219"/>
        <item m="1" x="4236"/>
        <item m="1" x="5237"/>
        <item m="1" x="6240"/>
        <item m="1" x="7253"/>
        <item m="1" x="331"/>
        <item m="1" x="1333"/>
        <item m="1" x="2330"/>
        <item m="1" x="3344"/>
        <item m="1" x="4359"/>
        <item m="1" x="5360"/>
        <item m="1" x="6363"/>
        <item m="1" x="7374"/>
        <item m="1" x="452"/>
        <item m="1" x="1452"/>
        <item m="1" x="2454"/>
        <item m="1" x="3467"/>
        <item m="1" x="4484"/>
        <item m="1" x="5481"/>
        <item m="1" x="6484"/>
        <item m="1" x="7494"/>
        <item m="1" x="574"/>
        <item m="1" x="1575"/>
        <item m="1" x="2576"/>
        <item m="1" x="3589"/>
        <item m="1" x="4599"/>
        <item m="1" x="5603"/>
        <item m="1" x="6607"/>
        <item m="1" x="7618"/>
        <item m="1" x="692"/>
        <item m="1" x="1698"/>
        <item m="1" x="2698"/>
        <item m="1" x="3712"/>
        <item m="1" x="4719"/>
        <item m="1" x="5722"/>
        <item m="1" x="6733"/>
        <item m="1" x="7740"/>
        <item m="1" x="813"/>
        <item m="1" x="1813"/>
        <item m="1" x="2820"/>
        <item m="1" x="3836"/>
        <item m="1" x="7551"/>
        <item m="1" x="634"/>
        <item m="1" x="1632"/>
        <item m="1" x="2634"/>
        <item m="1" x="3645"/>
        <item m="1" x="4658"/>
        <item m="1" x="5656"/>
        <item m="1" x="6665"/>
        <item m="1" x="7676"/>
        <item m="1" x="751"/>
        <item m="1" x="1752"/>
        <item m="1" x="2754"/>
        <item m="1" x="3772"/>
        <item m="1" x="4781"/>
        <item m="1" x="5777"/>
        <item m="1" x="6789"/>
        <item m="1" x="7800"/>
        <item m="1" x="874"/>
        <item m="1" x="1870"/>
        <item m="1" x="2878"/>
        <item m="1" x="3900"/>
        <item m="1" x="4902"/>
        <item m="1" x="5900"/>
        <item m="1" x="6911"/>
        <item m="1" x="7921"/>
        <item m="1" x="996"/>
        <item m="1" x="1992"/>
        <item m="1" x="3000"/>
        <item m="1" x="4025"/>
        <item m="1" x="5021"/>
        <item m="1" x="6020"/>
        <item m="1" x="7028"/>
        <item m="1" x="116"/>
        <item m="1" x="1118"/>
        <item m="1" x="2114"/>
        <item m="1" x="3122"/>
        <item m="1" x="4144"/>
        <item m="1" x="5141"/>
        <item m="1" x="6143"/>
        <item m="1" x="7155"/>
        <item m="1" x="238"/>
        <item m="1" x="1238"/>
        <item m="1" x="2235"/>
        <item m="1" x="3246"/>
        <item m="1" x="4267"/>
        <item m="1" x="5263"/>
        <item m="1" x="6267"/>
        <item m="1" x="7277"/>
        <item m="1" x="361"/>
        <item m="1" x="1357"/>
        <item m="1" x="2357"/>
        <item m="1" x="3369"/>
        <item m="1" x="4390"/>
        <item m="1" x="5383"/>
        <item m="1" x="6389"/>
        <item m="1" x="7397"/>
        <item m="1" x="482"/>
        <item m="1" x="1477"/>
        <item m="1" x="2481"/>
        <item m="1" x="3492"/>
        <item m="1" x="4514"/>
        <item m="1" x="5506"/>
        <item m="1" x="6512"/>
        <item m="1" x="7520"/>
        <item m="1" x="604"/>
        <item m="1" x="1602"/>
        <item m="1" x="2604"/>
        <item m="1" x="3614"/>
        <item m="1" x="4630"/>
        <item m="1" x="5628"/>
        <item m="1" x="6636"/>
        <item m="1" x="7645"/>
        <item m="1" x="722"/>
        <item m="1" x="1724"/>
        <item m="1" x="2725"/>
        <item m="1" x="3739"/>
        <item m="1" x="4751"/>
        <item m="1" x="5747"/>
        <item m="1" x="6760"/>
        <item m="1" x="7766"/>
        <item m="1" x="843"/>
        <item m="1" x="1840"/>
        <item m="1" x="2849"/>
        <item m="1" x="3864"/>
        <item m="1" x="4872"/>
        <item m="1" x="5869"/>
        <item m="1" x="6882"/>
        <item m="1" x="7887"/>
        <item m="1" x="968"/>
        <item m="1" x="1963"/>
        <item m="1" x="2972"/>
        <item m="1" x="3991"/>
        <item m="1" x="4995"/>
        <item m="1" x="5991"/>
        <item m="1" x="7002"/>
        <item m="1" x="83"/>
        <item m="1" x="1090"/>
        <item m="1" x="2086"/>
        <item m="1" x="3093"/>
        <item m="1" x="4112"/>
        <item m="1" x="5111"/>
        <item m="1" x="6113"/>
        <item m="1" x="7124"/>
        <item m="1" x="205"/>
        <item m="1" x="1209"/>
        <item m="1" x="2206"/>
        <item m="1" x="3215"/>
        <item m="1" x="4233"/>
        <item m="1" x="5233"/>
        <item m="1" x="6236"/>
        <item m="1" x="7249"/>
        <item m="1" x="327"/>
        <item m="1" x="1328"/>
        <item m="1" x="2326"/>
        <item m="1" x="3339"/>
        <item m="1" x="4356"/>
        <item m="1" x="5355"/>
        <item m="1" x="6359"/>
        <item m="1" x="7370"/>
        <item m="1" x="449"/>
        <item m="1" x="1447"/>
        <item m="1" x="2450"/>
        <item m="1" x="6171"/>
        <item m="1" x="7184"/>
        <item m="1" x="265"/>
        <item m="1" x="1262"/>
        <item m="1" x="2259"/>
        <item m="1" x="3272"/>
        <item m="1" x="4294"/>
        <item m="1" x="5289"/>
        <item m="1" x="6291"/>
        <item m="1" x="7304"/>
        <item m="1" x="387"/>
        <item m="1" x="1382"/>
        <item m="1" x="2383"/>
        <item m="1" x="3399"/>
        <item m="1" x="4419"/>
        <item m="1" x="5411"/>
        <item m="1" x="6414"/>
        <item m="1" x="7426"/>
        <item m="1" x="509"/>
        <item m="1" x="1505"/>
        <item m="1" x="2509"/>
        <item m="1" x="3521"/>
        <item m="1" x="4540"/>
        <item m="1" x="5531"/>
        <item m="1" x="6536"/>
        <item m="1" x="7549"/>
        <item m="1" x="629"/>
        <item m="1" x="1628"/>
        <item m="1" x="2629"/>
        <item m="1" x="3642"/>
        <item m="1" x="4654"/>
        <item m="1" x="5653"/>
        <item m="1" x="6660"/>
        <item m="1" x="7673"/>
        <item m="1" x="746"/>
        <item m="1" x="1748"/>
        <item m="1" x="2749"/>
        <item m="1" x="3768"/>
        <item m="1" x="4777"/>
        <item m="1" x="5774"/>
        <item m="1" x="6784"/>
        <item m="1" x="7797"/>
        <item m="1" x="869"/>
        <item m="1" x="1867"/>
        <item m="1" x="2873"/>
        <item m="1" x="3897"/>
        <item m="1" x="4898"/>
        <item m="1" x="5897"/>
        <item m="1" x="6906"/>
        <item m="1" x="7918"/>
        <item m="1" x="991"/>
        <item m="1" x="1989"/>
        <item m="1" x="2995"/>
        <item m="1" x="4020"/>
        <item m="1" x="5018"/>
        <item m="1" x="6016"/>
        <item m="1" x="7024"/>
        <item m="1" x="112"/>
        <item m="1" x="1114"/>
        <item m="1" x="2111"/>
        <item m="1" x="3118"/>
        <item m="1" x="4141"/>
        <item m="1" x="5138"/>
        <item m="1" x="6140"/>
        <item m="1" x="7151"/>
        <item m="1" x="235"/>
        <item m="1" x="1234"/>
        <item m="1" x="2232"/>
        <item m="1" x="3241"/>
        <item m="1" x="4262"/>
        <item m="1" x="5260"/>
        <item m="1" x="6263"/>
        <item m="1" x="7273"/>
        <item m="1" x="357"/>
        <item m="1" x="1353"/>
        <item m="1" x="2353"/>
        <item m="1" x="3365"/>
        <item m="1" x="4386"/>
        <item m="1" x="5381"/>
        <item m="1" x="6386"/>
        <item m="1" x="7394"/>
        <item m="1" x="479"/>
        <item m="1" x="1474"/>
        <item m="1" x="2478"/>
        <item m="1" x="3488"/>
        <item m="1" x="4510"/>
        <item m="1" x="5504"/>
        <item m="1" x="6508"/>
        <item m="1" x="7517"/>
        <item m="1" x="601"/>
        <item m="1" x="1599"/>
        <item m="1" x="2601"/>
        <item m="1" x="3611"/>
        <item m="1" x="4627"/>
        <item m="1" x="5626"/>
        <item m="1" x="6632"/>
        <item m="1" x="7642"/>
        <item m="1" x="718"/>
        <item m="1" x="1720"/>
        <item m="1" x="2721"/>
        <item m="1" x="3735"/>
        <item m="1" x="4747"/>
        <item m="1" x="5744"/>
        <item m="1" x="6756"/>
        <item m="1" x="7763"/>
        <item m="1" x="839"/>
        <item m="1" x="1836"/>
        <item m="1" x="2845"/>
        <item m="1" x="3861"/>
        <item m="1" x="4868"/>
        <item m="1" x="5866"/>
        <item m="1" x="6878"/>
        <item m="1" x="7884"/>
        <item m="1" x="963"/>
        <item m="1" x="1959"/>
        <item m="1" x="2968"/>
        <item m="1" x="3987"/>
        <item m="1" x="4990"/>
        <item m="1" x="5987"/>
        <item m="1" x="6997"/>
        <item m="1" x="80"/>
        <item m="1" x="1083"/>
        <item m="1" x="3797"/>
        <item m="1" x="4802"/>
        <item m="1" x="5800"/>
        <item m="1" x="6813"/>
        <item m="1" x="7825"/>
        <item m="1" x="895"/>
        <item m="1" x="1891"/>
        <item m="1" x="2901"/>
        <item m="1" x="3925"/>
        <item m="1" x="4923"/>
        <item m="1" x="5922"/>
        <item m="1" x="6933"/>
        <item m="1" x="7947"/>
        <item m="1" x="1018"/>
        <item m="1" x="2015"/>
        <item m="1" x="3024"/>
        <item m="1" x="4050"/>
        <item m="1" x="5043"/>
        <item m="1" x="6044"/>
        <item m="1" x="7054"/>
        <item m="1" x="142"/>
        <item m="1" x="1141"/>
        <item m="1" x="2137"/>
        <item m="1" x="3147"/>
        <item m="1" x="4168"/>
        <item m="1" x="5163"/>
        <item m="1" x="6166"/>
        <item m="1" x="7180"/>
        <item m="1" x="261"/>
        <item m="1" x="1259"/>
        <item m="1" x="2254"/>
        <item m="1" x="3269"/>
        <item m="1" x="4289"/>
        <item m="1" x="5285"/>
        <item m="1" x="6286"/>
        <item m="1" x="7301"/>
        <item m="1" x="383"/>
        <item m="1" x="1379"/>
        <item m="1" x="2378"/>
        <item m="1" x="3396"/>
        <item m="1" x="4414"/>
        <item m="1" x="5407"/>
        <item m="1" x="6409"/>
        <item m="1" x="7422"/>
        <item m="1" x="505"/>
        <item m="1" x="1501"/>
        <item m="1" x="2504"/>
        <item m="1" x="3518"/>
        <item m="1" x="4535"/>
        <item m="1" x="5528"/>
        <item m="1" x="6531"/>
        <item m="1" x="7546"/>
        <item m="1" x="625"/>
        <item m="1" x="1624"/>
        <item m="1" x="2624"/>
        <item m="1" x="3639"/>
        <item m="1" x="4650"/>
        <item m="1" x="5650"/>
        <item m="1" x="6656"/>
        <item m="1" x="7669"/>
        <item m="1" x="743"/>
        <item m="1" x="1745"/>
        <item m="1" x="2745"/>
        <item m="1" x="3765"/>
        <item m="1" x="4773"/>
        <item m="1" x="5771"/>
        <item m="1" x="6780"/>
        <item m="1" x="7794"/>
        <item m="1" x="866"/>
        <item m="1" x="1863"/>
        <item m="1" x="2869"/>
        <item m="1" x="3893"/>
        <item m="1" x="4894"/>
        <item m="1" x="5893"/>
        <item m="1" x="6901"/>
        <item m="1" x="7913"/>
        <item m="1" x="988"/>
        <item m="1" x="1984"/>
        <item m="1" x="2991"/>
        <item m="1" x="4016"/>
        <item m="1" x="5015"/>
        <item m="1" x="6013"/>
        <item m="1" x="7021"/>
        <item m="1" x="109"/>
        <item m="1" x="1112"/>
        <item m="1" x="2108"/>
        <item m="1" x="3115"/>
        <item m="1" x="4138"/>
        <item m="1" x="5135"/>
        <item m="1" x="6137"/>
        <item m="1" x="7147"/>
        <item m="1" x="232"/>
        <item m="1" x="1232"/>
        <item m="1" x="2229"/>
        <item m="1" x="3238"/>
        <item m="1" x="4259"/>
        <item m="1" x="5256"/>
        <item m="1" x="6259"/>
        <item m="1" x="7270"/>
        <item m="1" x="353"/>
        <item m="1" x="1350"/>
        <item m="1" x="2349"/>
        <item m="1" x="3362"/>
        <item m="1" x="4382"/>
        <item m="1" x="5377"/>
        <item m="1" x="6382"/>
        <item m="1" x="7390"/>
        <item m="1" x="475"/>
        <item m="1" x="1470"/>
        <item m="1" x="2473"/>
        <item m="1" x="3485"/>
        <item m="1" x="4506"/>
        <item m="1" x="5500"/>
        <item m="1" x="6504"/>
        <item m="1" x="7513"/>
        <item m="1" x="596"/>
        <item m="1" x="1596"/>
        <item m="1" x="2597"/>
        <item m="1" x="3608"/>
        <item m="1" x="4622"/>
        <item m="1" x="5622"/>
        <item m="1" x="6628"/>
        <item m="1" x="2406"/>
        <item m="1" x="3425"/>
        <item m="1" x="4442"/>
        <item m="1" x="5433"/>
        <item m="1" x="6437"/>
        <item m="1" x="7451"/>
        <item m="1" x="530"/>
        <item m="1" x="1526"/>
        <item m="1" x="2532"/>
        <item m="1" x="3546"/>
        <item m="1" x="4561"/>
        <item m="1" x="5554"/>
        <item m="1" x="6562"/>
        <item m="1" x="7574"/>
        <item m="1" x="652"/>
        <item m="1" x="1652"/>
        <item m="1" x="2655"/>
        <item m="1" x="3668"/>
        <item m="1" x="4678"/>
        <item m="1" x="5676"/>
        <item m="1" x="6688"/>
        <item m="1" x="7698"/>
        <item m="1" x="771"/>
        <item m="1" x="1770"/>
        <item m="1" x="2776"/>
        <item m="1" x="3792"/>
        <item m="1" x="4799"/>
        <item m="1" x="5795"/>
        <item m="1" x="6810"/>
        <item m="1" x="7819"/>
        <item m="1" x="891"/>
        <item m="1" x="1886"/>
        <item m="1" x="2897"/>
        <item m="1" x="3919"/>
        <item m="1" x="4919"/>
        <item m="1" x="5917"/>
        <item m="1" x="6930"/>
        <item m="1" x="7941"/>
        <item m="1" x="1014"/>
        <item m="1" x="2010"/>
        <item m="1" x="3021"/>
        <item m="1" x="4044"/>
        <item m="1" x="5040"/>
        <item m="1" x="6039"/>
        <item m="1" x="7051"/>
        <item m="1" x="136"/>
        <item m="1" x="1138"/>
        <item m="1" x="2132"/>
        <item m="1" x="3143"/>
        <item m="1" x="4162"/>
        <item m="1" x="5160"/>
        <item m="1" x="6161"/>
        <item m="1" x="7176"/>
        <item m="1" x="255"/>
        <item m="1" x="1256"/>
        <item m="1" x="2250"/>
        <item m="1" x="3266"/>
        <item m="1" x="4284"/>
        <item m="1" x="5282"/>
        <item m="1" x="6282"/>
        <item m="1" x="7298"/>
        <item m="1" x="378"/>
        <item m="1" x="1376"/>
        <item m="1" x="2373"/>
        <item m="1" x="3392"/>
        <item m="1" x="4409"/>
        <item m="1" x="5403"/>
        <item m="1" x="6405"/>
        <item m="1" x="7419"/>
        <item m="1" x="500"/>
        <item m="1" x="1497"/>
        <item m="1" x="2499"/>
        <item m="1" x="3514"/>
        <item m="1" x="4530"/>
        <item m="1" x="5524"/>
        <item m="1" x="6527"/>
        <item m="1" x="7542"/>
        <item m="1" x="620"/>
        <item m="1" x="1620"/>
        <item m="1" x="2620"/>
        <item m="1" x="3635"/>
        <item m="1" x="4646"/>
        <item m="1" x="5647"/>
        <item m="1" x="6653"/>
        <item m="1" x="7666"/>
        <item m="1" x="739"/>
        <item m="1" x="1742"/>
        <item m="1" x="2741"/>
        <item m="1" x="3762"/>
        <item m="1" x="4769"/>
        <item m="1" x="5768"/>
        <item m="1" x="6777"/>
        <item m="1" x="7791"/>
        <item m="1" x="862"/>
        <item m="1" x="1860"/>
        <item m="1" x="2866"/>
        <item m="1" x="3889"/>
        <item m="1" x="4890"/>
        <item m="1" x="5888"/>
        <item m="1" x="6898"/>
        <item m="1" x="7908"/>
        <item m="1" x="984"/>
        <item m="1" x="1980"/>
        <item m="1" x="2987"/>
        <item m="1" x="4012"/>
        <item m="1" x="5011"/>
        <item m="1" x="6009"/>
        <item m="1" x="7018"/>
        <item m="1" x="105"/>
        <item m="1" x="1108"/>
        <item m="1" x="2104"/>
        <item m="1" x="3111"/>
        <item m="1" x="4134"/>
        <item m="1" x="5130"/>
        <item m="1" x="6133"/>
        <item m="1" x="7144"/>
        <item m="1" x="227"/>
        <item m="1" x="1228"/>
        <item m="1" x="2225"/>
        <item m="1" x="3234"/>
        <item m="1" x="4254"/>
        <item m="1" x="5252"/>
        <item m="1" x="1041"/>
        <item m="1" x="2041"/>
        <item m="1" x="3049"/>
        <item m="1" x="4071"/>
        <item m="1" x="5064"/>
        <item m="1" x="6067"/>
        <item m="1" x="7080"/>
        <item m="1" x="163"/>
        <item m="1" x="1161"/>
        <item m="1" x="2160"/>
        <item m="1" x="3171"/>
        <item m="1" x="4191"/>
        <item m="1" x="5186"/>
        <item m="1" x="6192"/>
        <item m="1" x="7206"/>
        <item m="1" x="285"/>
        <item m="1" x="1282"/>
        <item m="1" x="2280"/>
        <item m="1" x="3296"/>
        <item m="1" x="4314"/>
        <item m="1" x="5310"/>
        <item m="1" x="6312"/>
        <item m="1" x="7327"/>
        <item m="1" x="405"/>
        <item m="1" x="1400"/>
        <item m="1" x="2403"/>
        <item m="1" x="3418"/>
        <item m="1" x="4437"/>
        <item m="1" x="5428"/>
        <item m="1" x="6433"/>
        <item m="1" x="7445"/>
        <item m="1" x="526"/>
        <item m="1" x="1521"/>
        <item m="1" x="2528"/>
        <item m="1" x="3540"/>
        <item m="1" x="4556"/>
        <item m="1" x="5549"/>
        <item m="1" x="6557"/>
        <item m="1" x="7568"/>
        <item m="1" x="648"/>
        <item m="1" x="1647"/>
        <item m="1" x="2651"/>
        <item m="1" x="3662"/>
        <item m="1" x="4674"/>
        <item m="1" x="5671"/>
        <item m="1" x="6684"/>
        <item m="1" x="7692"/>
        <item m="1" x="767"/>
        <item m="1" x="1765"/>
        <item m="1" x="2772"/>
        <item m="1" x="3786"/>
        <item m="1" x="4795"/>
        <item m="1" x="5790"/>
        <item m="1" x="6805"/>
        <item m="1" x="7814"/>
        <item m="1" x="887"/>
        <item m="1" x="1882"/>
        <item m="1" x="2893"/>
        <item m="1" x="3914"/>
        <item m="1" x="4916"/>
        <item m="1" x="5912"/>
        <item m="1" x="6927"/>
        <item m="1" x="7936"/>
        <item m="1" x="1011"/>
        <item m="1" x="2006"/>
        <item m="1" x="3018"/>
        <item m="1" x="4039"/>
        <item m="1" x="5037"/>
        <item m="1" x="6034"/>
        <item m="1" x="7046"/>
        <item m="1" x="131"/>
        <item m="1" x="1134"/>
        <item m="1" x="2128"/>
        <item m="1" x="3139"/>
        <item m="1" x="4157"/>
        <item m="1" x="5156"/>
        <item m="1" x="6156"/>
        <item m="1" x="7172"/>
        <item m="1" x="251"/>
        <item m="1" x="1253"/>
        <item m="1" x="2247"/>
        <item m="1" x="3263"/>
        <item m="1" x="4280"/>
        <item m="1" x="5279"/>
        <item m="1" x="6278"/>
        <item m="1" x="7294"/>
        <item m="1" x="374"/>
        <item m="1" x="1372"/>
        <item m="1" x="2370"/>
        <item m="1" x="3389"/>
        <item m="1" x="4405"/>
        <item m="1" x="5400"/>
        <item m="1" x="6401"/>
        <item m="1" x="7416"/>
        <item m="1" x="496"/>
        <item m="1" x="1493"/>
        <item m="1" x="2496"/>
        <item m="1" x="3510"/>
        <item m="1" x="4526"/>
        <item m="1" x="5520"/>
        <item m="1" x="6523"/>
        <item m="1" x="7538"/>
        <item m="1" x="616"/>
        <item m="1" x="1616"/>
        <item m="1" x="2617"/>
        <item m="1" x="3631"/>
        <item m="1" x="4642"/>
        <item m="1" x="5643"/>
        <item m="1" x="6649"/>
        <item m="1" x="7662"/>
        <item m="1" x="735"/>
        <item m="1" x="1738"/>
        <item m="1" x="2738"/>
        <item m="1" x="3757"/>
        <item m="1" x="4765"/>
        <item m="1" x="5764"/>
        <item m="1" x="6773"/>
        <item m="1" x="7786"/>
        <item m="1" x="857"/>
        <item m="1" x="1855"/>
        <item m="1" x="2863"/>
        <item m="1" x="3882"/>
        <item m="1" x="7599"/>
        <item m="1" x="675"/>
        <item m="1" x="1677"/>
        <item m="1" x="2680"/>
        <item m="1" x="3693"/>
        <item m="1" x="4700"/>
        <item m="1" x="5701"/>
        <item m="1" x="6713"/>
        <item m="1" x="7721"/>
        <item m="1" x="793"/>
        <item m="1" x="1792"/>
        <item m="1" x="2802"/>
        <item m="1" x="3817"/>
        <item m="1" x="4821"/>
        <item m="1" x="5820"/>
        <item m="1" x="6835"/>
        <item m="1" x="7843"/>
        <item m="1" x="915"/>
        <item m="1" x="1913"/>
        <item m="1" x="2923"/>
        <item m="1" x="3945"/>
        <item m="1" x="4942"/>
        <item m="1" x="5943"/>
        <item m="1" x="6954"/>
        <item m="1" x="7965"/>
        <item m="1" x="1037"/>
        <item m="1" x="2036"/>
        <item m="1" x="3043"/>
        <item m="1" x="4067"/>
        <item m="1" x="5059"/>
        <item m="1" x="6063"/>
        <item m="1" x="7074"/>
        <item m="1" x="158"/>
        <item m="1" x="1156"/>
        <item m="1" x="2156"/>
        <item m="1" x="3165"/>
        <item m="1" x="4187"/>
        <item m="1" x="5181"/>
        <item m="1" x="6188"/>
        <item m="1" x="7200"/>
        <item m="1" x="280"/>
        <item m="1" x="1277"/>
        <item m="1" x="2275"/>
        <item m="1" x="3290"/>
        <item m="1" x="4309"/>
        <item m="1" x="5305"/>
        <item m="1" x="6308"/>
        <item m="1" x="7320"/>
        <item m="1" x="401"/>
        <item m="1" x="1395"/>
        <item m="1" x="2399"/>
        <item m="1" x="3413"/>
        <item m="1" x="4433"/>
        <item m="1" x="5423"/>
        <item m="1" x="6430"/>
        <item m="1" x="7440"/>
        <item m="1" x="523"/>
        <item m="1" x="1517"/>
        <item m="1" x="2524"/>
        <item m="1" x="3535"/>
        <item m="1" x="4553"/>
        <item m="1" x="5545"/>
        <item m="1" x="6554"/>
        <item m="1" x="7563"/>
        <item m="1" x="645"/>
        <item m="1" x="1642"/>
        <item m="1" x="2648"/>
        <item m="1" x="3657"/>
        <item m="1" x="4670"/>
        <item m="1" x="5667"/>
        <item m="1" x="6680"/>
        <item m="1" x="7687"/>
        <item m="1" x="763"/>
        <item m="1" x="1760"/>
        <item m="1" x="2767"/>
        <item m="1" x="3781"/>
        <item m="1" x="4790"/>
        <item m="1" x="5786"/>
        <item m="1" x="6801"/>
        <item m="1" x="7810"/>
        <item m="1" x="884"/>
        <item m="1" x="1878"/>
        <item m="1" x="2890"/>
        <item m="1" x="3910"/>
        <item m="1" x="4913"/>
        <item m="1" x="5909"/>
        <item m="1" x="6923"/>
        <item m="1" x="7931"/>
        <item m="1" x="1007"/>
        <item m="1" x="2002"/>
        <item m="1" x="3015"/>
        <item m="1" x="4035"/>
        <item m="1" x="5034"/>
        <item m="1" x="6031"/>
        <item m="1" x="7043"/>
        <item m="1" x="127"/>
        <item m="1" x="1130"/>
        <item m="1" x="2124"/>
        <item m="1" x="3135"/>
        <item m="1" x="4153"/>
        <item m="1" x="5152"/>
        <item m="1" x="6153"/>
        <item m="1" x="7168"/>
        <item m="1" x="247"/>
        <item m="1" x="1249"/>
        <item m="1" x="2243"/>
        <item m="1" x="3259"/>
        <item m="1" x="4275"/>
        <item m="1" x="5274"/>
        <item m="1" x="6275"/>
        <item m="1" x="7290"/>
        <item m="1" x="370"/>
        <item m="1" x="1368"/>
        <item m="1" x="2366"/>
        <item m="1" x="3384"/>
        <item m="1" x="4401"/>
        <item m="1" x="5396"/>
        <item m="1" x="6398"/>
        <item m="1" x="7411"/>
        <item m="1" x="492"/>
        <item m="1" x="1489"/>
        <item m="1" x="2491"/>
        <item m="1" x="5210"/>
        <item m="1" x="6220"/>
        <item m="1" x="7230"/>
        <item m="1" x="309"/>
        <item m="1" x="1306"/>
        <item m="1" x="2307"/>
        <item m="1" x="3320"/>
        <item m="1" x="4337"/>
        <item m="1" x="5334"/>
        <item m="1" x="6339"/>
        <item m="1" x="7352"/>
        <item m="1" x="430"/>
        <item m="1" x="1427"/>
        <item m="1" x="2431"/>
        <item m="1" x="3445"/>
        <item m="1" x="4462"/>
        <item m="1" x="5455"/>
        <item m="1" x="6461"/>
        <item m="1" x="7472"/>
        <item m="1" x="551"/>
        <item m="1" x="1550"/>
        <item m="1" x="2555"/>
        <item m="1" x="3568"/>
        <item m="1" x="4580"/>
        <item m="1" x="5577"/>
        <item m="1" x="6583"/>
        <item m="1" x="7595"/>
        <item m="1" x="670"/>
        <item m="1" x="1673"/>
        <item m="1" x="2674"/>
        <item m="1" x="3688"/>
        <item m="1" x="4695"/>
        <item m="1" x="5696"/>
        <item m="1" x="6707"/>
        <item m="1" x="7716"/>
        <item m="1" x="788"/>
        <item m="1" x="1788"/>
        <item m="1" x="2796"/>
        <item m="1" x="3812"/>
        <item m="1" x="4816"/>
        <item m="1" x="5816"/>
        <item m="1" x="6829"/>
        <item m="1" x="7839"/>
        <item m="1" x="910"/>
        <item m="1" x="1909"/>
        <item m="1" x="2917"/>
        <item m="1" x="3941"/>
        <item m="1" x="4937"/>
        <item m="1" x="5938"/>
        <item m="1" x="6948"/>
        <item m="1" x="7961"/>
        <item m="1" x="1032"/>
        <item m="1" x="2032"/>
        <item m="1" x="3038"/>
        <item m="1" x="4063"/>
        <item m="1" x="5055"/>
        <item m="1" x="6060"/>
        <item m="1" x="7069"/>
        <item m="1" x="155"/>
        <item m="1" x="1152"/>
        <item m="1" x="2153"/>
        <item m="1" x="3160"/>
        <item m="1" x="4184"/>
        <item m="1" x="5176"/>
        <item m="1" x="6184"/>
        <item m="1" x="7195"/>
        <item m="1" x="276"/>
        <item m="1" x="1273"/>
        <item m="1" x="2272"/>
        <item m="1" x="3284"/>
        <item m="1" x="4305"/>
        <item m="1" x="5300"/>
        <item m="1" x="6304"/>
        <item m="1" x="7315"/>
        <item m="1" x="397"/>
        <item m="1" x="1391"/>
        <item m="1" x="2395"/>
        <item m="1" x="3408"/>
        <item m="1" x="4429"/>
        <item m="1" x="5419"/>
        <item m="1" x="6426"/>
        <item m="1" x="7436"/>
        <item m="1" x="520"/>
        <item m="1" x="1514"/>
        <item m="1" x="2521"/>
        <item m="1" x="3531"/>
        <item m="1" x="4550"/>
        <item m="1" x="5540"/>
        <item m="1" x="6550"/>
        <item m="1" x="7559"/>
        <item m="1" x="642"/>
        <item m="1" x="1639"/>
        <item m="1" x="2645"/>
        <item m="1" x="3653"/>
        <item m="1" x="4667"/>
        <item m="1" x="5663"/>
        <item m="1" x="6676"/>
        <item m="1" x="7683"/>
        <item m="1" x="758"/>
        <item m="1" x="1757"/>
        <item m="1" x="2762"/>
        <item m="1" x="3777"/>
        <item m="1" x="4786"/>
        <item m="1" x="5782"/>
        <item m="1" x="6797"/>
        <item m="1" x="7806"/>
        <item m="1" x="880"/>
        <item m="1" x="1875"/>
        <item m="1" x="2886"/>
        <item m="1" x="3906"/>
        <item m="1" x="4909"/>
        <item m="1" x="5905"/>
        <item m="1" x="6919"/>
        <item m="1" x="7926"/>
        <item m="1" x="1003"/>
        <item m="1" x="1999"/>
        <item m="1" x="3010"/>
        <item m="1" x="4031"/>
        <item m="1" x="5030"/>
        <item m="1" x="6027"/>
        <item m="1" x="7038"/>
        <item m="1" x="123"/>
        <item m="1" x="3842"/>
        <item m="1" x="4847"/>
        <item m="1" x="5848"/>
        <item m="1" x="6859"/>
        <item m="1" x="7866"/>
        <item m="1" x="939"/>
        <item m="1" x="1941"/>
        <item m="1" x="2948"/>
        <item m="1" x="3968"/>
        <item m="1" x="4966"/>
        <item m="1" x="5969"/>
        <item m="1" x="6978"/>
        <item m="1" x="7990"/>
        <item m="1" x="1062"/>
        <item m="1" x="2064"/>
        <item m="1" x="3070"/>
        <item m="1" x="4092"/>
        <item m="1" x="5085"/>
        <item m="1" x="6091"/>
        <item m="1" x="7101"/>
        <item m="1" x="185"/>
        <item m="1" x="1183"/>
        <item m="1" x="2184"/>
        <item m="1" x="3191"/>
        <item m="1" x="4210"/>
        <item m="1" x="5206"/>
        <item m="1" x="6212"/>
        <item m="1" x="7224"/>
        <item m="1" x="303"/>
        <item m="1" x="1301"/>
        <item m="1" x="2300"/>
        <item m="1" x="3315"/>
        <item m="1" x="4331"/>
        <item m="1" x="5329"/>
        <item m="1" x="6332"/>
        <item m="1" x="7346"/>
        <item m="1" x="424"/>
        <item m="1" x="1421"/>
        <item m="1" x="2424"/>
        <item m="1" x="3440"/>
        <item m="1" x="5450"/>
        <item m="1" x="6454"/>
        <item m="1" x="7467"/>
        <item m="1" x="545"/>
        <item m="1" x="1545"/>
        <item m="1" x="2548"/>
        <item m="1" x="3563"/>
        <item m="1" x="4574"/>
        <item m="1" x="5572"/>
        <item m="1" x="6576"/>
        <item m="1" x="7590"/>
        <item m="1" x="665"/>
        <item m="1" x="1668"/>
        <item m="1" x="2669"/>
        <item m="1" x="3684"/>
        <item m="1" x="4691"/>
        <item m="1" x="5692"/>
        <item m="1" x="6702"/>
        <item m="1" x="7713"/>
        <item m="1" x="783"/>
        <item m="1" x="1785"/>
        <item m="1" x="2791"/>
        <item m="1" x="3809"/>
        <item m="1" x="4812"/>
        <item m="1" x="5813"/>
        <item m="1" x="6824"/>
        <item m="1" x="7836"/>
        <item m="1" x="905"/>
        <item m="1" x="1904"/>
        <item m="1" x="2912"/>
        <item m="1" x="3937"/>
        <item m="1" x="4933"/>
        <item m="1" x="5934"/>
        <item m="1" x="6943"/>
        <item m="1" x="7957"/>
        <item m="1" x="1027"/>
        <item m="1" x="2028"/>
        <item m="1" x="3034"/>
        <item m="1" x="4061"/>
        <item m="1" x="5052"/>
        <item m="1" x="6057"/>
        <item m="1" x="7065"/>
        <item m="1" x="1148"/>
        <item m="1" x="2149"/>
        <item m="1" x="3156"/>
        <item m="1" x="4179"/>
        <item m="1" x="5172"/>
        <item m="1" x="6181"/>
        <item m="1" x="7191"/>
        <item m="1" x="273"/>
        <item m="1" x="1269"/>
        <item m="1" x="2269"/>
        <item m="1" x="3280"/>
        <item m="1" x="4302"/>
        <item m="1" x="5297"/>
        <item m="1" x="6300"/>
        <item m="1" x="7311"/>
        <item m="1" x="393"/>
        <item m="1" x="1387"/>
        <item m="1" x="2391"/>
        <item m="1" x="3404"/>
        <item m="1" x="4425"/>
        <item m="1" x="5416"/>
        <item m="1" x="6422"/>
        <item m="1" x="7432"/>
        <item m="1" x="516"/>
        <item m="1" x="1510"/>
        <item m="1" x="2517"/>
        <item m="1" x="3527"/>
        <item m="1" x="4546"/>
        <item m="1" x="5537"/>
        <item m="1" x="6545"/>
        <item m="1" x="7555"/>
        <item m="1" x="638"/>
        <item m="1" x="1635"/>
        <item m="1" x="2640"/>
        <item m="1" x="3648"/>
        <item m="1" x="4662"/>
        <item m="1" x="5660"/>
        <item m="1" x="6670"/>
        <item m="1" x="2455"/>
        <item m="1" x="3468"/>
        <item m="1" x="4485"/>
        <item m="1" x="5482"/>
        <item m="1" x="6485"/>
        <item m="1" x="7495"/>
        <item m="1" x="575"/>
        <item m="1" x="1576"/>
        <item m="1" x="2577"/>
        <item m="1" x="3590"/>
        <item m="1" x="4600"/>
        <item m="1" x="5604"/>
        <item m="1" x="6608"/>
        <item m="1" x="7619"/>
        <item m="1" x="693"/>
        <item m="1" x="1699"/>
        <item m="1" x="2699"/>
        <item m="1" x="3713"/>
        <item m="1" x="4720"/>
        <item m="1" x="5723"/>
        <item m="1" x="6734"/>
        <item m="1" x="7741"/>
        <item m="1" x="814"/>
        <item m="1" x="1814"/>
        <item m="1" x="2821"/>
        <item m="1" x="3837"/>
        <item m="1" x="4841"/>
        <item m="1" x="5841"/>
        <item m="1" x="6854"/>
        <item m="1" x="7860"/>
        <item m="1" x="934"/>
        <item m="1" x="1934"/>
        <item m="1" x="2942"/>
        <item m="1" x="3962"/>
        <item m="1" x="4961"/>
        <item m="1" x="5962"/>
        <item m="1" x="6973"/>
        <item m="1" x="7984"/>
        <item m="1" x="1057"/>
        <item m="1" x="2057"/>
        <item m="1" x="3064"/>
        <item m="1" x="4086"/>
        <item m="1" x="5079"/>
        <item m="1" x="6085"/>
        <item m="1" x="7095"/>
        <item m="1" x="179"/>
        <item m="1" x="1178"/>
        <item m="1" x="2176"/>
        <item m="1" x="3186"/>
        <item m="1" x="4204"/>
        <item m="1" x="5201"/>
        <item m="1" x="6206"/>
        <item m="1" x="7220"/>
        <item m="1" x="298"/>
        <item m="1" x="1298"/>
        <item m="1" x="2295"/>
        <item m="1" x="3312"/>
        <item m="1" x="4327"/>
        <item m="1" x="5325"/>
        <item m="1" x="6327"/>
        <item m="1" x="7343"/>
        <item m="1" x="420"/>
        <item m="1" x="1418"/>
        <item m="1" x="2419"/>
        <item m="1" x="3437"/>
        <item m="1" x="4452"/>
        <item m="1" x="5447"/>
        <item m="1" x="6449"/>
        <item m="1" x="7464"/>
        <item m="1" x="541"/>
        <item m="1" x="1541"/>
        <item m="1" x="2543"/>
        <item m="1" x="3559"/>
        <item m="1" x="4569"/>
        <item m="1" x="5567"/>
        <item m="1" x="6571"/>
        <item m="1" x="7585"/>
        <item m="1" x="661"/>
        <item m="1" x="1664"/>
        <item m="1" x="2665"/>
        <item m="1" x="3681"/>
        <item m="1" x="4687"/>
        <item m="1" x="5689"/>
        <item m="1" x="6698"/>
        <item m="1" x="7710"/>
        <item m="1" x="780"/>
        <item m="1" x="1782"/>
        <item m="1" x="2786"/>
        <item m="1" x="3805"/>
        <item m="1" x="4809"/>
        <item m="1" x="5810"/>
        <item m="1" x="6820"/>
        <item m="1" x="7833"/>
        <item m="1" x="902"/>
        <item m="1" x="1901"/>
        <item m="1" x="2908"/>
        <item m="1" x="3933"/>
        <item m="1" x="4929"/>
        <item m="1" x="5930"/>
        <item m="1" x="6939"/>
        <item m="1" x="7953"/>
        <item m="1" x="1024"/>
        <item m="1" x="2024"/>
        <item m="1" x="3030"/>
        <item m="1" x="4057"/>
        <item m="1" x="5048"/>
        <item m="1" x="6053"/>
        <item m="1" x="7060"/>
        <item m="1" x="148"/>
        <item m="1" x="1146"/>
        <item m="1" x="2145"/>
        <item m="1" x="3152"/>
        <item m="1" x="4175"/>
        <item m="1" x="5168"/>
        <item m="1" x="6176"/>
        <item m="1" x="7187"/>
        <item m="1" x="269"/>
        <item m="1" x="1266"/>
        <item m="1" x="2264"/>
        <item m="1" x="3276"/>
        <item m="1" x="4298"/>
        <item m="1" x="5292"/>
        <item m="1" x="84"/>
        <item m="1" x="1091"/>
        <item m="1" x="2087"/>
        <item m="1" x="3094"/>
        <item m="1" x="4113"/>
        <item m="1" x="5112"/>
        <item m="1" x="6114"/>
        <item m="1" x="7125"/>
        <item m="1" x="206"/>
        <item m="1" x="1210"/>
        <item m="1" x="2207"/>
        <item m="1" x="3216"/>
        <item m="1" x="4234"/>
        <item m="1" x="5234"/>
        <item m="1" x="6237"/>
        <item m="1" x="7250"/>
        <item m="1" x="328"/>
        <item m="1" x="1329"/>
        <item m="1" x="2327"/>
        <item m="1" x="3340"/>
        <item m="1" x="4357"/>
        <item m="1" x="5356"/>
        <item m="1" x="6360"/>
        <item m="1" x="7371"/>
        <item m="1" x="450"/>
        <item m="1" x="1448"/>
        <item m="1" x="2451"/>
        <item m="1" x="3464"/>
        <item m="1" x="4481"/>
        <item m="1" x="5476"/>
        <item m="1" x="6480"/>
        <item m="1" x="7490"/>
        <item m="1" x="570"/>
        <item m="1" x="1570"/>
        <item m="1" x="2572"/>
        <item m="1" x="3585"/>
        <item m="1" x="4596"/>
        <item m="1" x="5598"/>
        <item m="1" x="6603"/>
        <item m="1" x="7614"/>
        <item m="1" x="689"/>
        <item m="1" x="1693"/>
        <item m="1" x="2695"/>
        <item m="1" x="3708"/>
        <item m="1" x="4716"/>
        <item m="1" x="5717"/>
        <item m="1" x="6730"/>
        <item m="1" x="7736"/>
        <item m="1" x="809"/>
        <item m="1" x="1808"/>
        <item m="1" x="2817"/>
        <item m="1" x="3832"/>
        <item m="1" x="4837"/>
        <item m="1" x="5836"/>
        <item m="1" x="6851"/>
        <item m="1" x="7857"/>
        <item m="1" x="932"/>
        <item m="1" x="1930"/>
        <item m="1" x="2940"/>
        <item m="1" x="3959"/>
        <item m="1" x="4959"/>
        <item m="1" x="5958"/>
        <item m="1" x="6971"/>
        <item m="1" x="7980"/>
        <item m="1" x="1054"/>
        <item m="1" x="2053"/>
        <item m="1" x="3061"/>
        <item m="1" x="4083"/>
        <item m="1" x="5077"/>
        <item m="1" x="6080"/>
        <item m="1" x="7092"/>
        <item m="1" x="175"/>
        <item m="1" x="1175"/>
        <item m="1" x="2172"/>
        <item m="1" x="3183"/>
        <item m="1" x="4201"/>
        <item m="1" x="5198"/>
        <item m="1" x="6202"/>
        <item m="1" x="7217"/>
        <item m="1" x="294"/>
        <item m="1" x="1294"/>
        <item m="1" x="2291"/>
        <item m="1" x="3309"/>
        <item m="1" x="4324"/>
        <item m="1" x="5322"/>
        <item m="1" x="6323"/>
        <item m="1" x="7340"/>
        <item m="1" x="415"/>
        <item m="1" x="1414"/>
        <item m="1" x="2414"/>
        <item m="1" x="3434"/>
        <item m="1" x="4449"/>
        <item m="1" x="5444"/>
        <item m="1" x="6445"/>
        <item m="1" x="7461"/>
        <item m="1" x="537"/>
        <item m="1" x="1537"/>
        <item m="1" x="2539"/>
        <item m="1" x="3554"/>
        <item m="1" x="4566"/>
        <item m="1" x="5562"/>
        <item m="1" x="6567"/>
        <item m="1" x="7581"/>
        <item m="1" x="657"/>
        <item m="1" x="1660"/>
        <item m="1" x="2661"/>
        <item m="1" x="3677"/>
        <item m="1" x="4684"/>
        <item m="1" x="5685"/>
        <item m="1" x="6694"/>
        <item m="1" x="7706"/>
        <item m="1" x="776"/>
        <item m="1" x="1778"/>
        <item m="1" x="2781"/>
        <item m="1" x="3801"/>
        <item m="1" x="4806"/>
        <item m="1" x="5805"/>
        <item m="1" x="6816"/>
        <item m="1" x="7829"/>
        <item m="1" x="898"/>
        <item m="1" x="1896"/>
        <item m="1" x="2904"/>
        <item m="1" x="6633"/>
        <item m="1" x="7643"/>
        <item m="1" x="719"/>
        <item m="1" x="1721"/>
        <item m="1" x="2722"/>
        <item m="1" x="3736"/>
        <item m="1" x="4748"/>
        <item m="1" x="5745"/>
        <item m="1" x="6757"/>
        <item m="1" x="7764"/>
        <item m="1" x="840"/>
        <item m="1" x="1837"/>
        <item m="1" x="2846"/>
        <item m="1" x="3862"/>
        <item m="1" x="4869"/>
        <item m="1" x="5867"/>
        <item m="1" x="6879"/>
        <item m="1" x="7885"/>
        <item m="1" x="964"/>
        <item m="1" x="1960"/>
        <item m="1" x="2969"/>
        <item m="1" x="3988"/>
        <item m="1" x="4991"/>
        <item m="1" x="5988"/>
        <item m="1" x="6998"/>
        <item m="1" x="81"/>
        <item m="1" x="1084"/>
        <item m="1" x="2082"/>
        <item m="1" x="3089"/>
        <item m="1" x="4109"/>
        <item m="1" x="5106"/>
        <item m="1" x="6110"/>
        <item m="1" x="7120"/>
        <item m="1" x="202"/>
        <item m="1" x="1204"/>
        <item m="1" x="2202"/>
        <item m="1" x="3211"/>
        <item m="1" x="4229"/>
        <item m="1" x="5228"/>
        <item m="1" x="6233"/>
        <item m="1" x="7245"/>
        <item m="1" x="324"/>
        <item m="1" x="1323"/>
        <item m="1" x="2322"/>
        <item m="1" x="3335"/>
        <item m="1" x="4353"/>
        <item m="1" x="5350"/>
        <item m="1" x="6356"/>
        <item m="1" x="7366"/>
        <item m="1" x="446"/>
        <item m="1" x="1442"/>
        <item m="1" x="2447"/>
        <item m="1" x="3459"/>
        <item m="1" x="4477"/>
        <item m="1" x="5471"/>
        <item m="1" x="6477"/>
        <item m="1" x="7487"/>
        <item m="1" x="567"/>
        <item m="1" x="1566"/>
        <item m="1" x="2570"/>
        <item m="1" x="3582"/>
        <item m="1" x="4594"/>
        <item m="1" x="5594"/>
        <item m="1" x="6601"/>
        <item m="1" x="7611"/>
        <item m="1" x="687"/>
        <item m="1" x="1689"/>
        <item m="1" x="2693"/>
        <item m="1" x="3704"/>
        <item m="1" x="4712"/>
        <item m="1" x="5713"/>
        <item m="1" x="6727"/>
        <item m="1" x="7733"/>
        <item m="1" x="806"/>
        <item m="1" x="1804"/>
        <item m="1" x="2814"/>
        <item m="1" x="3828"/>
        <item m="1" x="4834"/>
        <item m="1" x="5832"/>
        <item m="1" x="6848"/>
        <item m="1" x="7854"/>
        <item m="1" x="929"/>
        <item m="1" x="1926"/>
        <item m="1" x="2937"/>
        <item m="1" x="3955"/>
        <item m="1" x="4955"/>
        <item m="1" x="5954"/>
        <item m="1" x="6966"/>
        <item m="1" x="7976"/>
        <item m="1" x="1051"/>
        <item m="1" x="2049"/>
        <item m="1" x="3058"/>
        <item m="1" x="4079"/>
        <item m="1" x="5074"/>
        <item m="1" x="6076"/>
        <item m="1" x="7089"/>
        <item m="1" x="172"/>
        <item m="1" x="1171"/>
        <item m="1" x="2168"/>
        <item m="1" x="3179"/>
        <item m="1" x="4197"/>
        <item m="1" x="5194"/>
        <item m="1" x="6198"/>
        <item m="1" x="7213"/>
        <item m="1" x="291"/>
        <item m="1" x="1290"/>
        <item m="1" x="2287"/>
        <item m="1" x="3305"/>
        <item m="1" x="4320"/>
        <item m="1" x="5318"/>
        <item m="1" x="6319"/>
        <item m="1" x="7336"/>
        <item m="1" x="412"/>
        <item m="1" x="1409"/>
        <item m="1" x="2410"/>
        <item m="1" x="3430"/>
        <item m="1" x="4445"/>
        <item m="1" x="5439"/>
        <item m="1" x="6440"/>
        <item m="1" x="7456"/>
        <item m="1" x="534"/>
        <item m="1" x="1531"/>
        <item m="1" x="4759"/>
        <item m="1" x="5257"/>
        <item m="1" x="5756"/>
        <item m="1" x="6260"/>
        <item m="1" x="6767"/>
        <item m="1" x="7271"/>
        <item m="1" x="7776"/>
        <item m="1" x="354"/>
        <item m="1" x="852"/>
        <item m="1" x="1351"/>
        <item m="1" x="1848"/>
        <item m="1" x="2350"/>
        <item m="1" x="2857"/>
        <item m="1" x="3363"/>
        <item m="1" x="3873"/>
        <item m="1" x="4383"/>
        <item m="1" x="4881"/>
        <item m="1" x="5378"/>
        <item m="1" x="5877"/>
        <item m="1" x="6383"/>
        <item m="1" x="6890"/>
        <item m="1" x="7391"/>
        <item m="1" x="7896"/>
        <item m="1" x="476"/>
        <item m="1" x="976"/>
        <item m="1" x="1471"/>
        <item m="1" x="1971"/>
        <item m="1" x="2474"/>
        <item m="1" x="2980"/>
        <item m="1" x="3486"/>
        <item m="1" x="4000"/>
        <item m="1" x="4507"/>
        <item m="1" x="5003"/>
        <item m="1" x="5501"/>
        <item m="1" x="5999"/>
        <item m="1" x="6505"/>
        <item m="1" x="7011"/>
        <item m="1" x="7514"/>
        <item m="1" x="93"/>
        <item m="1" x="597"/>
        <item m="1" x="1100"/>
        <item m="1" x="1597"/>
        <item m="1" x="2094"/>
        <item m="1" x="2598"/>
        <item m="1" x="3104"/>
        <item m="1" x="3609"/>
        <item m="1" x="4122"/>
        <item m="1" x="4623"/>
        <item m="1" x="5123"/>
        <item m="1" x="5623"/>
        <item m="1" x="6122"/>
        <item m="1" x="6629"/>
        <item m="1" x="7135"/>
        <item m="1" x="7638"/>
        <item m="1" x="214"/>
        <item m="1" x="713"/>
        <item m="1" x="1219"/>
        <item m="1" x="1716"/>
        <item m="1" x="2214"/>
        <item m="1" x="2717"/>
        <item m="1" x="3224"/>
        <item m="1" x="3732"/>
        <item m="1" x="4241"/>
        <item m="1" x="4742"/>
        <item m="1" x="5242"/>
        <item m="1" x="5740"/>
        <item m="1" x="6244"/>
        <item m="1" x="6752"/>
        <item m="1" x="7258"/>
        <item m="1" x="7759"/>
        <item m="1" x="336"/>
        <item m="1" x="834"/>
        <item m="1" x="1338"/>
        <item m="1" x="1833"/>
        <item m="1" x="2335"/>
        <item m="1" x="2841"/>
        <item m="1" x="3349"/>
        <item m="1" x="3858"/>
        <item m="1" x="4365"/>
        <item m="1" x="4863"/>
        <item m="1" x="5365"/>
        <item m="1" x="5862"/>
        <item m="1" x="6367"/>
        <item m="1" x="6874"/>
        <item m="1" x="7379"/>
        <item m="1" x="7880"/>
        <item m="1" x="457"/>
        <item m="1" x="958"/>
        <item m="1" x="1457"/>
        <item m="1" x="1955"/>
        <item m="1" x="2459"/>
        <item m="1" x="2964"/>
        <item m="1" x="3473"/>
        <item m="1" x="3984"/>
        <item m="1" x="4489"/>
        <item m="1" x="4984"/>
        <item m="1" x="5487"/>
        <item m="1" x="5984"/>
        <item m="1" x="6489"/>
        <item m="1" x="6993"/>
        <item m="1" x="7500"/>
        <item m="1" x="76"/>
        <item m="1" x="579"/>
        <item m="1" x="1078"/>
        <item m="1" x="1581"/>
        <item m="1" x="2079"/>
        <item m="1" x="2582"/>
        <item m="1" x="3085"/>
        <item m="1" x="3595"/>
        <item m="1" x="4107"/>
        <item m="1" x="4605"/>
        <item m="1" x="5102"/>
        <item m="1" x="5609"/>
        <item m="1" x="6108"/>
        <item m="1" x="6613"/>
        <item m="1" x="7117"/>
        <item m="1" x="7625"/>
        <item m="1" x="199"/>
        <item m="1" x="697"/>
        <item m="1" x="1200"/>
        <item m="1" x="1704"/>
        <item m="1" x="2199"/>
        <item m="1" x="2704"/>
        <item m="1" x="3208"/>
        <item m="1" x="3719"/>
        <item m="1" x="4227"/>
        <item m="1" x="4725"/>
        <item m="1" x="5224"/>
        <item m="1" x="5728"/>
        <item m="1" x="6231"/>
        <item m="1" x="6738"/>
        <item m="1" x="7241"/>
        <item m="1" x="7746"/>
        <item m="1" x="321"/>
        <item m="1" x="818"/>
        <item m="1" x="1319"/>
        <item m="1" x="1820"/>
        <item m="1" x="2320"/>
        <item m="1" x="2826"/>
        <item m="1" x="3332"/>
        <item m="1" x="3843"/>
        <item m="1" x="4350"/>
        <item m="1" x="4848"/>
        <item m="1" x="5346"/>
        <item m="1" x="5849"/>
        <item m="1" x="6353"/>
        <item m="1" x="6860"/>
        <item m="1" x="7362"/>
        <item m="1" x="7867"/>
        <item m="1" x="442"/>
        <item m="1" x="940"/>
        <item m="1" x="1438"/>
        <item m="1" x="1942"/>
        <item m="1" x="2443"/>
        <item m="1" x="2949"/>
        <item m="1" x="3456"/>
        <item m="1" x="3969"/>
        <item m="1" x="4473"/>
        <item m="1" x="4967"/>
        <item m="1" x="5467"/>
        <item m="1" x="5970"/>
        <item m="1" x="6474"/>
        <item m="1" x="6979"/>
        <item m="1" x="7483"/>
        <item m="1" x="7991"/>
        <item m="1" x="563"/>
        <item m="1" x="1063"/>
        <item m="1" x="1562"/>
        <item m="1" x="2065"/>
        <item m="1" x="2567"/>
        <item m="1" x="3071"/>
        <item m="1" x="3579"/>
        <item m="1" x="4093"/>
        <item m="1" x="4591"/>
        <item m="1" x="5086"/>
        <item m="1" x="5589"/>
        <item m="1" x="6092"/>
        <item m="1" x="6597"/>
        <item m="1" x="7102"/>
        <item m="1" x="7607"/>
        <item m="1" x="186"/>
        <item m="1" x="684"/>
        <item m="1" x="1184"/>
        <item m="1" x="1685"/>
        <item m="1" x="2185"/>
        <item m="1" x="2689"/>
        <item m="1" x="3192"/>
        <item m="1" x="3701"/>
        <item m="1" x="4211"/>
        <item m="1" x="4709"/>
        <item m="1" x="5207"/>
        <item m="1" x="5709"/>
        <item m="1" x="6213"/>
        <item m="1" x="6723"/>
        <item m="1" x="7225"/>
        <item m="1" x="7729"/>
        <item m="1" x="304"/>
        <item m="1" x="802"/>
        <item m="1" x="1302"/>
        <item m="1" x="1800"/>
        <item m="1" x="2301"/>
        <item m="1" x="2810"/>
        <item m="1" x="3316"/>
        <item m="1" x="3825"/>
        <item m="1" x="4332"/>
        <item m="1" x="4830"/>
        <item m="1" x="5330"/>
        <item m="1" x="5828"/>
        <item m="1" x="6333"/>
        <item m="1" x="6844"/>
        <item m="1" x="7347"/>
        <item m="1" x="7850"/>
        <item m="1" x="425"/>
        <item m="1" x="925"/>
        <item m="1" x="1422"/>
        <item m="1" x="1921"/>
        <item m="1" x="2425"/>
        <item m="1" x="2932"/>
        <item m="1" x="3441"/>
        <item m="1" x="3952"/>
        <item m="1" x="4457"/>
        <item m="1" x="4950"/>
        <item m="1" x="5451"/>
        <item m="1" x="5950"/>
        <item m="1" x="6455"/>
        <item m="1" x="6962"/>
        <item m="1" x="7468"/>
        <item m="1" x="7972"/>
        <item m="1" x="546"/>
        <item m="1" x="1046"/>
        <item m="1" x="1546"/>
        <item m="1" x="2045"/>
        <item m="1" x="2549"/>
        <item m="1" x="3054"/>
        <item m="1" x="3564"/>
        <item m="1" x="4076"/>
        <item m="1" x="4575"/>
        <item m="1" x="5069"/>
        <item m="1" x="5573"/>
        <item m="1" x="6072"/>
        <item m="1" x="6577"/>
        <item m="1" x="7085"/>
        <item m="1" x="7591"/>
        <item m="1" x="167"/>
        <item m="1" x="3375"/>
        <item m="1" x="3890"/>
        <item m="1" x="4395"/>
        <item m="1" x="4891"/>
        <item m="1" x="5389"/>
        <item m="1" x="5889"/>
        <item m="1" x="6393"/>
        <item m="1" x="6899"/>
        <item m="1" x="7402"/>
        <item m="1" x="7909"/>
        <item m="1" x="486"/>
        <item m="1" x="985"/>
        <item m="1" x="1481"/>
        <item m="1" x="1981"/>
        <item m="1" x="2485"/>
        <item m="1" x="2988"/>
        <item m="1" x="3497"/>
        <item m="1" x="4013"/>
        <item m="1" x="4518"/>
        <item m="1" x="5012"/>
        <item m="1" x="5511"/>
        <item m="1" x="6010"/>
        <item m="1" x="6516"/>
        <item m="1" x="7019"/>
        <item m="1" x="7526"/>
        <item m="1" x="106"/>
        <item m="1" x="609"/>
        <item m="1" x="1109"/>
        <item m="1" x="1606"/>
        <item m="1" x="2105"/>
        <item m="1" x="2609"/>
        <item m="1" x="3112"/>
        <item m="1" x="3619"/>
        <item m="1" x="4135"/>
        <item m="1" x="4634"/>
        <item m="1" x="5131"/>
        <item m="1" x="5633"/>
        <item m="1" x="6134"/>
        <item m="1" x="6641"/>
        <item m="1" x="7145"/>
        <item m="1" x="7650"/>
        <item m="1" x="228"/>
        <item m="1" x="727"/>
        <item m="1" x="1229"/>
        <item m="1" x="1728"/>
        <item m="1" x="2226"/>
        <item m="1" x="2730"/>
        <item m="1" x="3235"/>
        <item m="1" x="3744"/>
        <item m="1" x="4255"/>
        <item m="1" x="4756"/>
        <item m="1" x="5253"/>
        <item m="1" x="5752"/>
        <item m="1" x="6255"/>
        <item m="1" x="7267"/>
        <item m="1" x="7771"/>
        <item m="1" x="348"/>
        <item m="1" x="848"/>
        <item m="1" x="1346"/>
        <item m="1" x="1843"/>
        <item m="1" x="2345"/>
        <item m="1" x="2853"/>
        <item m="1" x="3358"/>
        <item m="1" x="3868"/>
        <item m="1" x="4377"/>
        <item m="1" x="4876"/>
        <item m="1" x="5372"/>
        <item m="1" x="5873"/>
        <item m="1" x="6377"/>
        <item m="1" x="6886"/>
        <item m="1" x="7387"/>
        <item m="1" x="7891"/>
        <item m="1" x="470"/>
        <item m="1" x="972"/>
        <item m="1" x="1466"/>
        <item m="1" x="1966"/>
        <item m="1" x="2469"/>
        <item m="1" x="2976"/>
        <item m="1" x="3481"/>
        <item m="1" x="3995"/>
        <item m="1" x="4501"/>
        <item m="1" x="4999"/>
        <item m="1" x="5496"/>
        <item m="1" x="5995"/>
        <item m="1" x="6500"/>
        <item m="1" x="7006"/>
        <item m="1" x="7510"/>
        <item m="1" x="88"/>
        <item m="1" x="591"/>
        <item m="1" x="1095"/>
        <item m="1" x="1593"/>
        <item m="1" x="2090"/>
        <item m="1" x="2593"/>
        <item m="1" x="3099"/>
        <item m="1" x="3605"/>
        <item m="1" x="4116"/>
        <item m="1" x="4617"/>
        <item m="1" x="5117"/>
        <item m="1" x="5618"/>
        <item m="1" x="6118"/>
        <item m="1" x="6624"/>
        <item m="1" x="7129"/>
        <item m="1" x="7635"/>
        <item m="1" x="209"/>
        <item m="1" x="709"/>
        <item m="1" x="1214"/>
        <item m="1" x="1714"/>
        <item m="1" x="2210"/>
        <item m="1" x="2714"/>
        <item m="1" x="3220"/>
        <item m="1" x="3729"/>
        <item m="1" x="4237"/>
        <item m="1" x="4738"/>
        <item m="1" x="5238"/>
        <item m="1" x="5738"/>
        <item m="1" x="6241"/>
        <item m="1" x="6749"/>
        <item m="1" x="7254"/>
        <item m="1" x="7757"/>
        <item m="1" x="332"/>
        <item m="1" x="830"/>
        <item m="1" x="1334"/>
        <item m="1" x="1831"/>
        <item m="1" x="2331"/>
        <item m="1" x="2837"/>
        <item m="1" x="3345"/>
        <item m="1" x="3855"/>
        <item m="1" x="4360"/>
        <item m="1" x="4859"/>
        <item m="1" x="5361"/>
        <item m="1" x="5859"/>
        <item m="1" x="6364"/>
        <item m="1" x="6871"/>
        <item m="1" x="7375"/>
        <item m="1" x="7877"/>
        <item m="1" x="453"/>
        <item m="1" x="952"/>
        <item m="1" x="1453"/>
        <item m="1" x="1952"/>
        <item m="1" x="2959"/>
        <item m="1" x="3469"/>
        <item m="1" x="3980"/>
        <item m="1" x="4486"/>
        <item m="1" x="4979"/>
        <item m="1" x="5483"/>
        <item m="1" x="5981"/>
        <item m="1" x="6486"/>
        <item m="1" x="6989"/>
        <item m="1" x="7496"/>
        <item m="1" x="73"/>
        <item m="1" x="576"/>
        <item m="1" x="1073"/>
        <item m="1" x="1577"/>
        <item m="1" x="2076"/>
        <item m="1" x="2578"/>
        <item m="1" x="3080"/>
        <item m="1" x="3591"/>
        <item m="1" x="4103"/>
        <item m="1" x="4601"/>
        <item m="1" x="5097"/>
        <item m="1" x="5605"/>
        <item m="1" x="6104"/>
        <item m="1" x="6609"/>
        <item m="1" x="7113"/>
        <item m="1" x="7620"/>
        <item m="1" x="196"/>
        <item m="1" x="694"/>
        <item m="1" x="1195"/>
        <item m="1" x="1700"/>
        <item m="1" x="2196"/>
        <item m="1" x="2700"/>
        <item m="1" x="3202"/>
        <item m="1" x="3714"/>
        <item m="1" x="4223"/>
        <item m="1" x="4721"/>
        <item m="1" x="5218"/>
        <item m="1" x="5724"/>
        <item m="1" x="6228"/>
        <item m="1" x="6735"/>
        <item m="1" x="7237"/>
        <item m="1" x="7742"/>
        <item m="1" x="318"/>
        <item m="1" x="815"/>
        <item m="1" x="1314"/>
        <item m="1" x="1815"/>
        <item m="1" x="2317"/>
        <item m="1" x="2822"/>
        <item m="1" x="3327"/>
        <item m="1" x="3838"/>
        <item m="1" x="4346"/>
        <item m="1" x="4842"/>
        <item m="1" x="5341"/>
        <item m="1" x="5842"/>
        <item m="1" x="6348"/>
        <item m="1" x="6855"/>
        <item m="1" x="7358"/>
        <item m="1" x="7861"/>
        <item m="1" x="437"/>
        <item m="1" x="935"/>
        <item m="1" x="1433"/>
        <item m="1" x="1935"/>
        <item m="1" x="2438"/>
        <item m="1" x="2943"/>
        <item m="1" x="3451"/>
        <item m="1" x="3963"/>
        <item m="1" x="4469"/>
        <item m="1" x="4962"/>
        <item m="1" x="5462"/>
        <item m="1" x="5963"/>
        <item m="1" x="6470"/>
        <item m="1" x="6974"/>
        <item m="1" x="7479"/>
        <item m="1" x="7985"/>
        <item m="1" x="559"/>
        <item m="1" x="1058"/>
        <item m="1" x="1557"/>
        <item m="1" x="2058"/>
        <item m="1" x="2563"/>
        <item m="1" x="3065"/>
        <item m="1" x="3574"/>
        <item m="1" x="4087"/>
        <item m="1" x="4587"/>
        <item m="1" x="5080"/>
        <item m="1" x="5583"/>
        <item m="1" x="6591"/>
        <item m="1" x="7096"/>
        <item m="1" x="7603"/>
        <item m="1" x="180"/>
        <item m="1" x="679"/>
        <item m="1" x="1179"/>
        <item m="1" x="1680"/>
        <item m="1" x="2177"/>
        <item m="1" x="2684"/>
        <item m="1" x="3187"/>
        <item m="1" x="3696"/>
        <item m="1" x="4205"/>
        <item m="1" x="4704"/>
        <item m="1" x="5202"/>
        <item m="1" x="5704"/>
        <item m="1" x="6207"/>
        <item m="1" x="6717"/>
        <item m="1" x="1494"/>
        <item m="1" x="1993"/>
        <item m="1" x="2497"/>
        <item m="1" x="3001"/>
        <item m="1" x="3511"/>
        <item m="1" x="4026"/>
        <item m="1" x="4527"/>
        <item m="1" x="5022"/>
        <item m="1" x="5521"/>
        <item m="1" x="6021"/>
        <item m="1" x="6524"/>
        <item m="1" x="7029"/>
        <item m="1" x="7539"/>
        <item m="1" x="117"/>
        <item m="1" x="617"/>
        <item m="1" x="1119"/>
        <item m="1" x="1617"/>
        <item m="1" x="2115"/>
        <item m="1" x="2618"/>
        <item m="1" x="3123"/>
        <item m="1" x="3632"/>
        <item m="1" x="4145"/>
        <item m="1" x="4643"/>
        <item m="1" x="5142"/>
        <item m="1" x="5644"/>
        <item m="1" x="6144"/>
        <item m="1" x="6650"/>
        <item m="1" x="7156"/>
        <item m="1" x="7663"/>
        <item m="1" x="239"/>
        <item m="1" x="736"/>
        <item m="1" x="1239"/>
        <item m="1" x="1739"/>
        <item m="1" x="2236"/>
        <item m="1" x="2739"/>
        <item m="1" x="3247"/>
        <item m="1" x="3758"/>
        <item m="1" x="4268"/>
        <item m="1" x="4766"/>
        <item m="1" x="5264"/>
        <item m="1" x="5765"/>
        <item m="1" x="6268"/>
        <item m="1" x="6774"/>
        <item m="1" x="7278"/>
        <item m="1" x="7787"/>
        <item m="1" x="362"/>
        <item m="1" x="858"/>
        <item m="1" x="1358"/>
        <item m="1" x="1856"/>
        <item m="1" x="2358"/>
        <item m="1" x="2864"/>
        <item m="1" x="3370"/>
        <item m="1" x="3883"/>
        <item m="1" x="4391"/>
        <item m="1" x="4886"/>
        <item m="1" x="5384"/>
        <item m="1" x="5884"/>
        <item m="1" x="6390"/>
        <item m="1" x="6895"/>
        <item m="1" x="7398"/>
        <item m="1" x="7904"/>
        <item m="1" x="483"/>
        <item m="1" x="981"/>
        <item m="1" x="1478"/>
        <item m="1" x="1977"/>
        <item m="1" x="2482"/>
        <item m="1" x="2985"/>
        <item m="1" x="3493"/>
        <item m="1" x="4008"/>
        <item m="1" x="4515"/>
        <item m="1" x="5008"/>
        <item m="1" x="5507"/>
        <item m="1" x="6006"/>
        <item m="1" x="6513"/>
        <item m="1" x="7015"/>
        <item m="1" x="7521"/>
        <item m="1" x="101"/>
        <item m="1" x="605"/>
        <item m="1" x="1104"/>
        <item m="1" x="1603"/>
        <item m="1" x="2101"/>
        <item m="1" x="2605"/>
        <item m="1" x="3109"/>
        <item m="1" x="3615"/>
        <item m="1" x="4130"/>
        <item m="1" x="4631"/>
        <item m="1" x="5127"/>
        <item m="1" x="5629"/>
        <item m="1" x="6130"/>
        <item m="1" x="6637"/>
        <item m="1" x="7141"/>
        <item m="1" x="7646"/>
        <item m="1" x="223"/>
        <item m="1" x="723"/>
        <item m="1" x="1226"/>
        <item m="1" x="1725"/>
        <item m="1" x="2222"/>
        <item m="1" x="2726"/>
        <item m="1" x="3232"/>
        <item m="1" x="3740"/>
        <item m="1" x="4250"/>
        <item m="1" x="4752"/>
        <item m="1" x="5250"/>
        <item m="1" x="5748"/>
        <item m="1" x="6252"/>
        <item m="1" x="6761"/>
        <item m="1" x="7265"/>
        <item m="1" x="7767"/>
        <item m="1" x="345"/>
        <item m="1" x="844"/>
        <item m="1" x="1344"/>
        <item m="1" x="1841"/>
        <item m="1" x="2343"/>
        <item m="1" x="2850"/>
        <item m="1" x="3356"/>
        <item m="1" x="3865"/>
        <item m="1" x="4374"/>
        <item m="1" x="4873"/>
        <item m="1" x="5371"/>
        <item m="1" x="5870"/>
        <item m="1" x="6375"/>
        <item m="1" x="6883"/>
        <item m="1" x="7385"/>
        <item m="1" x="7888"/>
        <item m="1" x="467"/>
        <item m="1" x="969"/>
        <item m="1" x="1465"/>
        <item m="1" x="1964"/>
        <item m="1" x="2467"/>
        <item m="1" x="2973"/>
        <item m="1" x="3480"/>
        <item m="1" x="3992"/>
        <item m="1" x="4498"/>
        <item m="1" x="4996"/>
        <item m="1" x="5495"/>
        <item m="1" x="5992"/>
        <item m="1" x="6497"/>
        <item m="1" x="7003"/>
        <item m="1" x="7507"/>
        <item m="1" x="85"/>
        <item m="1" x="587"/>
        <item m="1" x="1092"/>
        <item m="1" x="1590"/>
        <item m="1" x="2088"/>
        <item m="1" x="2590"/>
        <item m="1" x="3095"/>
        <item m="1" x="3603"/>
        <item m="1" x="4114"/>
        <item m="1" x="4613"/>
        <item m="1" x="5113"/>
        <item m="1" x="5616"/>
        <item m="1" x="6115"/>
        <item m="1" x="6620"/>
        <item m="1" x="7126"/>
        <item m="1" x="7632"/>
        <item m="1" x="207"/>
        <item m="1" x="705"/>
        <item m="1" x="1211"/>
        <item m="1" x="1712"/>
        <item m="1" x="2208"/>
        <item m="1" x="2711"/>
        <item m="1" x="3217"/>
        <item m="1" x="3727"/>
        <item m="1" x="4235"/>
        <item m="1" x="4734"/>
        <item m="1" x="5235"/>
        <item m="1" x="5736"/>
        <item m="1" x="6238"/>
        <item m="1" x="6745"/>
        <item m="1" x="7251"/>
        <item m="1" x="7754"/>
        <item m="1" x="329"/>
        <item m="1" x="826"/>
        <item m="1" x="1330"/>
        <item m="1" x="1827"/>
        <item m="1" x="2328"/>
        <item m="1" x="2833"/>
        <item m="1" x="3341"/>
        <item m="1" x="3851"/>
        <item m="1" x="4358"/>
        <item m="1" x="4855"/>
        <item m="1" x="5357"/>
        <item m="1" x="5857"/>
        <item m="1" x="6361"/>
        <item m="1" x="6867"/>
        <item m="1" x="7372"/>
        <item m="1" x="7875"/>
        <item m="1" x="451"/>
        <item m="1" x="948"/>
        <item m="1" x="1449"/>
        <item m="1" x="1950"/>
        <item m="1" x="2452"/>
        <item m="1" x="2956"/>
        <item m="1" x="3465"/>
        <item m="1" x="3977"/>
        <item m="1" x="4482"/>
        <item m="1" x="4975"/>
        <item m="1" x="5477"/>
        <item m="1" x="5978"/>
        <item m="1" x="6481"/>
        <item m="1" x="6985"/>
        <item m="1" x="7491"/>
        <item m="1" x="7998"/>
        <item m="1" x="571"/>
        <item m="1" x="1069"/>
        <item m="1" x="1571"/>
        <item m="1" x="2072"/>
        <item m="1" x="2573"/>
        <item m="1" x="3077"/>
        <item m="1" x="3586"/>
        <item m="1" x="4100"/>
        <item m="1" x="4597"/>
        <item m="1" x="5093"/>
        <item m="1" x="5599"/>
        <item m="1" x="6101"/>
        <item m="1" x="6604"/>
        <item m="1" x="7109"/>
        <item m="1" x="7615"/>
        <item m="1" x="193"/>
        <item m="1" x="690"/>
        <item m="1" x="1191"/>
        <item m="1" x="1694"/>
        <item m="1" x="2193"/>
        <item m="1" x="2696"/>
        <item m="1" x="3199"/>
        <item m="1" x="3709"/>
        <item m="1" x="4219"/>
        <item m="1" x="4717"/>
        <item m="1" x="5214"/>
        <item m="1" x="5718"/>
        <item m="1" x="6224"/>
        <item m="1" x="6731"/>
        <item m="1" x="7233"/>
        <item m="1" x="7737"/>
        <item m="1" x="314"/>
        <item m="1" x="810"/>
        <item m="1" x="1309"/>
        <item m="1" x="1809"/>
        <item m="1" x="2312"/>
        <item m="1" x="2818"/>
        <item m="1" x="3324"/>
        <item m="1" x="3833"/>
        <item m="1" x="4341"/>
        <item m="1" x="4838"/>
        <item m="1" x="128"/>
        <item m="1" x="630"/>
        <item m="1" x="1131"/>
        <item m="1" x="1629"/>
        <item m="1" x="2125"/>
        <item m="1" x="2630"/>
        <item m="1" x="3136"/>
        <item m="1" x="3643"/>
        <item m="1" x="4154"/>
        <item m="1" x="4655"/>
        <item m="1" x="5153"/>
        <item m="1" x="5654"/>
        <item m="1" x="6154"/>
        <item m="1" x="6661"/>
        <item m="1" x="7169"/>
        <item m="1" x="7674"/>
        <item m="1" x="248"/>
        <item m="1" x="747"/>
        <item m="1" x="1250"/>
        <item m="1" x="1749"/>
        <item m="1" x="2244"/>
        <item m="1" x="2750"/>
        <item m="1" x="3260"/>
        <item m="1" x="3769"/>
        <item m="1" x="4276"/>
        <item m="1" x="4778"/>
        <item m="1" x="5275"/>
        <item m="1" x="5775"/>
        <item m="1" x="6276"/>
        <item m="1" x="6785"/>
        <item m="1" x="7291"/>
        <item m="1" x="7798"/>
        <item m="1" x="371"/>
        <item m="1" x="870"/>
        <item m="1" x="1369"/>
        <item m="1" x="1868"/>
        <item m="1" x="2367"/>
        <item m="1" x="2874"/>
        <item m="1" x="3385"/>
        <item m="1" x="3898"/>
        <item m="1" x="4402"/>
        <item m="1" x="4899"/>
        <item m="1" x="5397"/>
        <item m="1" x="5898"/>
        <item m="1" x="6399"/>
        <item m="1" x="6907"/>
        <item m="1" x="7412"/>
        <item m="1" x="7919"/>
        <item m="1" x="493"/>
        <item m="1" x="992"/>
        <item m="1" x="1490"/>
        <item m="1" x="1990"/>
        <item m="1" x="2492"/>
        <item m="1" x="2996"/>
        <item m="1" x="3505"/>
        <item m="1" x="4021"/>
        <item m="1" x="4522"/>
        <item m="1" x="5019"/>
        <item m="1" x="5517"/>
        <item m="1" x="6017"/>
        <item m="1" x="6521"/>
        <item m="1" x="7025"/>
        <item m="1" x="7534"/>
        <item m="1" x="113"/>
        <item m="1" x="613"/>
        <item m="1" x="1115"/>
        <item m="1" x="1613"/>
        <item m="1" x="2112"/>
        <item m="1" x="2614"/>
        <item m="1" x="3119"/>
        <item m="1" x="3627"/>
        <item m="1" x="4142"/>
        <item m="1" x="4639"/>
        <item m="1" x="5139"/>
        <item m="1" x="5640"/>
        <item m="1" x="6141"/>
        <item m="1" x="6647"/>
        <item m="1" x="7152"/>
        <item m="1" x="7658"/>
        <item m="1" x="236"/>
        <item m="1" x="732"/>
        <item m="1" x="1235"/>
        <item m="1" x="1735"/>
        <item m="1" x="2233"/>
        <item m="1" x="2735"/>
        <item m="1" x="3242"/>
        <item m="1" x="3753"/>
        <item m="1" x="4263"/>
        <item m="1" x="4762"/>
        <item m="1" x="5261"/>
        <item m="1" x="5761"/>
        <item m="1" x="6264"/>
        <item m="1" x="6771"/>
        <item m="1" x="7274"/>
        <item m="1" x="7781"/>
        <item m="1" x="358"/>
        <item m="1" x="855"/>
        <item m="1" x="1354"/>
        <item m="1" x="1852"/>
        <item m="1" x="2354"/>
        <item m="1" x="2860"/>
        <item m="1" x="3366"/>
        <item m="1" x="3878"/>
        <item m="1" x="4387"/>
        <item m="1" x="4884"/>
        <item m="1" x="5382"/>
        <item m="1" x="5882"/>
        <item m="1" x="6387"/>
        <item m="1" x="6894"/>
        <item m="1" x="7395"/>
        <item m="1" x="7901"/>
        <item m="1" x="480"/>
        <item m="1" x="980"/>
        <item m="1" x="1475"/>
        <item m="1" x="1975"/>
        <item m="1" x="2479"/>
        <item m="1" x="2983"/>
        <item m="1" x="3489"/>
        <item m="1" x="4005"/>
        <item m="1" x="4511"/>
        <item m="1" x="5006"/>
        <item m="1" x="5505"/>
        <item m="1" x="6004"/>
        <item m="1" x="6509"/>
        <item m="1" x="7014"/>
        <item m="1" x="7518"/>
        <item m="1" x="98"/>
        <item m="1" x="602"/>
        <item m="1" x="1103"/>
        <item m="1" x="1600"/>
        <item m="1" x="2098"/>
        <item m="1" x="2602"/>
        <item m="1" x="3107"/>
        <item m="1" x="3612"/>
        <item m="1" x="4127"/>
        <item m="1" x="4628"/>
        <item m="1" x="5126"/>
        <item m="1" x="5627"/>
        <item m="1" x="6127"/>
        <item m="1" x="6634"/>
        <item m="1" x="7139"/>
        <item m="1" x="7644"/>
        <item m="1" x="219"/>
        <item m="1" x="720"/>
        <item m="1" x="1224"/>
        <item m="1" x="1722"/>
        <item m="1" x="2218"/>
        <item m="1" x="2723"/>
        <item m="1" x="3229"/>
        <item m="1" x="3737"/>
        <item m="1" x="4246"/>
        <item m="1" x="4749"/>
        <item m="1" x="5247"/>
        <item m="1" x="5746"/>
        <item m="1" x="6249"/>
        <item m="1" x="6758"/>
        <item m="1" x="7262"/>
        <item m="1" x="7765"/>
        <item m="1" x="341"/>
        <item m="1" x="841"/>
        <item m="1" x="1342"/>
        <item m="1" x="1838"/>
        <item m="1" x="2339"/>
        <item m="1" x="2847"/>
        <item m="1" x="3353"/>
        <item m="1" x="3863"/>
        <item m="1" x="4370"/>
        <item m="1" x="4870"/>
        <item m="1" x="5369"/>
        <item m="1" x="5868"/>
        <item m="1" x="6372"/>
        <item m="1" x="6880"/>
        <item m="1" x="7383"/>
        <item m="1" x="7886"/>
        <item m="1" x="463"/>
        <item m="1" x="965"/>
        <item m="1" x="1463"/>
        <item m="1" x="1961"/>
        <item m="1" x="2463"/>
        <item m="1" x="2970"/>
        <item m="1" x="3478"/>
        <item m="1" x="3989"/>
        <item m="1" x="4494"/>
        <item m="1" x="4992"/>
        <item m="1" x="5492"/>
        <item m="1" x="5989"/>
        <item m="1" x="6494"/>
        <item m="1" x="6999"/>
        <item m="1" x="7505"/>
        <item m="1" x="82"/>
        <item m="1" x="584"/>
        <item m="1" x="1085"/>
        <item m="1" x="1587"/>
        <item m="1" x="2083"/>
        <item m="1" x="2586"/>
        <item m="1" x="3090"/>
        <item m="1" x="3600"/>
        <item m="1" x="4110"/>
        <item m="1" x="4609"/>
        <item m="1" x="5107"/>
        <item m="1" x="5613"/>
        <item m="1" x="6111"/>
        <item m="1" x="6617"/>
        <item m="1" x="7121"/>
        <item m="1" x="7629"/>
        <item m="1" x="203"/>
        <item m="1" x="702"/>
        <item m="1" x="1205"/>
        <item m="1" x="1709"/>
        <item m="1" x="2203"/>
        <item m="1" x="2707"/>
        <item m="1" x="3212"/>
        <item m="1" x="3724"/>
        <item m="1" x="4230"/>
        <item m="1" x="4729"/>
        <item m="1" x="5229"/>
        <item m="1" x="5732"/>
        <item m="1" x="6234"/>
        <item m="1" x="6742"/>
        <item m="1" x="7246"/>
        <item m="1" x="7750"/>
        <item m="1" x="325"/>
        <item m="1" x="822"/>
        <item m="1" x="1324"/>
        <item m="1" x="1824"/>
        <item m="1" x="2323"/>
        <item m="1" x="2829"/>
        <item m="1" x="3336"/>
        <item m="1" x="3847"/>
        <item m="1" x="4354"/>
        <item m="1" x="4851"/>
        <item m="1" x="5351"/>
        <item m="1" x="5853"/>
        <item m="1" x="6357"/>
        <item m="1" x="6864"/>
        <item m="1" x="7367"/>
        <item m="1" x="7871"/>
        <item m="1" x="447"/>
        <item m="1" x="944"/>
        <item m="1" x="1443"/>
        <item m="1" x="1946"/>
        <item m="1" x="2448"/>
        <item m="1" x="2952"/>
        <item m="1" x="3460"/>
        <item m="1" x="6167"/>
        <item m="1" x="6677"/>
        <item m="1" x="7181"/>
        <item m="1" x="7684"/>
        <item m="1" x="262"/>
        <item m="1" x="759"/>
        <item m="1" x="1260"/>
        <item m="1" x="1758"/>
        <item m="1" x="2255"/>
        <item m="1" x="2763"/>
        <item m="1" x="3270"/>
        <item m="1" x="3778"/>
        <item m="1" x="4290"/>
        <item m="1" x="4787"/>
        <item m="1" x="5286"/>
        <item m="1" x="5783"/>
        <item m="1" x="6287"/>
        <item m="1" x="6798"/>
        <item m="1" x="7302"/>
        <item m="1" x="7807"/>
        <item m="1" x="384"/>
        <item m="1" x="881"/>
        <item m="1" x="1380"/>
        <item m="1" x="1876"/>
        <item m="1" x="2379"/>
        <item m="1" x="2887"/>
        <item m="1" x="3397"/>
        <item m="1" x="3907"/>
        <item m="1" x="4415"/>
        <item m="1" x="4910"/>
        <item m="1" x="5408"/>
        <item m="1" x="5906"/>
        <item m="1" x="6410"/>
        <item m="1" x="6920"/>
        <item m="1" x="7423"/>
        <item m="1" x="7927"/>
        <item m="1" x="506"/>
        <item m="1" x="1004"/>
        <item m="1" x="1502"/>
        <item m="1" x="2000"/>
        <item m="1" x="2505"/>
        <item m="1" x="3011"/>
        <item m="1" x="3519"/>
        <item m="1" x="4032"/>
        <item m="1" x="4536"/>
        <item m="1" x="5031"/>
        <item m="1" x="5529"/>
        <item m="1" x="6028"/>
        <item m="1" x="6532"/>
        <item m="1" x="7039"/>
        <item m="1" x="7547"/>
        <item m="1" x="124"/>
        <item m="1" x="626"/>
        <item m="1" x="1126"/>
        <item m="1" x="1625"/>
        <item m="1" x="2121"/>
        <item m="1" x="2625"/>
        <item m="1" x="3131"/>
        <item m="1" x="3640"/>
        <item m="1" x="4150"/>
        <item m="1" x="4651"/>
        <item m="1" x="5149"/>
        <item m="1" x="5651"/>
        <item m="1" x="6150"/>
        <item m="1" x="6657"/>
        <item m="1" x="7164"/>
        <item m="1" x="7670"/>
        <item m="1" x="243"/>
        <item m="1" x="744"/>
        <item m="1" x="1245"/>
        <item m="1" x="1746"/>
        <item m="1" x="2241"/>
        <item m="1" x="2746"/>
        <item m="1" x="3255"/>
        <item m="1" x="3766"/>
        <item m="1" x="4272"/>
        <item m="1" x="4774"/>
        <item m="1" x="5271"/>
        <item m="1" x="5772"/>
        <item m="1" x="6272"/>
        <item m="1" x="6781"/>
        <item m="1" x="7286"/>
        <item m="1" x="7795"/>
        <item m="1" x="367"/>
        <item m="1" x="867"/>
        <item m="1" x="1365"/>
        <item m="1" x="1864"/>
        <item m="1" x="2364"/>
        <item m="1" x="2870"/>
        <item m="1" x="3380"/>
        <item m="1" x="3894"/>
        <item m="1" x="4399"/>
        <item m="1" x="4895"/>
        <item m="1" x="5393"/>
        <item m="1" x="5894"/>
        <item m="1" x="6395"/>
        <item m="1" x="6902"/>
        <item m="1" x="7407"/>
        <item m="1" x="7914"/>
        <item m="1" x="489"/>
        <item m="1" x="989"/>
        <item m="1" x="1486"/>
        <item m="1" x="1985"/>
        <item m="1" x="2489"/>
        <item m="1" x="2992"/>
        <item m="1" x="3502"/>
        <item m="1" x="4017"/>
        <item m="1" x="4521"/>
        <item m="1" x="5016"/>
        <item m="1" x="5515"/>
        <item m="1" x="6014"/>
        <item m="1" x="6519"/>
        <item m="1" x="7022"/>
        <item m="1" x="7531"/>
        <item m="1" x="110"/>
        <item m="1" x="612"/>
        <item m="1" x="1113"/>
        <item m="1" x="1611"/>
        <item m="1" x="2109"/>
        <item m="1" x="2613"/>
        <item m="1" x="3116"/>
        <item m="1" x="3624"/>
        <item m="1" x="4139"/>
        <item m="1" x="4638"/>
        <item m="1" x="5136"/>
        <item m="1" x="5637"/>
        <item m="1" x="6138"/>
        <item m="1" x="6645"/>
        <item m="1" x="7148"/>
        <item m="1" x="7655"/>
        <item m="1" x="233"/>
        <item m="1" x="730"/>
        <item m="1" x="1233"/>
        <item m="1" x="1733"/>
        <item m="1" x="2230"/>
        <item m="1" x="2733"/>
        <item m="1" x="3239"/>
        <item m="1" x="3749"/>
        <item m="1" x="4260"/>
        <item m="1" x="4760"/>
        <item m="1" x="5258"/>
        <item m="1" x="5757"/>
        <item m="1" x="6261"/>
        <item m="1" x="6768"/>
        <item m="1" x="7272"/>
        <item m="1" x="7777"/>
        <item m="1" x="355"/>
        <item m="1" x="853"/>
        <item m="1" x="1352"/>
        <item m="1" x="1849"/>
        <item m="1" x="2351"/>
        <item m="1" x="2858"/>
        <item m="1" x="3364"/>
        <item m="1" x="3874"/>
        <item m="1" x="4384"/>
        <item m="1" x="4882"/>
        <item m="1" x="5379"/>
        <item m="1" x="5878"/>
        <item m="1" x="6384"/>
        <item m="1" x="6891"/>
        <item m="1" x="7392"/>
        <item m="1" x="7897"/>
        <item m="1" x="477"/>
        <item m="1" x="977"/>
        <item m="1" x="1472"/>
        <item m="1" x="1972"/>
        <item m="1" x="2475"/>
        <item m="1" x="2981"/>
        <item m="1" x="3487"/>
        <item m="1" x="4001"/>
        <item m="1" x="4508"/>
        <item m="1" x="5004"/>
        <item m="1" x="5502"/>
        <item m="1" x="6000"/>
        <item m="1" x="6506"/>
        <item m="1" x="7012"/>
        <item m="1" x="7515"/>
        <item m="1" x="94"/>
        <item m="1" x="598"/>
        <item m="1" x="1101"/>
        <item m="1" x="1598"/>
        <item m="1" x="2095"/>
        <item m="1" x="2599"/>
        <item m="1" x="3105"/>
        <item m="1" x="3610"/>
        <item m="1" x="4123"/>
        <item m="1" x="4624"/>
        <item m="1" x="5124"/>
        <item m="1" x="5624"/>
        <item m="1" x="6123"/>
        <item m="1" x="6630"/>
        <item m="1" x="7136"/>
        <item m="1" x="7639"/>
        <item m="1" x="215"/>
        <item m="1" x="714"/>
        <item m="1" x="1220"/>
        <item m="1" x="1717"/>
        <item m="1" x="2215"/>
        <item m="1" x="2718"/>
        <item m="1" x="3225"/>
        <item m="1" x="3733"/>
        <item m="1" x="4242"/>
        <item m="1" x="4743"/>
        <item m="1" x="5243"/>
        <item m="1" x="5741"/>
        <item m="1" x="6245"/>
        <item m="1" x="6753"/>
        <item m="1" x="7259"/>
        <item m="1" x="7760"/>
        <item m="1" x="337"/>
        <item m="1" x="835"/>
        <item m="1" x="1339"/>
        <item m="1" x="1834"/>
        <item m="1" x="2336"/>
        <item m="1" x="2842"/>
        <item m="1" x="3350"/>
        <item m="1" x="3859"/>
        <item m="1" x="4366"/>
        <item m="1" x="4864"/>
        <item m="1" x="5366"/>
        <item m="1" x="5863"/>
        <item m="1" x="6368"/>
        <item m="1" x="6875"/>
        <item m="1" x="7380"/>
        <item m="1" x="7881"/>
        <item m="1" x="458"/>
        <item m="1" x="959"/>
        <item m="1" x="1458"/>
        <item m="1" x="1956"/>
        <item m="1" x="2460"/>
        <item m="1" x="2965"/>
        <item m="1" x="3474"/>
        <item m="1" x="3985"/>
        <item m="1" x="4490"/>
        <item m="1" x="4985"/>
        <item m="1" x="5488"/>
        <item m="1" x="5985"/>
        <item m="1" x="6490"/>
        <item m="1" x="6994"/>
        <item m="1" x="7501"/>
        <item m="1" x="77"/>
        <item m="1" x="580"/>
        <item m="1" x="1079"/>
        <item m="1" x="1582"/>
        <item m="1" x="4800"/>
        <item m="1" x="5298"/>
        <item m="1" x="5796"/>
        <item m="1" x="6301"/>
        <item m="1" x="6811"/>
        <item m="1" x="7312"/>
        <item m="1" x="7820"/>
        <item m="1" x="394"/>
        <item m="1" x="892"/>
        <item m="1" x="1388"/>
        <item m="1" x="1887"/>
        <item m="1" x="2392"/>
        <item m="1" x="2898"/>
        <item m="1" x="3405"/>
        <item m="1" x="3920"/>
        <item m="1" x="4426"/>
        <item m="1" x="4920"/>
        <item m="1" x="5417"/>
        <item m="1" x="5918"/>
        <item m="1" x="6423"/>
        <item m="1" x="6931"/>
        <item m="1" x="7433"/>
        <item m="1" x="7942"/>
        <item m="1" x="517"/>
        <item m="1" x="1015"/>
        <item m="1" x="1511"/>
        <item m="1" x="2011"/>
        <item m="1" x="2518"/>
        <item m="1" x="3022"/>
        <item m="1" x="3528"/>
        <item m="1" x="4045"/>
        <item m="1" x="4547"/>
        <item m="1" x="5041"/>
        <item m="1" x="5538"/>
        <item m="1" x="6040"/>
        <item m="1" x="6546"/>
        <item m="1" x="7052"/>
        <item m="1" x="7556"/>
        <item m="1" x="137"/>
        <item m="1" x="639"/>
        <item m="1" x="1139"/>
        <item m="1" x="1636"/>
        <item m="1" x="2133"/>
        <item m="1" x="2641"/>
        <item m="1" x="3144"/>
        <item m="1" x="3649"/>
        <item m="1" x="4163"/>
        <item m="1" x="4663"/>
        <item m="1" x="5161"/>
        <item m="1" x="5661"/>
        <item m="1" x="6162"/>
        <item m="1" x="6671"/>
        <item m="1" x="7177"/>
        <item m="1" x="7679"/>
        <item m="1" x="256"/>
        <item m="1" x="754"/>
        <item m="1" x="1257"/>
        <item m="1" x="1754"/>
        <item m="1" x="2251"/>
        <item m="1" x="2758"/>
        <item m="1" x="3267"/>
        <item m="1" x="3774"/>
        <item m="1" x="4285"/>
        <item m="1" x="4783"/>
        <item m="1" x="5283"/>
        <item m="1" x="5780"/>
        <item m="1" x="6283"/>
        <item m="1" x="6793"/>
        <item m="1" x="7299"/>
        <item m="1" x="7803"/>
        <item m="1" x="379"/>
        <item m="1" x="877"/>
        <item m="1" x="1377"/>
        <item m="1" x="1872"/>
        <item m="1" x="2374"/>
        <item m="1" x="2882"/>
        <item m="1" x="3393"/>
        <item m="1" x="3902"/>
        <item m="1" x="4410"/>
        <item m="1" x="4906"/>
        <item m="1" x="5404"/>
        <item m="1" x="5903"/>
        <item m="1" x="6406"/>
        <item m="1" x="6915"/>
        <item m="1" x="7420"/>
        <item m="1" x="7923"/>
        <item m="1" x="501"/>
        <item m="1" x="1000"/>
        <item m="1" x="1498"/>
        <item m="1" x="1996"/>
        <item m="1" x="2500"/>
        <item m="1" x="3006"/>
        <item m="1" x="3515"/>
        <item m="1" x="4029"/>
        <item m="1" x="4531"/>
        <item m="1" x="5027"/>
        <item m="1" x="5525"/>
        <item m="1" x="6025"/>
        <item m="1" x="6528"/>
        <item m="1" x="7034"/>
        <item m="1" x="7543"/>
        <item m="1" x="121"/>
        <item m="1" x="621"/>
        <item m="1" x="1123"/>
        <item m="1" x="1621"/>
        <item m="1" x="2119"/>
        <item m="1" x="2621"/>
        <item m="1" x="3128"/>
        <item m="1" x="3636"/>
        <item m="1" x="4148"/>
        <item m="1" x="4647"/>
        <item m="1" x="5147"/>
        <item m="1" x="5648"/>
        <item m="1" x="6148"/>
        <item m="1" x="6654"/>
        <item m="1" x="7161"/>
        <item m="1" x="7667"/>
        <item m="1" x="242"/>
        <item m="1" x="740"/>
        <item m="1" x="1243"/>
        <item m="1" x="1743"/>
        <item m="1" x="2239"/>
        <item m="1" x="2742"/>
        <item m="1" x="3252"/>
        <item m="1" x="3763"/>
        <item m="1" x="4271"/>
        <item m="1" x="4770"/>
        <item m="1" x="5269"/>
        <item m="1" x="5769"/>
        <item m="1" x="6271"/>
        <item m="1" x="6778"/>
        <item m="1" x="7283"/>
        <item m="1" x="7792"/>
        <item m="1" x="366"/>
        <item m="1" x="863"/>
        <item m="1" x="1362"/>
        <item m="1" x="1861"/>
        <item m="1" x="2361"/>
        <item m="1" x="2867"/>
        <item m="1" x="3376"/>
        <item m="1" x="3891"/>
        <item m="1" x="4396"/>
        <item m="1" x="4892"/>
        <item m="1" x="5390"/>
        <item m="1" x="5890"/>
        <item m="1" x="6394"/>
        <item m="1" x="6900"/>
        <item m="1" x="7403"/>
        <item m="1" x="7910"/>
        <item m="1" x="487"/>
        <item m="1" x="986"/>
        <item m="1" x="1482"/>
        <item m="1" x="1982"/>
        <item m="1" x="2486"/>
        <item m="1" x="2989"/>
        <item m="1" x="3498"/>
        <item m="1" x="4014"/>
        <item m="1" x="4519"/>
        <item m="1" x="5013"/>
        <item m="1" x="5512"/>
        <item m="1" x="6011"/>
        <item m="1" x="6517"/>
        <item m="1" x="7020"/>
        <item m="1" x="7527"/>
        <item m="1" x="107"/>
        <item m="1" x="610"/>
        <item m="1" x="1110"/>
        <item m="1" x="1607"/>
        <item m="1" x="2106"/>
        <item m="1" x="2610"/>
        <item m="1" x="3113"/>
        <item m="1" x="3620"/>
        <item m="1" x="4136"/>
        <item m="1" x="4635"/>
        <item m="1" x="5132"/>
        <item m="1" x="5634"/>
        <item m="1" x="6135"/>
        <item m="1" x="6642"/>
        <item m="1" x="7146"/>
        <item m="1" x="7651"/>
        <item m="1" x="229"/>
        <item m="1" x="728"/>
        <item m="1" x="1230"/>
        <item m="1" x="1729"/>
        <item m="1" x="2227"/>
        <item m="1" x="2731"/>
        <item m="1" x="3236"/>
        <item m="1" x="3745"/>
        <item m="1" x="4256"/>
        <item m="1" x="4757"/>
        <item m="1" x="5254"/>
        <item m="1" x="5753"/>
        <item m="1" x="6256"/>
        <item m="1" x="6764"/>
        <item m="1" x="7268"/>
        <item m="1" x="7772"/>
        <item m="1" x="349"/>
        <item m="1" x="849"/>
        <item m="1" x="1347"/>
        <item m="1" x="1844"/>
        <item m="1" x="2346"/>
        <item m="1" x="2854"/>
        <item m="1" x="3359"/>
        <item m="1" x="3869"/>
        <item m="1" x="4378"/>
        <item m="1" x="4877"/>
        <item m="1" x="5373"/>
        <item m="1" x="5874"/>
        <item m="1" x="6378"/>
        <item m="1" x="6887"/>
        <item m="1" x="7388"/>
        <item m="1" x="7892"/>
        <item m="1" x="471"/>
        <item m="1" x="973"/>
        <item m="1" x="1467"/>
        <item m="1" x="1967"/>
        <item m="1" x="2470"/>
        <item m="1" x="2977"/>
        <item m="1" x="3482"/>
        <item m="1" x="3996"/>
        <item m="1" x="4502"/>
        <item m="1" x="5000"/>
        <item m="1" x="5497"/>
        <item m="1" x="5996"/>
        <item m="1" x="6501"/>
        <item m="1" x="7007"/>
        <item m="1" x="7511"/>
        <item m="1" x="89"/>
        <item m="1" x="592"/>
        <item m="1" x="1096"/>
        <item m="1" x="1594"/>
        <item m="1" x="2091"/>
        <item m="1" x="2594"/>
        <item m="1" x="3100"/>
        <item m="1" x="3606"/>
        <item m="1" x="4117"/>
        <item m="1" x="4618"/>
        <item m="1" x="5118"/>
        <item m="1" x="5619"/>
        <item m="1" x="6119"/>
        <item m="1" x="6625"/>
        <item m="1" x="7130"/>
        <item m="1" x="7636"/>
        <item m="1" x="210"/>
        <item m="1" x="2909"/>
        <item m="1" x="3419"/>
        <item m="1" x="3934"/>
        <item m="1" x="4438"/>
        <item m="1" x="4930"/>
        <item m="1" x="5429"/>
        <item m="1" x="5931"/>
        <item m="1" x="6434"/>
        <item m="1" x="6940"/>
        <item m="1" x="7446"/>
        <item m="1" x="7954"/>
        <item m="1" x="527"/>
        <item m="1" x="1025"/>
        <item m="1" x="1522"/>
        <item m="1" x="2025"/>
        <item m="1" x="2529"/>
        <item m="1" x="3031"/>
        <item m="1" x="3541"/>
        <item m="1" x="4058"/>
        <item m="1" x="4557"/>
        <item m="1" x="5049"/>
        <item m="1" x="5550"/>
        <item m="1" x="6054"/>
        <item m="1" x="6558"/>
        <item m="1" x="7061"/>
        <item m="1" x="7569"/>
        <item m="1" x="149"/>
        <item m="1" x="649"/>
        <item m="1" x="1648"/>
        <item m="1" x="2146"/>
        <item m="1" x="2652"/>
        <item m="1" x="3153"/>
        <item m="1" x="3663"/>
        <item m="1" x="4176"/>
        <item m="1" x="4675"/>
        <item m="1" x="5169"/>
        <item m="1" x="5672"/>
        <item m="1" x="6177"/>
        <item m="1" x="6685"/>
        <item m="1" x="7188"/>
        <item m="1" x="7693"/>
        <item m="1" x="270"/>
        <item m="1" x="768"/>
        <item m="1" x="1267"/>
        <item m="1" x="1766"/>
        <item m="1" x="2265"/>
        <item m="1" x="2773"/>
        <item m="1" x="3277"/>
        <item m="1" x="3787"/>
        <item m="1" x="4299"/>
        <item m="1" x="4796"/>
        <item m="1" x="5293"/>
        <item m="1" x="5791"/>
        <item m="1" x="6295"/>
        <item m="1" x="6806"/>
        <item m="1" x="7306"/>
        <item m="1" x="7815"/>
        <item m="1" x="390"/>
        <item m="1" x="888"/>
        <item m="1" x="1385"/>
        <item m="1" x="1883"/>
        <item m="1" x="2387"/>
        <item m="1" x="2894"/>
        <item m="1" x="3401"/>
        <item m="1" x="3915"/>
        <item m="1" x="4422"/>
        <item m="1" x="4917"/>
        <item m="1" x="5413"/>
        <item m="1" x="5913"/>
        <item m="1" x="6418"/>
        <item m="1" x="6928"/>
        <item m="1" x="7429"/>
        <item m="1" x="7937"/>
        <item m="1" x="514"/>
        <item m="1" x="1012"/>
        <item m="1" x="1508"/>
        <item m="1" x="2007"/>
        <item m="1" x="2513"/>
        <item m="1" x="3019"/>
        <item m="1" x="3524"/>
        <item m="1" x="4040"/>
        <item m="1" x="4543"/>
        <item m="1" x="5038"/>
        <item m="1" x="5534"/>
        <item m="1" x="6035"/>
        <item m="1" x="6541"/>
        <item m="1" x="7047"/>
        <item m="1" x="7552"/>
        <item m="1" x="132"/>
        <item m="1" x="635"/>
        <item m="1" x="1135"/>
        <item m="1" x="1633"/>
        <item m="1" x="2129"/>
        <item m="1" x="2635"/>
        <item m="1" x="3140"/>
        <item m="1" x="3646"/>
        <item m="1" x="4158"/>
        <item m="1" x="4659"/>
        <item m="1" x="5157"/>
        <item m="1" x="5657"/>
        <item m="1" x="6157"/>
        <item m="1" x="6666"/>
        <item m="1" x="7173"/>
        <item m="1" x="7677"/>
        <item m="1" x="252"/>
        <item m="1" x="752"/>
        <item m="1" x="1254"/>
        <item m="1" x="1753"/>
        <item m="1" x="2248"/>
        <item m="1" x="2755"/>
        <item m="1" x="3264"/>
        <item m="1" x="3773"/>
        <item m="1" x="4281"/>
        <item m="1" x="5280"/>
        <item m="1" x="5778"/>
        <item m="1" x="6279"/>
        <item m="1" x="6790"/>
        <item m="1" x="7295"/>
        <item m="1" x="7801"/>
        <item m="1" x="375"/>
        <item m="1" x="875"/>
        <item m="1" x="1373"/>
        <item m="1" x="1871"/>
        <item m="1" x="2371"/>
        <item m="1" x="2879"/>
        <item m="1" x="3390"/>
        <item m="1" x="3901"/>
        <item m="1" x="4406"/>
        <item m="1" x="4903"/>
        <item m="1" x="5401"/>
        <item m="1" x="5901"/>
        <item m="1" x="6402"/>
        <item m="1" x="6912"/>
        <item m="1" x="7417"/>
        <item m="1" x="7922"/>
        <item m="1" x="497"/>
        <item m="1" x="997"/>
        <item m="1" x="1495"/>
        <item m="1" x="1994"/>
        <item m="1" x="2498"/>
        <item m="1" x="3002"/>
        <item m="1" x="3512"/>
        <item m="1" x="4027"/>
        <item m="1" x="4528"/>
        <item m="1" x="5023"/>
        <item m="1" x="5522"/>
        <item m="1" x="6022"/>
        <item m="1" x="6525"/>
        <item m="1" x="7030"/>
        <item m="1" x="7540"/>
        <item m="1" x="118"/>
        <item m="1" x="618"/>
        <item m="1" x="1120"/>
        <item m="1" x="1618"/>
        <item m="1" x="2116"/>
        <item m="1" x="2619"/>
        <item m="1" x="3124"/>
        <item m="1" x="3633"/>
        <item m="1" x="4146"/>
        <item m="1" x="4644"/>
        <item m="1" x="5143"/>
        <item m="1" x="5645"/>
        <item m="1" x="6145"/>
        <item m="1" x="6651"/>
        <item m="1" x="7157"/>
        <item m="1" x="7664"/>
        <item m="1" x="240"/>
        <item m="1" x="737"/>
        <item m="1" x="1240"/>
        <item m="1" x="1740"/>
        <item m="1" x="2237"/>
        <item m="1" x="2740"/>
        <item m="1" x="3248"/>
        <item m="1" x="3759"/>
        <item m="1" x="4269"/>
        <item m="1" x="4767"/>
        <item m="1" x="5265"/>
        <item m="1" x="5766"/>
        <item m="1" x="6269"/>
        <item m="1" x="6775"/>
        <item m="1" x="7279"/>
        <item m="1" x="7788"/>
        <item m="1" x="363"/>
        <item m="1" x="859"/>
        <item m="1" x="1359"/>
        <item m="1" x="1857"/>
        <item m="1" x="2359"/>
        <item m="1" x="2865"/>
        <item m="1" x="3371"/>
        <item m="1" x="3884"/>
        <item m="1" x="4392"/>
        <item m="1" x="4887"/>
        <item m="1" x="5385"/>
        <item m="1" x="5885"/>
        <item m="1" x="6391"/>
        <item m="1" x="6896"/>
        <item m="1" x="7399"/>
        <item m="1" x="7905"/>
        <item m="1" x="484"/>
        <item m="1" x="982"/>
        <item m="1" x="1479"/>
        <item m="1" x="1978"/>
        <item m="1" x="2483"/>
        <item m="1" x="2986"/>
        <item m="1" x="3494"/>
        <item m="1" x="4009"/>
        <item m="1" x="4516"/>
        <item m="1" x="5009"/>
        <item m="1" x="5508"/>
        <item m="1" x="6007"/>
        <item m="1" x="6514"/>
        <item m="1" x="7016"/>
        <item m="1" x="7522"/>
        <item m="1" x="102"/>
        <item m="1" x="606"/>
        <item m="1" x="1105"/>
        <item m="1" x="1604"/>
        <item m="1" x="2102"/>
        <item m="1" x="2606"/>
        <item m="1" x="3110"/>
        <item m="1" x="3616"/>
        <item m="1" x="4131"/>
        <item m="1" x="4632"/>
        <item m="1" x="5128"/>
        <item m="1" x="5630"/>
        <item m="1" x="6131"/>
        <item m="1" x="6638"/>
        <item m="1" x="7142"/>
        <item m="1" x="7647"/>
        <item m="1" x="224"/>
        <item m="1" x="724"/>
        <item m="1" x="1227"/>
        <item m="1" x="1726"/>
        <item m="1" x="2223"/>
        <item m="1" x="2727"/>
        <item m="1" x="3233"/>
        <item m="1" x="3741"/>
        <item m="1" x="4251"/>
        <item m="1" x="4753"/>
        <item m="1" x="5251"/>
        <item m="1" x="5749"/>
        <item m="1" x="6253"/>
        <item m="1" x="1538"/>
        <item m="1" x="2037"/>
        <item m="1" x="2540"/>
        <item m="1" x="3044"/>
        <item m="1" x="3555"/>
        <item m="1" x="4068"/>
        <item m="1" x="4567"/>
        <item m="1" x="5060"/>
        <item m="1" x="5563"/>
        <item m="1" x="6064"/>
        <item m="1" x="6568"/>
        <item m="1" x="7075"/>
        <item m="1" x="7582"/>
        <item m="1" x="159"/>
        <item m="1" x="658"/>
        <item m="1" x="1157"/>
        <item m="1" x="1661"/>
        <item m="1" x="2157"/>
        <item m="1" x="2662"/>
        <item m="1" x="3166"/>
        <item m="1" x="3678"/>
        <item m="1" x="4188"/>
        <item m="1" x="4685"/>
        <item m="1" x="5182"/>
        <item m="1" x="5686"/>
        <item m="1" x="6189"/>
        <item m="1" x="6695"/>
        <item m="1" x="7201"/>
        <item m="1" x="7707"/>
        <item m="1" x="281"/>
        <item m="1" x="777"/>
        <item m="1" x="1278"/>
        <item m="1" x="1779"/>
        <item m="1" x="2276"/>
        <item m="1" x="2782"/>
        <item m="1" x="3291"/>
        <item m="1" x="3802"/>
        <item m="1" x="4310"/>
        <item m="1" x="4807"/>
        <item m="1" x="5306"/>
        <item m="1" x="5806"/>
        <item m="1" x="6309"/>
        <item m="1" x="6817"/>
        <item m="1" x="7321"/>
        <item m="1" x="7830"/>
        <item m="1" x="402"/>
        <item m="1" x="899"/>
        <item m="1" x="1396"/>
        <item m="1" x="1897"/>
        <item m="1" x="2400"/>
        <item m="1" x="2905"/>
        <item m="1" x="3414"/>
        <item m="1" x="3929"/>
        <item m="1" x="4434"/>
        <item m="1" x="4926"/>
        <item m="1" x="5424"/>
        <item m="1" x="5926"/>
        <item m="1" x="6431"/>
        <item m="1" x="6936"/>
        <item m="1" x="7441"/>
        <item m="1" x="7950"/>
        <item m="1" x="524"/>
        <item m="1" x="1021"/>
        <item m="1" x="1518"/>
        <item m="1" x="2020"/>
        <item m="1" x="2525"/>
        <item m="1" x="3026"/>
        <item m="1" x="3536"/>
        <item m="1" x="4053"/>
        <item m="1" x="4554"/>
        <item m="1" x="5046"/>
        <item m="1" x="5546"/>
        <item m="1" x="6049"/>
        <item m="1" x="6555"/>
        <item m="1" x="7057"/>
        <item m="1" x="7564"/>
        <item m="1" x="145"/>
        <item m="1" x="646"/>
        <item m="1" x="1143"/>
        <item m="1" x="1643"/>
        <item m="1" x="2141"/>
        <item m="1" x="2649"/>
        <item m="1" x="3149"/>
        <item m="1" x="3658"/>
        <item m="1" x="4172"/>
        <item m="1" x="4671"/>
        <item m="1" x="5166"/>
        <item m="1" x="5668"/>
        <item m="1" x="6172"/>
        <item m="1" x="6681"/>
        <item m="1" x="7185"/>
        <item m="1" x="7688"/>
        <item m="1" x="266"/>
        <item m="1" x="764"/>
        <item m="1" x="1263"/>
        <item m="1" x="1761"/>
        <item m="1" x="2260"/>
        <item m="1" x="2768"/>
        <item m="1" x="3273"/>
        <item m="1" x="3782"/>
        <item m="1" x="4295"/>
        <item m="1" x="4791"/>
        <item m="1" x="5290"/>
        <item m="1" x="5787"/>
        <item m="1" x="6292"/>
        <item m="1" x="6802"/>
        <item m="1" x="7305"/>
        <item m="1" x="7811"/>
        <item m="1" x="388"/>
        <item m="1" x="885"/>
        <item m="1" x="1383"/>
        <item m="1" x="1879"/>
        <item m="1" x="2384"/>
        <item m="1" x="2891"/>
        <item m="1" x="3400"/>
        <item m="1" x="3911"/>
        <item m="1" x="4420"/>
        <item m="1" x="4914"/>
        <item m="1" x="5412"/>
        <item m="1" x="5910"/>
        <item m="1" x="6415"/>
        <item m="1" x="6924"/>
        <item m="1" x="7427"/>
        <item m="1" x="7932"/>
        <item m="1" x="510"/>
        <item m="1" x="1008"/>
        <item m="1" x="1506"/>
        <item m="1" x="2003"/>
        <item m="1" x="2510"/>
        <item m="1" x="3016"/>
        <item m="1" x="3522"/>
        <item m="1" x="4036"/>
        <item m="1" x="4541"/>
        <item m="1" x="5035"/>
        <item m="1" x="5532"/>
        <item m="1" x="6032"/>
        <item m="1" x="6537"/>
        <item m="1" x="7044"/>
        <item m="1" x="7550"/>
        <item m="1" x="129"/>
        <item m="1" x="631"/>
        <item m="1" x="1132"/>
        <item m="1" x="1630"/>
        <item m="1" x="2126"/>
        <item m="1" x="2631"/>
        <item m="1" x="3137"/>
        <item m="1" x="3644"/>
        <item m="1" x="4155"/>
        <item m="1" x="4656"/>
        <item m="1" x="5154"/>
        <item m="1" x="5655"/>
        <item m="1" x="6155"/>
        <item m="1" x="6662"/>
        <item m="1" x="7170"/>
        <item m="1" x="7675"/>
        <item m="1" x="249"/>
        <item m="1" x="748"/>
        <item m="1" x="1251"/>
        <item m="1" x="1750"/>
        <item m="1" x="2245"/>
        <item m="1" x="2751"/>
        <item m="1" x="3261"/>
        <item m="1" x="3770"/>
        <item m="1" x="4277"/>
        <item m="1" x="4779"/>
        <item m="1" x="5276"/>
        <item m="1" x="5776"/>
        <item m="1" x="6277"/>
        <item m="1" x="6786"/>
        <item m="1" x="7292"/>
        <item m="1" x="7799"/>
        <item m="1" x="372"/>
        <item m="1" x="871"/>
        <item m="1" x="1370"/>
        <item m="1" x="1869"/>
        <item m="1" x="2368"/>
        <item m="1" x="2875"/>
        <item m="1" x="3386"/>
        <item m="1" x="3899"/>
        <item m="1" x="4403"/>
        <item m="1" x="4900"/>
        <item m="1" x="5398"/>
        <item m="1" x="5899"/>
        <item m="1" x="6400"/>
        <item m="1" x="6908"/>
        <item m="1" x="7413"/>
        <item m="1" x="7920"/>
        <item m="1" x="494"/>
        <item m="1" x="993"/>
        <item m="1" x="1491"/>
        <item m="1" x="1991"/>
        <item m="1" x="2493"/>
        <item m="1" x="2997"/>
        <item m="1" x="3506"/>
        <item m="1" x="4022"/>
        <item m="1" x="4523"/>
        <item m="1" x="5020"/>
        <item m="1" x="5518"/>
        <item m="1" x="6018"/>
        <item m="1" x="6522"/>
        <item m="1" x="7026"/>
        <item m="1" x="7535"/>
        <item m="1" x="114"/>
        <item m="1" x="614"/>
        <item m="1" x="1116"/>
        <item m="1" x="1614"/>
        <item m="1" x="2113"/>
        <item m="1" x="2615"/>
        <item m="1" x="3120"/>
        <item m="1" x="3628"/>
        <item m="1" x="4143"/>
        <item m="1" x="4640"/>
        <item m="1" x="5140"/>
        <item m="1" x="5641"/>
        <item m="1" x="6142"/>
        <item m="1" x="6648"/>
        <item m="1" x="7153"/>
        <item m="1" x="7659"/>
        <item m="1" x="237"/>
        <item m="1" x="733"/>
        <item m="1" x="1236"/>
        <item m="1" x="1736"/>
        <item m="1" x="2234"/>
        <item m="1" x="2736"/>
        <item m="1" x="3243"/>
        <item m="1" x="3754"/>
        <item m="1" x="4264"/>
        <item m="1" x="4763"/>
        <item m="1" x="5262"/>
        <item m="1" x="5762"/>
        <item m="1" x="6265"/>
        <item m="1" x="6772"/>
        <item m="1" x="7275"/>
        <item m="1" x="7782"/>
        <item m="1" x="359"/>
        <item m="1" x="856"/>
        <item m="1" x="1355"/>
        <item m="1" x="1853"/>
        <item m="1" x="2355"/>
        <item m="1" x="2861"/>
        <item m="1" x="3367"/>
        <item m="1" x="3879"/>
        <item m="1" x="4388"/>
        <item m="1" x="4885"/>
        <item m="1" x="7596"/>
        <item m="1" x="173"/>
        <item m="1" x="671"/>
        <item m="1" x="1172"/>
        <item m="1" x="1674"/>
        <item m="1" x="2169"/>
        <item m="1" x="2675"/>
        <item m="1" x="3180"/>
        <item m="1" x="3689"/>
        <item m="1" x="4198"/>
        <item m="1" x="4696"/>
        <item m="1" x="5195"/>
        <item m="1" x="5697"/>
        <item m="1" x="6199"/>
        <item m="1" x="6708"/>
        <item m="1" x="7214"/>
        <item m="1" x="7717"/>
        <item m="1" x="292"/>
        <item m="1" x="789"/>
        <item m="1" x="1291"/>
        <item m="1" x="1789"/>
        <item m="1" x="2288"/>
        <item m="1" x="2797"/>
        <item m="1" x="3306"/>
        <item m="1" x="3813"/>
        <item m="1" x="4321"/>
        <item m="1" x="4817"/>
        <item m="1" x="5319"/>
        <item m="1" x="5817"/>
        <item m="1" x="6320"/>
        <item m="1" x="6830"/>
        <item m="1" x="7337"/>
        <item m="1" x="7840"/>
        <item m="1" x="413"/>
        <item m="1" x="911"/>
        <item m="1" x="1410"/>
        <item m="1" x="1910"/>
        <item m="1" x="2411"/>
        <item m="1" x="2918"/>
        <item m="1" x="3431"/>
        <item m="1" x="3942"/>
        <item m="1" x="4446"/>
        <item m="1" x="4938"/>
        <item m="1" x="5440"/>
        <item m="1" x="5939"/>
        <item m="1" x="6441"/>
        <item m="1" x="6949"/>
        <item m="1" x="7457"/>
        <item m="1" x="7962"/>
        <item m="1" x="535"/>
        <item m="1" x="1033"/>
        <item m="1" x="1532"/>
        <item m="1" x="2033"/>
        <item m="1" x="2535"/>
        <item m="1" x="3039"/>
        <item m="1" x="3550"/>
        <item m="1" x="4064"/>
        <item m="1" x="4563"/>
        <item m="1" x="5056"/>
        <item m="1" x="5558"/>
        <item m="1" x="6061"/>
        <item m="1" x="6564"/>
        <item m="1" x="7070"/>
        <item m="1" x="7578"/>
        <item m="1" x="156"/>
        <item m="1" x="655"/>
        <item m="1" x="1153"/>
        <item m="1" x="1656"/>
        <item m="1" x="2154"/>
        <item m="1" x="2658"/>
        <item m="1" x="3161"/>
        <item m="1" x="3674"/>
        <item m="1" x="4185"/>
        <item m="1" x="4681"/>
        <item m="1" x="5177"/>
        <item m="1" x="5681"/>
        <item m="1" x="6185"/>
        <item m="1" x="6690"/>
        <item m="1" x="7196"/>
        <item m="1" x="7703"/>
        <item m="1" x="277"/>
        <item m="1" x="774"/>
        <item m="1" x="1274"/>
        <item m="1" x="1774"/>
        <item m="1" x="2273"/>
        <item m="1" x="2778"/>
        <item m="1" x="3285"/>
        <item m="1" x="3798"/>
        <item m="1" x="4306"/>
        <item m="1" x="4803"/>
        <item m="1" x="5301"/>
        <item m="1" x="5801"/>
        <item m="1" x="6305"/>
        <item m="1" x="6814"/>
        <item m="1" x="7316"/>
        <item m="1" x="7826"/>
        <item m="1" x="398"/>
        <item m="1" x="896"/>
        <item m="1" x="1392"/>
        <item m="1" x="1892"/>
        <item m="1" x="2396"/>
        <item m="1" x="2902"/>
        <item m="1" x="3409"/>
        <item m="1" x="3926"/>
        <item m="1" x="4430"/>
        <item m="1" x="4924"/>
        <item m="1" x="5420"/>
        <item m="1" x="5923"/>
        <item m="1" x="6427"/>
        <item m="1" x="6934"/>
        <item m="1" x="7437"/>
        <item m="1" x="7948"/>
        <item m="1" x="521"/>
        <item m="1" x="1019"/>
        <item m="1" x="1515"/>
        <item m="1" x="2016"/>
        <item m="1" x="2522"/>
        <item m="1" x="3025"/>
        <item m="1" x="3532"/>
        <item m="1" x="4051"/>
        <item m="1" x="4551"/>
        <item m="1" x="5044"/>
        <item m="1" x="5541"/>
        <item m="1" x="6045"/>
        <item m="1" x="6551"/>
        <item m="1" x="7055"/>
        <item m="1" x="7560"/>
        <item m="1" x="143"/>
        <item m="1" x="643"/>
        <item m="1" x="1142"/>
        <item m="1" x="1640"/>
        <item m="1" x="2138"/>
        <item m="1" x="2646"/>
        <item m="1" x="3148"/>
        <item m="1" x="3654"/>
        <item m="1" x="4169"/>
        <item m="1" x="4668"/>
        <item m="1" x="5164"/>
        <item m="1" x="5664"/>
        <item m="1" x="6168"/>
        <item m="1" x="6678"/>
        <item m="1" x="7182"/>
        <item m="1" x="7685"/>
        <item m="1" x="263"/>
        <item m="1" x="760"/>
        <item m="1" x="1261"/>
        <item m="1" x="1759"/>
        <item m="1" x="2256"/>
        <item m="1" x="2764"/>
        <item m="1" x="3271"/>
        <item m="1" x="3779"/>
        <item m="1" x="4291"/>
        <item m="1" x="4788"/>
        <item m="1" x="5287"/>
        <item m="1" x="5784"/>
        <item m="1" x="6288"/>
        <item m="1" x="6799"/>
        <item m="1" x="7303"/>
        <item m="1" x="7808"/>
        <item m="1" x="385"/>
        <item m="1" x="882"/>
        <item m="1" x="1381"/>
        <item m="1" x="1877"/>
        <item m="1" x="2380"/>
        <item m="1" x="2888"/>
        <item m="1" x="3398"/>
        <item m="1" x="3908"/>
        <item m="1" x="4416"/>
        <item m="1" x="4911"/>
        <item m="1" x="5409"/>
        <item m="1" x="5907"/>
        <item m="1" x="6411"/>
        <item m="1" x="6921"/>
        <item m="1" x="7424"/>
        <item m="1" x="7928"/>
        <item m="1" x="507"/>
        <item m="1" x="1005"/>
        <item m="1" x="1503"/>
        <item m="1" x="2001"/>
        <item m="1" x="2506"/>
        <item m="1" x="3012"/>
        <item m="1" x="3520"/>
        <item m="1" x="4033"/>
        <item m="1" x="4537"/>
        <item m="1" x="5032"/>
        <item m="1" x="5530"/>
        <item m="1" x="6029"/>
        <item m="1" x="6533"/>
        <item m="1" x="7040"/>
        <item m="1" x="7548"/>
        <item m="1" x="125"/>
        <item m="1" x="627"/>
        <item m="1" x="1127"/>
        <item m="1" x="1626"/>
        <item m="1" x="2122"/>
        <item m="1" x="2626"/>
        <item m="1" x="3132"/>
        <item m="1" x="3641"/>
        <item m="1" x="4151"/>
        <item m="1" x="4652"/>
        <item m="1" x="5150"/>
        <item m="1" x="5652"/>
        <item m="1" x="6151"/>
        <item m="1" x="6658"/>
        <item m="1" x="7165"/>
        <item m="1" x="7671"/>
        <item m="1" x="244"/>
        <item m="1" x="745"/>
        <item m="1" x="1246"/>
        <item m="1" x="1747"/>
        <item m="1" x="2242"/>
        <item m="1" x="2747"/>
        <item m="1" x="3256"/>
        <item m="1" x="3767"/>
        <item m="1" x="4273"/>
        <item m="1" x="4775"/>
        <item m="1" x="5272"/>
        <item m="1" x="5773"/>
        <item m="1" x="6273"/>
        <item m="1" x="6782"/>
        <item m="1" x="7287"/>
        <item m="1" x="7796"/>
        <item m="1" x="368"/>
        <item m="1" x="868"/>
        <item m="1" x="1366"/>
        <item m="1" x="1865"/>
        <item m="1" x="2365"/>
        <item m="1" x="2871"/>
        <item m="1" x="3381"/>
        <item m="1" x="3895"/>
        <item m="1" x="4400"/>
        <item m="1" x="4896"/>
        <item m="1" x="5394"/>
        <item m="1" x="5895"/>
        <item m="1" x="6396"/>
        <item m="1" x="6903"/>
        <item m="1" x="7408"/>
        <item m="1" x="7915"/>
        <item m="1" x="490"/>
        <item m="1" x="990"/>
        <item m="1" x="1487"/>
        <item m="1" x="1986"/>
        <item m="1" x="2490"/>
        <item m="1" x="2993"/>
        <item m="1" x="5710"/>
        <item m="1" x="6214"/>
        <item m="1" x="6724"/>
        <item m="1" x="7226"/>
        <item m="1" x="7730"/>
        <item m="1" x="305"/>
        <item m="1" x="803"/>
        <item m="1" x="1303"/>
        <item m="1" x="1801"/>
        <item m="1" x="2302"/>
        <item m="1" x="2811"/>
        <item m="1" x="3317"/>
        <item m="1" x="3826"/>
        <item m="1" x="4333"/>
        <item m="1" x="4831"/>
        <item m="1" x="5331"/>
        <item m="1" x="5829"/>
        <item m="1" x="6334"/>
        <item m="1" x="6845"/>
        <item m="1" x="7348"/>
        <item m="1" x="7851"/>
        <item m="1" x="426"/>
        <item m="1" x="926"/>
        <item m="1" x="1423"/>
        <item m="1" x="1922"/>
        <item m="1" x="2426"/>
        <item m="1" x="2933"/>
        <item m="1" x="3442"/>
        <item m="1" x="3953"/>
        <item m="1" x="4458"/>
        <item m="1" x="4951"/>
        <item m="1" x="5452"/>
        <item m="1" x="5951"/>
        <item m="1" x="6456"/>
        <item m="1" x="6963"/>
        <item m="1" x="7469"/>
        <item m="1" x="7973"/>
        <item m="1" x="547"/>
        <item m="1" x="1047"/>
        <item m="1" x="1547"/>
        <item m="1" x="2046"/>
        <item m="1" x="2550"/>
        <item m="1" x="3055"/>
        <item m="1" x="3565"/>
        <item m="1" x="4077"/>
        <item m="1" x="4576"/>
        <item m="1" x="5070"/>
        <item m="1" x="5574"/>
        <item m="1" x="6073"/>
        <item m="1" x="6578"/>
        <item m="1" x="7086"/>
        <item m="1" x="7592"/>
        <item m="1" x="168"/>
        <item m="1" x="666"/>
        <item m="1" x="1166"/>
        <item m="1" x="1669"/>
        <item m="1" x="2163"/>
        <item m="1" x="2670"/>
        <item m="1" x="3175"/>
        <item m="1" x="3685"/>
        <item m="1" x="4195"/>
        <item m="1" x="4692"/>
        <item m="1" x="5190"/>
        <item m="1" x="5693"/>
        <item m="1" x="6195"/>
        <item m="1" x="6703"/>
        <item m="1" x="7210"/>
        <item m="1" x="7714"/>
        <item m="1" x="288"/>
        <item m="1" x="784"/>
        <item m="1" x="1286"/>
        <item m="1" x="1786"/>
        <item m="1" x="2284"/>
        <item m="1" x="2792"/>
        <item m="1" x="3302"/>
        <item m="1" x="3810"/>
        <item m="1" x="4318"/>
        <item m="1" x="4813"/>
        <item m="1" x="5314"/>
        <item m="1" x="5814"/>
        <item m="1" x="6316"/>
        <item m="1" x="6825"/>
        <item m="1" x="7332"/>
        <item m="1" x="7837"/>
        <item m="1" x="409"/>
        <item m="1" x="906"/>
        <item m="1" x="1405"/>
        <item m="1" x="1905"/>
        <item m="1" x="2407"/>
        <item m="1" x="2913"/>
        <item m="1" x="3426"/>
        <item m="1" x="3938"/>
        <item m="1" x="4443"/>
        <item m="1" x="4934"/>
        <item m="1" x="5434"/>
        <item m="1" x="5935"/>
        <item m="1" x="6438"/>
        <item m="1" x="6944"/>
        <item m="1" x="7452"/>
        <item m="1" x="7958"/>
        <item m="1" x="531"/>
        <item m="1" x="1028"/>
        <item m="1" x="1527"/>
        <item m="1" x="2029"/>
        <item m="1" x="2533"/>
        <item m="1" x="3035"/>
        <item m="1" x="3547"/>
        <item m="1" x="4062"/>
        <item m="1" x="4562"/>
        <item m="1" x="5053"/>
        <item m="1" x="5555"/>
        <item m="1" x="6058"/>
        <item m="1" x="6563"/>
        <item m="1" x="7066"/>
        <item m="1" x="7575"/>
        <item m="1" x="153"/>
        <item m="1" x="653"/>
        <item m="1" x="1149"/>
        <item m="1" x="1653"/>
        <item m="1" x="2150"/>
        <item m="1" x="2656"/>
        <item m="1" x="3157"/>
        <item m="1" x="3669"/>
        <item m="1" x="4180"/>
        <item m="1" x="4679"/>
        <item m="1" x="5173"/>
        <item m="1" x="5677"/>
        <item m="1" x="6182"/>
        <item m="1" x="6689"/>
        <item m="1" x="7192"/>
        <item m="1" x="7699"/>
        <item m="1" x="274"/>
        <item m="1" x="772"/>
        <item m="1" x="1270"/>
        <item m="1" x="1771"/>
        <item m="1" x="2270"/>
        <item m="1" x="2777"/>
        <item m="1" x="3281"/>
        <item m="1" x="3793"/>
        <item m="1" x="4303"/>
        <item m="1" x="4801"/>
        <item m="1" x="5299"/>
        <item m="1" x="5797"/>
        <item m="1" x="6302"/>
        <item m="1" x="6812"/>
        <item m="1" x="7313"/>
        <item m="1" x="7821"/>
        <item m="1" x="395"/>
        <item m="1" x="893"/>
        <item m="1" x="1389"/>
        <item m="1" x="1888"/>
        <item m="1" x="2393"/>
        <item m="1" x="2899"/>
        <item m="1" x="3406"/>
        <item m="1" x="3921"/>
        <item m="1" x="4427"/>
        <item m="1" x="4921"/>
        <item m="1" x="5418"/>
        <item m="1" x="5919"/>
        <item m="1" x="6424"/>
        <item m="1" x="6932"/>
        <item m="1" x="7434"/>
        <item m="1" x="7943"/>
        <item m="1" x="518"/>
        <item m="1" x="1016"/>
        <item m="1" x="1512"/>
        <item m="1" x="2012"/>
        <item m="1" x="2519"/>
        <item m="1" x="3023"/>
        <item m="1" x="3529"/>
        <item m="1" x="4046"/>
        <item m="1" x="4548"/>
        <item m="1" x="5042"/>
        <item m="1" x="5539"/>
        <item m="1" x="6041"/>
        <item m="1" x="6547"/>
        <item m="1" x="7053"/>
        <item m="1" x="7557"/>
        <item m="1" x="138"/>
        <item m="1" x="640"/>
        <item m="1" x="1140"/>
        <item m="1" x="1637"/>
        <item m="1" x="2134"/>
        <item m="1" x="2642"/>
        <item m="1" x="3145"/>
        <item m="1" x="3650"/>
        <item m="1" x="4164"/>
        <item m="1" x="4664"/>
        <item m="1" x="5162"/>
        <item m="1" x="5662"/>
        <item m="1" x="6163"/>
        <item m="1" x="6672"/>
        <item m="1" x="7178"/>
        <item m="1" x="7680"/>
        <item m="1" x="257"/>
        <item m="1" x="755"/>
        <item m="1" x="1258"/>
        <item m="1" x="1755"/>
        <item m="1" x="2252"/>
        <item m="1" x="2759"/>
        <item m="1" x="3268"/>
        <item m="1" x="3775"/>
        <item m="1" x="4286"/>
        <item m="1" x="4784"/>
        <item m="1" x="5284"/>
        <item m="1" x="5781"/>
        <item m="1" x="6284"/>
        <item m="1" x="6794"/>
        <item m="1" x="7300"/>
        <item m="1" x="7804"/>
        <item m="1" x="380"/>
        <item m="1" x="878"/>
        <item m="1" x="1378"/>
        <item m="1" x="1873"/>
        <item m="1" x="2375"/>
        <item m="1" x="2883"/>
        <item m="1" x="3394"/>
        <item m="1" x="3903"/>
        <item m="1" x="4411"/>
        <item m="1" x="4907"/>
        <item m="1" x="5405"/>
        <item m="1" x="5904"/>
        <item m="1" x="6407"/>
        <item m="1" x="6916"/>
        <item m="1" x="7421"/>
        <item m="1" x="7924"/>
        <item m="1" x="502"/>
        <item m="1" x="1001"/>
        <item m="1" x="1499"/>
        <item m="1" x="1997"/>
        <item m="1" x="2501"/>
        <item m="1" x="3007"/>
        <item m="1" x="3516"/>
        <item m="1" x="4030"/>
        <item m="1" x="4532"/>
        <item m="1" x="5028"/>
        <item m="1" x="5526"/>
        <item m="1" x="6026"/>
        <item m="1" x="6529"/>
        <item m="1" x="7035"/>
        <item m="1" x="7544"/>
        <item m="1" x="122"/>
        <item m="1" x="622"/>
        <item m="1" x="1124"/>
        <item m="1" x="1622"/>
        <item m="1" x="4347"/>
        <item m="1" x="4843"/>
        <item m="1" x="5342"/>
        <item m="1" x="5843"/>
        <item m="1" x="6349"/>
        <item m="1" x="6856"/>
        <item m="1" x="7359"/>
        <item m="1" x="7862"/>
        <item m="1" x="438"/>
        <item m="1" x="936"/>
        <item m="1" x="1434"/>
        <item m="1" x="1936"/>
        <item m="1" x="2439"/>
        <item m="1" x="2944"/>
        <item m="1" x="3452"/>
        <item m="1" x="3964"/>
        <item m="1" x="4470"/>
        <item m="1" x="4963"/>
        <item m="1" x="5463"/>
        <item m="1" x="5964"/>
        <item m="1" x="6471"/>
        <item m="1" x="6975"/>
        <item m="1" x="7480"/>
        <item m="1" x="7986"/>
        <item m="1" x="560"/>
        <item m="1" x="1059"/>
        <item m="1" x="1558"/>
        <item m="1" x="2059"/>
        <item m="1" x="2564"/>
        <item m="1" x="3066"/>
        <item m="1" x="3575"/>
        <item m="1" x="4088"/>
        <item m="1" x="4588"/>
        <item m="1" x="5081"/>
        <item m="1" x="5584"/>
        <item m="1" x="6086"/>
        <item m="1" x="6592"/>
        <item m="1" x="7097"/>
        <item m="1" x="7604"/>
        <item m="1" x="181"/>
        <item m="1" x="680"/>
        <item m="1" x="1180"/>
        <item m="1" x="1681"/>
        <item m="1" x="2178"/>
        <item m="1" x="2685"/>
        <item m="1" x="3188"/>
        <item m="1" x="3697"/>
        <item m="1" x="4206"/>
        <item m="1" x="4705"/>
        <item m="1" x="5203"/>
        <item m="1" x="5705"/>
        <item m="1" x="6208"/>
        <item m="1" x="6718"/>
        <item m="1" x="7221"/>
        <item m="1" x="7725"/>
        <item m="1" x="299"/>
        <item m="1" x="797"/>
        <item m="1" x="1299"/>
        <item m="1" x="1796"/>
        <item m="1" x="2296"/>
        <item m="1" x="2806"/>
        <item m="1" x="3313"/>
        <item m="1" x="3821"/>
        <item m="1" x="4328"/>
        <item m="1" x="4826"/>
        <item m="1" x="5326"/>
        <item m="1" x="5823"/>
        <item m="1" x="6328"/>
        <item m="1" x="6839"/>
        <item m="1" x="7344"/>
        <item m="1" x="7847"/>
        <item m="1" x="421"/>
        <item m="1" x="920"/>
        <item m="1" x="1419"/>
        <item m="1" x="1917"/>
        <item m="1" x="2420"/>
        <item m="1" x="2928"/>
        <item m="1" x="3438"/>
        <item m="1" x="3948"/>
        <item m="1" x="4453"/>
        <item m="1" x="4946"/>
        <item m="1" x="5448"/>
        <item m="1" x="5946"/>
        <item m="1" x="6450"/>
        <item m="1" x="6958"/>
        <item m="1" x="7465"/>
        <item m="1" x="7969"/>
        <item m="1" x="542"/>
        <item m="1" x="1042"/>
        <item m="1" x="1542"/>
        <item m="1" x="2042"/>
        <item m="1" x="2544"/>
        <item m="1" x="3050"/>
        <item m="1" x="3560"/>
        <item m="1" x="4072"/>
        <item m="1" x="4570"/>
        <item m="1" x="5065"/>
        <item m="1" x="5568"/>
        <item m="1" x="6068"/>
        <item m="1" x="6572"/>
        <item m="1" x="7081"/>
        <item m="1" x="7586"/>
        <item m="1" x="164"/>
        <item m="1" x="662"/>
        <item m="1" x="1162"/>
        <item m="1" x="1665"/>
        <item m="1" x="2161"/>
        <item m="1" x="2666"/>
        <item m="1" x="3172"/>
        <item m="1" x="3682"/>
        <item m="1" x="4192"/>
        <item m="1" x="4688"/>
        <item m="1" x="5187"/>
        <item m="1" x="5690"/>
        <item m="1" x="6193"/>
        <item m="1" x="6699"/>
        <item m="1" x="7207"/>
        <item m="1" x="7711"/>
        <item m="1" x="286"/>
        <item m="1" x="781"/>
        <item m="1" x="1283"/>
        <item m="1" x="1783"/>
        <item m="1" x="2281"/>
        <item m="1" x="2787"/>
        <item m="1" x="3297"/>
        <item m="1" x="3806"/>
        <item m="1" x="4315"/>
        <item m="1" x="5311"/>
        <item m="1" x="5811"/>
        <item m="1" x="6313"/>
        <item m="1" x="6821"/>
        <item m="1" x="7328"/>
        <item m="1" x="7834"/>
        <item m="1" x="406"/>
        <item m="1" x="903"/>
        <item m="1" x="1401"/>
        <item m="1" x="1902"/>
        <item m="1" x="2404"/>
        <item m="1" x="2910"/>
        <item m="1" x="3420"/>
        <item m="1" x="3935"/>
        <item m="1" x="4439"/>
        <item m="1" x="4931"/>
        <item m="1" x="5430"/>
        <item m="1" x="5932"/>
        <item m="1" x="6435"/>
        <item m="1" x="6941"/>
        <item m="1" x="7447"/>
        <item m="1" x="7955"/>
        <item m="1" x="528"/>
        <item m="1" x="1026"/>
        <item m="1" x="1523"/>
        <item m="1" x="2026"/>
        <item m="1" x="2530"/>
        <item m="1" x="3032"/>
        <item m="1" x="3542"/>
        <item m="1" x="4059"/>
        <item m="1" x="4558"/>
        <item m="1" x="5050"/>
        <item m="1" x="5551"/>
        <item m="1" x="6055"/>
        <item m="1" x="6559"/>
        <item m="1" x="7062"/>
        <item m="1" x="7570"/>
        <item m="1" x="150"/>
        <item m="1" x="650"/>
        <item m="1" x="1147"/>
        <item m="1" x="1649"/>
        <item m="1" x="2147"/>
        <item m="1" x="2653"/>
        <item m="1" x="3154"/>
        <item m="1" x="3664"/>
        <item m="1" x="4177"/>
        <item m="1" x="4676"/>
        <item m="1" x="5170"/>
        <item m="1" x="5673"/>
        <item m="1" x="6178"/>
        <item m="1" x="6686"/>
        <item m="1" x="7189"/>
        <item m="1" x="7694"/>
        <item m="1" x="271"/>
        <item m="1" x="769"/>
        <item m="1" x="1268"/>
        <item m="1" x="1767"/>
        <item m="1" x="2266"/>
        <item m="1" x="2774"/>
        <item m="1" x="3278"/>
        <item m="1" x="3788"/>
        <item m="1" x="4300"/>
        <item m="1" x="4797"/>
        <item m="1" x="5294"/>
        <item m="1" x="5792"/>
        <item m="1" x="6296"/>
        <item m="1" x="6807"/>
        <item m="1" x="7307"/>
        <item m="1" x="7816"/>
        <item m="1" x="391"/>
        <item m="1" x="889"/>
        <item m="1" x="1386"/>
        <item m="1" x="1884"/>
        <item m="1" x="2388"/>
        <item m="1" x="2895"/>
        <item m="1" x="3402"/>
        <item m="1" x="3916"/>
        <item m="1" x="4423"/>
        <item m="1" x="4918"/>
        <item m="1" x="5414"/>
        <item m="1" x="5914"/>
        <item m="1" x="6419"/>
        <item m="1" x="6929"/>
        <item m="1" x="7430"/>
        <item m="1" x="7938"/>
        <item m="1" x="1013"/>
        <item m="1" x="1509"/>
        <item m="1" x="2008"/>
        <item m="1" x="2514"/>
        <item m="1" x="3020"/>
        <item m="1" x="3525"/>
        <item m="1" x="4041"/>
        <item m="1" x="4544"/>
        <item m="1" x="5039"/>
        <item m="1" x="5535"/>
        <item m="1" x="6036"/>
        <item m="1" x="6542"/>
        <item m="1" x="7048"/>
        <item m="1" x="7553"/>
        <item m="1" x="133"/>
        <item m="1" x="636"/>
        <item m="1" x="1136"/>
        <item m="1" x="1634"/>
        <item m="1" x="2130"/>
        <item m="1" x="2636"/>
        <item m="1" x="3141"/>
        <item m="1" x="3647"/>
        <item m="1" x="4159"/>
        <item m="1" x="4660"/>
        <item m="1" x="5158"/>
        <item m="1" x="5658"/>
        <item m="1" x="6158"/>
        <item m="1" x="6667"/>
        <item m="1" x="7174"/>
        <item m="1" x="7678"/>
        <item m="1" x="2453"/>
        <item m="1" x="2957"/>
        <item m="1" x="3978"/>
        <item m="1" x="4483"/>
        <item m="1" x="4976"/>
        <item m="1" x="5478"/>
        <item m="1" x="5979"/>
        <item m="1" x="6482"/>
        <item m="1" x="6986"/>
        <item m="1" x="7492"/>
        <item m="1" x="7999"/>
        <item m="1" x="572"/>
        <item m="1" x="1070"/>
        <item m="1" x="1572"/>
        <item m="1" x="2073"/>
        <item m="1" x="2574"/>
        <item m="1" x="3078"/>
        <item m="1" x="3587"/>
        <item m="1" x="4101"/>
        <item m="1" x="4598"/>
        <item m="1" x="5094"/>
        <item m="1" x="5600"/>
        <item m="1" x="6102"/>
        <item m="1" x="6605"/>
        <item m="1" x="7110"/>
        <item m="1" x="7616"/>
        <item m="1" x="194"/>
        <item m="1" x="691"/>
        <item m="1" x="1192"/>
        <item m="1" x="1695"/>
        <item m="1" x="2194"/>
        <item m="1" x="2697"/>
        <item m="1" x="3200"/>
        <item m="1" x="3710"/>
        <item m="1" x="4220"/>
        <item m="1" x="4718"/>
        <item m="1" x="5215"/>
        <item m="1" x="5719"/>
        <item m="1" x="6225"/>
        <item m="1" x="6732"/>
        <item m="1" x="7234"/>
        <item m="1" x="7738"/>
        <item m="1" x="315"/>
        <item m="1" x="811"/>
        <item m="1" x="1310"/>
        <item m="1" x="1810"/>
        <item m="1" x="2313"/>
        <item m="1" x="2819"/>
        <item m="1" x="3325"/>
        <item m="1" x="3834"/>
        <item m="1" x="4342"/>
        <item m="1" x="4839"/>
        <item m="1" x="5337"/>
        <item m="1" x="5837"/>
        <item m="1" x="6343"/>
        <item m="1" x="6852"/>
        <item m="1" x="7355"/>
        <item m="1" x="7858"/>
        <item m="1" x="434"/>
        <item m="1" x="933"/>
        <item m="1" x="1430"/>
        <item m="1" x="1931"/>
        <item m="1" x="2435"/>
        <item m="1" x="2941"/>
        <item m="1" x="3449"/>
        <item m="1" x="3960"/>
        <item m="1" x="4466"/>
        <item m="1" x="4960"/>
        <item m="1" x="5459"/>
        <item m="1" x="5959"/>
        <item m="1" x="6467"/>
        <item m="1" x="6972"/>
        <item m="1" x="7476"/>
        <item m="1" x="7981"/>
        <item m="1" x="556"/>
        <item m="1" x="1055"/>
        <item m="1" x="1553"/>
        <item m="1" x="2054"/>
        <item m="1" x="2560"/>
        <item m="1" x="3062"/>
        <item m="1" x="3572"/>
        <item m="1" x="4084"/>
        <item m="1" x="4584"/>
        <item m="1" x="5078"/>
        <item m="1" x="5580"/>
        <item m="1" x="6081"/>
        <item m="1" x="6588"/>
        <item m="1" x="7093"/>
        <item m="1" x="7600"/>
        <item m="1" x="176"/>
        <item m="1" x="676"/>
        <item m="1" x="1176"/>
        <item m="1" x="1678"/>
        <item m="1" x="2173"/>
        <item m="1" x="2681"/>
        <item m="1" x="3184"/>
        <item m="1" x="3694"/>
        <item m="1" x="4202"/>
        <item m="1" x="4701"/>
        <item m="1" x="5199"/>
        <item m="1" x="5702"/>
        <item m="1" x="6203"/>
        <item m="1" x="6714"/>
        <item m="1" x="7218"/>
        <item m="1" x="7722"/>
        <item m="1" x="295"/>
        <item m="1" x="794"/>
        <item m="1" x="1295"/>
        <item m="1" x="1793"/>
        <item m="1" x="2292"/>
        <item m="1" x="2803"/>
        <item m="1" x="3310"/>
        <item m="1" x="3818"/>
        <item m="1" x="4325"/>
        <item m="1" x="4822"/>
        <item m="1" x="5323"/>
        <item m="1" x="5821"/>
        <item m="1" x="6324"/>
        <item m="1" x="6836"/>
        <item m="1" x="7341"/>
        <item m="1" x="7844"/>
        <item m="1" x="416"/>
        <item m="1" x="916"/>
        <item m="1" x="1415"/>
        <item m="1" x="1914"/>
        <item m="1" x="2415"/>
        <item m="1" x="2924"/>
        <item m="1" x="3435"/>
        <item m="1" x="3946"/>
        <item m="1" x="4450"/>
        <item m="1" x="4943"/>
        <item m="1" x="5445"/>
        <item m="1" x="5944"/>
        <item m="1" x="6446"/>
        <item m="1" x="6955"/>
        <item m="1" x="7462"/>
        <item m="1" x="7966"/>
        <item m="1" x="538"/>
        <item m="1" x="1038"/>
        <item m="1" x="1539"/>
        <item m="1" x="2038"/>
        <item m="1" x="2541"/>
        <item m="1" x="3045"/>
        <item m="1" x="3556"/>
        <item m="1" x="4069"/>
        <item m="1" x="4568"/>
        <item m="1" x="5061"/>
        <item m="1" x="5564"/>
        <item m="1" x="6065"/>
        <item m="1" x="6569"/>
        <item m="1" x="7076"/>
        <item m="1" x="7583"/>
        <item m="1" x="160"/>
        <item m="1" x="659"/>
        <item m="1" x="1158"/>
        <item m="1" x="1662"/>
        <item m="1" x="2158"/>
        <item m="1" x="2663"/>
        <item m="1" x="3167"/>
        <item m="1" x="3679"/>
        <item m="1" x="4189"/>
        <item m="1" x="4686"/>
        <item m="1" x="5183"/>
        <item m="1" x="5687"/>
        <item m="1" x="6190"/>
        <item m="1" x="6696"/>
        <item m="1" x="7202"/>
        <item m="1" x="7708"/>
        <item m="1" x="282"/>
        <item m="1" x="778"/>
        <item m="1" x="1279"/>
        <item m="1" x="1780"/>
        <item m="1" x="2277"/>
        <item m="1" x="2783"/>
        <item m="1" x="3292"/>
        <item m="1" x="3803"/>
        <item m="1" x="4311"/>
        <item m="1" x="4808"/>
        <item m="1" x="5307"/>
        <item m="1" x="5807"/>
        <item m="1" x="6310"/>
        <item m="1" x="6818"/>
        <item m="1" x="7322"/>
        <item m="1" x="7831"/>
        <item m="1" x="403"/>
        <item m="1" x="900"/>
        <item m="1" x="1397"/>
        <item m="1" x="1898"/>
        <item m="1" x="2401"/>
        <item m="1" x="2906"/>
        <item m="1" x="3415"/>
        <item m="1" x="3930"/>
        <item m="1" x="4435"/>
        <item m="1" x="4927"/>
        <item m="1" x="5425"/>
        <item m="1" x="5927"/>
        <item m="1" x="6432"/>
        <item m="1" x="6937"/>
        <item m="1" x="7442"/>
        <item m="1" x="7951"/>
        <item m="1" x="525"/>
        <item m="1" x="1022"/>
        <item m="1" x="1519"/>
        <item m="1" x="2021"/>
        <item m="1" x="2526"/>
        <item m="1" x="3027"/>
        <item m="1" x="3537"/>
        <item m="1" x="4054"/>
        <item m="1" x="4555"/>
        <item m="1" x="5047"/>
        <item m="1" x="5547"/>
        <item m="1" x="6050"/>
        <item m="1" x="6556"/>
        <item m="1" x="7058"/>
        <item m="1" x="7565"/>
        <item m="1" x="146"/>
        <item m="1" x="647"/>
        <item m="1" x="1144"/>
        <item m="1" x="1644"/>
        <item m="1" x="2142"/>
        <item m="1" x="2650"/>
        <item m="1" x="3150"/>
        <item m="1" x="3659"/>
        <item m="1" x="4173"/>
        <item m="1" x="4672"/>
        <item m="1" x="5167"/>
        <item m="1" x="5669"/>
        <item m="1" x="6173"/>
        <item m="1" x="6682"/>
        <item m="1" x="7186"/>
        <item m="1" x="7689"/>
        <item m="1" x="267"/>
        <item m="1" x="765"/>
        <item m="1" x="1264"/>
        <item m="1" x="1762"/>
        <item m="1" x="2261"/>
        <item m="1" x="2769"/>
        <item m="1" x="3274"/>
        <item m="1" x="3783"/>
        <item m="1" x="4296"/>
        <item m="1" x="4792"/>
        <item m="1" x="5291"/>
        <item m="1" x="5788"/>
        <item m="1" x="1086"/>
        <item m="1" x="1588"/>
        <item m="1" x="2084"/>
        <item m="1" x="2587"/>
        <item m="1" x="3091"/>
        <item m="1" x="3601"/>
        <item m="1" x="4111"/>
        <item m="1" x="4610"/>
        <item m="1" x="5108"/>
        <item m="1" x="5614"/>
        <item m="1" x="6112"/>
        <item m="1" x="6618"/>
        <item m="1" x="7122"/>
        <item m="1" x="7630"/>
        <item m="1" x="204"/>
        <item m="1" x="703"/>
        <item m="1" x="1206"/>
        <item m="1" x="1710"/>
        <item m="1" x="2204"/>
        <item m="1" x="2708"/>
        <item m="1" x="3213"/>
        <item m="1" x="3725"/>
        <item m="1" x="4231"/>
        <item m="1" x="4730"/>
        <item m="1" x="5230"/>
        <item m="1" x="5733"/>
        <item m="1" x="6235"/>
        <item m="1" x="6743"/>
        <item m="1" x="7247"/>
        <item m="1" x="7751"/>
        <item m="1" x="326"/>
        <item m="1" x="823"/>
        <item m="1" x="1325"/>
        <item m="1" x="1825"/>
        <item m="1" x="2324"/>
        <item m="1" x="2830"/>
        <item m="1" x="3337"/>
        <item m="1" x="3848"/>
        <item m="1" x="4355"/>
        <item m="1" x="4852"/>
        <item m="1" x="5352"/>
        <item m="1" x="5854"/>
        <item m="1" x="6358"/>
        <item m="1" x="6865"/>
        <item m="1" x="7368"/>
        <item m="1" x="7872"/>
        <item m="1" x="448"/>
        <item m="1" x="945"/>
        <item m="1" x="1444"/>
        <item m="1" x="1947"/>
        <item m="1" x="2449"/>
        <item m="1" x="2953"/>
        <item m="1" x="3461"/>
        <item m="1" x="3973"/>
        <item m="1" x="4478"/>
        <item m="1" x="4970"/>
        <item m="1" x="5472"/>
        <item m="1" x="5974"/>
        <item m="1" x="6478"/>
        <item m="1" x="6983"/>
        <item m="1" x="7488"/>
        <item m="1" x="7995"/>
        <item m="1" x="568"/>
        <item m="1" x="1066"/>
        <item m="1" x="1567"/>
        <item m="1" x="2069"/>
        <item m="1" x="2571"/>
        <item m="1" x="3074"/>
        <item m="1" x="3583"/>
        <item m="1" x="4097"/>
        <item m="1" x="4595"/>
        <item m="1" x="5090"/>
        <item m="1" x="5595"/>
        <item m="1" x="6098"/>
        <item m="1" x="6602"/>
        <item m="1" x="7107"/>
        <item m="1" x="7612"/>
        <item m="1" x="190"/>
        <item m="1" x="688"/>
        <item m="1" x="1188"/>
        <item m="1" x="1690"/>
        <item m="1" x="2190"/>
        <item m="1" x="2694"/>
        <item m="1" x="3196"/>
        <item m="1" x="3705"/>
        <item m="1" x="4216"/>
        <item m="1" x="4713"/>
        <item m="1" x="5211"/>
        <item m="1" x="5714"/>
        <item m="1" x="6221"/>
        <item m="1" x="6728"/>
        <item m="1" x="7231"/>
        <item m="1" x="7734"/>
        <item m="1" x="310"/>
        <item m="1" x="807"/>
        <item m="1" x="1307"/>
        <item m="1" x="1805"/>
        <item m="1" x="2308"/>
        <item m="1" x="2815"/>
        <item m="1" x="3321"/>
        <item m="1" x="3829"/>
        <item m="1" x="4338"/>
        <item m="1" x="4835"/>
        <item m="1" x="5335"/>
        <item m="1" x="5833"/>
        <item m="1" x="6340"/>
        <item m="1" x="6849"/>
        <item m="1" x="7353"/>
        <item m="1" x="7855"/>
        <item m="1" x="431"/>
        <item m="1" x="930"/>
        <item m="1" x="1428"/>
        <item m="1" x="1927"/>
        <item m="1" x="2432"/>
        <item m="1" x="2938"/>
        <item m="1" x="3446"/>
        <item m="1" x="3956"/>
        <item m="1" x="4463"/>
        <item m="1" x="4956"/>
        <item m="1" x="5456"/>
        <item m="1" x="5955"/>
        <item m="1" x="6462"/>
        <item m="1" x="6967"/>
        <item m="1" x="7473"/>
        <item m="1" x="7977"/>
        <item m="1" x="552"/>
        <item m="1" x="1052"/>
        <item m="1" x="1551"/>
        <item m="1" x="2050"/>
        <item m="1" x="2556"/>
        <item m="1" x="3059"/>
        <item m="1" x="3569"/>
        <item m="1" x="4080"/>
        <item m="1" x="4581"/>
        <item m="1" x="5075"/>
        <item m="1" x="5578"/>
        <item m="1" x="6077"/>
        <item m="1" x="6584"/>
        <item m="1" x="7090"/>
        <item m="1" x="7597"/>
        <item m="1" x="174"/>
        <item m="1" x="672"/>
        <item m="1" x="1173"/>
        <item m="1" x="1675"/>
        <item m="1" x="2170"/>
        <item m="1" x="2676"/>
        <item m="1" x="3181"/>
        <item m="1" x="3690"/>
        <item m="1" x="4199"/>
        <item m="1" x="4697"/>
        <item m="1" x="5196"/>
        <item m="1" x="5698"/>
        <item m="1" x="6200"/>
        <item m="1" x="6709"/>
        <item m="1" x="7215"/>
        <item m="1" x="7718"/>
        <item m="1" x="293"/>
        <item m="1" x="790"/>
        <item m="1" x="1292"/>
        <item m="1" x="1790"/>
        <item m="1" x="2289"/>
        <item m="1" x="2798"/>
        <item m="1" x="3307"/>
        <item m="1" x="3814"/>
        <item m="1" x="4322"/>
        <item m="1" x="4818"/>
        <item m="1" x="5320"/>
        <item m="1" x="5818"/>
        <item m="1" x="6321"/>
        <item m="1" x="6831"/>
        <item m="1" x="7338"/>
        <item m="1" x="7841"/>
        <item m="1" x="414"/>
        <item m="1" x="912"/>
        <item m="1" x="1411"/>
        <item m="1" x="1911"/>
        <item m="1" x="2412"/>
        <item m="1" x="2919"/>
        <item m="1" x="3432"/>
        <item m="1" x="3943"/>
        <item m="1" x="4447"/>
        <item m="1" x="4939"/>
        <item m="1" x="5441"/>
        <item m="1" x="5940"/>
        <item m="1" x="6442"/>
        <item m="1" x="6950"/>
        <item m="1" x="7458"/>
        <item m="1" x="7963"/>
        <item m="1" x="536"/>
        <item m="1" x="1034"/>
        <item m="1" x="1533"/>
        <item m="1" x="2034"/>
        <item m="1" x="2536"/>
        <item m="1" x="3040"/>
        <item m="1" x="3551"/>
        <item m="1" x="4065"/>
        <item m="1" x="4564"/>
        <item m="1" x="5057"/>
        <item m="1" x="5559"/>
        <item m="1" x="6062"/>
        <item m="1" x="6565"/>
        <item m="1" x="7071"/>
        <item m="1" x="7579"/>
        <item m="1" x="157"/>
        <item m="1" x="656"/>
        <item m="1" x="1154"/>
        <item m="1" x="1657"/>
        <item m="1" x="2155"/>
        <item m="1" x="2659"/>
        <item m="1" x="3162"/>
        <item m="1" x="3675"/>
        <item m="1" x="4186"/>
        <item m="1" x="4682"/>
        <item m="1" x="5178"/>
        <item m="1" x="5682"/>
        <item m="1" x="6186"/>
        <item m="1" x="6691"/>
        <item m="1" x="7197"/>
        <item m="1" x="7704"/>
        <item m="1" x="278"/>
        <item m="1" x="775"/>
        <item m="1" x="1275"/>
        <item m="1" x="1775"/>
        <item m="1" x="2274"/>
        <item m="1" x="2779"/>
        <item m="1" x="3286"/>
        <item m="1" x="3799"/>
        <item m="1" x="4307"/>
        <item m="1" x="4804"/>
        <item m="1" x="5302"/>
        <item m="1" x="5802"/>
        <item m="1" x="6306"/>
        <item m="1" x="6815"/>
        <item m="1" x="7317"/>
        <item m="1" x="7827"/>
        <item m="1" x="399"/>
        <item m="1" x="897"/>
        <item m="1" x="1393"/>
        <item m="1" x="1893"/>
        <item m="1" x="2397"/>
        <item m="1" x="2903"/>
        <item m="1" x="3410"/>
        <item m="1" x="3927"/>
        <item m="1" x="4431"/>
        <item m="1" x="7137"/>
        <item m="1" x="7640"/>
        <item m="1" x="216"/>
        <item m="1" x="715"/>
        <item m="1" x="1221"/>
        <item m="1" x="1718"/>
        <item m="1" x="2216"/>
        <item m="1" x="2719"/>
        <item m="1" x="3226"/>
        <item m="1" x="3734"/>
        <item m="1" x="4243"/>
        <item m="1" x="4744"/>
        <item m="1" x="5244"/>
        <item m="1" x="5742"/>
        <item m="1" x="6246"/>
        <item m="1" x="6754"/>
        <item m="1" x="7260"/>
        <item m="1" x="7761"/>
        <item m="1" x="338"/>
        <item m="1" x="836"/>
        <item m="1" x="1340"/>
        <item m="1" x="1835"/>
        <item m="1" x="2337"/>
        <item m="1" x="2843"/>
        <item m="1" x="3351"/>
        <item m="1" x="3860"/>
        <item m="1" x="4367"/>
        <item m="1" x="4865"/>
        <item m="1" x="5367"/>
        <item m="1" x="5864"/>
        <item m="1" x="6369"/>
        <item m="1" x="6876"/>
        <item m="1" x="7381"/>
        <item m="1" x="7882"/>
        <item m="1" x="459"/>
        <item m="1" x="960"/>
        <item m="1" x="1459"/>
        <item m="1" x="1957"/>
        <item m="1" x="2461"/>
        <item m="1" x="2966"/>
        <item m="1" x="3475"/>
        <item m="1" x="3986"/>
        <item m="1" x="4491"/>
        <item m="1" x="4986"/>
        <item m="1" x="5489"/>
        <item m="1" x="5986"/>
        <item m="1" x="6491"/>
        <item m="1" x="6995"/>
        <item m="1" x="7502"/>
        <item m="1" x="78"/>
        <item m="1" x="581"/>
        <item m="1" x="1080"/>
        <item m="1" x="1583"/>
        <item m="1" x="2080"/>
        <item m="1" x="2583"/>
        <item m="1" x="3086"/>
        <item m="1" x="3596"/>
        <item m="1" x="4108"/>
        <item m="1" x="4606"/>
        <item m="1" x="5103"/>
        <item m="1" x="5610"/>
        <item m="1" x="6109"/>
        <item m="1" x="6614"/>
        <item m="1" x="7118"/>
        <item m="1" x="7626"/>
        <item m="1" x="200"/>
        <item m="1" x="698"/>
        <item m="1" x="1201"/>
        <item m="1" x="1705"/>
        <item m="1" x="2200"/>
        <item m="1" x="2705"/>
        <item m="1" x="3209"/>
        <item m="1" x="3720"/>
        <item m="1" x="4228"/>
        <item m="1" x="4726"/>
        <item m="1" x="5225"/>
        <item m="1" x="5729"/>
        <item m="1" x="6232"/>
        <item m="1" x="6739"/>
        <item m="1" x="7242"/>
        <item m="1" x="7747"/>
        <item m="1" x="322"/>
        <item m="1" x="819"/>
        <item m="1" x="1320"/>
        <item m="1" x="1821"/>
        <item m="1" x="2321"/>
        <item m="1" x="2827"/>
        <item m="1" x="3333"/>
        <item m="1" x="3844"/>
        <item m="1" x="4351"/>
        <item m="1" x="4849"/>
        <item m="1" x="5347"/>
        <item m="1" x="5850"/>
        <item m="1" x="6354"/>
        <item m="1" x="6861"/>
        <item m="1" x="7363"/>
        <item m="1" x="7868"/>
        <item m="1" x="443"/>
        <item m="1" x="941"/>
        <item m="1" x="1439"/>
        <item m="1" x="1943"/>
        <item m="1" x="2444"/>
        <item m="1" x="2950"/>
        <item m="1" x="3457"/>
        <item m="1" x="3970"/>
        <item m="1" x="4474"/>
        <item m="1" x="4968"/>
        <item m="1" x="5468"/>
        <item m="1" x="5971"/>
        <item m="1" x="6475"/>
        <item m="1" x="6980"/>
        <item m="1" x="7484"/>
        <item m="1" x="7992"/>
        <item m="1" x="564"/>
        <item m="1" x="1064"/>
        <item m="1" x="1563"/>
        <item m="1" x="2066"/>
        <item m="1" x="2568"/>
        <item m="1" x="3072"/>
        <item m="1" x="3580"/>
        <item m="1" x="4094"/>
        <item m="1" x="4592"/>
        <item m="1" x="5087"/>
        <item m="1" x="5590"/>
        <item m="1" x="6093"/>
        <item m="1" x="6598"/>
        <item m="1" x="7103"/>
        <item m="1" x="7608"/>
        <item m="1" x="187"/>
        <item m="1" x="685"/>
        <item m="1" x="1185"/>
        <item m="1" x="1686"/>
        <item m="1" x="2186"/>
        <item m="1" x="2690"/>
        <item m="1" x="3193"/>
        <item m="1" x="3702"/>
        <item m="1" x="4212"/>
        <item m="1" x="4710"/>
        <item m="1" x="5208"/>
        <item m="1" x="5711"/>
        <item m="1" x="6215"/>
        <item m="1" x="6725"/>
        <item m="1" x="7227"/>
        <item m="1" x="7731"/>
        <item m="1" x="306"/>
        <item m="1" x="804"/>
        <item m="1" x="1304"/>
        <item m="1" x="1802"/>
        <item m="1" x="2303"/>
        <item m="1" x="2812"/>
        <item m="1" x="3318"/>
        <item m="1" x="3827"/>
        <item m="1" x="4334"/>
        <item m="1" x="4832"/>
        <item m="1" x="5332"/>
        <item m="1" x="5830"/>
        <item m="1" x="6335"/>
        <item m="1" x="6846"/>
        <item m="1" x="7349"/>
        <item m="1" x="7852"/>
        <item m="1" x="427"/>
        <item m="1" x="927"/>
        <item m="1" x="1424"/>
        <item m="1" x="1923"/>
        <item m="1" x="2427"/>
        <item m="1" x="2934"/>
        <item m="1" x="3443"/>
        <item m="1" x="3954"/>
        <item m="1" x="4459"/>
        <item m="1" x="4952"/>
        <item m="1" x="5453"/>
        <item m="1" x="5952"/>
        <item m="1" x="6457"/>
        <item m="1" x="6964"/>
        <item m="1" x="7470"/>
        <item m="1" x="7974"/>
        <item m="1" x="548"/>
        <item m="1" x="1048"/>
        <item m="1" x="1548"/>
        <item m="1" x="2047"/>
        <item m="1" x="2551"/>
        <item m="1" x="3056"/>
        <item m="1" x="3566"/>
        <item m="1" x="4078"/>
        <item m="1" x="4577"/>
        <item m="1" x="5071"/>
        <item m="1" x="5575"/>
        <item m="1" x="6074"/>
        <item m="1" x="6579"/>
        <item m="1" x="7087"/>
        <item m="1" x="7593"/>
        <item m="1" x="169"/>
        <item m="1" x="667"/>
        <item m="1" x="1167"/>
        <item m="1" x="1670"/>
        <item m="1" x="2164"/>
        <item m="1" x="2671"/>
        <item m="1" x="3176"/>
        <item m="1" x="3686"/>
        <item m="1" x="4196"/>
        <item m="1" x="4693"/>
        <item m="1" x="5191"/>
        <item m="1" x="5694"/>
        <item m="1" x="6196"/>
        <item m="1" x="6704"/>
        <item m="1" x="7211"/>
        <item m="1" x="7715"/>
        <item m="1" x="289"/>
        <item m="1" x="785"/>
        <item m="1" x="1287"/>
        <item m="1" x="1787"/>
        <item m="1" x="2285"/>
        <item m="1" x="2793"/>
        <item m="1" x="3303"/>
        <item m="1" x="3811"/>
        <item m="1" x="4319"/>
        <item m="1" x="4814"/>
        <item m="1" x="5315"/>
        <item m="1" x="5815"/>
        <item m="1" x="6317"/>
        <item m="1" x="6826"/>
        <item m="1" x="7333"/>
        <item m="1" x="7838"/>
        <item m="1" x="410"/>
        <item m="1" x="907"/>
        <item m="1" x="1406"/>
        <item m="1" x="1906"/>
        <item m="1" x="2408"/>
        <item m="1" x="2914"/>
        <item m="1" x="3427"/>
        <item m="1" x="3939"/>
        <item m="1" x="4444"/>
        <item m="1" x="4935"/>
        <item m="1" x="5435"/>
        <item m="1" x="5936"/>
        <item m="1" x="6439"/>
        <item m="1" x="6945"/>
        <item m="1" x="7453"/>
        <item m="1" x="7959"/>
        <item m="1" x="532"/>
        <item m="1" x="1029"/>
        <item m="1" x="1528"/>
        <item m="1" x="2030"/>
        <item m="1" x="2534"/>
        <item m="1" x="5754"/>
        <item m="1" x="6257"/>
        <item m="1" x="6765"/>
        <item m="1" x="7269"/>
        <item m="1" x="7773"/>
        <item m="1" x="350"/>
        <item m="1" x="850"/>
        <item m="1" x="1348"/>
        <item m="1" x="1845"/>
        <item m="1" x="2347"/>
        <item m="1" x="2855"/>
        <item m="1" x="3360"/>
        <item m="1" x="3870"/>
        <item m="1" x="4379"/>
        <item m="1" x="4878"/>
        <item m="1" x="5374"/>
        <item m="1" x="5875"/>
        <item m="1" x="6379"/>
        <item m="1" x="6888"/>
        <item m="1" x="7389"/>
        <item m="1" x="7893"/>
        <item m="1" x="472"/>
        <item m="1" x="974"/>
        <item m="1" x="1468"/>
        <item m="1" x="1968"/>
        <item m="1" x="2471"/>
        <item m="1" x="2978"/>
        <item m="1" x="3483"/>
        <item m="1" x="3997"/>
        <item m="1" x="4503"/>
        <item m="1" x="5001"/>
        <item m="1" x="5498"/>
        <item m="1" x="5997"/>
        <item m="1" x="6502"/>
        <item m="1" x="7008"/>
        <item m="1" x="7512"/>
        <item m="1" x="90"/>
        <item m="1" x="593"/>
        <item m="1" x="1097"/>
        <item m="1" x="1595"/>
        <item m="1" x="2092"/>
        <item m="1" x="2595"/>
        <item m="1" x="3101"/>
        <item m="1" x="3607"/>
        <item m="1" x="4118"/>
        <item m="1" x="4619"/>
        <item m="1" x="5119"/>
        <item m="1" x="5620"/>
        <item m="1" x="6120"/>
        <item m="1" x="6626"/>
        <item m="1" x="7131"/>
        <item m="1" x="7637"/>
        <item m="1" x="211"/>
        <item m="1" x="710"/>
        <item m="1" x="1215"/>
        <item m="1" x="1715"/>
        <item m="1" x="2211"/>
        <item m="1" x="2715"/>
        <item m="1" x="3221"/>
        <item m="1" x="3730"/>
        <item m="1" x="4238"/>
        <item m="1" x="4739"/>
        <item m="1" x="5239"/>
        <item m="1" x="5739"/>
        <item m="1" x="6242"/>
        <item m="1" x="6750"/>
        <item m="1" x="7255"/>
        <item m="1" x="7758"/>
        <item m="1" x="333"/>
        <item m="1" x="831"/>
        <item m="1" x="1335"/>
        <item m="1" x="1832"/>
        <item m="1" x="2332"/>
        <item m="1" x="2838"/>
        <item m="1" x="3346"/>
        <item m="1" x="3856"/>
        <item m="1" x="4361"/>
        <item m="1" x="4860"/>
        <item m="1" x="5362"/>
        <item m="1" x="5860"/>
        <item m="1" x="6365"/>
        <item m="1" x="6872"/>
        <item m="1" x="7376"/>
        <item m="1" x="7878"/>
        <item m="1" x="454"/>
        <item m="1" x="953"/>
        <item m="1" x="1454"/>
        <item m="1" x="1953"/>
        <item m="1" x="2456"/>
        <item m="1" x="2960"/>
        <item m="1" x="3470"/>
        <item m="1" x="3981"/>
        <item m="1" x="4487"/>
        <item m="1" x="4980"/>
        <item m="1" x="5484"/>
        <item m="1" x="5982"/>
        <item m="1" x="6487"/>
        <item m="1" x="6990"/>
        <item m="1" x="7497"/>
        <item m="1" x="74"/>
        <item m="1" x="577"/>
        <item m="1" x="1074"/>
        <item m="1" x="1578"/>
        <item m="1" x="2077"/>
        <item m="1" x="2579"/>
        <item m="1" x="3081"/>
        <item m="1" x="3592"/>
        <item m="1" x="4104"/>
        <item m="1" x="4602"/>
        <item m="1" x="5098"/>
        <item m="1" x="5606"/>
        <item m="1" x="6105"/>
        <item m="1" x="6610"/>
        <item m="1" x="7114"/>
        <item m="1" x="7621"/>
        <item m="1" x="197"/>
        <item m="1" x="695"/>
        <item m="1" x="1196"/>
        <item m="1" x="1701"/>
        <item m="1" x="2197"/>
        <item m="1" x="2701"/>
        <item m="1" x="3203"/>
        <item m="1" x="3715"/>
        <item m="1" x="4224"/>
        <item m="1" x="4722"/>
        <item m="1" x="5219"/>
        <item m="1" x="5725"/>
        <item m="1" x="6229"/>
        <item m="1" x="6736"/>
        <item m="1" x="7238"/>
        <item m="1" x="7743"/>
        <item m="1" x="319"/>
        <item m="1" x="816"/>
        <item m="1" x="1315"/>
        <item m="1" x="1816"/>
        <item m="1" x="2318"/>
        <item m="1" x="2823"/>
        <item m="1" x="3328"/>
        <item m="1" x="3839"/>
        <item m="1" x="4348"/>
        <item m="1" x="4844"/>
        <item m="1" x="5343"/>
        <item m="1" x="5844"/>
        <item m="1" x="6350"/>
        <item m="1" x="6857"/>
        <item m="1" x="7360"/>
        <item m="1" x="7863"/>
        <item m="1" x="439"/>
        <item m="1" x="937"/>
        <item m="1" x="1435"/>
        <item m="1" x="1937"/>
        <item m="1" x="2440"/>
        <item m="1" x="2945"/>
        <item m="1" x="3453"/>
        <item m="1" x="3965"/>
        <item m="1" x="4471"/>
        <item m="1" x="4964"/>
        <item m="1" x="5464"/>
        <item m="1" x="5965"/>
        <item m="1" x="6472"/>
        <item m="1" x="6976"/>
        <item m="1" x="7481"/>
        <item m="1" x="7987"/>
        <item m="1" x="561"/>
        <item m="1" x="1060"/>
        <item m="1" x="1559"/>
        <item m="1" x="2060"/>
        <item m="1" x="2565"/>
        <item m="1" x="3067"/>
        <item m="1" x="3576"/>
        <item m="1" x="4089"/>
        <item m="1" x="4589"/>
        <item m="1" x="5082"/>
        <item m="1" x="5585"/>
        <item m="1" x="6087"/>
        <item m="1" x="6593"/>
        <item m="1" x="7098"/>
        <item m="1" x="7605"/>
        <item m="1" x="182"/>
        <item m="1" x="681"/>
        <item m="1" x="1181"/>
        <item m="1" x="1682"/>
        <item m="1" x="2179"/>
        <item m="1" x="2686"/>
        <item m="1" x="3189"/>
        <item m="1" x="3698"/>
        <item m="1" x="4207"/>
        <item m="1" x="4706"/>
        <item m="1" x="5204"/>
        <item m="1" x="5706"/>
        <item m="1" x="6209"/>
        <item m="1" x="6719"/>
        <item m="1" x="7222"/>
        <item m="1" x="7726"/>
        <item m="1" x="300"/>
        <item m="1" x="798"/>
        <item m="1" x="1300"/>
        <item m="1" x="1797"/>
        <item m="1" x="2297"/>
        <item m="1" x="2807"/>
        <item m="1" x="3314"/>
        <item m="1" x="3822"/>
        <item m="1" x="4329"/>
        <item m="1" x="4827"/>
        <item m="1" x="5327"/>
        <item m="1" x="5824"/>
        <item m="1" x="6329"/>
        <item m="1" x="6840"/>
        <item m="1" x="7345"/>
        <item m="1" x="7848"/>
        <item m="1" x="422"/>
        <item m="1" x="921"/>
        <item m="1" x="1420"/>
        <item m="1" x="1918"/>
        <item m="1" x="2421"/>
        <item m="1" x="2929"/>
        <item m="1" x="3439"/>
        <item m="1" x="3949"/>
        <item m="1" x="4454"/>
        <item m="1" x="4947"/>
        <item m="1" x="5449"/>
        <item m="1" x="5947"/>
        <item m="1" x="6451"/>
        <item m="1" x="6959"/>
        <item m="1" x="7466"/>
        <item m="1" x="7970"/>
        <item m="1" x="543"/>
        <item m="1" x="1043"/>
        <item m="1" x="1543"/>
        <item m="1" x="2043"/>
        <item m="1" x="2545"/>
        <item m="1" x="3051"/>
        <item m="1" x="3561"/>
        <item m="1" x="4073"/>
        <item m="1" x="4571"/>
        <item m="1" x="5066"/>
        <item m="1" x="5569"/>
        <item m="1" x="6069"/>
        <item m="1" x="6573"/>
        <item m="1" x="7082"/>
        <item m="1" x="7587"/>
        <item m="1" x="165"/>
        <item m="1" x="663"/>
        <item m="1" x="1163"/>
        <item m="1" x="3885"/>
        <item m="1" x="4393"/>
        <item m="1" x="4888"/>
        <item m="1" x="5386"/>
        <item m="1" x="5886"/>
        <item m="1" x="2494"/>
        <item m="1" x="2998"/>
        <item m="1" x="3507"/>
        <item m="1" x="4023"/>
        <item m="1" x="628"/>
        <item m="1" x="1128"/>
        <item m="1" x="1627"/>
        <item m="1" x="2123"/>
        <item m="1" x="2627"/>
        <item m="1" x="6925"/>
        <item m="1" x="7179"/>
        <item m="1" x="7428"/>
        <item m="1" x="7681"/>
        <item m="1" x="7933"/>
        <item m="1" x="258"/>
        <item m="1" x="511"/>
        <item m="1" x="756"/>
        <item m="1" x="1009"/>
        <item m="1" x="5295"/>
        <item m="1" x="5542"/>
        <item m="1" x="5793"/>
        <item m="1" x="6046"/>
        <item m="1" x="6297"/>
        <item m="1" x="6552"/>
        <item m="1" x="6808"/>
        <item m="1" x="7056"/>
        <item m="1" x="7308"/>
        <item m="1" x="3670"/>
        <item m="1" x="3931"/>
        <item m="1" x="4181"/>
        <item m="1" x="4436"/>
        <item m="1" x="4680"/>
        <item m="1" x="4928"/>
        <item m="1" x="5174"/>
        <item m="1" x="5426"/>
        <item m="1" x="5678"/>
        <item m="1" x="2035"/>
        <item m="1" x="2282"/>
        <item m="1" x="2537"/>
        <item m="1" x="2788"/>
        <item m="1" x="3041"/>
        <item m="1" x="3298"/>
        <item m="1" x="3552"/>
        <item m="1" x="3807"/>
        <item m="1" x="4066"/>
        <item m="1" x="170"/>
        <item m="1" x="417"/>
        <item m="1" x="668"/>
        <item m="1" x="917"/>
        <item m="1" x="1168"/>
        <item m="1" x="1416"/>
        <item m="1" x="1671"/>
        <item m="1" x="1915"/>
        <item m="1" x="2165"/>
        <item m="1" x="2416"/>
        <item m="1" x="6463"/>
        <item m="1" x="6720"/>
        <item m="1" x="6968"/>
        <item m="1" x="7223"/>
        <item m="1" x="7474"/>
        <item m="1" x="7727"/>
        <item m="1" x="7978"/>
        <item m="1" x="301"/>
        <item m="1" x="553"/>
        <item m="1" x="799"/>
        <item m="1" x="4840"/>
        <item m="1" x="5088"/>
        <item m="1" x="5338"/>
        <item m="1" x="5591"/>
        <item m="1" x="5838"/>
        <item m="1" x="6094"/>
        <item m="1" x="6344"/>
        <item m="1" x="6599"/>
        <item m="1" x="6853"/>
        <item m="1" x="7104"/>
        <item m="1" x="3204"/>
        <item m="1" x="3462"/>
        <item m="1" x="3716"/>
        <item m="1" x="3974"/>
        <item m="1" x="4225"/>
        <item m="1" x="4479"/>
        <item m="1" x="4723"/>
        <item m="1" x="4971"/>
        <item m="1" x="5220"/>
        <item m="1" x="5473"/>
        <item m="1" x="1584"/>
        <item m="1" x="1828"/>
        <item m="1" x="2081"/>
        <item m="1" x="2329"/>
        <item m="1" x="2584"/>
        <item m="1" x="2834"/>
        <item m="1" x="3087"/>
        <item m="1" x="3342"/>
        <item m="1" x="3597"/>
        <item m="1" x="3852"/>
        <item t="default"/>
      </items>
    </pivotField>
    <pivotField axis="axisRow" showAll="0">
      <items count="8001">
        <item m="1" x="6428"/>
        <item m="1" x="2149"/>
        <item m="1" x="198"/>
        <item m="1" x="2986"/>
        <item m="1" x="4939"/>
        <item m="1" x="2150"/>
        <item m="1" x="199"/>
        <item m="1" x="6429"/>
        <item m="1" x="2151"/>
        <item m="1" x="200"/>
        <item m="1" x="2987"/>
        <item m="1" x="2152"/>
        <item m="1" x="2988"/>
        <item m="1" x="2153"/>
        <item m="1" x="201"/>
        <item m="1" x="2989"/>
        <item m="1" x="6430"/>
        <item m="1" x="202"/>
        <item m="1" x="2990"/>
        <item m="1" x="2154"/>
        <item m="1" x="2155"/>
        <item m="1" x="203"/>
        <item m="1" x="4489"/>
        <item m="1" x="1275"/>
        <item m="1" x="2794"/>
        <item m="1" x="495"/>
        <item m="1" x="4490"/>
        <item m="1" x="789"/>
        <item m="1" x="1276"/>
        <item m="1" x="2795"/>
        <item m="1" x="790"/>
        <item m="1" x="5358"/>
        <item m="1" x="496"/>
        <item m="1" x="4491"/>
        <item m="1" x="791"/>
        <item m="1" x="5359"/>
        <item m="1" x="1277"/>
        <item m="1" x="2796"/>
        <item m="1" x="4492"/>
        <item m="1" x="792"/>
        <item m="1" x="5360"/>
        <item m="1" x="1278"/>
        <item m="1" x="2797"/>
        <item m="1" x="793"/>
        <item m="1" x="268"/>
        <item m="1" x="3474"/>
        <item m="1" x="2591"/>
        <item m="1" x="269"/>
        <item m="1" x="3475"/>
        <item m="1" x="2592"/>
        <item m="1" x="270"/>
        <item m="1" x="2593"/>
        <item m="1" x="271"/>
        <item m="1" x="3476"/>
        <item m="1" x="2594"/>
        <item m="1" x="272"/>
        <item m="1" x="2595"/>
        <item m="1" x="273"/>
        <item m="1" x="3477"/>
        <item m="1" x="2596"/>
        <item m="1" x="274"/>
        <item m="1" x="3478"/>
        <item m="1" x="2597"/>
        <item m="1" x="3479"/>
        <item m="1" x="275"/>
        <item m="1" x="3480"/>
        <item m="1" x="276"/>
        <item m="1" x="3481"/>
        <item m="1" x="2598"/>
        <item m="1" x="2599"/>
        <item m="1" x="277"/>
        <item m="1" x="2600"/>
        <item m="1" x="278"/>
        <item m="1" x="3482"/>
        <item m="1" x="2601"/>
        <item m="1" x="3483"/>
        <item m="1" x="2602"/>
        <item m="1" x="279"/>
        <item m="1" x="3484"/>
        <item m="1" x="280"/>
        <item m="1" x="3485"/>
        <item m="1" x="2603"/>
        <item m="1" x="3486"/>
        <item m="1" x="2604"/>
        <item m="1" x="4990"/>
        <item m="1" x="5815"/>
        <item m="1" x="1587"/>
        <item m="1" x="3257"/>
        <item m="1" x="4991"/>
        <item m="1" x="1588"/>
        <item m="1" x="3258"/>
        <item m="1" x="1023"/>
        <item m="1" x="5816"/>
        <item m="1" x="1024"/>
        <item m="1" x="5817"/>
        <item m="1" x="4992"/>
        <item m="1" x="1025"/>
        <item m="1" x="1589"/>
        <item m="1" x="4993"/>
        <item m="1" x="7227"/>
        <item m="1" x="7635"/>
        <item m="1" x="7919"/>
        <item m="1" x="3207"/>
        <item m="1" x="4166"/>
        <item m="1" x="5103"/>
        <item m="1" x="494"/>
        <item m="1" x="3778"/>
        <item m="1" x="4734"/>
        <item m="1" x="5633"/>
        <item m="1" x="6419"/>
        <item m="1" x="1392"/>
        <item m="1" x="5701"/>
        <item m="1" x="6480"/>
        <item m="1" x="7079"/>
        <item m="1" x="7536"/>
        <item m="1" x="2972"/>
        <item m="1" x="2605"/>
        <item m="1" x="3526"/>
        <item m="1" x="4480"/>
        <item m="1" x="4549"/>
        <item m="1" x="5468"/>
        <item m="1" x="6312"/>
        <item m="1" x="1026"/>
        <item m="1" x="1603"/>
        <item m="1" x="2348"/>
        <item m="1" x="3259"/>
        <item m="1" x="2404"/>
        <item m="1" x="6662"/>
        <item m="1" x="7211"/>
        <item m="1" x="2330"/>
        <item m="1" x="3191"/>
        <item m="1" x="1976"/>
        <item m="1" x="2798"/>
        <item m="1" x="3757"/>
        <item m="1" x="4703"/>
        <item m="1" x="3814"/>
        <item m="1" x="4766"/>
        <item m="1" x="5681"/>
        <item m="1" x="6464"/>
        <item m="1" x="1153"/>
        <item m="1" x="1776"/>
        <item m="1" x="2569"/>
        <item m="1" x="2637"/>
        <item m="1" x="3573"/>
        <item m="1" x="4526"/>
        <item m="1" x="4581"/>
        <item m="1" x="360"/>
        <item m="1" x="602"/>
        <item m="1" x="1007"/>
        <item m="1" x="1590"/>
        <item m="1" x="6018"/>
        <item m="1" x="1066"/>
        <item m="1" x="1626"/>
        <item m="1" x="2388"/>
        <item m="1" x="3286"/>
        <item m="1" x="7269"/>
        <item m="1" x="2468"/>
        <item m="1" x="3349"/>
        <item m="1" x="4324"/>
        <item m="1" x="189"/>
        <item m="1" x="295"/>
        <item m="1" x="513"/>
        <item m="1" x="884"/>
        <item m="1" x="3981"/>
        <item m="1" x="4903"/>
        <item m="1" x="5781"/>
        <item m="1" x="558"/>
        <item m="1" x="924"/>
        <item m="1" x="1459"/>
        <item m="1" x="2181"/>
        <item m="1" x="5859"/>
        <item m="1" x="6578"/>
        <item m="1" x="7146"/>
        <item m="1" x="1538"/>
        <item m="1" x="2252"/>
        <item m="1" x="3118"/>
        <item m="1" x="4088"/>
        <item m="1" x="166"/>
        <item m="1" x="249"/>
        <item m="1" x="2773"/>
        <item m="1" x="3714"/>
        <item m="1" x="4646"/>
        <item m="1" x="5551"/>
        <item m="1" x="484"/>
        <item m="1" x="820"/>
        <item m="1" x="4704"/>
        <item m="1" x="7969"/>
        <item m="1" x="5334"/>
        <item m="1" x="6169"/>
        <item m="1" x="588"/>
        <item m="1" x="955"/>
        <item m="1" x="1489"/>
        <item m="1" x="2206"/>
        <item m="1" x="6616"/>
        <item m="1" x="7174"/>
        <item m="1" x="1573"/>
        <item m="1" x="2287"/>
        <item m="1" x="3154"/>
        <item m="1" x="4115"/>
        <item m="1" x="7643"/>
        <item m="1" x="7920"/>
        <item m="1" x="3217"/>
        <item m="1" x="4167"/>
        <item m="1" x="5104"/>
        <item m="1" x="5973"/>
        <item m="1" x="497"/>
        <item m="1" x="847"/>
        <item m="1" x="1320"/>
        <item m="1" x="4746"/>
        <item m="1" x="5642"/>
        <item m="1" x="6431"/>
        <item m="1" x="7023"/>
        <item m="1" x="1398"/>
        <item m="1" x="2085"/>
        <item m="1" x="2901"/>
        <item m="1" x="6491"/>
        <item m="1" x="7085"/>
        <item m="1" x="7554"/>
        <item m="1" x="7860"/>
        <item m="1" x="2978"/>
        <item m="1" x="3923"/>
        <item m="1" x="4867"/>
        <item m="1" x="426"/>
        <item m="1" x="3541"/>
        <item m="1" x="4493"/>
        <item m="1" x="5425"/>
        <item m="1" x="6239"/>
        <item m="1" x="1250"/>
        <item m="1" x="5476"/>
        <item m="1" x="6948"/>
        <item m="1" x="7436"/>
        <item m="1" x="2748"/>
        <item m="1" x="2355"/>
        <item m="1" x="3260"/>
        <item m="1" x="4238"/>
        <item m="1" x="4284"/>
        <item m="1" x="5241"/>
        <item m="1" x="6103"/>
        <item m="1" x="905"/>
        <item m="1" x="1428"/>
        <item m="1" x="2156"/>
        <item m="1" x="3029"/>
        <item m="1" x="2207"/>
        <item m="1" x="3087"/>
        <item m="1" x="4054"/>
        <item m="1" x="5004"/>
        <item m="1" x="6240"/>
        <item m="1" x="6882"/>
        <item m="1" x="7375"/>
        <item m="1" x="1883"/>
        <item m="1" x="2679"/>
        <item m="1" x="3600"/>
        <item m="1" x="204"/>
        <item m="1" x="336"/>
        <item m="1" x="3229"/>
        <item m="1" x="4189"/>
        <item m="1" x="5119"/>
        <item m="1" x="630"/>
        <item m="1" x="1035"/>
        <item m="1" x="5172"/>
        <item m="1" x="6046"/>
        <item m="1" x="6717"/>
        <item m="1" x="1661"/>
        <item m="1" x="2414"/>
        <item m="1" x="176"/>
        <item m="1" x="1415"/>
        <item m="1" x="2120"/>
        <item m="1" x="2991"/>
        <item m="1" x="3935"/>
        <item m="1" x="539"/>
        <item m="1" x="3030"/>
        <item m="1" x="3996"/>
        <item m="1" x="4940"/>
        <item m="1" x="5830"/>
        <item m="1" x="1490"/>
        <item m="1" x="1372"/>
        <item m="1" x="2025"/>
        <item m="1" x="2861"/>
        <item m="1" x="3815"/>
        <item m="1" x="7067"/>
        <item m="1" x="7521"/>
        <item m="1" x="2960"/>
        <item m="1" x="3891"/>
        <item m="1" x="4835"/>
        <item m="1" x="5727"/>
        <item m="1" x="7888"/>
        <item m="1" x="4891"/>
        <item m="1" x="5769"/>
        <item m="1" x="6522"/>
        <item m="1" x="759"/>
        <item m="1" x="1208"/>
        <item m="1" x="1835"/>
        <item m="1" x="6291"/>
        <item m="1" x="6908"/>
        <item m="1" x="7404"/>
        <item m="1" x="1922"/>
        <item m="1" x="2711"/>
        <item m="1" x="3633"/>
        <item m="1" x="7461"/>
        <item m="1" x="7796"/>
        <item m="1" x="3693"/>
        <item m="1" x="4628"/>
        <item m="1" x="5533"/>
        <item m="1" x="654"/>
        <item m="1" x="1067"/>
        <item m="1" x="5211"/>
        <item m="1" x="6072"/>
        <item m="1" x="6749"/>
        <item m="1" x="1718"/>
        <item m="1" x="2469"/>
        <item m="1" x="6811"/>
        <item m="1" x="5728"/>
        <item m="1" x="1154"/>
        <item m="1" x="1777"/>
        <item m="1" x="2570"/>
        <item m="1" x="6867"/>
        <item m="1" x="2638"/>
        <item m="1" x="3574"/>
        <item m="1" x="4527"/>
        <item m="1" x="7772"/>
        <item m="1" x="4582"/>
        <item m="1" x="5508"/>
        <item m="1" x="361"/>
        <item m="1" x="603"/>
        <item m="1" x="1008"/>
        <item m="1" x="1591"/>
        <item m="1" x="6019"/>
        <item m="1" x="6701"/>
        <item m="1" x="1068"/>
        <item m="1" x="1627"/>
        <item m="1" x="2389"/>
        <item m="1" x="3287"/>
        <item m="1" x="7270"/>
        <item m="1" x="7680"/>
        <item m="1" x="2470"/>
        <item m="1" x="3350"/>
        <item m="1" x="4325"/>
        <item m="1" x="5267"/>
        <item m="1" x="296"/>
        <item m="1" x="514"/>
        <item m="1" x="885"/>
        <item m="1" x="3982"/>
        <item m="1" x="4904"/>
        <item m="1" x="5782"/>
        <item m="1" x="6531"/>
        <item m="1" x="925"/>
        <item m="1" x="1460"/>
        <item m="1" x="2182"/>
        <item m="1" x="5860"/>
        <item m="1" x="6579"/>
        <item m="1" x="7147"/>
        <item m="1" x="7589"/>
        <item m="1" x="2253"/>
        <item m="1" x="3119"/>
        <item m="1" x="4089"/>
        <item m="1" x="250"/>
        <item m="1" x="2774"/>
        <item m="1" x="3715"/>
        <item m="1" x="4647"/>
        <item m="1" x="5552"/>
        <item m="1" x="821"/>
        <item m="1" x="4705"/>
        <item m="1" x="5616"/>
        <item m="1" x="6396"/>
        <item m="1" x="6996"/>
        <item m="1" x="2026"/>
        <item m="1" x="1750"/>
        <item m="1" x="2535"/>
        <item m="1" x="3445"/>
        <item m="1" x="4404"/>
        <item m="1" x="3508"/>
        <item m="1" x="4462"/>
        <item m="1" x="5396"/>
        <item m="1" x="7644"/>
        <item m="1" x="7921"/>
        <item m="1" x="95"/>
        <item m="1" x="4168"/>
        <item m="1" x="5105"/>
        <item m="1" x="5974"/>
        <item m="1" x="760"/>
        <item m="1" x="1209"/>
        <item m="1" x="1836"/>
        <item m="1" x="6292"/>
        <item m="1" x="6909"/>
        <item m="1" x="1923"/>
        <item m="1" x="2712"/>
        <item m="1" x="3634"/>
        <item m="1" x="7462"/>
        <item m="1" x="7797"/>
        <item m="1" x="3694"/>
        <item m="1" x="4629"/>
        <item m="1" x="5534"/>
        <item m="1" x="383"/>
        <item m="1" x="655"/>
        <item m="1" x="1069"/>
        <item m="1" x="5212"/>
        <item m="1" x="6073"/>
        <item m="1" x="6750"/>
        <item m="1" x="1127"/>
        <item m="1" x="1719"/>
        <item m="1" x="2471"/>
        <item m="1" x="6812"/>
        <item m="1" x="7340"/>
        <item m="1" x="7720"/>
        <item m="1" x="2528"/>
        <item m="1" x="3430"/>
        <item m="1" x="4387"/>
        <item m="1" x="329"/>
        <item m="1" x="559"/>
        <item m="1" x="3065"/>
        <item m="1" x="4020"/>
        <item m="1" x="4970"/>
        <item m="1" x="5861"/>
        <item m="1" x="997"/>
        <item m="1" x="1539"/>
        <item m="1" x="5038"/>
        <item m="1" x="5921"/>
        <item m="1" x="6663"/>
        <item m="1" x="7212"/>
        <item m="1" x="2331"/>
        <item m="1" x="3192"/>
        <item m="1" x="1977"/>
        <item m="1" x="2799"/>
        <item m="1" x="3758"/>
        <item m="1" x="4706"/>
        <item m="1" x="3816"/>
        <item m="1" x="4767"/>
        <item m="1" x="5682"/>
        <item m="1" x="6465"/>
        <item m="1" x="1155"/>
        <item m="1" x="1778"/>
        <item m="1" x="2571"/>
        <item m="1" x="2639"/>
        <item m="1" x="3575"/>
        <item m="1" x="4528"/>
        <item m="1" x="5862"/>
        <item m="1" x="6580"/>
        <item m="1" x="7148"/>
        <item m="1" x="1540"/>
        <item m="1" x="2254"/>
        <item m="1" x="3120"/>
        <item m="1" x="4090"/>
        <item m="1" x="167"/>
        <item m="1" x="251"/>
        <item m="1" x="2775"/>
        <item m="1" x="3716"/>
        <item m="1" x="4648"/>
        <item m="1" x="5553"/>
        <item m="1" x="485"/>
        <item m="1" x="822"/>
        <item m="1" x="4707"/>
        <item m="1" x="5617"/>
        <item m="1" x="6397"/>
        <item m="1" x="6997"/>
        <item m="1" x="1373"/>
        <item m="1" x="2027"/>
        <item m="1" x="158"/>
        <item m="1" x="1751"/>
        <item m="1" x="2536"/>
        <item m="1" x="3446"/>
        <item m="1" x="4405"/>
        <item m="1" x="417"/>
        <item m="1" x="3509"/>
        <item m="1" x="4463"/>
        <item m="1" x="5397"/>
        <item m="1" x="1210"/>
        <item m="1" x="1662"/>
        <item m="1" x="2415"/>
        <item m="1" x="3311"/>
        <item m="1" x="7307"/>
        <item m="1" x="3391"/>
        <item m="1" x="4357"/>
        <item m="1" x="5286"/>
        <item m="1" x="7970"/>
        <item m="1" x="5335"/>
        <item m="1" x="6170"/>
        <item m="1" x="589"/>
        <item m="1" x="956"/>
        <item m="1" x="1491"/>
        <item m="1" x="2208"/>
        <item m="1" x="6617"/>
        <item m="1" x="7175"/>
        <item m="1" x="1574"/>
        <item m="1" x="2288"/>
        <item m="1" x="3155"/>
        <item m="1" x="4116"/>
        <item m="1" x="7645"/>
        <item m="1" x="7922"/>
        <item m="1" x="3218"/>
        <item m="1" x="4169"/>
        <item m="1" x="5106"/>
        <item m="1" x="5975"/>
        <item m="1" x="498"/>
        <item m="1" x="848"/>
        <item m="1" x="1321"/>
        <item m="1" x="4747"/>
        <item m="1" x="5643"/>
        <item m="1" x="6432"/>
        <item m="1" x="7024"/>
        <item m="1" x="1399"/>
        <item m="1" x="2086"/>
        <item m="1" x="2902"/>
        <item m="1" x="6492"/>
        <item m="1" x="906"/>
        <item m="1" x="1429"/>
        <item m="1" x="2157"/>
        <item m="1" x="3031"/>
        <item m="1" x="2209"/>
        <item m="1" x="3088"/>
        <item m="1" x="4055"/>
        <item m="1" x="5005"/>
        <item m="1" x="4117"/>
        <item m="1" x="5061"/>
        <item m="1" x="451"/>
        <item m="1" x="794"/>
        <item m="1" x="1279"/>
        <item m="1" x="1957"/>
        <item m="1" x="5596"/>
        <item m="1" x="6363"/>
        <item m="1" x="1322"/>
        <item m="1" x="1999"/>
        <item m="1" x="2828"/>
        <item m="1" x="3788"/>
        <item m="1" x="7025"/>
        <item m="1" x="7486"/>
        <item m="1" x="2903"/>
        <item m="1" x="3860"/>
        <item m="1" x="4797"/>
        <item m="1" x="228"/>
        <item m="1" x="391"/>
        <item m="1" x="686"/>
        <item m="1" x="4435"/>
        <item m="1" x="5361"/>
        <item m="1" x="6184"/>
        <item m="1" x="725"/>
        <item m="1" x="1182"/>
        <item m="1" x="1802"/>
        <item m="1" x="6241"/>
        <item m="1" x="6883"/>
        <item m="1" x="7376"/>
        <item m="1" x="1884"/>
        <item m="1" x="2680"/>
        <item m="1" x="3601"/>
        <item m="1" x="205"/>
        <item m="1" x="337"/>
        <item m="1" x="3230"/>
        <item m="1" x="4190"/>
        <item m="1" x="5120"/>
        <item m="1" x="631"/>
        <item m="1" x="1036"/>
        <item m="1" x="5173"/>
        <item m="1" x="6047"/>
        <item m="1" x="6718"/>
        <item m="1" x="1663"/>
        <item m="1" x="2416"/>
        <item m="1" x="177"/>
        <item m="1" x="1416"/>
        <item m="1" x="2121"/>
        <item m="1" x="2992"/>
        <item m="1" x="3936"/>
        <item m="1" x="540"/>
        <item m="1" x="3032"/>
        <item m="1" x="3997"/>
        <item m="1" x="4941"/>
        <item m="1" x="7463"/>
        <item m="1" x="7798"/>
        <item m="1" x="3695"/>
        <item m="1" x="4630"/>
        <item m="1" x="5535"/>
        <item m="1" x="656"/>
        <item m="1" x="1070"/>
        <item m="1" x="5213"/>
        <item m="1" x="6074"/>
        <item m="1" x="6751"/>
        <item m="1" x="1720"/>
        <item m="1" x="2472"/>
        <item m="1" x="6813"/>
        <item m="1" x="7341"/>
        <item m="1" x="7721"/>
        <item m="1" x="3431"/>
        <item m="1" x="4388"/>
        <item m="1" x="560"/>
        <item m="1" x="3066"/>
        <item m="1" x="4021"/>
        <item m="1" x="4971"/>
        <item m="1" x="5863"/>
        <item m="1" x="1541"/>
        <item m="1" x="5039"/>
        <item m="1" x="5922"/>
        <item m="1" x="6664"/>
        <item m="1" x="7213"/>
        <item m="1" x="3193"/>
        <item m="1" x="1978"/>
        <item m="1" x="2800"/>
        <item m="1" x="3759"/>
        <item m="1" x="4708"/>
        <item m="1" x="3817"/>
        <item m="1" x="4768"/>
        <item m="1" x="5683"/>
        <item m="1" x="6466"/>
        <item m="1" x="5729"/>
        <item m="1" x="1156"/>
        <item m="1" x="1779"/>
        <item m="1" x="2572"/>
        <item m="1" x="6868"/>
        <item m="1" x="2640"/>
        <item m="1" x="3576"/>
        <item m="1" x="4529"/>
        <item m="1" x="7773"/>
        <item m="1" x="4583"/>
        <item m="1" x="5509"/>
        <item m="1" x="362"/>
        <item m="1" x="604"/>
        <item m="1" x="1009"/>
        <item m="1" x="1592"/>
        <item m="1" x="6020"/>
        <item m="1" x="6702"/>
        <item m="1" x="1071"/>
        <item m="1" x="1628"/>
        <item m="1" x="2390"/>
        <item m="1" x="3288"/>
        <item m="1" x="6398"/>
        <item m="1" x="6998"/>
        <item m="1" x="2028"/>
        <item m="1" x="1752"/>
        <item m="1" x="2537"/>
        <item m="1" x="3447"/>
        <item m="1" x="3510"/>
        <item m="1" x="4464"/>
        <item m="1" x="5398"/>
        <item m="1" x="761"/>
        <item m="1" x="1211"/>
        <item m="1" x="1837"/>
        <item m="1" x="6293"/>
        <item m="1" x="6910"/>
        <item m="1" x="1924"/>
        <item m="1" x="2713"/>
        <item m="1" x="3635"/>
        <item m="1" x="7464"/>
        <item m="1" x="7799"/>
        <item m="1" x="3696"/>
        <item m="1" x="4631"/>
        <item m="1" x="5536"/>
        <item m="1" x="384"/>
        <item m="1" x="657"/>
        <item m="1" x="1072"/>
        <item m="1" x="5214"/>
        <item m="1" x="6075"/>
        <item m="1" x="6752"/>
        <item m="1" x="1128"/>
        <item m="1" x="1721"/>
        <item m="1" x="2473"/>
        <item m="1" x="6814"/>
        <item m="1" x="7342"/>
        <item m="1" x="7722"/>
        <item m="1" x="2529"/>
        <item m="1" x="3432"/>
        <item m="1" x="4389"/>
        <item m="1" x="330"/>
        <item m="1" x="561"/>
        <item m="1" x="3067"/>
        <item m="1" x="4022"/>
        <item m="1" x="4972"/>
        <item m="1" x="5864"/>
        <item m="1" x="998"/>
        <item m="1" x="1542"/>
        <item m="1" x="5040"/>
        <item m="1" x="5923"/>
        <item m="1" x="6665"/>
        <item m="1" x="7214"/>
        <item m="1" x="2332"/>
        <item m="1" x="3194"/>
        <item m="1" x="1979"/>
        <item m="1" x="2801"/>
        <item m="1" x="3760"/>
        <item m="1" x="4709"/>
        <item m="1" x="3818"/>
        <item m="1" x="4769"/>
        <item m="1" x="5684"/>
        <item m="1" x="7271"/>
        <item m="1" x="2474"/>
        <item m="1" x="3351"/>
        <item m="1" x="4326"/>
        <item m="1" x="190"/>
        <item m="1" x="297"/>
        <item m="1" x="515"/>
        <item m="1" x="886"/>
        <item m="1" x="4905"/>
        <item m="1" x="5783"/>
        <item m="1" x="562"/>
        <item m="1" x="926"/>
        <item m="1" x="1461"/>
        <item m="1" x="2183"/>
        <item m="1" x="5865"/>
        <item m="1" x="6581"/>
        <item m="1" x="7149"/>
        <item m="1" x="1543"/>
        <item m="1" x="2255"/>
        <item m="1" x="3121"/>
        <item m="1" x="4091"/>
        <item m="1" x="168"/>
        <item m="1" x="252"/>
        <item m="1" x="2776"/>
        <item m="1" x="3717"/>
        <item m="1" x="4649"/>
        <item m="1" x="5554"/>
        <item m="1" x="486"/>
        <item m="1" x="823"/>
        <item m="1" x="4710"/>
        <item m="1" x="5618"/>
        <item m="1" x="6399"/>
        <item m="1" x="6999"/>
        <item m="1" x="1374"/>
        <item m="1" x="2029"/>
        <item m="1" x="159"/>
        <item m="1" x="1753"/>
        <item m="1" x="2538"/>
        <item m="1" x="3448"/>
        <item m="1" x="418"/>
        <item m="1" x="3511"/>
        <item m="1" x="4465"/>
        <item m="1" x="5399"/>
        <item m="1" x="1212"/>
        <item m="1" x="1664"/>
        <item m="1" x="2417"/>
        <item m="1" x="3312"/>
        <item m="1" x="7308"/>
        <item m="1" x="3392"/>
        <item m="1" x="4358"/>
        <item m="1" x="5287"/>
        <item m="1" x="7971"/>
        <item m="1" x="5336"/>
        <item m="1" x="6171"/>
        <item m="1" x="590"/>
        <item m="1" x="957"/>
        <item m="1" x="1492"/>
        <item m="1" x="2210"/>
        <item m="1" x="6618"/>
        <item m="1" x="7176"/>
        <item m="1" x="1575"/>
        <item m="1" x="2289"/>
        <item m="1" x="3156"/>
        <item m="1" x="4118"/>
        <item m="1" x="6949"/>
        <item m="1" x="7437"/>
        <item m="1" x="2749"/>
        <item m="1" x="2356"/>
        <item m="1" x="3261"/>
        <item m="1" x="4239"/>
        <item m="1" x="4285"/>
        <item m="1" x="5242"/>
        <item m="1" x="6104"/>
        <item m="1" x="907"/>
        <item m="1" x="1430"/>
        <item m="1" x="2158"/>
        <item m="1" x="3033"/>
        <item m="1" x="2211"/>
        <item m="1" x="3089"/>
        <item m="1" x="4056"/>
        <item m="1" x="5006"/>
        <item m="1" x="4119"/>
        <item m="1" x="5062"/>
        <item m="1" x="452"/>
        <item m="1" x="795"/>
        <item m="1" x="1280"/>
        <item m="1" x="1958"/>
        <item m="1" x="5597"/>
        <item m="1" x="6364"/>
        <item m="1" x="1323"/>
        <item m="1" x="2000"/>
        <item m="1" x="2829"/>
        <item m="1" x="3789"/>
        <item m="1" x="7026"/>
        <item m="1" x="7487"/>
        <item m="1" x="2904"/>
        <item m="1" x="3861"/>
        <item m="1" x="4798"/>
        <item m="1" x="229"/>
        <item m="1" x="392"/>
        <item m="1" x="687"/>
        <item m="1" x="4436"/>
        <item m="1" x="5362"/>
        <item m="1" x="6185"/>
        <item m="1" x="726"/>
        <item m="1" x="1183"/>
        <item m="1" x="1803"/>
        <item m="1" x="6242"/>
        <item m="1" x="6884"/>
        <item m="1" x="7377"/>
        <item m="1" x="1885"/>
        <item m="1" x="2681"/>
        <item m="1" x="3602"/>
        <item m="1" x="206"/>
        <item m="1" x="338"/>
        <item m="1" x="3231"/>
        <item m="1" x="4191"/>
        <item m="1" x="5121"/>
        <item m="1" x="632"/>
        <item m="1" x="1037"/>
        <item m="1" x="5174"/>
        <item m="1" x="7889"/>
        <item m="1" x="4892"/>
        <item m="1" x="5770"/>
        <item m="1" x="6523"/>
        <item m="1" x="762"/>
        <item m="1" x="1213"/>
        <item m="1" x="1838"/>
        <item m="1" x="6294"/>
        <item m="1" x="6911"/>
        <item m="1" x="7405"/>
        <item m="1" x="1925"/>
        <item m="1" x="2714"/>
        <item m="1" x="3636"/>
        <item m="1" x="7465"/>
        <item m="1" x="7800"/>
        <item m="1" x="3697"/>
        <item m="1" x="4632"/>
        <item m="1" x="5537"/>
        <item m="1" x="658"/>
        <item m="1" x="1073"/>
        <item m="1" x="5215"/>
        <item m="1" x="6076"/>
        <item m="1" x="6753"/>
        <item m="1" x="1722"/>
        <item m="1" x="2475"/>
        <item m="1" x="6815"/>
        <item m="1" x="7343"/>
        <item m="1" x="7723"/>
        <item m="1" x="3433"/>
        <item m="1" x="4390"/>
        <item m="1" x="563"/>
        <item m="1" x="3068"/>
        <item m="1" x="4023"/>
        <item m="1" x="4973"/>
        <item m="1" x="5866"/>
        <item m="1" x="1544"/>
        <item m="1" x="5041"/>
        <item m="1" x="5924"/>
        <item m="1" x="6666"/>
        <item m="1" x="7215"/>
        <item m="1" x="3195"/>
        <item m="1" x="1980"/>
        <item m="1" x="2802"/>
        <item m="1" x="3761"/>
        <item m="1" x="4711"/>
        <item m="1" x="3819"/>
        <item m="1" x="4770"/>
        <item m="1" x="5685"/>
        <item m="1" x="6467"/>
        <item m="1" x="5730"/>
        <item m="1" x="1157"/>
        <item m="1" x="1780"/>
        <item m="1" x="2573"/>
        <item m="1" x="6869"/>
        <item m="1" x="2641"/>
        <item m="1" x="3577"/>
        <item m="1" x="4530"/>
        <item m="1" x="6582"/>
        <item m="1" x="7150"/>
        <item m="1" x="7590"/>
        <item m="1" x="2256"/>
        <item m="1" x="3122"/>
        <item m="1" x="4092"/>
        <item m="1" x="253"/>
        <item m="1" x="2777"/>
        <item m="1" x="3718"/>
        <item m="1" x="4650"/>
        <item m="1" x="5555"/>
        <item m="1" x="824"/>
        <item m="1" x="4712"/>
        <item m="1" x="5619"/>
        <item m="1" x="6400"/>
        <item m="1" x="7000"/>
        <item m="1" x="2030"/>
        <item m="1" x="1754"/>
        <item m="1" x="2539"/>
        <item m="1" x="3449"/>
        <item m="1" x="3512"/>
        <item m="1" x="4466"/>
        <item m="1" x="5400"/>
        <item m="1" x="1665"/>
        <item m="1" x="2418"/>
        <item m="1" x="3313"/>
        <item m="1" x="7309"/>
        <item m="1" x="7697"/>
        <item m="1" x="3393"/>
        <item m="1" x="4359"/>
        <item m="1" x="5288"/>
        <item m="1" x="7972"/>
        <item m="1" x="114"/>
        <item m="1" x="5337"/>
        <item m="1" x="6172"/>
        <item m="1" x="6840"/>
        <item m="1" x="958"/>
        <item m="1" x="1493"/>
        <item m="1" x="2212"/>
        <item m="1" x="6619"/>
        <item m="1" x="7177"/>
        <item m="1" x="7604"/>
        <item m="1" x="2290"/>
        <item m="1" x="3157"/>
        <item m="1" x="4120"/>
        <item m="1" x="7646"/>
        <item m="1" x="7923"/>
        <item m="1" x="96"/>
        <item m="1" x="4170"/>
        <item m="1" x="5107"/>
        <item m="1" x="5976"/>
        <item m="1" x="763"/>
        <item m="1" x="1214"/>
        <item m="1" x="1839"/>
        <item m="1" x="6295"/>
        <item m="1" x="6912"/>
        <item m="1" x="1926"/>
        <item m="1" x="2715"/>
        <item m="1" x="3637"/>
        <item m="1" x="6667"/>
        <item m="1" x="7216"/>
        <item m="1" x="2333"/>
        <item m="1" x="3196"/>
        <item m="1" x="1981"/>
        <item m="1" x="2803"/>
        <item m="1" x="3762"/>
        <item m="1" x="4713"/>
        <item m="1" x="3820"/>
        <item m="1" x="4771"/>
        <item m="1" x="5686"/>
        <item m="1" x="6468"/>
        <item m="1" x="1158"/>
        <item m="1" x="1781"/>
        <item m="1" x="2574"/>
        <item m="1" x="2642"/>
        <item m="1" x="3578"/>
        <item m="1" x="4531"/>
        <item m="1" x="4584"/>
        <item m="1" x="363"/>
        <item m="1" x="605"/>
        <item m="1" x="1010"/>
        <item m="1" x="1593"/>
        <item m="1" x="6021"/>
        <item m="1" x="1074"/>
        <item m="1" x="1629"/>
        <item m="1" x="2391"/>
        <item m="1" x="3289"/>
        <item m="1" x="7272"/>
        <item m="1" x="2476"/>
        <item m="1" x="3352"/>
        <item m="1" x="4327"/>
        <item m="1" x="191"/>
        <item m="1" x="298"/>
        <item m="1" x="516"/>
        <item m="1" x="887"/>
        <item m="1" x="4906"/>
        <item m="1" x="5784"/>
        <item m="1" x="564"/>
        <item m="1" x="927"/>
        <item m="1" x="1462"/>
        <item m="1" x="2184"/>
        <item m="1" x="5867"/>
        <item m="1" x="6583"/>
        <item m="1" x="7151"/>
        <item m="1" x="1545"/>
        <item m="1" x="2257"/>
        <item m="1" x="3123"/>
        <item m="1" x="4093"/>
        <item m="1" x="169"/>
        <item m="1" x="254"/>
        <item m="1" x="2778"/>
        <item m="1" x="3719"/>
        <item m="1" x="4651"/>
        <item m="1" x="5556"/>
        <item m="1" x="487"/>
        <item m="1" x="825"/>
        <item m="1" x="4714"/>
        <item m="1" x="7973"/>
        <item m="1" x="5338"/>
        <item m="1" x="6173"/>
        <item m="1" x="591"/>
        <item m="1" x="959"/>
        <item m="1" x="1494"/>
        <item m="1" x="2213"/>
        <item m="1" x="6620"/>
        <item m="1" x="7178"/>
        <item m="1" x="1576"/>
        <item m="1" x="2291"/>
        <item m="1" x="3158"/>
        <item m="1" x="4121"/>
        <item m="1" x="7647"/>
        <item m="1" x="7924"/>
        <item m="1" x="3219"/>
        <item m="1" x="4171"/>
        <item m="1" x="5108"/>
        <item m="1" x="5977"/>
        <item m="1" x="499"/>
        <item m="1" x="849"/>
        <item m="1" x="1324"/>
        <item m="1" x="4748"/>
        <item m="1" x="5644"/>
        <item m="1" x="6433"/>
        <item m="1" x="7027"/>
        <item m="1" x="1400"/>
        <item m="1" x="2087"/>
        <item m="1" x="2905"/>
        <item m="1" x="6493"/>
        <item m="1" x="7086"/>
        <item m="1" x="7555"/>
        <item m="1" x="7861"/>
        <item m="1" x="2979"/>
        <item m="1" x="3924"/>
        <item m="1" x="4868"/>
        <item m="1" x="427"/>
        <item m="1" x="3542"/>
        <item m="1" x="4494"/>
        <item m="1" x="5426"/>
        <item m="1" x="6243"/>
        <item m="1" x="1251"/>
        <item m="1" x="5477"/>
        <item m="1" x="6950"/>
        <item m="1" x="7438"/>
        <item m="1" x="2750"/>
        <item m="1" x="2357"/>
        <item m="1" x="3262"/>
        <item m="1" x="4240"/>
        <item m="1" x="4286"/>
        <item m="1" x="5243"/>
        <item m="1" x="6105"/>
        <item m="1" x="908"/>
        <item m="1" x="1431"/>
        <item m="1" x="2159"/>
        <item m="1" x="3034"/>
        <item m="1" x="2214"/>
        <item m="1" x="3090"/>
        <item m="1" x="4057"/>
        <item m="1" x="5007"/>
        <item m="1" x="6244"/>
        <item m="1" x="6885"/>
        <item m="1" x="7378"/>
        <item m="1" x="1886"/>
        <item m="1" x="2682"/>
        <item m="1" x="3603"/>
        <item m="1" x="207"/>
        <item m="1" x="339"/>
        <item m="1" x="3232"/>
        <item m="1" x="4192"/>
        <item m="1" x="5122"/>
        <item m="1" x="633"/>
        <item m="1" x="1038"/>
        <item m="1" x="5175"/>
        <item m="1" x="6048"/>
        <item m="1" x="6719"/>
        <item m="1" x="1666"/>
        <item m="1" x="2419"/>
        <item m="1" x="178"/>
        <item m="1" x="1417"/>
        <item m="1" x="2122"/>
        <item m="1" x="2993"/>
        <item m="1" x="3937"/>
        <item m="1" x="541"/>
        <item m="1" x="3035"/>
        <item m="1" x="3998"/>
        <item m="1" x="4942"/>
        <item m="1" x="5831"/>
        <item m="1" x="1495"/>
        <item m="1" x="1375"/>
        <item m="1" x="2031"/>
        <item m="1" x="2862"/>
        <item m="1" x="3821"/>
        <item m="1" x="7068"/>
        <item m="1" x="7522"/>
        <item m="1" x="2961"/>
        <item m="1" x="3892"/>
        <item m="1" x="4836"/>
        <item m="1" x="5731"/>
        <item m="1" x="7890"/>
        <item m="1" x="4893"/>
        <item m="1" x="5771"/>
        <item m="1" x="6524"/>
        <item m="1" x="764"/>
        <item m="1" x="1215"/>
        <item m="1" x="1840"/>
        <item m="1" x="6296"/>
        <item m="1" x="6913"/>
        <item m="1" x="7406"/>
        <item m="1" x="1927"/>
        <item m="1" x="2716"/>
        <item m="1" x="3638"/>
        <item m="1" x="7466"/>
        <item m="1" x="7801"/>
        <item m="1" x="3698"/>
        <item m="1" x="4633"/>
        <item m="1" x="5538"/>
        <item m="1" x="659"/>
        <item m="1" x="1075"/>
        <item m="1" x="5216"/>
        <item m="1" x="6077"/>
        <item m="1" x="6754"/>
        <item m="1" x="1723"/>
        <item m="1" x="2477"/>
        <item m="1" x="6816"/>
        <item m="1" x="5732"/>
        <item m="1" x="1159"/>
        <item m="1" x="1782"/>
        <item m="1" x="2575"/>
        <item m="1" x="6870"/>
        <item m="1" x="2643"/>
        <item m="1" x="3579"/>
        <item m="1" x="4532"/>
        <item m="1" x="7774"/>
        <item m="1" x="4585"/>
        <item m="1" x="5510"/>
        <item m="1" x="364"/>
        <item m="1" x="606"/>
        <item m="1" x="1011"/>
        <item m="1" x="1594"/>
        <item m="1" x="6022"/>
        <item m="1" x="6703"/>
        <item m="1" x="1076"/>
        <item m="1" x="1630"/>
        <item m="1" x="2392"/>
        <item m="1" x="3290"/>
        <item m="1" x="7273"/>
        <item m="1" x="7681"/>
        <item m="1" x="2478"/>
        <item m="1" x="3353"/>
        <item m="1" x="4328"/>
        <item m="1" x="5268"/>
        <item m="1" x="299"/>
        <item m="1" x="517"/>
        <item m="1" x="888"/>
        <item m="1" x="4907"/>
        <item m="1" x="5785"/>
        <item m="1" x="6532"/>
        <item m="1" x="928"/>
        <item m="1" x="1463"/>
        <item m="1" x="2185"/>
        <item m="1" x="5868"/>
        <item m="1" x="6584"/>
        <item m="1" x="7152"/>
        <item m="1" x="7591"/>
        <item m="1" x="2258"/>
        <item m="1" x="3124"/>
        <item m="1" x="4094"/>
        <item m="1" x="255"/>
        <item m="1" x="2779"/>
        <item m="1" x="3720"/>
        <item m="1" x="4652"/>
        <item m="1" x="5557"/>
        <item m="1" x="826"/>
        <item m="1" x="4715"/>
        <item m="1" x="5620"/>
        <item m="1" x="6401"/>
        <item m="1" x="7001"/>
        <item m="1" x="2032"/>
        <item m="1" x="1755"/>
        <item m="1" x="2540"/>
        <item m="1" x="3450"/>
        <item m="1" x="3513"/>
        <item m="1" x="4467"/>
        <item m="1" x="5401"/>
        <item m="1" x="7467"/>
        <item m="1" x="7802"/>
        <item m="1" x="3699"/>
        <item m="1" x="4634"/>
        <item m="1" x="5539"/>
        <item m="1" x="385"/>
        <item m="1" x="660"/>
        <item m="1" x="1077"/>
        <item m="1" x="5217"/>
        <item m="1" x="6078"/>
        <item m="1" x="6755"/>
        <item m="1" x="1129"/>
        <item m="1" x="1724"/>
        <item m="1" x="2479"/>
        <item m="1" x="6817"/>
        <item m="1" x="7344"/>
        <item m="1" x="7724"/>
        <item m="1" x="2530"/>
        <item m="1" x="3434"/>
        <item m="1" x="4391"/>
        <item m="1" x="331"/>
        <item m="1" x="565"/>
        <item m="1" x="3069"/>
        <item m="1" x="4024"/>
        <item m="1" x="4974"/>
        <item m="1" x="5869"/>
        <item m="1" x="999"/>
        <item m="1" x="1546"/>
        <item m="1" x="5042"/>
        <item m="1" x="5925"/>
        <item m="1" x="6668"/>
        <item m="1" x="7217"/>
        <item m="1" x="2334"/>
        <item m="1" x="3197"/>
        <item m="1" x="1982"/>
        <item m="1" x="2804"/>
        <item m="1" x="3763"/>
        <item m="1" x="4716"/>
        <item m="1" x="3822"/>
        <item m="1" x="4772"/>
        <item m="1" x="5687"/>
        <item m="1" x="6469"/>
        <item m="1" x="1160"/>
        <item m="1" x="1783"/>
        <item m="1" x="2576"/>
        <item m="1" x="2644"/>
        <item m="1" x="3580"/>
        <item m="1" x="4533"/>
        <item m="1" x="4586"/>
        <item m="1" x="365"/>
        <item m="1" x="607"/>
        <item m="1" x="1012"/>
        <item m="1" x="1595"/>
        <item m="1" x="6023"/>
        <item m="1" x="1078"/>
        <item m="1" x="1631"/>
        <item m="1" x="2393"/>
        <item m="1" x="3291"/>
        <item m="1" x="5621"/>
        <item m="1" x="6402"/>
        <item m="1" x="7002"/>
        <item m="1" x="1376"/>
        <item m="1" x="2033"/>
        <item m="1" x="160"/>
        <item m="1" x="1756"/>
        <item m="1" x="2541"/>
        <item m="1" x="3451"/>
        <item m="1" x="419"/>
        <item m="1" x="3514"/>
        <item m="1" x="4468"/>
        <item m="1" x="5402"/>
        <item m="1" x="1216"/>
        <item m="1" x="1667"/>
        <item m="1" x="2420"/>
        <item m="1" x="3314"/>
        <item m="1" x="7310"/>
        <item m="1" x="3394"/>
        <item m="1" x="4360"/>
        <item m="1" x="5289"/>
        <item m="1" x="7974"/>
        <item m="1" x="5339"/>
        <item m="1" x="6174"/>
        <item m="1" x="592"/>
        <item m="1" x="960"/>
        <item m="1" x="1496"/>
        <item m="1" x="2215"/>
        <item m="1" x="6621"/>
        <item m="1" x="7179"/>
        <item m="1" x="1577"/>
        <item m="1" x="2292"/>
        <item m="1" x="3159"/>
        <item m="1" x="4122"/>
        <item m="1" x="7648"/>
        <item m="1" x="7925"/>
        <item m="1" x="3220"/>
        <item m="1" x="4172"/>
        <item m="1" x="5109"/>
        <item m="1" x="5978"/>
        <item m="1" x="500"/>
        <item m="1" x="850"/>
        <item m="1" x="1325"/>
        <item m="1" x="4749"/>
        <item m="1" x="5645"/>
        <item m="1" x="6434"/>
        <item m="1" x="7028"/>
        <item m="1" x="1401"/>
        <item m="1" x="2088"/>
        <item m="1" x="2906"/>
        <item m="1" x="6494"/>
        <item m="1" x="7087"/>
        <item m="1" x="7556"/>
        <item m="1" x="7862"/>
        <item m="1" x="2980"/>
        <item m="1" x="3925"/>
        <item m="1" x="4869"/>
        <item m="1" x="428"/>
        <item m="1" x="3543"/>
        <item m="1" x="4495"/>
        <item m="1" x="5427"/>
        <item m="1" x="6245"/>
        <item m="1" x="1252"/>
        <item m="1" x="5478"/>
        <item m="1" x="4123"/>
        <item m="1" x="5063"/>
        <item m="1" x="453"/>
        <item m="1" x="796"/>
        <item m="1" x="1281"/>
        <item m="1" x="1959"/>
        <item m="1" x="5598"/>
        <item m="1" x="6365"/>
        <item m="1" x="1326"/>
        <item m="1" x="2001"/>
        <item m="1" x="2830"/>
        <item m="1" x="3790"/>
        <item m="1" x="7029"/>
        <item m="1" x="7488"/>
        <item m="1" x="2907"/>
        <item m="1" x="3862"/>
        <item m="1" x="4799"/>
        <item m="1" x="230"/>
        <item m="1" x="393"/>
        <item m="1" x="688"/>
        <item m="1" x="4437"/>
        <item m="1" x="5363"/>
        <item m="1" x="6186"/>
        <item m="1" x="727"/>
        <item m="1" x="1184"/>
        <item m="1" x="1804"/>
        <item m="1" x="6246"/>
        <item m="1" x="6886"/>
        <item m="1" x="7379"/>
        <item m="1" x="1887"/>
        <item m="1" x="2683"/>
        <item m="1" x="3604"/>
        <item m="1" x="208"/>
        <item m="1" x="340"/>
        <item m="1" x="3233"/>
        <item m="1" x="4193"/>
        <item m="1" x="5123"/>
        <item m="1" x="634"/>
        <item m="1" x="1039"/>
        <item m="1" x="5176"/>
        <item m="1" x="6049"/>
        <item m="1" x="6720"/>
        <item m="1" x="1668"/>
        <item m="1" x="2421"/>
        <item m="1" x="179"/>
        <item m="1" x="1418"/>
        <item m="1" x="2123"/>
        <item m="1" x="2994"/>
        <item m="1" x="3938"/>
        <item m="1" x="542"/>
        <item m="1" x="3036"/>
        <item m="1" x="3999"/>
        <item m="1" x="4943"/>
        <item m="1" x="5832"/>
        <item m="1" x="1497"/>
        <item m="1" x="1377"/>
        <item m="1" x="2034"/>
        <item m="1" x="2863"/>
        <item m="1" x="3823"/>
        <item m="1" x="7069"/>
        <item m="1" x="7523"/>
        <item m="1" x="2962"/>
        <item m="1" x="3893"/>
        <item m="1" x="4837"/>
        <item m="1" x="5733"/>
        <item m="1" x="7345"/>
        <item m="1" x="7725"/>
        <item m="1" x="3435"/>
        <item m="1" x="4392"/>
        <item m="1" x="566"/>
        <item m="1" x="3070"/>
        <item m="1" x="4025"/>
        <item m="1" x="4975"/>
        <item m="1" x="5870"/>
        <item m="1" x="1547"/>
        <item m="1" x="5043"/>
        <item m="1" x="5926"/>
        <item m="1" x="6669"/>
        <item m="1" x="7218"/>
        <item m="1" x="3198"/>
        <item m="1" x="1983"/>
        <item m="1" x="2805"/>
        <item m="1" x="3764"/>
        <item m="1" x="4717"/>
        <item m="1" x="3824"/>
        <item m="1" x="4773"/>
        <item m="1" x="5688"/>
        <item m="1" x="6470"/>
        <item m="1" x="5734"/>
        <item m="1" x="1161"/>
        <item m="1" x="1784"/>
        <item m="1" x="2577"/>
        <item m="1" x="6871"/>
        <item m="1" x="2645"/>
        <item m="1" x="3581"/>
        <item m="1" x="4534"/>
        <item m="1" x="7775"/>
        <item m="1" x="4587"/>
        <item m="1" x="5511"/>
        <item m="1" x="366"/>
        <item m="1" x="608"/>
        <item m="1" x="1013"/>
        <item m="1" x="1596"/>
        <item m="1" x="6024"/>
        <item m="1" x="6704"/>
        <item m="1" x="1079"/>
        <item m="1" x="1632"/>
        <item m="1" x="2394"/>
        <item m="1" x="3292"/>
        <item m="1" x="7274"/>
        <item m="1" x="7682"/>
        <item m="1" x="2480"/>
        <item m="1" x="3354"/>
        <item m="1" x="4329"/>
        <item m="1" x="5269"/>
        <item m="1" x="300"/>
        <item m="1" x="518"/>
        <item m="1" x="889"/>
        <item m="1" x="4908"/>
        <item m="1" x="5786"/>
        <item m="1" x="6533"/>
        <item m="1" x="929"/>
        <item m="1" x="1464"/>
        <item m="1" x="2186"/>
        <item m="1" x="5871"/>
        <item m="1" x="1669"/>
        <item m="1" x="2422"/>
        <item m="1" x="3315"/>
        <item m="1" x="7311"/>
        <item m="1" x="7698"/>
        <item m="1" x="3395"/>
        <item m="1" x="4361"/>
        <item m="1" x="5290"/>
        <item m="1" x="7975"/>
        <item m="1" x="115"/>
        <item m="1" x="5340"/>
        <item m="1" x="6175"/>
        <item m="1" x="6841"/>
        <item m="1" x="961"/>
        <item m="1" x="1498"/>
        <item m="1" x="2216"/>
        <item m="1" x="6622"/>
        <item m="1" x="7180"/>
        <item m="1" x="7605"/>
        <item m="1" x="2293"/>
        <item m="1" x="3160"/>
        <item m="1" x="4124"/>
        <item m="1" x="7649"/>
        <item m="1" x="7926"/>
        <item m="1" x="97"/>
        <item m="1" x="4173"/>
        <item m="1" x="5110"/>
        <item m="1" x="5979"/>
        <item m="1" x="765"/>
        <item m="1" x="1217"/>
        <item m="1" x="1841"/>
        <item m="1" x="6297"/>
        <item m="1" x="6914"/>
        <item m="1" x="1928"/>
        <item m="1" x="2717"/>
        <item m="1" x="3639"/>
        <item m="1" x="7468"/>
        <item m="1" x="7803"/>
        <item m="1" x="3700"/>
        <item m="1" x="4635"/>
        <item m="1" x="5540"/>
        <item m="1" x="386"/>
        <item m="1" x="661"/>
        <item m="1" x="1080"/>
        <item m="1" x="5218"/>
        <item m="1" x="6079"/>
        <item m="1" x="6756"/>
        <item m="1" x="1130"/>
        <item m="1" x="1725"/>
        <item m="1" x="2481"/>
        <item m="1" x="6818"/>
        <item m="1" x="7346"/>
        <item m="1" x="7726"/>
        <item m="1" x="2531"/>
        <item m="1" x="3436"/>
        <item m="1" x="4393"/>
        <item m="1" x="332"/>
        <item m="1" x="567"/>
        <item m="1" x="3071"/>
        <item m="1" x="4026"/>
        <item m="1" x="4976"/>
        <item m="1" x="5872"/>
        <item m="1" x="1000"/>
        <item m="1" x="1548"/>
        <item m="1" x="5044"/>
        <item m="1" x="5927"/>
        <item m="1" x="4588"/>
        <item m="1" x="367"/>
        <item m="1" x="609"/>
        <item m="1" x="1014"/>
        <item m="1" x="1597"/>
        <item m="1" x="6025"/>
        <item m="1" x="1081"/>
        <item m="1" x="1633"/>
        <item m="1" x="2395"/>
        <item m="1" x="3293"/>
        <item m="1" x="7275"/>
        <item m="1" x="2482"/>
        <item m="1" x="3355"/>
        <item m="1" x="4330"/>
        <item m="1" x="192"/>
        <item m="1" x="301"/>
        <item m="1" x="519"/>
        <item m="1" x="890"/>
        <item m="1" x="4909"/>
        <item m="1" x="5787"/>
        <item m="1" x="568"/>
        <item m="1" x="930"/>
        <item m="1" x="1465"/>
        <item m="1" x="2187"/>
        <item m="1" x="5873"/>
        <item m="1" x="6585"/>
        <item m="1" x="7153"/>
        <item m="1" x="1549"/>
        <item m="1" x="2259"/>
        <item m="1" x="3125"/>
        <item m="1" x="4095"/>
        <item m="1" x="170"/>
        <item m="1" x="256"/>
        <item m="1" x="2780"/>
        <item m="1" x="3721"/>
        <item m="1" x="4653"/>
        <item m="1" x="5558"/>
        <item m="1" x="488"/>
        <item m="1" x="827"/>
        <item m="1" x="4718"/>
        <item m="1" x="5622"/>
        <item m="1" x="6403"/>
        <item m="1" x="7003"/>
        <item m="1" x="1378"/>
        <item m="1" x="2035"/>
        <item m="1" x="161"/>
        <item m="1" x="1757"/>
        <item m="1" x="2542"/>
        <item m="1" x="3452"/>
        <item m="1" x="420"/>
        <item m="1" x="3515"/>
        <item m="1" x="4469"/>
        <item m="1" x="5403"/>
        <item m="1" x="1218"/>
        <item m="1" x="1670"/>
        <item m="1" x="2423"/>
        <item m="1" x="3316"/>
        <item m="1" x="7312"/>
        <item m="1" x="3396"/>
        <item m="1" x="4362"/>
        <item m="1" x="5291"/>
        <item m="1" x="7088"/>
        <item m="1" x="7557"/>
        <item m="1" x="7863"/>
        <item m="1" x="2981"/>
        <item m="1" x="3926"/>
        <item m="1" x="4870"/>
        <item m="1" x="429"/>
        <item m="1" x="3544"/>
        <item m="1" x="4496"/>
        <item m="1" x="5428"/>
        <item m="1" x="6247"/>
        <item m="1" x="1253"/>
        <item m="1" x="5479"/>
        <item m="1" x="6951"/>
        <item m="1" x="7439"/>
        <item m="1" x="2751"/>
        <item m="1" x="2358"/>
        <item m="1" x="3263"/>
        <item m="1" x="4241"/>
        <item m="1" x="4287"/>
        <item m="1" x="5244"/>
        <item m="1" x="6106"/>
        <item m="1" x="909"/>
        <item m="1" x="1432"/>
        <item m="1" x="2160"/>
        <item m="1" x="3037"/>
        <item m="1" x="2217"/>
        <item m="1" x="3091"/>
        <item m="1" x="4058"/>
        <item m="1" x="5008"/>
        <item m="1" x="4125"/>
        <item m="1" x="5064"/>
        <item m="1" x="454"/>
        <item m="1" x="797"/>
        <item m="1" x="1282"/>
        <item m="1" x="1960"/>
        <item m="1" x="5599"/>
        <item m="1" x="6366"/>
        <item m="1" x="1327"/>
        <item m="1" x="2002"/>
        <item m="1" x="2831"/>
        <item m="1" x="3791"/>
        <item m="1" x="7030"/>
        <item m="1" x="7489"/>
        <item m="1" x="2908"/>
        <item m="1" x="3863"/>
        <item m="1" x="4800"/>
        <item m="1" x="231"/>
        <item m="1" x="394"/>
        <item m="1" x="689"/>
        <item m="1" x="4438"/>
        <item m="1" x="5364"/>
        <item m="1" x="6187"/>
        <item m="1" x="728"/>
        <item m="1" x="1185"/>
        <item m="1" x="1805"/>
        <item m="1" x="5833"/>
        <item m="1" x="1499"/>
        <item m="1" x="1379"/>
        <item m="1" x="2036"/>
        <item m="1" x="2864"/>
        <item m="1" x="3825"/>
        <item m="1" x="7070"/>
        <item m="1" x="7524"/>
        <item m="1" x="2963"/>
        <item m="1" x="3894"/>
        <item m="1" x="4838"/>
        <item m="1" x="5735"/>
        <item m="1" x="7891"/>
        <item m="1" x="4894"/>
        <item m="1" x="5772"/>
        <item m="1" x="6525"/>
        <item m="1" x="766"/>
        <item m="1" x="1219"/>
        <item m="1" x="1842"/>
        <item m="1" x="6298"/>
        <item m="1" x="6915"/>
        <item m="1" x="7407"/>
        <item m="1" x="1929"/>
        <item m="1" x="2718"/>
        <item m="1" x="3640"/>
        <item m="1" x="7469"/>
        <item m="1" x="7804"/>
        <item m="1" x="3701"/>
        <item m="1" x="4636"/>
        <item m="1" x="5541"/>
        <item m="1" x="662"/>
        <item m="1" x="1082"/>
        <item m="1" x="5219"/>
        <item m="1" x="6080"/>
        <item m="1" x="6757"/>
        <item m="1" x="1726"/>
        <item m="1" x="2483"/>
        <item m="1" x="6819"/>
        <item m="1" x="7347"/>
        <item m="1" x="7727"/>
        <item m="1" x="3437"/>
        <item m="1" x="4394"/>
        <item m="1" x="569"/>
        <item m="1" x="3072"/>
        <item m="1" x="4027"/>
        <item m="1" x="4977"/>
        <item m="1" x="5874"/>
        <item m="1" x="1550"/>
        <item m="1" x="5045"/>
        <item m="1" x="5928"/>
        <item m="1" x="6670"/>
        <item m="1" x="7219"/>
        <item m="1" x="3199"/>
        <item m="1" x="1984"/>
        <item m="1" x="2806"/>
        <item m="1" x="3765"/>
        <item m="1" x="4719"/>
        <item m="1" x="3826"/>
        <item m="1" x="4774"/>
        <item m="1" x="5689"/>
        <item m="1" x="6471"/>
        <item m="1" x="7276"/>
        <item m="1" x="7683"/>
        <item m="1" x="2484"/>
        <item m="1" x="3356"/>
        <item m="1" x="4331"/>
        <item m="1" x="5270"/>
        <item m="1" x="302"/>
        <item m="1" x="520"/>
        <item m="1" x="891"/>
        <item m="1" x="4910"/>
        <item m="1" x="5788"/>
        <item m="1" x="6534"/>
        <item m="1" x="931"/>
        <item m="1" x="1466"/>
        <item m="1" x="2188"/>
        <item m="1" x="5875"/>
        <item m="1" x="6586"/>
        <item m="1" x="7154"/>
        <item m="1" x="7592"/>
        <item m="1" x="2260"/>
        <item m="1" x="3126"/>
        <item m="1" x="4096"/>
        <item m="1" x="257"/>
        <item m="1" x="2781"/>
        <item m="1" x="3722"/>
        <item m="1" x="4654"/>
        <item m="1" x="5559"/>
        <item m="1" x="828"/>
        <item m="1" x="4720"/>
        <item m="1" x="5623"/>
        <item m="1" x="6404"/>
        <item m="1" x="7004"/>
        <item m="1" x="2037"/>
        <item m="1" x="1758"/>
        <item m="1" x="2543"/>
        <item m="1" x="3453"/>
        <item m="1" x="3516"/>
        <item m="1" x="4470"/>
        <item m="1" x="5404"/>
        <item m="1" x="1671"/>
        <item m="1" x="2424"/>
        <item m="1" x="3317"/>
        <item m="1" x="7313"/>
        <item m="1" x="7699"/>
        <item m="1" x="3397"/>
        <item m="1" x="4363"/>
        <item m="1" x="5292"/>
        <item m="1" x="7976"/>
        <item m="1" x="116"/>
        <item m="1" x="5341"/>
        <item m="1" x="6176"/>
        <item m="1" x="6842"/>
        <item m="1" x="767"/>
        <item m="1" x="1220"/>
        <item m="1" x="1843"/>
        <item m="1" x="6299"/>
        <item m="1" x="6916"/>
        <item m="1" x="1930"/>
        <item m="1" x="2719"/>
        <item m="1" x="3641"/>
        <item m="1" x="6671"/>
        <item m="1" x="7220"/>
        <item m="1" x="2335"/>
        <item m="1" x="3200"/>
        <item m="1" x="1985"/>
        <item m="1" x="2807"/>
        <item m="1" x="3766"/>
        <item m="1" x="4721"/>
        <item m="1" x="3827"/>
        <item m="1" x="4775"/>
        <item m="1" x="5690"/>
        <item m="1" x="6472"/>
        <item m="1" x="1162"/>
        <item m="1" x="1785"/>
        <item m="1" x="2578"/>
        <item m="1" x="2646"/>
        <item m="1" x="3582"/>
        <item m="1" x="4535"/>
        <item m="1" x="4589"/>
        <item m="1" x="368"/>
        <item m="1" x="610"/>
        <item m="1" x="1015"/>
        <item m="1" x="1598"/>
        <item m="1" x="6026"/>
        <item m="1" x="1083"/>
        <item m="1" x="1634"/>
        <item m="1" x="2396"/>
        <item m="1" x="3294"/>
        <item m="1" x="7277"/>
        <item m="1" x="2485"/>
        <item m="1" x="3357"/>
        <item m="1" x="4332"/>
        <item m="1" x="193"/>
        <item m="1" x="303"/>
        <item m="1" x="521"/>
        <item m="1" x="892"/>
        <item m="1" x="4911"/>
        <item m="1" x="5789"/>
        <item m="1" x="570"/>
        <item m="1" x="932"/>
        <item m="1" x="1467"/>
        <item m="1" x="2189"/>
        <item m="1" x="5876"/>
        <item m="1" x="6587"/>
        <item m="1" x="7155"/>
        <item m="1" x="1551"/>
        <item m="1" x="2261"/>
        <item m="1" x="3127"/>
        <item m="1" x="4097"/>
        <item m="1" x="171"/>
        <item m="1" x="258"/>
        <item m="1" x="2782"/>
        <item m="1" x="3723"/>
        <item m="1" x="4655"/>
        <item m="1" x="5560"/>
        <item m="1" x="489"/>
        <item m="1" x="829"/>
        <item m="1" x="4722"/>
        <item m="1" x="7977"/>
        <item m="1" x="5342"/>
        <item m="1" x="6177"/>
        <item m="1" x="593"/>
        <item m="1" x="962"/>
        <item m="1" x="1500"/>
        <item m="1" x="2218"/>
        <item m="1" x="6623"/>
        <item m="1" x="7181"/>
        <item m="1" x="1578"/>
        <item m="1" x="2294"/>
        <item m="1" x="3161"/>
        <item m="1" x="4126"/>
        <item m="1" x="7650"/>
        <item m="1" x="7927"/>
        <item m="1" x="3221"/>
        <item m="1" x="4174"/>
        <item m="1" x="5111"/>
        <item m="1" x="5980"/>
        <item m="1" x="501"/>
        <item m="1" x="851"/>
        <item m="1" x="1328"/>
        <item m="1" x="4750"/>
        <item m="1" x="5646"/>
        <item m="1" x="6435"/>
        <item m="1" x="7031"/>
        <item m="1" x="1402"/>
        <item m="1" x="2089"/>
        <item m="1" x="2909"/>
        <item m="1" x="6495"/>
        <item m="1" x="7089"/>
        <item m="1" x="7558"/>
        <item m="1" x="7864"/>
        <item m="1" x="2982"/>
        <item m="1" x="3927"/>
        <item m="1" x="4871"/>
        <item m="1" x="430"/>
        <item m="1" x="3545"/>
        <item m="1" x="4497"/>
        <item m="1" x="5429"/>
        <item m="1" x="6248"/>
        <item m="1" x="1254"/>
        <item m="1" x="5480"/>
        <item m="1" x="6952"/>
        <item m="1" x="7440"/>
        <item m="1" x="2752"/>
        <item m="1" x="2359"/>
        <item m="1" x="3264"/>
        <item m="1" x="4242"/>
        <item m="1" x="4288"/>
        <item m="1" x="5245"/>
        <item m="1" x="6107"/>
        <item m="1" x="910"/>
        <item m="1" x="1433"/>
        <item m="1" x="2161"/>
        <item m="1" x="3038"/>
        <item m="1" x="2219"/>
        <item m="1" x="3092"/>
        <item m="1" x="4059"/>
        <item m="1" x="5009"/>
        <item m="1" x="6249"/>
        <item m="1" x="6887"/>
        <item m="1" x="7380"/>
        <item m="1" x="1888"/>
        <item m="1" x="2684"/>
        <item m="1" x="3605"/>
        <item m="1" x="209"/>
        <item m="1" x="341"/>
        <item m="1" x="3234"/>
        <item m="1" x="4194"/>
        <item m="1" x="5124"/>
        <item m="1" x="635"/>
        <item m="1" x="1040"/>
        <item m="1" x="5177"/>
        <item m="1" x="6050"/>
        <item m="1" x="6721"/>
        <item m="1" x="1672"/>
        <item m="1" x="2425"/>
        <item m="1" x="180"/>
        <item m="1" x="1419"/>
        <item m="1" x="2124"/>
        <item m="1" x="2995"/>
        <item m="1" x="3939"/>
        <item m="1" x="543"/>
        <item m="1" x="3039"/>
        <item m="1" x="4000"/>
        <item m="1" x="4944"/>
        <item m="1" x="5834"/>
        <item m="1" x="1501"/>
        <item m="1" x="1380"/>
        <item m="1" x="2038"/>
        <item m="1" x="2865"/>
        <item m="1" x="3828"/>
        <item m="1" x="7071"/>
        <item m="1" x="7525"/>
        <item m="1" x="2964"/>
        <item m="1" x="3895"/>
        <item m="1" x="4839"/>
        <item m="1" x="5736"/>
        <item m="1" x="7892"/>
        <item m="1" x="4895"/>
        <item m="1" x="5773"/>
        <item m="1" x="6526"/>
        <item m="1" x="768"/>
        <item m="1" x="1221"/>
        <item m="1" x="1844"/>
        <item m="1" x="6300"/>
        <item m="1" x="6917"/>
        <item m="1" x="7408"/>
        <item m="1" x="1931"/>
        <item m="1" x="2720"/>
        <item m="1" x="3642"/>
        <item m="1" x="7470"/>
        <item m="1" x="7805"/>
        <item m="1" x="3702"/>
        <item m="1" x="4637"/>
        <item m="1" x="5542"/>
        <item m="1" x="663"/>
        <item m="1" x="1084"/>
        <item m="1" x="5220"/>
        <item m="1" x="6081"/>
        <item m="1" x="6758"/>
        <item m="1" x="1727"/>
        <item m="1" x="2486"/>
        <item m="1" x="6820"/>
        <item m="1" x="5737"/>
        <item m="1" x="1163"/>
        <item m="1" x="1786"/>
        <item m="1" x="2579"/>
        <item m="1" x="6872"/>
        <item m="1" x="2647"/>
        <item m="1" x="3583"/>
        <item m="1" x="4536"/>
        <item m="1" x="7776"/>
        <item m="1" x="4590"/>
        <item m="1" x="5512"/>
        <item m="1" x="369"/>
        <item m="1" x="611"/>
        <item m="1" x="1016"/>
        <item m="1" x="1599"/>
        <item m="1" x="6027"/>
        <item m="1" x="6705"/>
        <item m="1" x="1085"/>
        <item m="1" x="1635"/>
        <item m="1" x="2397"/>
        <item m="1" x="3295"/>
        <item m="1" x="7278"/>
        <item m="1" x="7684"/>
        <item m="1" x="2487"/>
        <item m="1" x="3358"/>
        <item m="1" x="4333"/>
        <item m="1" x="5271"/>
        <item m="1" x="304"/>
        <item m="1" x="522"/>
        <item m="1" x="893"/>
        <item m="1" x="4912"/>
        <item m="1" x="5790"/>
        <item m="1" x="6535"/>
        <item m="1" x="933"/>
        <item m="1" x="1468"/>
        <item m="1" x="2190"/>
        <item m="1" x="5877"/>
        <item m="1" x="6588"/>
        <item m="1" x="7156"/>
        <item m="1" x="7593"/>
        <item m="1" x="2262"/>
        <item m="1" x="3128"/>
        <item m="1" x="4098"/>
        <item m="1" x="259"/>
        <item m="1" x="2783"/>
        <item m="1" x="3724"/>
        <item m="1" x="4656"/>
        <item m="1" x="5561"/>
        <item m="1" x="830"/>
        <item m="1" x="4723"/>
        <item m="1" x="5624"/>
        <item m="1" x="6405"/>
        <item m="1" x="7005"/>
        <item m="1" x="2039"/>
        <item m="1" x="1759"/>
        <item m="1" x="2544"/>
        <item m="1" x="3454"/>
        <item m="1" x="3517"/>
        <item m="1" x="4471"/>
        <item m="1" x="5405"/>
        <item m="1" x="7651"/>
        <item m="1" x="7928"/>
        <item m="1" x="98"/>
        <item m="1" x="4175"/>
        <item m="1" x="5112"/>
        <item m="1" x="5981"/>
        <item m="1" x="769"/>
        <item m="1" x="1222"/>
        <item m="1" x="1845"/>
        <item m="1" x="6301"/>
        <item m="1" x="6918"/>
        <item m="1" x="1932"/>
        <item m="1" x="2721"/>
        <item m="1" x="3643"/>
        <item m="1" x="7471"/>
        <item m="1" x="7806"/>
        <item m="1" x="3703"/>
        <item m="1" x="4638"/>
        <item m="1" x="5543"/>
        <item m="1" x="387"/>
        <item m="1" x="664"/>
        <item m="1" x="1086"/>
        <item m="1" x="5221"/>
        <item m="1" x="6082"/>
        <item m="1" x="6759"/>
        <item m="1" x="1131"/>
        <item m="1" x="1728"/>
        <item m="1" x="2488"/>
        <item m="1" x="6821"/>
        <item m="1" x="7348"/>
        <item m="1" x="7728"/>
        <item m="1" x="2532"/>
        <item m="1" x="3438"/>
        <item m="1" x="4395"/>
        <item m="1" x="333"/>
        <item m="1" x="571"/>
        <item m="1" x="3073"/>
        <item m="1" x="4028"/>
        <item m="1" x="4978"/>
        <item m="1" x="5878"/>
        <item m="1" x="1001"/>
        <item m="1" x="1552"/>
        <item m="1" x="5046"/>
        <item m="1" x="5929"/>
        <item m="1" x="6672"/>
        <item m="1" x="7221"/>
        <item m="1" x="2336"/>
        <item m="1" x="3201"/>
        <item m="1" x="1986"/>
        <item m="1" x="2808"/>
        <item m="1" x="3767"/>
        <item m="1" x="4724"/>
        <item m="1" x="3829"/>
        <item m="1" x="4776"/>
        <item m="1" x="5691"/>
        <item m="1" x="6473"/>
        <item m="1" x="1164"/>
        <item m="1" x="1787"/>
        <item m="1" x="2580"/>
        <item m="1" x="2648"/>
        <item m="1" x="3584"/>
        <item m="1" x="4537"/>
        <item m="1" x="5879"/>
        <item m="1" x="6589"/>
        <item m="1" x="7157"/>
        <item m="1" x="1553"/>
        <item m="1" x="2263"/>
        <item m="1" x="3129"/>
        <item m="1" x="4099"/>
        <item m="1" x="172"/>
        <item m="1" x="260"/>
        <item m="1" x="2784"/>
        <item m="1" x="3725"/>
        <item m="1" x="4657"/>
        <item m="1" x="5562"/>
        <item m="1" x="490"/>
        <item m="1" x="831"/>
        <item m="1" x="4725"/>
        <item m="1" x="5625"/>
        <item m="1" x="6406"/>
        <item m="1" x="7006"/>
        <item m="1" x="1381"/>
        <item m="1" x="2040"/>
        <item m="1" x="162"/>
        <item m="1" x="1760"/>
        <item m="1" x="2545"/>
        <item m="1" x="3455"/>
        <item m="1" x="421"/>
        <item m="1" x="3518"/>
        <item m="1" x="4472"/>
        <item m="1" x="5406"/>
        <item m="1" x="1223"/>
        <item m="1" x="1673"/>
        <item m="1" x="2426"/>
        <item m="1" x="3318"/>
        <item m="1" x="7314"/>
        <item m="1" x="3398"/>
        <item m="1" x="4364"/>
        <item m="1" x="5293"/>
        <item m="1" x="7978"/>
        <item m="1" x="5343"/>
        <item m="1" x="6178"/>
        <item m="1" x="594"/>
        <item m="1" x="963"/>
        <item m="1" x="1502"/>
        <item m="1" x="2220"/>
        <item m="1" x="6624"/>
        <item m="1" x="7182"/>
        <item m="1" x="1579"/>
        <item m="1" x="2295"/>
        <item m="1" x="3162"/>
        <item m="1" x="4127"/>
        <item m="1" x="7652"/>
        <item m="1" x="7929"/>
        <item m="1" x="3222"/>
        <item m="1" x="4176"/>
        <item m="1" x="5113"/>
        <item m="1" x="5982"/>
        <item m="1" x="502"/>
        <item m="1" x="852"/>
        <item m="1" x="1329"/>
        <item m="1" x="4751"/>
        <item m="1" x="5647"/>
        <item m="1" x="6436"/>
        <item m="1" x="7032"/>
        <item m="1" x="1403"/>
        <item m="1" x="2090"/>
        <item m="1" x="2910"/>
        <item m="1" x="6496"/>
        <item m="1" x="911"/>
        <item m="1" x="1434"/>
        <item m="1" x="2162"/>
        <item m="1" x="3040"/>
        <item m="1" x="2221"/>
        <item m="1" x="3093"/>
        <item m="1" x="4060"/>
        <item m="1" x="5010"/>
        <item m="1" x="4128"/>
        <item m="1" x="5065"/>
        <item m="1" x="455"/>
        <item m="1" x="798"/>
        <item m="1" x="1283"/>
        <item m="1" x="1961"/>
        <item m="1" x="5600"/>
        <item m="1" x="6367"/>
        <item m="1" x="1330"/>
        <item m="1" x="2003"/>
        <item m="1" x="2832"/>
        <item m="1" x="3792"/>
        <item m="1" x="7033"/>
        <item m="1" x="7490"/>
        <item m="1" x="2911"/>
        <item m="1" x="3864"/>
        <item m="1" x="4801"/>
        <item m="1" x="232"/>
        <item m="1" x="395"/>
        <item m="1" x="690"/>
        <item m="1" x="4439"/>
        <item m="1" x="5365"/>
        <item m="1" x="6188"/>
        <item m="1" x="729"/>
        <item m="1" x="1186"/>
        <item m="1" x="1806"/>
        <item m="1" x="6250"/>
        <item m="1" x="6888"/>
        <item m="1" x="7381"/>
        <item m="1" x="1889"/>
        <item m="1" x="2685"/>
        <item m="1" x="3606"/>
        <item m="1" x="210"/>
        <item m="1" x="342"/>
        <item m="1" x="3235"/>
        <item m="1" x="4195"/>
        <item m="1" x="5125"/>
        <item m="1" x="636"/>
        <item m="1" x="1041"/>
        <item m="1" x="5178"/>
        <item m="1" x="6051"/>
        <item m="1" x="6722"/>
        <item m="1" x="1674"/>
        <item m="1" x="2427"/>
        <item m="1" x="181"/>
        <item m="1" x="1420"/>
        <item m="1" x="2125"/>
        <item m="1" x="2996"/>
        <item m="1" x="3940"/>
        <item m="1" x="544"/>
        <item m="1" x="3041"/>
        <item m="1" x="4001"/>
        <item m="1" x="4945"/>
        <item m="1" x="7472"/>
        <item m="1" x="7807"/>
        <item m="1" x="3704"/>
        <item m="1" x="4639"/>
        <item m="1" x="5544"/>
        <item m="1" x="665"/>
        <item m="1" x="1087"/>
        <item m="1" x="5222"/>
        <item m="1" x="6083"/>
        <item m="1" x="6760"/>
        <item m="1" x="1729"/>
        <item m="1" x="2489"/>
        <item m="1" x="6822"/>
        <item m="1" x="7349"/>
        <item m="1" x="7729"/>
        <item m="1" x="3439"/>
        <item m="1" x="4396"/>
        <item m="1" x="572"/>
        <item m="1" x="3074"/>
        <item m="1" x="4029"/>
        <item m="1" x="4979"/>
        <item m="1" x="5880"/>
        <item m="1" x="1554"/>
        <item m="1" x="5047"/>
        <item m="1" x="5930"/>
        <item m="1" x="6673"/>
        <item m="1" x="7222"/>
        <item m="1" x="3202"/>
        <item m="1" x="1987"/>
        <item m="1" x="2809"/>
        <item m="1" x="3768"/>
        <item m="1" x="4726"/>
        <item m="1" x="3830"/>
        <item m="1" x="4777"/>
        <item m="1" x="5692"/>
        <item m="1" x="6474"/>
        <item m="1" x="5738"/>
        <item m="1" x="1165"/>
        <item m="1" x="1788"/>
        <item m="1" x="2581"/>
        <item m="1" x="6873"/>
        <item m="1" x="2649"/>
        <item m="1" x="3585"/>
        <item m="1" x="4538"/>
        <item m="1" x="7777"/>
        <item m="1" x="4591"/>
        <item m="1" x="5513"/>
        <item m="1" x="370"/>
        <item m="1" x="612"/>
        <item m="1" x="1017"/>
        <item m="1" x="1600"/>
        <item m="1" x="6028"/>
        <item m="1" x="6706"/>
        <item m="1" x="1088"/>
        <item m="1" x="1636"/>
        <item m="1" x="2398"/>
        <item m="1" x="3296"/>
        <item m="1" x="6407"/>
        <item m="1" x="7007"/>
        <item m="1" x="2041"/>
        <item m="1" x="1761"/>
        <item m="1" x="2546"/>
        <item m="1" x="3456"/>
        <item m="1" x="3519"/>
        <item m="1" x="4473"/>
        <item m="1" x="5407"/>
        <item m="1" x="1675"/>
        <item m="1" x="2428"/>
        <item m="1" x="3319"/>
        <item m="1" x="7315"/>
        <item m="1" x="7700"/>
        <item m="1" x="3399"/>
        <item m="1" x="4365"/>
        <item m="1" x="5294"/>
        <item m="1" x="7979"/>
        <item m="1" x="117"/>
        <item m="1" x="5344"/>
        <item m="1" x="6179"/>
        <item m="1" x="6843"/>
        <item m="1" x="964"/>
        <item m="1" x="1503"/>
        <item m="1" x="2222"/>
        <item m="1" x="6625"/>
        <item m="1" x="7183"/>
        <item m="1" x="7606"/>
        <item m="1" x="2296"/>
        <item m="1" x="3163"/>
        <item m="1" x="4129"/>
        <item m="1" x="7653"/>
        <item m="1" x="7930"/>
        <item m="1" x="99"/>
        <item m="1" x="4177"/>
        <item m="1" x="5114"/>
        <item m="1" x="5983"/>
        <item m="1" x="770"/>
        <item m="1" x="1224"/>
        <item m="1" x="1846"/>
        <item m="1" x="6302"/>
        <item m="1" x="6919"/>
        <item m="1" x="1933"/>
        <item m="1" x="2722"/>
        <item m="1" x="3644"/>
        <item m="1" x="7473"/>
        <item m="1" x="7808"/>
        <item m="1" x="3705"/>
        <item m="1" x="4640"/>
        <item m="1" x="5545"/>
        <item m="1" x="388"/>
        <item m="1" x="666"/>
        <item m="1" x="1089"/>
        <item m="1" x="5223"/>
        <item m="1" x="6084"/>
        <item m="1" x="6761"/>
        <item m="1" x="1132"/>
        <item m="1" x="1730"/>
        <item m="1" x="2490"/>
        <item m="1" x="6475"/>
        <item m="1" x="1166"/>
        <item m="1" x="1789"/>
        <item m="1" x="2582"/>
        <item m="1" x="2650"/>
        <item m="1" x="3586"/>
        <item m="1" x="4539"/>
        <item m="1" x="4592"/>
        <item m="1" x="371"/>
        <item m="1" x="613"/>
        <item m="1" x="1018"/>
        <item m="1" x="1601"/>
        <item m="1" x="6029"/>
        <item m="1" x="1090"/>
        <item m="1" x="1637"/>
        <item m="1" x="2399"/>
        <item m="1" x="3297"/>
        <item m="1" x="7279"/>
        <item m="1" x="2491"/>
        <item m="1" x="3359"/>
        <item m="1" x="4334"/>
        <item m="1" x="194"/>
        <item m="1" x="305"/>
        <item m="1" x="523"/>
        <item m="1" x="894"/>
        <item m="1" x="4913"/>
        <item m="1" x="5791"/>
        <item m="1" x="573"/>
        <item m="1" x="934"/>
        <item m="1" x="1469"/>
        <item m="1" x="2191"/>
        <item m="1" x="5881"/>
        <item m="1" x="6590"/>
        <item m="1" x="7158"/>
        <item m="1" x="1555"/>
        <item m="1" x="2264"/>
        <item m="1" x="3130"/>
        <item m="1" x="4100"/>
        <item m="1" x="173"/>
        <item m="1" x="261"/>
        <item m="1" x="2785"/>
        <item m="1" x="3726"/>
        <item m="1" x="4658"/>
        <item m="1" x="5563"/>
        <item m="1" x="491"/>
        <item m="1" x="832"/>
        <item m="1" x="4727"/>
        <item m="1" x="5626"/>
        <item m="1" x="6408"/>
        <item m="1" x="7008"/>
        <item m="1" x="1382"/>
        <item m="1" x="2042"/>
        <item m="1" x="163"/>
        <item m="1" x="1762"/>
        <item m="1" x="2547"/>
        <item m="1" x="3457"/>
        <item m="1" x="422"/>
        <item m="1" x="3520"/>
        <item m="1" x="4474"/>
        <item m="1" x="7654"/>
        <item m="1" x="7931"/>
        <item m="1" x="3223"/>
        <item m="1" x="4178"/>
        <item m="1" x="5115"/>
        <item m="1" x="5984"/>
        <item m="1" x="503"/>
        <item m="1" x="853"/>
        <item m="1" x="1331"/>
        <item m="1" x="4752"/>
        <item m="1" x="5648"/>
        <item m="1" x="6437"/>
        <item m="1" x="7034"/>
        <item m="1" x="1404"/>
        <item m="1" x="2091"/>
        <item m="1" x="2912"/>
        <item m="1" x="6497"/>
        <item m="1" x="7090"/>
        <item m="1" x="7559"/>
        <item m="1" x="7865"/>
        <item m="1" x="2983"/>
        <item m="1" x="3928"/>
        <item m="1" x="4872"/>
        <item m="1" x="431"/>
        <item m="1" x="3546"/>
        <item m="1" x="4498"/>
        <item m="1" x="5430"/>
        <item m="1" x="6251"/>
        <item m="1" x="1255"/>
        <item m="1" x="5481"/>
        <item m="1" x="6953"/>
        <item m="1" x="7441"/>
        <item m="1" x="2753"/>
        <item m="1" x="2360"/>
        <item m="1" x="3265"/>
        <item m="1" x="4243"/>
        <item m="1" x="4289"/>
        <item m="1" x="5246"/>
        <item m="1" x="6108"/>
        <item m="1" x="912"/>
        <item m="1" x="1435"/>
        <item m="1" x="2163"/>
        <item m="1" x="3042"/>
        <item m="1" x="2223"/>
        <item m="1" x="3094"/>
        <item m="1" x="4061"/>
        <item m="1" x="5011"/>
        <item m="1" x="4130"/>
        <item m="1" x="5066"/>
        <item m="1" x="456"/>
        <item m="1" x="799"/>
        <item m="1" x="1284"/>
        <item m="1" x="1962"/>
        <item m="1" x="5601"/>
        <item m="1" x="6368"/>
        <item m="1" x="1332"/>
        <item m="1" x="2004"/>
        <item m="1" x="2833"/>
        <item m="1" x="3793"/>
        <item m="1" x="6052"/>
        <item m="1" x="6723"/>
        <item m="1" x="1676"/>
        <item m="1" x="2429"/>
        <item m="1" x="182"/>
        <item m="1" x="1421"/>
        <item m="1" x="2126"/>
        <item m="1" x="2997"/>
        <item m="1" x="3941"/>
        <item m="1" x="545"/>
        <item m="1" x="3043"/>
        <item m="1" x="4002"/>
        <item m="1" x="4946"/>
        <item m="1" x="5835"/>
        <item m="1" x="1504"/>
        <item m="1" x="1383"/>
        <item m="1" x="2043"/>
        <item m="1" x="2866"/>
        <item m="1" x="3831"/>
        <item m="1" x="7072"/>
        <item m="1" x="7526"/>
        <item m="1" x="2965"/>
        <item m="1" x="3896"/>
        <item m="1" x="4840"/>
        <item m="1" x="5739"/>
        <item m="1" x="7893"/>
        <item m="1" x="4896"/>
        <item m="1" x="5774"/>
        <item m="1" x="6527"/>
        <item m="1" x="771"/>
        <item m="1" x="1225"/>
        <item m="1" x="1847"/>
        <item m="1" x="6303"/>
        <item m="1" x="6920"/>
        <item m="1" x="7409"/>
        <item m="1" x="1934"/>
        <item m="1" x="2723"/>
        <item m="1" x="3645"/>
        <item m="1" x="7474"/>
        <item m="1" x="7809"/>
        <item m="1" x="3706"/>
        <item m="1" x="4641"/>
        <item m="1" x="5546"/>
        <item m="1" x="667"/>
        <item m="1" x="1091"/>
        <item m="1" x="5224"/>
        <item m="1" x="6085"/>
        <item m="1" x="6762"/>
        <item m="1" x="1731"/>
        <item m="1" x="2492"/>
        <item m="1" x="6823"/>
        <item m="1" x="7350"/>
        <item m="1" x="7730"/>
        <item m="1" x="3440"/>
        <item m="1" x="4397"/>
        <item m="1" x="574"/>
        <item m="1" x="3075"/>
        <item m="1" x="4030"/>
        <item m="1" x="4980"/>
        <item m="1" x="5882"/>
        <item m="1" x="1556"/>
        <item m="1" x="5048"/>
        <item m="1" x="5931"/>
        <item m="1" x="6674"/>
        <item m="1" x="7778"/>
        <item m="1" x="4593"/>
        <item m="1" x="5514"/>
        <item m="1" x="372"/>
        <item m="1" x="614"/>
        <item m="1" x="1019"/>
        <item m="1" x="1602"/>
        <item m="1" x="6030"/>
        <item m="1" x="6707"/>
        <item m="1" x="1092"/>
        <item m="1" x="1638"/>
        <item m="1" x="2400"/>
        <item m="1" x="3298"/>
        <item m="1" x="7280"/>
        <item m="1" x="7685"/>
        <item m="1" x="2493"/>
        <item m="1" x="3360"/>
        <item m="1" x="4335"/>
        <item m="1" x="5272"/>
        <item m="1" x="306"/>
        <item m="1" x="524"/>
        <item m="1" x="895"/>
        <item m="1" x="4914"/>
        <item m="1" x="5792"/>
        <item m="1" x="6536"/>
        <item m="1" x="935"/>
        <item m="1" x="1470"/>
        <item m="1" x="2192"/>
        <item m="1" x="5883"/>
        <item m="1" x="6591"/>
        <item m="1" x="7159"/>
        <item m="1" x="7594"/>
        <item m="1" x="2265"/>
        <item m="1" x="3131"/>
        <item m="1" x="4101"/>
        <item m="1" x="262"/>
        <item m="1" x="2786"/>
        <item m="1" x="3727"/>
        <item m="1" x="4659"/>
        <item m="1" x="5564"/>
        <item m="1" x="833"/>
        <item m="1" x="4728"/>
        <item m="1" x="5627"/>
        <item m="1" x="6409"/>
        <item m="1" x="7009"/>
        <item m="1" x="2044"/>
        <item m="1" x="1763"/>
        <item m="1" x="2548"/>
        <item m="1" x="3458"/>
        <item m="1" x="3521"/>
        <item m="1" x="4475"/>
        <item m="1" x="5408"/>
        <item m="1" x="1677"/>
        <item m="1" x="2430"/>
        <item m="1" x="3320"/>
        <item m="1" x="7316"/>
        <item m="1" x="7701"/>
        <item m="1" x="3400"/>
        <item m="1" x="4366"/>
        <item m="1" x="5295"/>
        <item m="1" x="6824"/>
        <item m="1" x="7351"/>
        <item m="1" x="7731"/>
        <item m="1" x="2533"/>
        <item m="1" x="3441"/>
        <item m="1" x="334"/>
        <item m="1" x="3076"/>
        <item m="1" x="4031"/>
        <item m="1" x="4981"/>
        <item m="1" x="1002"/>
        <item m="1" x="5049"/>
        <item m="1" x="5932"/>
        <item m="1" x="6675"/>
        <item m="1" x="2337"/>
        <item m="1" x="1305"/>
        <item m="1" x="1988"/>
        <item m="1" x="2810"/>
        <item m="1" x="3769"/>
        <item m="1" x="2867"/>
        <item m="1" x="3832"/>
        <item m="1" x="4778"/>
        <item m="1" x="5693"/>
        <item m="1" x="4841"/>
        <item m="1" x="712"/>
        <item m="1" x="1167"/>
        <item m="1" x="1790"/>
        <item m="1" x="2583"/>
        <item m="1" x="6224"/>
        <item m="1" x="1848"/>
        <item m="1" x="2651"/>
        <item m="1" x="3587"/>
        <item m="1" x="4540"/>
        <item m="1" x="7410"/>
        <item m="1" x="3646"/>
        <item m="1" x="4594"/>
        <item m="1" x="373"/>
        <item m="1" x="615"/>
        <item m="1" x="1020"/>
        <item m="1" x="5165"/>
        <item m="1" x="6031"/>
        <item m="1" x="1093"/>
        <item m="1" x="1639"/>
        <item m="1" x="2401"/>
        <item m="1" x="6763"/>
        <item m="1" x="7281"/>
        <item m="1" x="2494"/>
        <item m="1" x="3361"/>
        <item m="1" x="4336"/>
        <item m="1" x="195"/>
        <item m="1" x="307"/>
        <item m="1" x="525"/>
        <item m="1" x="3983"/>
        <item m="1" x="4915"/>
        <item m="1" x="5793"/>
        <item m="1" x="575"/>
        <item m="1" x="936"/>
        <item m="1" x="1471"/>
        <item m="1" x="5409"/>
        <item m="1" x="1111"/>
        <item m="1" x="1678"/>
        <item m="1" x="2431"/>
        <item m="1" x="3321"/>
        <item m="1" x="6785"/>
        <item m="1" x="7317"/>
        <item m="1" x="2521"/>
        <item m="1" x="3401"/>
        <item m="1" x="4367"/>
        <item m="1" x="5296"/>
        <item m="1" x="7752"/>
        <item m="1" x="7980"/>
        <item m="1" x="4422"/>
        <item m="1" x="5345"/>
        <item m="1" x="6180"/>
        <item m="1" x="595"/>
        <item m="1" x="965"/>
        <item m="1" x="1505"/>
        <item m="1" x="5905"/>
        <item m="1" x="6626"/>
        <item m="1" x="7184"/>
        <item m="1" x="1580"/>
        <item m="1" x="2297"/>
        <item m="1" x="3164"/>
        <item m="1" x="7237"/>
        <item m="1" x="7655"/>
        <item m="1" x="7932"/>
        <item m="1" x="3224"/>
        <item m="1" x="4179"/>
        <item m="1" x="5116"/>
        <item m="1" x="504"/>
        <item m="1" x="854"/>
        <item m="1" x="4753"/>
        <item m="1" x="5649"/>
        <item m="1" x="6438"/>
        <item m="1" x="1405"/>
        <item m="1" x="2092"/>
        <item m="1" x="6498"/>
        <item m="1" x="7091"/>
        <item m="1" x="7560"/>
        <item m="1" x="2984"/>
        <item m="1" x="3929"/>
        <item m="1" x="432"/>
        <item m="1" x="2614"/>
        <item m="1" x="3547"/>
        <item m="1" x="4499"/>
        <item m="1" x="5431"/>
        <item m="1" x="1256"/>
        <item m="1" x="4559"/>
        <item m="1" x="5482"/>
        <item m="1" x="6317"/>
        <item m="1" x="6954"/>
        <item m="1" x="2754"/>
        <item m="1" x="1612"/>
        <item m="1" x="2361"/>
        <item m="1" x="3266"/>
        <item m="1" x="4244"/>
        <item m="1" x="3322"/>
        <item m="1" x="4290"/>
        <item m="1" x="5247"/>
        <item m="1" x="6109"/>
        <item m="1" x="7035"/>
        <item m="1" x="7491"/>
        <item m="1" x="2093"/>
        <item m="1" x="2913"/>
        <item m="1" x="3865"/>
        <item m="1" x="4802"/>
        <item m="1" x="233"/>
        <item m="1" x="396"/>
        <item m="1" x="691"/>
        <item m="1" x="3498"/>
        <item m="1" x="4440"/>
        <item m="1" x="5366"/>
        <item m="1" x="6189"/>
        <item m="1" x="730"/>
        <item m="1" x="1187"/>
        <item m="1" x="1807"/>
        <item m="1" x="5432"/>
        <item m="1" x="6252"/>
        <item m="1" x="6889"/>
        <item m="1" x="7382"/>
        <item m="1" x="1890"/>
        <item m="1" x="2686"/>
        <item m="1" x="3607"/>
        <item m="1" x="211"/>
        <item m="1" x="2342"/>
        <item m="1" x="3236"/>
        <item m="1" x="4196"/>
        <item m="1" x="5126"/>
        <item m="1" x="637"/>
        <item m="1" x="4245"/>
        <item m="1" x="5179"/>
        <item m="1" x="6053"/>
        <item m="1" x="6724"/>
        <item m="1" x="1679"/>
        <item m="1" x="1422"/>
        <item m="1" x="2127"/>
        <item m="1" x="2998"/>
        <item m="1" x="3044"/>
        <item m="1" x="4003"/>
        <item m="1" x="4947"/>
        <item m="1" x="877"/>
        <item m="1" x="1384"/>
        <item m="1" x="2045"/>
        <item m="1" x="2868"/>
        <item m="1" x="7073"/>
        <item m="1" x="7527"/>
        <item m="1" x="2113"/>
        <item m="1" x="2966"/>
        <item m="1" x="3897"/>
        <item m="1" x="4842"/>
        <item m="1" x="7894"/>
        <item m="1" x="3975"/>
        <item m="1" x="4897"/>
        <item m="1" x="5775"/>
        <item m="1" x="6528"/>
        <item m="1" x="772"/>
        <item m="1" x="1226"/>
        <item m="1" x="1849"/>
        <item m="1" x="5460"/>
        <item m="1" x="6304"/>
        <item m="1" x="6921"/>
        <item m="1" x="7411"/>
        <item m="1" x="1935"/>
        <item m="1" x="2724"/>
        <item m="1" x="3647"/>
        <item m="1" x="6979"/>
        <item m="1" x="1306"/>
        <item m="1" x="1989"/>
        <item m="1" x="2811"/>
        <item m="1" x="3770"/>
        <item m="1" x="2869"/>
        <item m="1" x="3833"/>
        <item m="1" x="4779"/>
        <item m="1" x="5694"/>
        <item m="1" x="4843"/>
        <item m="1" x="5740"/>
        <item m="1" x="713"/>
        <item m="1" x="1168"/>
        <item m="1" x="1791"/>
        <item m="1" x="2584"/>
        <item m="1" x="6225"/>
        <item m="1" x="6874"/>
        <item m="1" x="1850"/>
        <item m="1" x="2652"/>
        <item m="1" x="3588"/>
        <item m="1" x="4541"/>
        <item m="1" x="7412"/>
        <item m="1" x="7779"/>
        <item m="1" x="3648"/>
        <item m="1" x="4595"/>
        <item m="1" x="5515"/>
        <item m="1" x="374"/>
        <item m="1" x="616"/>
        <item m="1" x="1021"/>
        <item m="1" x="5166"/>
        <item m="1" x="6032"/>
        <item m="1" x="6708"/>
        <item m="1" x="1094"/>
        <item m="1" x="1640"/>
        <item m="1" x="2402"/>
        <item m="1" x="6764"/>
        <item m="1" x="7282"/>
        <item m="1" x="7686"/>
        <item m="1" x="2495"/>
        <item m="1" x="3362"/>
        <item m="1" x="4337"/>
        <item m="1" x="308"/>
        <item m="1" x="526"/>
        <item m="1" x="3984"/>
        <item m="1" x="4916"/>
        <item m="1" x="5794"/>
        <item m="1" x="937"/>
        <item m="1" x="1472"/>
        <item m="1" x="5884"/>
        <item m="1" x="6592"/>
        <item m="1" x="7160"/>
        <item m="1" x="2266"/>
        <item m="1" x="3132"/>
        <item m="1" x="263"/>
        <item m="1" x="1952"/>
        <item m="1" x="2787"/>
        <item m="1" x="3728"/>
        <item m="1" x="4660"/>
        <item m="1" x="834"/>
        <item m="1" x="3771"/>
        <item m="1" x="4729"/>
        <item m="1" x="5628"/>
        <item m="1" x="7753"/>
        <item m="1" x="7981"/>
        <item m="1" x="118"/>
        <item m="1" x="4423"/>
        <item m="1" x="5346"/>
        <item m="1" x="6181"/>
        <item m="1" x="6844"/>
        <item m="1" x="966"/>
        <item m="1" x="1506"/>
        <item m="1" x="5906"/>
        <item m="1" x="6627"/>
        <item m="1" x="7185"/>
        <item m="1" x="7607"/>
        <item m="1" x="2298"/>
        <item m="1" x="3165"/>
        <item m="1" x="7238"/>
        <item m="1" x="7656"/>
        <item m="1" x="7933"/>
        <item m="1" x="100"/>
        <item m="1" x="4180"/>
        <item m="1" x="5117"/>
        <item m="1" x="443"/>
        <item m="1" x="773"/>
        <item m="1" x="1227"/>
        <item m="1" x="1851"/>
        <item m="1" x="5461"/>
        <item m="1" x="6305"/>
        <item m="1" x="6922"/>
        <item m="1" x="1273"/>
        <item m="1" x="1936"/>
        <item m="1" x="2725"/>
        <item m="1" x="3649"/>
        <item m="1" x="6980"/>
        <item m="1" x="7475"/>
        <item m="1" x="7810"/>
        <item m="1" x="2771"/>
        <item m="1" x="3707"/>
        <item m="1" x="4642"/>
        <item m="1" x="5547"/>
        <item m="1" x="389"/>
        <item m="1" x="668"/>
        <item m="1" x="4270"/>
        <item m="1" x="5225"/>
        <item m="1" x="6086"/>
        <item m="1" x="6765"/>
        <item m="1" x="1133"/>
        <item m="1" x="1732"/>
        <item m="1" x="6138"/>
        <item m="1" x="6825"/>
        <item m="1" x="7352"/>
        <item m="1" x="7732"/>
        <item m="1" x="2534"/>
        <item m="1" x="3442"/>
        <item m="1" x="335"/>
        <item m="1" x="3077"/>
        <item m="1" x="4032"/>
        <item m="1" x="4982"/>
        <item m="1" x="1003"/>
        <item m="1" x="5050"/>
        <item m="1" x="5933"/>
        <item m="1" x="6676"/>
        <item m="1" x="2338"/>
        <item m="1" x="1307"/>
        <item m="1" x="1990"/>
        <item m="1" x="2812"/>
        <item m="1" x="3772"/>
        <item m="1" x="2870"/>
        <item m="1" x="3834"/>
        <item m="1" x="4780"/>
        <item m="1" x="5695"/>
        <item m="1" x="6766"/>
        <item m="1" x="7283"/>
        <item m="1" x="2496"/>
        <item m="1" x="3363"/>
        <item m="1" x="4338"/>
        <item m="1" x="196"/>
        <item m="1" x="309"/>
        <item m="1" x="527"/>
        <item m="1" x="3985"/>
        <item m="1" x="4917"/>
        <item m="1" x="5795"/>
        <item m="1" x="576"/>
        <item m="1" x="938"/>
        <item m="1" x="1473"/>
        <item m="1" x="5885"/>
        <item m="1" x="6593"/>
        <item m="1" x="7161"/>
        <item m="1" x="1557"/>
        <item m="1" x="2267"/>
        <item m="1" x="3133"/>
        <item m="1" x="174"/>
        <item m="1" x="264"/>
        <item m="1" x="1953"/>
        <item m="1" x="2788"/>
        <item m="1" x="3729"/>
        <item m="1" x="4661"/>
        <item m="1" x="492"/>
        <item m="1" x="835"/>
        <item m="1" x="3773"/>
        <item m="1" x="4730"/>
        <item m="1" x="5629"/>
        <item m="1" x="6410"/>
        <item m="1" x="1385"/>
        <item m="1" x="2046"/>
        <item m="1" x="164"/>
        <item m="1" x="1135"/>
        <item m="1" x="1764"/>
        <item m="1" x="2549"/>
        <item m="1" x="3459"/>
        <item m="1" x="2585"/>
        <item m="1" x="3522"/>
        <item m="1" x="4476"/>
        <item m="1" x="5410"/>
        <item m="1" x="1112"/>
        <item m="1" x="1680"/>
        <item m="1" x="2432"/>
        <item m="1" x="3323"/>
        <item m="1" x="6786"/>
        <item m="1" x="7318"/>
        <item m="1" x="2522"/>
        <item m="1" x="3402"/>
        <item m="1" x="4368"/>
        <item m="1" x="5297"/>
        <item m="1" x="7754"/>
        <item m="1" x="7982"/>
        <item m="1" x="4424"/>
        <item m="1" x="5347"/>
        <item m="1" x="6182"/>
        <item m="1" x="596"/>
        <item m="1" x="967"/>
        <item m="1" x="1507"/>
        <item m="1" x="5907"/>
        <item m="1" x="6628"/>
        <item m="1" x="7186"/>
        <item m="1" x="1581"/>
        <item m="1" x="2299"/>
        <item m="1" x="3166"/>
        <item m="1" x="6955"/>
        <item m="1" x="2755"/>
        <item m="1" x="1613"/>
        <item m="1" x="2362"/>
        <item m="1" x="3267"/>
        <item m="1" x="4246"/>
        <item m="1" x="3324"/>
        <item m="1" x="4291"/>
        <item m="1" x="5248"/>
        <item m="1" x="6110"/>
        <item m="1" x="5298"/>
        <item m="1" x="913"/>
        <item m="1" x="1436"/>
        <item m="1" x="2164"/>
        <item m="1" x="6566"/>
        <item m="1" x="2224"/>
        <item m="1" x="3095"/>
        <item m="1" x="4062"/>
        <item m="1" x="7608"/>
        <item m="1" x="4131"/>
        <item m="1" x="5067"/>
        <item m="1" x="289"/>
        <item m="1" x="457"/>
        <item m="1" x="800"/>
        <item m="1" x="1285"/>
        <item m="1" x="5602"/>
        <item m="1" x="6369"/>
        <item m="1" x="855"/>
        <item m="1" x="1333"/>
        <item m="1" x="2005"/>
        <item m="1" x="2834"/>
        <item m="1" x="7036"/>
        <item m="1" x="7492"/>
        <item m="1" x="2094"/>
        <item m="1" x="2914"/>
        <item m="1" x="3866"/>
        <item m="1" x="4803"/>
        <item m="1" x="234"/>
        <item m="1" x="397"/>
        <item m="1" x="692"/>
        <item m="1" x="3499"/>
        <item m="1" x="4441"/>
        <item m="1" x="5367"/>
        <item m="1" x="6190"/>
        <item m="1" x="731"/>
        <item m="1" x="1188"/>
        <item m="1" x="1808"/>
        <item m="1" x="5433"/>
        <item m="1" x="6253"/>
        <item m="1" x="6890"/>
        <item m="1" x="7383"/>
        <item m="1" x="1891"/>
        <item m="1" x="2687"/>
        <item m="1" x="3608"/>
        <item m="1" x="212"/>
        <item m="1" x="2343"/>
        <item m="1" x="3237"/>
        <item m="1" x="4197"/>
        <item m="1" x="5127"/>
        <item m="1" x="638"/>
        <item m="1" x="4247"/>
        <item m="1" x="5180"/>
        <item m="1" x="7895"/>
        <item m="1" x="3976"/>
        <item m="1" x="4898"/>
        <item m="1" x="5776"/>
        <item m="1" x="6529"/>
        <item m="1" x="774"/>
        <item m="1" x="1228"/>
        <item m="1" x="1852"/>
        <item m="1" x="5462"/>
        <item m="1" x="6306"/>
        <item m="1" x="6923"/>
        <item m="1" x="7413"/>
        <item m="1" x="1937"/>
        <item m="1" x="2726"/>
        <item m="1" x="3650"/>
        <item m="1" x="6981"/>
        <item m="1" x="7476"/>
        <item m="1" x="7811"/>
        <item m="1" x="3708"/>
        <item m="1" x="4643"/>
        <item m="1" x="5548"/>
        <item m="1" x="669"/>
        <item m="1" x="4271"/>
        <item m="1" x="5226"/>
        <item m="1" x="6087"/>
        <item m="1" x="6767"/>
        <item m="1" x="1733"/>
        <item m="1" x="6139"/>
        <item m="1" x="6826"/>
        <item m="1" x="7353"/>
        <item m="1" x="7733"/>
        <item m="1" x="3443"/>
        <item m="1" x="3078"/>
        <item m="1" x="4033"/>
        <item m="1" x="4983"/>
        <item m="1" x="5051"/>
        <item m="1" x="5934"/>
        <item m="1" x="6677"/>
        <item m="1" x="1308"/>
        <item m="1" x="1991"/>
        <item m="1" x="2813"/>
        <item m="1" x="3774"/>
        <item m="1" x="2871"/>
        <item m="1" x="3835"/>
        <item m="1" x="4781"/>
        <item m="1" x="5696"/>
        <item m="1" x="4844"/>
        <item m="1" x="5741"/>
        <item m="1" x="714"/>
        <item m="1" x="1169"/>
        <item m="1" x="1792"/>
        <item m="1" x="2586"/>
        <item m="1" x="6226"/>
        <item m="1" x="6875"/>
        <item m="1" x="1853"/>
        <item m="1" x="2653"/>
        <item m="1" x="3589"/>
        <item m="1" x="4542"/>
        <item m="1" x="6594"/>
        <item m="1" x="7162"/>
        <item m="1" x="2268"/>
        <item m="1" x="3134"/>
        <item m="1" x="265"/>
        <item m="1" x="1954"/>
        <item m="1" x="2789"/>
        <item m="1" x="3730"/>
        <item m="1" x="4662"/>
        <item m="1" x="836"/>
        <item m="1" x="3775"/>
        <item m="1" x="4731"/>
        <item m="1" x="5630"/>
        <item m="1" x="6411"/>
        <item m="1" x="2047"/>
        <item m="1" x="1136"/>
        <item m="1" x="1765"/>
        <item m="1" x="2550"/>
        <item m="1" x="3460"/>
        <item m="1" x="2587"/>
        <item m="1" x="3523"/>
        <item m="1" x="4477"/>
        <item m="1" x="5411"/>
        <item m="1" x="4543"/>
        <item m="1" x="1113"/>
        <item m="1" x="1681"/>
        <item m="1" x="2433"/>
        <item m="1" x="3325"/>
        <item m="1" x="6787"/>
        <item m="1" x="7319"/>
        <item m="1" x="7702"/>
        <item m="1" x="2523"/>
        <item m="1" x="3403"/>
        <item m="1" x="4369"/>
        <item m="1" x="5299"/>
        <item m="1" x="7755"/>
        <item m="1" x="7983"/>
        <item m="1" x="119"/>
        <item m="1" x="4425"/>
        <item m="1" x="5348"/>
        <item m="1" x="6183"/>
        <item m="1" x="6845"/>
        <item m="1" x="444"/>
        <item m="1" x="775"/>
        <item m="1" x="1229"/>
        <item m="1" x="1854"/>
        <item m="1" x="5463"/>
        <item m="1" x="6307"/>
        <item m="1" x="6924"/>
        <item m="1" x="1274"/>
        <item m="1" x="1938"/>
        <item m="1" x="2727"/>
        <item m="1" x="3651"/>
        <item m="1" x="6982"/>
        <item m="1" x="7477"/>
        <item m="1" x="7812"/>
        <item m="1" x="2772"/>
        <item m="1" x="3709"/>
        <item m="1" x="4644"/>
        <item m="1" x="5549"/>
        <item m="1" x="390"/>
        <item m="1" x="670"/>
        <item m="1" x="4272"/>
        <item m="1" x="5227"/>
        <item m="1" x="6088"/>
        <item m="1" x="6768"/>
        <item m="1" x="1134"/>
        <item m="1" x="1734"/>
        <item m="1" x="6140"/>
        <item m="1" x="4845"/>
        <item m="1" x="715"/>
        <item m="1" x="1170"/>
        <item m="1" x="1793"/>
        <item m="1" x="2588"/>
        <item m="1" x="6227"/>
        <item m="1" x="1855"/>
        <item m="1" x="2654"/>
        <item m="1" x="3590"/>
        <item m="1" x="4544"/>
        <item m="1" x="7414"/>
        <item m="1" x="3652"/>
        <item m="1" x="4596"/>
        <item m="1" x="375"/>
        <item m="1" x="617"/>
        <item m="1" x="1022"/>
        <item m="1" x="5167"/>
        <item m="1" x="6033"/>
        <item m="1" x="1095"/>
        <item m="1" x="1641"/>
        <item m="1" x="2403"/>
        <item m="1" x="6769"/>
        <item m="1" x="7284"/>
        <item m="1" x="2497"/>
        <item m="1" x="3364"/>
        <item m="1" x="4339"/>
        <item m="1" x="197"/>
        <item m="1" x="310"/>
        <item m="1" x="528"/>
        <item m="1" x="3986"/>
        <item m="1" x="4918"/>
        <item m="1" x="5796"/>
        <item m="1" x="577"/>
        <item m="1" x="939"/>
        <item m="1" x="1474"/>
        <item m="1" x="5886"/>
        <item m="1" x="6595"/>
        <item m="1" x="7163"/>
        <item m="1" x="1558"/>
        <item m="1" x="2269"/>
        <item m="1" x="3135"/>
        <item m="1" x="175"/>
        <item m="1" x="266"/>
        <item m="1" x="1955"/>
        <item m="1" x="2790"/>
        <item m="1" x="3731"/>
        <item m="1" x="4663"/>
        <item m="1" x="493"/>
        <item m="1" x="837"/>
        <item m="1" x="3776"/>
        <item m="1" x="4732"/>
        <item m="1" x="5631"/>
        <item m="1" x="6412"/>
        <item m="1" x="1386"/>
        <item m="1" x="2048"/>
        <item m="1" x="1137"/>
        <item m="1" x="1766"/>
        <item m="1" x="2551"/>
        <item m="1" x="3461"/>
        <item m="1" x="2589"/>
        <item m="1" x="3524"/>
        <item m="1" x="4478"/>
        <item m="1" x="7239"/>
        <item m="1" x="7657"/>
        <item m="1" x="7934"/>
        <item m="1" x="3225"/>
        <item m="1" x="4181"/>
        <item m="1" x="5118"/>
        <item m="1" x="505"/>
        <item m="1" x="856"/>
        <item m="1" x="4754"/>
        <item m="1" x="5650"/>
        <item m="1" x="6439"/>
        <item m="1" x="1406"/>
        <item m="1" x="2095"/>
        <item m="1" x="6499"/>
        <item m="1" x="7092"/>
        <item m="1" x="7561"/>
        <item m="1" x="2985"/>
        <item m="1" x="3930"/>
        <item m="1" x="433"/>
        <item m="1" x="2615"/>
        <item m="1" x="3548"/>
        <item m="1" x="4500"/>
        <item m="1" x="5434"/>
        <item m="1" x="1257"/>
        <item m="1" x="4560"/>
        <item m="1" x="5483"/>
        <item m="1" x="6318"/>
        <item m="1" x="6956"/>
        <item m="1" x="2756"/>
        <item m="1" x="1614"/>
        <item m="1" x="2363"/>
        <item m="1" x="3268"/>
        <item m="1" x="4248"/>
        <item m="1" x="3326"/>
        <item m="1" x="4292"/>
        <item m="1" x="5249"/>
        <item m="1" x="6111"/>
        <item m="1" x="5300"/>
        <item m="1" x="914"/>
        <item m="1" x="1437"/>
        <item m="1" x="2165"/>
        <item m="1" x="6567"/>
        <item m="1" x="2225"/>
        <item m="1" x="3096"/>
        <item m="1" x="4063"/>
        <item m="1" x="7609"/>
        <item m="1" x="4132"/>
        <item m="1" x="5068"/>
        <item m="1" x="290"/>
        <item m="1" x="458"/>
        <item m="1" x="801"/>
        <item m="1" x="1286"/>
        <item m="1" x="5603"/>
        <item m="1" x="6370"/>
        <item m="1" x="857"/>
        <item m="1" x="1334"/>
        <item m="1" x="2006"/>
        <item m="1" x="2835"/>
        <item m="1" x="6054"/>
        <item m="1" x="6725"/>
        <item m="1" x="1682"/>
        <item m="1" x="1423"/>
        <item m="1" x="2128"/>
        <item m="1" x="2999"/>
        <item m="1" x="3045"/>
        <item m="1" x="4004"/>
        <item m="1" x="4948"/>
        <item m="1" x="878"/>
        <item m="1" x="1387"/>
        <item m="1" x="2049"/>
        <item m="1" x="2872"/>
        <item m="1" x="7074"/>
        <item m="1" x="7528"/>
        <item m="1" x="2114"/>
        <item m="1" x="2967"/>
        <item m="1" x="3898"/>
        <item m="1" x="4846"/>
        <item m="1" x="7896"/>
        <item m="1" x="3977"/>
        <item m="1" x="4899"/>
        <item m="1" x="5777"/>
        <item m="1" x="6530"/>
        <item m="1" x="776"/>
        <item m="1" x="1230"/>
        <item m="1" x="1856"/>
        <item m="1" x="5464"/>
        <item m="1" x="6308"/>
        <item m="1" x="6925"/>
        <item m="1" x="7415"/>
        <item m="1" x="1939"/>
        <item m="1" x="2728"/>
        <item m="1" x="3653"/>
        <item m="1" x="6983"/>
        <item m="1" x="7478"/>
        <item m="1" x="7813"/>
        <item m="1" x="3710"/>
        <item m="1" x="4645"/>
        <item m="1" x="5550"/>
        <item m="1" x="671"/>
        <item m="1" x="4273"/>
        <item m="1" x="5228"/>
        <item m="1" x="6089"/>
        <item m="1" x="6770"/>
        <item m="1" x="1735"/>
        <item m="1" x="6141"/>
        <item m="1" x="6827"/>
        <item m="1" x="7354"/>
        <item m="1" x="7734"/>
        <item m="1" x="3444"/>
        <item m="1" x="3079"/>
        <item m="1" x="4034"/>
        <item m="1" x="4984"/>
        <item m="1" x="5052"/>
        <item m="1" x="5935"/>
        <item m="1" x="6678"/>
        <item m="1" x="7416"/>
        <item m="1" x="7780"/>
        <item m="1" x="3654"/>
        <item m="1" x="4597"/>
        <item m="1" x="5516"/>
        <item m="1" x="376"/>
        <item m="1" x="618"/>
        <item m="1" x="7285"/>
        <item m="1" x="7687"/>
        <item m="1" x="2498"/>
        <item m="1" x="3365"/>
        <item m="1" x="4340"/>
        <item m="1" x="311"/>
        <item m="1" x="529"/>
        <item m="1" x="3987"/>
        <item m="1" x="4919"/>
        <item m="1" x="5797"/>
        <item m="1" x="940"/>
        <item m="1" x="1475"/>
        <item m="1" x="5887"/>
        <item m="1" x="6596"/>
        <item m="1" x="7164"/>
        <item m="1" x="2270"/>
        <item m="1" x="3136"/>
        <item m="1" x="267"/>
        <item m="1" x="1956"/>
        <item m="1" x="2791"/>
        <item m="1" x="3732"/>
        <item m="1" x="4664"/>
        <item m="1" x="838"/>
        <item m="1" x="3777"/>
        <item m="1" x="4733"/>
        <item m="1" x="5632"/>
        <item m="1" x="6413"/>
        <item m="1" x="2050"/>
        <item m="1" x="1138"/>
        <item m="1" x="1767"/>
        <item m="1" x="2552"/>
        <item m="1" x="3462"/>
        <item m="1" x="2590"/>
        <item m="1" x="3525"/>
        <item m="1" x="4479"/>
        <item m="1" x="5412"/>
        <item m="1" x="4545"/>
        <item m="1" x="1114"/>
        <item m="1" x="1683"/>
        <item m="1" x="2434"/>
        <item m="1" x="3327"/>
        <item m="1" x="6788"/>
        <item m="1" x="7320"/>
        <item m="1" x="7703"/>
        <item m="1" x="2524"/>
        <item m="1" x="3404"/>
        <item m="1" x="4370"/>
        <item m="1" x="5301"/>
        <item m="1" x="1342"/>
        <item m="1" x="5665"/>
        <item m="1" x="6448"/>
        <item m="1" x="7046"/>
        <item m="1" x="1407"/>
        <item m="1" x="2105"/>
        <item m="1" x="2928"/>
        <item m="1" x="7101"/>
        <item m="1" x="7566"/>
        <item m="1" x="7870"/>
        <item m="1" x="3000"/>
        <item m="1" x="3942"/>
        <item m="1" x="4877"/>
        <item m="1" x="434"/>
        <item m="1" x="737"/>
        <item m="1" x="3556"/>
        <item m="1" x="4509"/>
        <item m="1" x="5443"/>
        <item m="1" x="6260"/>
        <item m="1" x="1264"/>
        <item m="1" x="1901"/>
        <item m="1" x="5491"/>
        <item m="1" x="6319"/>
        <item m="1" x="6963"/>
        <item m="1" x="7448"/>
        <item m="1" x="2763"/>
        <item m="1" x="3680"/>
        <item m="1" x="2371"/>
        <item m="1" x="3269"/>
        <item m="1" x="4249"/>
        <item m="1" x="5181"/>
        <item m="1" x="4300"/>
        <item m="1" x="5250"/>
        <item m="1" x="6121"/>
        <item m="1" x="6798"/>
        <item m="1" x="1444"/>
        <item m="1" x="2166"/>
        <item m="1" x="3046"/>
        <item m="1" x="3103"/>
        <item m="1" x="4073"/>
        <item m="1" x="5021"/>
        <item m="1" x="5076"/>
        <item m="1" x="466"/>
        <item m="1" x="802"/>
        <item m="1" x="1287"/>
        <item m="1" x="1963"/>
        <item m="1" x="6378"/>
        <item m="1" x="1343"/>
        <item m="1" x="2007"/>
        <item m="1" x="2843"/>
        <item m="1" x="3801"/>
        <item m="1" x="6055"/>
        <item m="1" x="6733"/>
        <item m="1" x="7257"/>
        <item m="1" x="1700"/>
        <item m="1" x="2442"/>
        <item m="1" x="183"/>
        <item m="1" x="2129"/>
        <item m="1" x="3009"/>
        <item m="1" x="3960"/>
        <item m="1" x="552"/>
        <item m="1" x="4005"/>
        <item m="1" x="4955"/>
        <item m="1" x="5843"/>
        <item m="1" x="1514"/>
        <item m="1" x="2060"/>
        <item m="1" x="2878"/>
        <item m="1" x="3841"/>
        <item m="1" x="7537"/>
        <item m="1" x="3906"/>
        <item m="1" x="4850"/>
        <item m="1" x="5745"/>
        <item m="1" x="5798"/>
        <item m="1" x="6537"/>
        <item m="1" x="780"/>
        <item m="1" x="1235"/>
        <item m="1" x="1861"/>
        <item m="1" x="2659"/>
        <item m="1" x="6933"/>
        <item m="1" x="7421"/>
        <item m="1" x="1943"/>
        <item m="1" x="2733"/>
        <item m="1" x="3659"/>
        <item m="1" x="4602"/>
        <item m="1" x="7817"/>
        <item m="1" x="3733"/>
        <item m="1" x="4665"/>
        <item m="1" x="5565"/>
        <item m="1" x="6343"/>
        <item m="1" x="672"/>
        <item m="1" x="1100"/>
        <item m="1" x="1646"/>
        <item m="1" x="5232"/>
        <item m="1" x="6094"/>
        <item m="1" x="6776"/>
        <item m="1" x="7291"/>
        <item m="1" x="1736"/>
        <item m="1" x="2510"/>
        <item m="1" x="3377"/>
        <item m="1" x="6831"/>
        <item m="1" x="7355"/>
        <item m="1" x="7741"/>
        <item m="1" x="7961"/>
        <item m="1" x="3463"/>
        <item m="1" x="4406"/>
        <item m="1" x="5327"/>
        <item m="1" x="578"/>
        <item m="1" x="4044"/>
        <item m="1" x="4994"/>
        <item m="1" x="5893"/>
        <item m="1" x="6601"/>
        <item m="1" x="1563"/>
        <item m="1" x="5940"/>
        <item m="1" x="4603"/>
        <item m="1" x="5517"/>
        <item m="1" x="623"/>
        <item m="1" x="1027"/>
        <item m="1" x="1604"/>
        <item m="1" x="2349"/>
        <item m="1" x="6038"/>
        <item m="1" x="6709"/>
        <item m="1" x="1647"/>
        <item m="1" x="2405"/>
        <item m="1" x="3302"/>
        <item m="1" x="4277"/>
        <item m="1" x="7292"/>
        <item m="1" x="7688"/>
        <item m="1" x="3378"/>
        <item m="1" x="4347"/>
        <item m="1" x="5276"/>
        <item m="1" x="317"/>
        <item m="1" x="530"/>
        <item m="1" x="896"/>
        <item m="1" x="4930"/>
        <item m="1" x="5818"/>
        <item m="1" x="6554"/>
        <item m="1" x="946"/>
        <item m="1" x="1480"/>
        <item m="1" x="2197"/>
        <item m="1" x="6602"/>
        <item m="1" x="7165"/>
        <item m="1" x="7595"/>
        <item m="1" x="2279"/>
        <item m="1" x="3145"/>
        <item m="1" x="4106"/>
        <item m="1" x="281"/>
        <item m="1" x="445"/>
        <item m="1" x="3742"/>
        <item m="1" x="4679"/>
        <item m="1" x="5579"/>
        <item m="1" x="839"/>
        <item m="1" x="1314"/>
        <item m="1" x="5634"/>
        <item m="1" x="6420"/>
        <item m="1" x="7015"/>
        <item m="1" x="2061"/>
        <item m="1" x="2879"/>
        <item m="1" x="222"/>
        <item m="1" x="1768"/>
        <item m="1" x="2553"/>
        <item m="1" x="3487"/>
        <item m="1" x="4416"/>
        <item m="1" x="719"/>
        <item m="1" x="3527"/>
        <item m="1" x="4481"/>
        <item m="1" x="5417"/>
        <item m="1" x="6232"/>
        <item m="1" x="1862"/>
        <item m="1" x="1701"/>
        <item m="1" x="2443"/>
        <item m="1" x="3335"/>
        <item m="1" x="4301"/>
        <item m="1" x="7330"/>
        <item m="1" x="7710"/>
        <item m="1" x="3420"/>
        <item m="1" x="4377"/>
        <item m="1" x="5308"/>
        <item m="1" x="6149"/>
        <item m="1" x="7567"/>
        <item m="1" x="7871"/>
        <item m="1" x="3943"/>
        <item m="1" x="4878"/>
        <item m="1" x="738"/>
        <item m="1" x="3557"/>
        <item m="1" x="4510"/>
        <item m="1" x="5444"/>
        <item m="1" x="6261"/>
        <item m="1" x="1902"/>
        <item m="1" x="5492"/>
        <item m="1" x="6320"/>
        <item m="1" x="6964"/>
        <item m="1" x="7449"/>
        <item m="1" x="3681"/>
        <item m="1" x="2372"/>
        <item m="1" x="3270"/>
        <item m="1" x="4250"/>
        <item m="1" x="5182"/>
        <item m="1" x="4302"/>
        <item m="1" x="5251"/>
        <item m="1" x="6122"/>
        <item m="1" x="6799"/>
        <item m="1" x="6150"/>
        <item m="1" x="1445"/>
        <item m="1" x="2167"/>
        <item m="1" x="3047"/>
        <item m="1" x="7139"/>
        <item m="1" x="3104"/>
        <item m="1" x="4074"/>
        <item m="1" x="5022"/>
        <item m="1" x="7910"/>
        <item m="1" x="5077"/>
        <item m="1" x="5960"/>
        <item m="1" x="467"/>
        <item m="1" x="803"/>
        <item m="1" x="1288"/>
        <item m="1" x="1964"/>
        <item m="1" x="6379"/>
        <item m="1" x="6988"/>
        <item m="1" x="1344"/>
        <item m="1" x="2008"/>
        <item m="1" x="2844"/>
        <item m="1" x="3802"/>
        <item m="1" x="7502"/>
        <item m="1" x="7840"/>
        <item m="1" x="2929"/>
        <item m="1" x="3871"/>
        <item m="1" x="4815"/>
        <item m="1" x="5719"/>
        <item m="1" x="398"/>
        <item m="1" x="693"/>
        <item m="1" x="1139"/>
        <item m="1" x="5377"/>
        <item m="1" x="6200"/>
        <item m="1" x="6855"/>
        <item m="1" x="1189"/>
        <item m="1" x="1816"/>
        <item m="1" x="2623"/>
        <item m="1" x="6262"/>
        <item m="1" x="2062"/>
        <item m="1" x="2880"/>
        <item m="1" x="3842"/>
        <item m="1" x="7538"/>
        <item m="1" x="7853"/>
        <item m="1" x="3907"/>
        <item m="1" x="4851"/>
        <item m="1" x="5746"/>
        <item m="1" x="143"/>
        <item m="1" x="5799"/>
        <item m="1" x="6538"/>
        <item m="1" x="7124"/>
        <item m="1" x="1236"/>
        <item m="1" x="1863"/>
        <item m="1" x="2660"/>
        <item m="1" x="6934"/>
        <item m="1" x="7422"/>
        <item m="1" x="7785"/>
        <item m="1" x="2734"/>
        <item m="1" x="3660"/>
        <item m="1" x="4604"/>
        <item m="1" x="7818"/>
        <item m="1" x="134"/>
        <item m="1" x="4666"/>
        <item m="1" x="5566"/>
        <item m="1" x="6344"/>
        <item m="1" x="980"/>
        <item m="1" x="1515"/>
        <item m="1" x="2232"/>
        <item m="1" x="6645"/>
        <item m="1" x="7194"/>
        <item m="1" x="2313"/>
        <item m="1" x="3174"/>
        <item m="1" x="4140"/>
        <item m="1" x="7665"/>
        <item m="1" x="7935"/>
        <item m="1" x="4198"/>
        <item m="1" x="5128"/>
        <item m="1" x="5985"/>
        <item m="1" x="506"/>
        <item m="1" x="862"/>
        <item m="1" x="1345"/>
        <item m="1" x="5666"/>
        <item m="1" x="6449"/>
        <item m="1" x="7047"/>
        <item m="1" x="1408"/>
        <item m="1" x="2106"/>
        <item m="1" x="2930"/>
        <item m="1" x="7102"/>
        <item m="1" x="7568"/>
        <item m="1" x="7872"/>
        <item m="1" x="3001"/>
        <item m="1" x="3944"/>
        <item m="1" x="4879"/>
        <item m="1" x="435"/>
        <item m="1" x="739"/>
        <item m="1" x="3558"/>
        <item m="1" x="4511"/>
        <item m="1" x="5445"/>
        <item m="1" x="6263"/>
        <item m="1" x="1265"/>
        <item m="1" x="1903"/>
        <item m="1" x="5493"/>
        <item m="1" x="6321"/>
        <item m="1" x="5078"/>
        <item m="1" x="468"/>
        <item m="1" x="804"/>
        <item m="1" x="1289"/>
        <item m="1" x="1965"/>
        <item m="1" x="6380"/>
        <item m="1" x="1346"/>
        <item m="1" x="2009"/>
        <item m="1" x="2845"/>
        <item m="1" x="3803"/>
        <item m="1" x="7503"/>
        <item m="1" x="2931"/>
        <item m="1" x="3872"/>
        <item m="1" x="4816"/>
        <item m="1" x="240"/>
        <item m="1" x="399"/>
        <item m="1" x="694"/>
        <item m="1" x="1140"/>
        <item m="1" x="5378"/>
        <item m="1" x="6201"/>
        <item m="1" x="740"/>
        <item m="1" x="1190"/>
        <item m="1" x="1817"/>
        <item m="1" x="2624"/>
        <item m="1" x="6264"/>
        <item m="1" x="6891"/>
        <item m="1" x="7387"/>
        <item m="1" x="1904"/>
        <item m="1" x="2694"/>
        <item m="1" x="3616"/>
        <item m="1" x="4568"/>
        <item m="1" x="213"/>
        <item m="1" x="343"/>
        <item m="1" x="3240"/>
        <item m="1" x="4213"/>
        <item m="1" x="5143"/>
        <item m="1" x="6000"/>
        <item m="1" x="646"/>
        <item m="1" x="1049"/>
        <item m="1" x="5183"/>
        <item m="1" x="6056"/>
        <item m="1" x="6734"/>
        <item m="1" x="7258"/>
        <item m="1" x="1702"/>
        <item m="1" x="2444"/>
        <item m="1" x="184"/>
        <item m="1" x="2130"/>
        <item m="1" x="3010"/>
        <item m="1" x="3961"/>
        <item m="1" x="553"/>
        <item m="1" x="4006"/>
        <item m="1" x="4956"/>
        <item m="1" x="5844"/>
        <item m="1" x="1516"/>
        <item m="1" x="2063"/>
        <item m="1" x="2881"/>
        <item m="1" x="3843"/>
        <item m="1" x="7539"/>
        <item m="1" x="3908"/>
        <item m="1" x="4852"/>
        <item m="1" x="5747"/>
        <item m="1" x="7356"/>
        <item m="1" x="7742"/>
        <item m="1" x="7962"/>
        <item m="1" x="3464"/>
        <item m="1" x="4407"/>
        <item m="1" x="5328"/>
        <item m="1" x="579"/>
        <item m="1" x="4045"/>
        <item m="1" x="4995"/>
        <item m="1" x="5894"/>
        <item m="1" x="6603"/>
        <item m="1" x="1564"/>
        <item m="1" x="5941"/>
        <item m="1" x="7228"/>
        <item m="1" x="7636"/>
        <item m="1" x="3208"/>
        <item m="1" x="2819"/>
        <item m="1" x="3779"/>
        <item m="1" x="4735"/>
        <item m="1" x="4787"/>
        <item m="1" x="5702"/>
        <item m="1" x="6481"/>
        <item m="1" x="1174"/>
        <item m="1" x="1794"/>
        <item m="1" x="2606"/>
        <item m="1" x="3528"/>
        <item m="1" x="2661"/>
        <item m="1" x="3591"/>
        <item m="1" x="4550"/>
        <item m="1" x="5469"/>
        <item m="1" x="4605"/>
        <item m="1" x="5518"/>
        <item m="1" x="624"/>
        <item m="1" x="1028"/>
        <item m="1" x="1605"/>
        <item m="1" x="2350"/>
        <item m="1" x="6039"/>
        <item m="1" x="6710"/>
        <item m="1" x="1648"/>
        <item m="1" x="2406"/>
        <item m="1" x="3303"/>
        <item m="1" x="4278"/>
        <item m="1" x="7293"/>
        <item m="1" x="7689"/>
        <item m="1" x="3379"/>
        <item m="1" x="4348"/>
        <item m="1" x="5277"/>
        <item m="1" x="318"/>
        <item m="1" x="531"/>
        <item m="1" x="897"/>
        <item m="1" x="4931"/>
        <item m="1" x="5819"/>
        <item m="1" x="6555"/>
        <item m="1" x="947"/>
        <item m="1" x="1481"/>
        <item m="1" x="2198"/>
        <item m="1" x="6233"/>
        <item m="1" x="1864"/>
        <item m="1" x="1703"/>
        <item m="1" x="2445"/>
        <item m="1" x="3336"/>
        <item m="1" x="4303"/>
        <item m="1" x="7331"/>
        <item m="1" x="7711"/>
        <item m="1" x="3421"/>
        <item m="1" x="4378"/>
        <item m="1" x="5309"/>
        <item m="1" x="6151"/>
        <item m="1" x="7993"/>
        <item m="1" x="120"/>
        <item m="1" x="5368"/>
        <item m="1" x="6191"/>
        <item m="1" x="6846"/>
        <item m="1" x="981"/>
        <item m="1" x="1517"/>
        <item m="1" x="2233"/>
        <item m="1" x="6646"/>
        <item m="1" x="7195"/>
        <item m="1" x="7617"/>
        <item m="1" x="2314"/>
        <item m="1" x="3175"/>
        <item m="1" x="4141"/>
        <item m="1" x="7666"/>
        <item m="1" x="7936"/>
        <item m="1" x="101"/>
        <item m="1" x="4199"/>
        <item m="1" x="5129"/>
        <item m="1" x="5986"/>
        <item m="1" x="863"/>
        <item m="1" x="1347"/>
        <item m="1" x="5667"/>
        <item m="1" x="6450"/>
        <item m="1" x="7048"/>
        <item m="1" x="2107"/>
        <item m="1" x="2932"/>
        <item m="1" x="7103"/>
        <item m="1" x="7569"/>
        <item m="1" x="7873"/>
        <item m="1" x="3945"/>
        <item m="1" x="4880"/>
        <item m="1" x="741"/>
        <item m="1" x="3559"/>
        <item m="1" x="4512"/>
        <item m="1" x="5446"/>
        <item m="1" x="6265"/>
        <item m="1" x="1905"/>
        <item m="1" x="5494"/>
        <item m="1" x="6322"/>
        <item m="1" x="6965"/>
        <item m="1" x="7450"/>
        <item m="1" x="3682"/>
        <item m="1" x="2373"/>
        <item m="1" x="3271"/>
        <item m="1" x="4251"/>
        <item m="1" x="5184"/>
        <item m="1" x="4304"/>
        <item m="1" x="5252"/>
        <item m="1" x="6123"/>
        <item m="1" x="6800"/>
        <item m="1" x="7504"/>
        <item m="1" x="7841"/>
        <item m="1" x="2933"/>
        <item m="1" x="3873"/>
        <item m="1" x="4817"/>
        <item m="1" x="5720"/>
        <item m="1" x="400"/>
        <item m="1" x="695"/>
        <item m="1" x="1141"/>
        <item m="1" x="5379"/>
        <item m="1" x="6202"/>
        <item m="1" x="6856"/>
        <item m="1" x="1191"/>
        <item m="1" x="1818"/>
        <item m="1" x="2625"/>
        <item m="1" x="6266"/>
        <item m="1" x="6892"/>
        <item m="1" x="7388"/>
        <item m="1" x="7765"/>
        <item m="1" x="2695"/>
        <item m="1" x="3617"/>
        <item m="1" x="4569"/>
        <item m="1" x="344"/>
        <item m="1" x="3241"/>
        <item m="1" x="4214"/>
        <item m="1" x="5144"/>
        <item m="1" x="6001"/>
        <item m="1" x="1050"/>
        <item m="1" x="5185"/>
        <item m="1" x="6057"/>
        <item m="1" x="6735"/>
        <item m="1" x="7259"/>
        <item m="1" x="2446"/>
        <item m="1" x="982"/>
        <item m="1" x="1518"/>
        <item m="1" x="2234"/>
        <item m="1" x="6647"/>
        <item m="1" x="7196"/>
        <item m="1" x="2315"/>
        <item m="1" x="3176"/>
        <item m="1" x="4142"/>
        <item m="1" x="7667"/>
        <item m="1" x="7937"/>
        <item m="1" x="4200"/>
        <item m="1" x="5130"/>
        <item m="1" x="5987"/>
        <item m="1" x="507"/>
        <item m="1" x="864"/>
        <item m="1" x="1348"/>
        <item m="1" x="5668"/>
        <item m="1" x="6451"/>
        <item m="1" x="7049"/>
        <item m="1" x="1409"/>
        <item m="1" x="2934"/>
        <item m="1" x="7104"/>
        <item m="1" x="7570"/>
        <item m="1" x="7874"/>
        <item m="1" x="3002"/>
        <item m="1" x="3946"/>
        <item m="1" x="4881"/>
        <item m="1" x="436"/>
        <item m="1" x="742"/>
        <item m="1" x="3560"/>
        <item m="1" x="4513"/>
        <item m="1" x="5447"/>
        <item m="1" x="6267"/>
        <item m="1" x="1266"/>
        <item m="1" x="1906"/>
        <item m="1" x="5495"/>
        <item m="1" x="6323"/>
        <item m="1" x="5079"/>
        <item m="1" x="469"/>
        <item m="1" x="805"/>
        <item m="1" x="1290"/>
        <item m="1" x="1966"/>
        <item m="1" x="6381"/>
        <item m="1" x="1349"/>
        <item m="1" x="2010"/>
        <item m="1" x="2846"/>
        <item m="1" x="3804"/>
        <item m="1" x="7505"/>
        <item m="1" x="2935"/>
        <item m="1" x="3874"/>
        <item m="1" x="4818"/>
        <item m="1" x="241"/>
        <item m="1" x="401"/>
        <item m="1" x="696"/>
        <item m="1" x="1142"/>
        <item m="1" x="5380"/>
        <item m="1" x="6203"/>
        <item m="1" x="743"/>
        <item m="1" x="1192"/>
        <item m="1" x="1819"/>
        <item m="1" x="2626"/>
        <item m="1" x="6268"/>
        <item m="1" x="6893"/>
        <item m="1" x="7389"/>
        <item m="1" x="1907"/>
        <item m="1" x="2696"/>
        <item m="1" x="3618"/>
        <item m="1" x="4570"/>
        <item m="1" x="214"/>
        <item m="1" x="345"/>
        <item m="1" x="3242"/>
        <item m="1" x="4215"/>
        <item m="1" x="5145"/>
        <item m="1" x="6002"/>
        <item m="1" x="647"/>
        <item m="1" x="1051"/>
        <item m="1" x="5186"/>
        <item m="1" x="6058"/>
        <item m="1" x="6736"/>
        <item m="1" x="7260"/>
        <item m="1" x="1704"/>
        <item m="1" x="2447"/>
        <item m="1" x="185"/>
        <item m="1" x="2131"/>
        <item m="1" x="3011"/>
        <item m="1" x="3962"/>
        <item m="1" x="554"/>
        <item m="1" x="4007"/>
        <item m="1" x="4957"/>
        <item m="1" x="5845"/>
        <item m="1" x="1519"/>
        <item m="1" x="2064"/>
        <item m="1" x="2882"/>
        <item m="1" x="3844"/>
        <item m="1" x="7540"/>
        <item m="1" x="3909"/>
        <item m="1" x="4853"/>
        <item m="1" x="5748"/>
        <item m="1" x="7357"/>
        <item m="1" x="7743"/>
        <item m="1" x="7963"/>
        <item m="1" x="3465"/>
        <item m="1" x="4408"/>
        <item m="1" x="5329"/>
        <item m="1" x="580"/>
        <item m="1" x="4046"/>
        <item m="1" x="4996"/>
        <item m="1" x="5895"/>
        <item m="1" x="6604"/>
        <item m="1" x="1565"/>
        <item m="1" x="5942"/>
        <item m="1" x="6679"/>
        <item m="1" x="7229"/>
        <item m="1" x="7637"/>
        <item m="1" x="3209"/>
        <item m="1" x="2820"/>
        <item m="1" x="3780"/>
        <item m="1" x="4736"/>
        <item m="1" x="4788"/>
        <item m="1" x="5703"/>
        <item m="1" x="6482"/>
        <item m="1" x="1175"/>
        <item m="1" x="1795"/>
        <item m="1" x="2607"/>
        <item m="1" x="3529"/>
        <item m="1" x="2662"/>
        <item m="1" x="3592"/>
        <item m="1" x="4551"/>
        <item m="1" x="5470"/>
        <item m="1" x="4606"/>
        <item m="1" x="5519"/>
        <item m="1" x="625"/>
        <item m="1" x="1029"/>
        <item m="1" x="1606"/>
        <item m="1" x="2351"/>
        <item m="1" x="6040"/>
        <item m="1" x="6711"/>
        <item m="1" x="1649"/>
        <item m="1" x="2407"/>
        <item m="1" x="3304"/>
        <item m="1" x="4279"/>
        <item m="1" x="7294"/>
        <item m="1" x="7690"/>
        <item m="1" x="3380"/>
        <item m="1" x="4349"/>
        <item m="1" x="5278"/>
        <item m="1" x="319"/>
        <item m="1" x="532"/>
        <item m="1" x="898"/>
        <item m="1" x="4932"/>
        <item m="1" x="5820"/>
        <item m="1" x="6556"/>
        <item m="1" x="948"/>
        <item m="1" x="1482"/>
        <item m="1" x="2199"/>
        <item m="1" x="6234"/>
        <item m="1" x="1865"/>
        <item m="1" x="1705"/>
        <item m="1" x="2448"/>
        <item m="1" x="3337"/>
        <item m="1" x="4305"/>
        <item m="1" x="7332"/>
        <item m="1" x="7712"/>
        <item m="1" x="3422"/>
        <item m="1" x="4379"/>
        <item m="1" x="5310"/>
        <item m="1" x="6152"/>
        <item m="1" x="7994"/>
        <item m="1" x="121"/>
        <item m="1" x="5369"/>
        <item m="1" x="6192"/>
        <item m="1" x="6847"/>
        <item m="1" x="983"/>
        <item m="1" x="1520"/>
        <item m="1" x="2235"/>
        <item m="1" x="6648"/>
        <item m="1" x="7197"/>
        <item m="1" x="7618"/>
        <item m="1" x="2316"/>
        <item m="1" x="3177"/>
        <item m="1" x="4143"/>
        <item m="1" x="7668"/>
        <item m="1" x="7938"/>
        <item m="1" x="102"/>
        <item m="1" x="4201"/>
        <item m="1" x="5131"/>
        <item m="1" x="5988"/>
        <item m="1" x="865"/>
        <item m="1" x="1350"/>
        <item m="1" x="5669"/>
        <item m="1" x="6452"/>
        <item m="1" x="7050"/>
        <item m="1" x="2936"/>
        <item m="1" x="7105"/>
        <item m="1" x="7571"/>
        <item m="1" x="7875"/>
        <item m="1" x="3947"/>
        <item m="1" x="4882"/>
        <item m="1" x="744"/>
        <item m="1" x="3561"/>
        <item m="1" x="4514"/>
        <item m="1" x="5448"/>
        <item m="1" x="6269"/>
        <item m="1" x="1908"/>
        <item m="1" x="5496"/>
        <item m="1" x="6324"/>
        <item m="1" x="6966"/>
        <item m="1" x="7451"/>
        <item m="1" x="3683"/>
        <item m="1" x="2374"/>
        <item m="1" x="3272"/>
        <item m="1" x="4252"/>
        <item m="1" x="5187"/>
        <item m="1" x="4306"/>
        <item m="1" x="5253"/>
        <item m="1" x="6124"/>
        <item m="1" x="6801"/>
        <item m="1" x="7506"/>
        <item m="1" x="7842"/>
        <item m="1" x="2937"/>
        <item m="1" x="3875"/>
        <item m="1" x="4819"/>
        <item m="1" x="5721"/>
        <item m="1" x="402"/>
        <item m="1" x="697"/>
        <item m="1" x="1143"/>
        <item m="1" x="5381"/>
        <item m="1" x="6204"/>
        <item m="1" x="6857"/>
        <item m="1" x="1193"/>
        <item m="1" x="1820"/>
        <item m="1" x="2627"/>
        <item m="1" x="6270"/>
        <item m="1" x="6894"/>
        <item m="1" x="7390"/>
        <item m="1" x="7766"/>
        <item m="1" x="2697"/>
        <item m="1" x="3619"/>
        <item m="1" x="4571"/>
        <item m="1" x="346"/>
        <item m="1" x="3243"/>
        <item m="1" x="4216"/>
        <item m="1" x="5146"/>
        <item m="1" x="6003"/>
        <item m="1" x="1052"/>
        <item m="1" x="5188"/>
        <item m="1" x="6059"/>
        <item m="1" x="6737"/>
        <item m="1" x="7261"/>
        <item m="1" x="2449"/>
        <item m="1" x="2132"/>
        <item m="1" x="3012"/>
        <item m="1" x="3963"/>
        <item m="1" x="4008"/>
        <item m="1" x="4958"/>
        <item m="1" x="5846"/>
        <item m="1" x="2065"/>
        <item m="1" x="2883"/>
        <item m="1" x="3845"/>
        <item m="1" x="7541"/>
        <item m="1" x="7854"/>
        <item m="1" x="3910"/>
        <item m="1" x="4854"/>
        <item m="1" x="5749"/>
        <item m="1" x="144"/>
        <item m="1" x="5800"/>
        <item m="1" x="6539"/>
        <item m="1" x="7125"/>
        <item m="1" x="1237"/>
        <item m="1" x="1866"/>
        <item m="1" x="2663"/>
        <item m="1" x="6935"/>
        <item m="1" x="7423"/>
        <item m="1" x="7786"/>
        <item m="1" x="2735"/>
        <item m="1" x="3661"/>
        <item m="1" x="4607"/>
        <item m="1" x="7106"/>
        <item m="1" x="7572"/>
        <item m="1" x="7876"/>
        <item m="1" x="3003"/>
        <item m="1" x="3948"/>
        <item m="1" x="4883"/>
        <item m="1" x="437"/>
        <item m="1" x="745"/>
        <item m="1" x="3562"/>
        <item m="1" x="4515"/>
        <item m="1" x="5449"/>
        <item m="1" x="6271"/>
        <item m="1" x="1267"/>
        <item m="1" x="1909"/>
        <item m="1" x="5497"/>
        <item m="1" x="6325"/>
        <item m="1" x="6967"/>
        <item m="1" x="7452"/>
        <item m="1" x="2764"/>
        <item m="1" x="3684"/>
        <item m="1" x="2375"/>
        <item m="1" x="3273"/>
        <item m="1" x="4253"/>
        <item m="1" x="5189"/>
        <item m="1" x="4307"/>
        <item m="1" x="5254"/>
        <item m="1" x="6125"/>
        <item m="1" x="6802"/>
        <item m="1" x="1446"/>
        <item m="1" x="2168"/>
        <item m="1" x="3048"/>
        <item m="1" x="3105"/>
        <item m="1" x="4075"/>
        <item m="1" x="5023"/>
        <item m="1" x="5080"/>
        <item m="1" x="470"/>
        <item m="1" x="806"/>
        <item m="1" x="1291"/>
        <item m="1" x="1967"/>
        <item m="1" x="6382"/>
        <item m="1" x="1351"/>
        <item m="1" x="2011"/>
        <item m="1" x="2847"/>
        <item m="1" x="3805"/>
        <item m="1" x="7507"/>
        <item m="1" x="2938"/>
        <item m="1" x="3876"/>
        <item m="1" x="4820"/>
        <item m="1" x="242"/>
        <item m="1" x="403"/>
        <item m="1" x="698"/>
        <item m="1" x="1144"/>
        <item m="1" x="5382"/>
        <item m="1" x="6205"/>
        <item m="1" x="746"/>
        <item m="1" x="1194"/>
        <item m="1" x="1821"/>
        <item m="1" x="2628"/>
        <item m="1" x="5847"/>
        <item m="1" x="1521"/>
        <item m="1" x="2066"/>
        <item m="1" x="2884"/>
        <item m="1" x="3846"/>
        <item m="1" x="7542"/>
        <item m="1" x="3911"/>
        <item m="1" x="4855"/>
        <item m="1" x="5750"/>
        <item m="1" x="5801"/>
        <item m="1" x="6540"/>
        <item m="1" x="781"/>
        <item m="1" x="1238"/>
        <item m="1" x="1867"/>
        <item m="1" x="2664"/>
        <item m="1" x="6936"/>
        <item m="1" x="7424"/>
        <item m="1" x="1944"/>
        <item m="1" x="2736"/>
        <item m="1" x="3662"/>
        <item m="1" x="4608"/>
        <item m="1" x="7819"/>
        <item m="1" x="3734"/>
        <item m="1" x="4667"/>
        <item m="1" x="5567"/>
        <item m="1" x="6345"/>
        <item m="1" x="673"/>
        <item m="1" x="1101"/>
        <item m="1" x="1650"/>
        <item m="1" x="5233"/>
        <item m="1" x="6095"/>
        <item m="1" x="6777"/>
        <item m="1" x="7295"/>
        <item m="1" x="1737"/>
        <item m="1" x="2511"/>
        <item m="1" x="3381"/>
        <item m="1" x="6832"/>
        <item m="1" x="7358"/>
        <item m="1" x="7744"/>
        <item m="1" x="7964"/>
        <item m="1" x="3466"/>
        <item m="1" x="4409"/>
        <item m="1" x="5330"/>
        <item m="1" x="581"/>
        <item m="1" x="4047"/>
        <item m="1" x="4997"/>
        <item m="1" x="5896"/>
        <item m="1" x="6605"/>
        <item m="1" x="1566"/>
        <item m="1" x="5943"/>
        <item m="1" x="6680"/>
        <item m="1" x="7230"/>
        <item m="1" x="7638"/>
        <item m="1" x="3210"/>
        <item m="1" x="2821"/>
        <item m="1" x="3781"/>
        <item m="1" x="4737"/>
        <item m="1" x="4789"/>
        <item m="1" x="5704"/>
        <item m="1" x="6483"/>
        <item m="1" x="7296"/>
        <item m="1" x="7691"/>
        <item m="1" x="3382"/>
        <item m="1" x="4350"/>
        <item m="1" x="5279"/>
        <item m="1" x="320"/>
        <item m="1" x="533"/>
        <item m="1" x="899"/>
        <item m="1" x="4933"/>
        <item m="1" x="5821"/>
        <item m="1" x="6557"/>
        <item m="1" x="949"/>
        <item m="1" x="1483"/>
        <item m="1" x="2200"/>
        <item m="1" x="6606"/>
        <item m="1" x="7166"/>
        <item m="1" x="7596"/>
        <item m="1" x="2280"/>
        <item m="1" x="3146"/>
        <item m="1" x="4107"/>
        <item m="1" x="282"/>
        <item m="1" x="446"/>
        <item m="1" x="3743"/>
        <item m="1" x="4680"/>
        <item m="1" x="5580"/>
        <item m="1" x="840"/>
        <item m="1" x="1315"/>
        <item m="1" x="5635"/>
        <item m="1" x="6421"/>
        <item m="1" x="7016"/>
        <item m="1" x="2067"/>
        <item m="1" x="2885"/>
        <item m="1" x="223"/>
        <item m="1" x="1769"/>
        <item m="1" x="2554"/>
        <item m="1" x="3488"/>
        <item m="1" x="4417"/>
        <item m="1" x="720"/>
        <item m="1" x="3530"/>
        <item m="1" x="4482"/>
        <item m="1" x="5418"/>
        <item m="1" x="6235"/>
        <item m="1" x="1868"/>
        <item m="1" x="1706"/>
        <item m="1" x="2450"/>
        <item m="1" x="3338"/>
        <item m="1" x="4308"/>
        <item m="1" x="7333"/>
        <item m="1" x="7713"/>
        <item m="1" x="3423"/>
        <item m="1" x="4380"/>
        <item m="1" x="5311"/>
        <item m="1" x="6153"/>
        <item m="1" x="7995"/>
        <item m="1" x="122"/>
        <item m="1" x="5370"/>
        <item m="1" x="6193"/>
        <item m="1" x="6848"/>
        <item m="1" x="984"/>
        <item m="1" x="1522"/>
        <item m="1" x="2236"/>
        <item m="1" x="6649"/>
        <item m="1" x="7198"/>
        <item m="1" x="7619"/>
        <item m="1" x="2317"/>
        <item m="1" x="3178"/>
        <item m="1" x="4144"/>
        <item m="1" x="7453"/>
        <item m="1" x="3685"/>
        <item m="1" x="2376"/>
        <item m="1" x="3274"/>
        <item m="1" x="4254"/>
        <item m="1" x="5190"/>
        <item m="1" x="4309"/>
        <item m="1" x="5255"/>
        <item m="1" x="6126"/>
        <item m="1" x="6803"/>
        <item m="1" x="6154"/>
        <item m="1" x="1447"/>
        <item m="1" x="2169"/>
        <item m="1" x="3049"/>
        <item m="1" x="7140"/>
        <item m="1" x="3106"/>
        <item m="1" x="4076"/>
        <item m="1" x="5024"/>
        <item m="1" x="7911"/>
        <item m="1" x="5081"/>
        <item m="1" x="5961"/>
        <item m="1" x="471"/>
        <item m="1" x="807"/>
        <item m="1" x="1292"/>
        <item m="1" x="1968"/>
        <item m="1" x="6383"/>
        <item m="1" x="6989"/>
        <item m="1" x="1352"/>
        <item m="1" x="2012"/>
        <item m="1" x="2848"/>
        <item m="1" x="3806"/>
        <item m="1" x="7508"/>
        <item m="1" x="7843"/>
        <item m="1" x="2939"/>
        <item m="1" x="3877"/>
        <item m="1" x="4821"/>
        <item m="1" x="5722"/>
        <item m="1" x="404"/>
        <item m="1" x="699"/>
        <item m="1" x="1145"/>
        <item m="1" x="5383"/>
        <item m="1" x="6206"/>
        <item m="1" x="6858"/>
        <item m="1" x="1195"/>
        <item m="1" x="1822"/>
        <item m="1" x="2629"/>
        <item m="1" x="6272"/>
        <item m="1" x="6895"/>
        <item m="1" x="7391"/>
        <item m="1" x="7767"/>
        <item m="1" x="2698"/>
        <item m="1" x="3620"/>
        <item m="1" x="4572"/>
        <item m="1" x="347"/>
        <item m="1" x="3244"/>
        <item m="1" x="4217"/>
        <item m="1" x="5147"/>
        <item m="1" x="6004"/>
        <item m="1" x="1053"/>
        <item m="1" x="5191"/>
        <item m="1" x="6060"/>
        <item m="1" x="145"/>
        <item m="1" x="5802"/>
        <item m="1" x="6541"/>
        <item m="1" x="7126"/>
        <item m="1" x="985"/>
        <item m="1" x="1523"/>
        <item m="1" x="2237"/>
        <item m="1" x="6650"/>
        <item m="1" x="7199"/>
        <item m="1" x="2318"/>
        <item m="1" x="3179"/>
        <item m="1" x="4145"/>
        <item m="1" x="7669"/>
        <item m="1" x="7939"/>
        <item m="1" x="4202"/>
        <item m="1" x="5132"/>
        <item m="1" x="5989"/>
        <item m="1" x="508"/>
        <item m="1" x="866"/>
        <item m="1" x="1353"/>
        <item m="1" x="5670"/>
        <item m="1" x="6453"/>
        <item m="1" x="7051"/>
        <item m="1" x="1410"/>
        <item m="1" x="2940"/>
        <item m="1" x="7107"/>
        <item m="1" x="7573"/>
        <item m="1" x="7877"/>
        <item m="1" x="3004"/>
        <item m="1" x="3949"/>
        <item m="1" x="4884"/>
        <item m="1" x="438"/>
        <item m="1" x="747"/>
        <item m="1" x="3563"/>
        <item m="1" x="4516"/>
        <item m="1" x="5450"/>
        <item m="1" x="6273"/>
        <item m="1" x="1268"/>
        <item m="1" x="1910"/>
        <item m="1" x="5498"/>
        <item m="1" x="6326"/>
        <item m="1" x="6968"/>
        <item m="1" x="7454"/>
        <item m="1" x="2765"/>
        <item m="1" x="3686"/>
        <item m="1" x="2377"/>
        <item m="1" x="3275"/>
        <item m="1" x="4255"/>
        <item m="1" x="5192"/>
        <item m="1" x="4310"/>
        <item m="1" x="5256"/>
        <item m="1" x="6127"/>
        <item m="1" x="6804"/>
        <item m="1" x="1448"/>
        <item m="1" x="2170"/>
        <item m="1" x="3050"/>
        <item m="1" x="3107"/>
        <item m="1" x="4077"/>
        <item m="1" x="5025"/>
        <item m="1" x="6274"/>
        <item m="1" x="6896"/>
        <item m="1" x="7392"/>
        <item m="1" x="1911"/>
        <item m="1" x="2699"/>
        <item m="1" x="3621"/>
        <item m="1" x="4573"/>
        <item m="1" x="215"/>
        <item m="1" x="348"/>
        <item m="1" x="3245"/>
        <item m="1" x="4218"/>
        <item m="1" x="5148"/>
        <item m="1" x="6005"/>
        <item m="1" x="648"/>
        <item m="1" x="1054"/>
        <item m="1" x="5193"/>
        <item m="1" x="6061"/>
        <item m="1" x="6738"/>
        <item m="1" x="7262"/>
        <item m="1" x="1707"/>
        <item m="1" x="2451"/>
        <item m="1" x="186"/>
        <item m="1" x="2133"/>
        <item m="1" x="3013"/>
        <item m="1" x="3964"/>
        <item m="1" x="555"/>
        <item m="1" x="4009"/>
        <item m="1" x="4959"/>
        <item m="1" x="5848"/>
        <item m="1" x="1524"/>
        <item m="1" x="2068"/>
        <item m="1" x="2886"/>
        <item m="1" x="3847"/>
        <item m="1" x="7543"/>
        <item m="1" x="3912"/>
        <item m="1" x="4856"/>
        <item m="1" x="5751"/>
        <item m="1" x="5803"/>
        <item m="1" x="6542"/>
        <item m="1" x="782"/>
        <item m="1" x="1239"/>
        <item m="1" x="1869"/>
        <item m="1" x="2665"/>
        <item m="1" x="6937"/>
        <item m="1" x="7425"/>
        <item m="1" x="1945"/>
        <item m="1" x="2737"/>
        <item m="1" x="3663"/>
        <item m="1" x="4609"/>
        <item m="1" x="7820"/>
        <item m="1" x="3735"/>
        <item m="1" x="4668"/>
        <item m="1" x="5568"/>
        <item m="1" x="6346"/>
        <item m="1" x="674"/>
        <item m="1" x="1102"/>
        <item m="1" x="1651"/>
        <item m="1" x="5234"/>
        <item m="1" x="6096"/>
        <item m="1" x="6778"/>
        <item m="1" x="7297"/>
        <item m="1" x="1738"/>
        <item m="1" x="2512"/>
        <item m="1" x="3383"/>
        <item m="1" x="6833"/>
        <item m="1" x="1176"/>
        <item m="1" x="1796"/>
        <item m="1" x="2608"/>
        <item m="1" x="3531"/>
        <item m="1" x="2666"/>
        <item m="1" x="3593"/>
        <item m="1" x="4552"/>
        <item m="1" x="5471"/>
        <item m="1" x="4610"/>
        <item m="1" x="5520"/>
        <item m="1" x="626"/>
        <item m="1" x="1030"/>
        <item m="1" x="1607"/>
        <item m="1" x="2352"/>
        <item m="1" x="6041"/>
        <item m="1" x="6712"/>
        <item m="1" x="1652"/>
        <item m="1" x="2408"/>
        <item m="1" x="3305"/>
        <item m="1" x="4280"/>
        <item m="1" x="7298"/>
        <item m="1" x="7692"/>
        <item m="1" x="3384"/>
        <item m="1" x="4351"/>
        <item m="1" x="5280"/>
        <item m="1" x="321"/>
        <item m="1" x="534"/>
        <item m="1" x="900"/>
        <item m="1" x="4934"/>
        <item m="1" x="5822"/>
        <item m="1" x="6558"/>
        <item m="1" x="950"/>
        <item m="1" x="1484"/>
        <item m="1" x="2201"/>
        <item m="1" x="6607"/>
        <item m="1" x="7167"/>
        <item m="1" x="7597"/>
        <item m="1" x="2281"/>
        <item m="1" x="3147"/>
        <item m="1" x="4108"/>
        <item m="1" x="283"/>
        <item m="1" x="447"/>
        <item m="1" x="3744"/>
        <item m="1" x="4681"/>
        <item m="1" x="5581"/>
        <item m="1" x="841"/>
        <item m="1" x="1316"/>
        <item m="1" x="5636"/>
        <item m="1" x="6422"/>
        <item m="1" x="7017"/>
        <item m="1" x="2069"/>
        <item m="1" x="2887"/>
        <item m="1" x="224"/>
        <item m="1" x="1770"/>
        <item m="1" x="2555"/>
        <item m="1" x="3489"/>
        <item m="1" x="4418"/>
        <item m="1" x="721"/>
        <item m="1" x="3532"/>
        <item m="1" x="4483"/>
        <item m="1" x="5419"/>
        <item m="1" x="7670"/>
        <item m="1" x="7940"/>
        <item m="1" x="103"/>
        <item m="1" x="4203"/>
        <item m="1" x="5133"/>
        <item m="1" x="5990"/>
        <item m="1" x="867"/>
        <item m="1" x="1354"/>
        <item m="1" x="5671"/>
        <item m="1" x="6454"/>
        <item m="1" x="7052"/>
        <item m="1" x="2941"/>
        <item m="1" x="7108"/>
        <item m="1" x="7574"/>
        <item m="1" x="7878"/>
        <item m="1" x="3950"/>
        <item m="1" x="4885"/>
        <item m="1" x="748"/>
        <item m="1" x="3564"/>
        <item m="1" x="4517"/>
        <item m="1" x="5451"/>
        <item m="1" x="6275"/>
        <item m="1" x="1912"/>
        <item m="1" x="5499"/>
        <item m="1" x="6327"/>
        <item m="1" x="6969"/>
        <item m="1" x="7455"/>
        <item m="1" x="3687"/>
        <item m="1" x="2378"/>
        <item m="1" x="3276"/>
        <item m="1" x="4256"/>
        <item m="1" x="5194"/>
        <item m="1" x="4311"/>
        <item m="1" x="5257"/>
        <item m="1" x="6128"/>
        <item m="1" x="6805"/>
        <item m="1" x="6155"/>
        <item m="1" x="1449"/>
        <item m="1" x="2171"/>
        <item m="1" x="3051"/>
        <item m="1" x="7141"/>
        <item m="1" x="3108"/>
        <item m="1" x="4078"/>
        <item m="1" x="5026"/>
        <item m="1" x="7912"/>
        <item m="1" x="5082"/>
        <item m="1" x="5962"/>
        <item m="1" x="472"/>
        <item m="1" x="808"/>
        <item m="1" x="1293"/>
        <item m="1" x="1969"/>
        <item m="1" x="6384"/>
        <item m="1" x="6990"/>
        <item m="1" x="1355"/>
        <item m="1" x="2013"/>
        <item m="1" x="2849"/>
        <item m="1" x="3807"/>
        <item m="1" x="6739"/>
        <item m="1" x="7263"/>
        <item m="1" x="2452"/>
        <item m="1" x="2134"/>
        <item m="1" x="3014"/>
        <item m="1" x="3965"/>
        <item m="1" x="4010"/>
        <item m="1" x="4960"/>
        <item m="1" x="5849"/>
        <item m="1" x="2070"/>
        <item m="1" x="2888"/>
        <item m="1" x="3848"/>
        <item m="1" x="7544"/>
        <item m="1" x="7855"/>
        <item m="1" x="3913"/>
        <item m="1" x="4857"/>
        <item m="1" x="5752"/>
        <item m="1" x="146"/>
        <item m="1" x="5804"/>
        <item m="1" x="6543"/>
        <item m="1" x="7127"/>
        <item m="1" x="1240"/>
        <item m="1" x="1870"/>
        <item m="1" x="2667"/>
        <item m="1" x="6938"/>
        <item m="1" x="7426"/>
        <item m="1" x="7787"/>
        <item m="1" x="2738"/>
        <item m="1" x="3664"/>
        <item m="1" x="4611"/>
        <item m="1" x="7821"/>
        <item m="1" x="135"/>
        <item m="1" x="4669"/>
        <item m="1" x="5569"/>
        <item m="1" x="6347"/>
        <item m="1" x="986"/>
        <item m="1" x="1525"/>
        <item m="1" x="2238"/>
        <item m="1" x="6651"/>
        <item m="1" x="7200"/>
        <item m="1" x="2319"/>
        <item m="1" x="3180"/>
        <item m="1" x="4146"/>
        <item m="1" x="7671"/>
        <item m="1" x="7941"/>
        <item m="1" x="4204"/>
        <item m="1" x="5134"/>
        <item m="1" x="5991"/>
        <item m="1" x="509"/>
        <item m="1" x="868"/>
        <item m="1" x="1356"/>
        <item m="1" x="5672"/>
        <item m="1" x="6455"/>
        <item m="1" x="7053"/>
        <item m="1" x="1411"/>
        <item m="1" x="2942"/>
        <item m="1" x="6806"/>
        <item m="1" x="1450"/>
        <item m="1" x="2172"/>
        <item m="1" x="3052"/>
        <item m="1" x="3109"/>
        <item m="1" x="4079"/>
        <item m="1" x="5027"/>
        <item m="1" x="5083"/>
        <item m="1" x="473"/>
        <item m="1" x="809"/>
        <item m="1" x="1294"/>
        <item m="1" x="1970"/>
        <item m="1" x="6385"/>
        <item m="1" x="1357"/>
        <item m="1" x="2014"/>
        <item m="1" x="2850"/>
        <item m="1" x="3808"/>
        <item m="1" x="7509"/>
        <item m="1" x="2943"/>
        <item m="1" x="3878"/>
        <item m="1" x="4822"/>
        <item m="1" x="243"/>
        <item m="1" x="405"/>
        <item m="1" x="700"/>
        <item m="1" x="1146"/>
        <item m="1" x="5384"/>
        <item m="1" x="6207"/>
        <item m="1" x="749"/>
        <item m="1" x="1196"/>
        <item m="1" x="1823"/>
        <item m="1" x="2630"/>
        <item m="1" x="6276"/>
        <item m="1" x="6897"/>
        <item m="1" x="7393"/>
        <item m="1" x="1913"/>
        <item m="1" x="2700"/>
        <item m="1" x="3622"/>
        <item m="1" x="4574"/>
        <item m="1" x="216"/>
        <item m="1" x="349"/>
        <item m="1" x="3246"/>
        <item m="1" x="4219"/>
        <item m="1" x="5149"/>
        <item m="1" x="6006"/>
        <item m="1" x="649"/>
        <item m="1" x="1055"/>
        <item m="1" x="5195"/>
        <item m="1" x="6062"/>
        <item m="1" x="6740"/>
        <item m="1" x="7264"/>
        <item m="1" x="1708"/>
        <item m="1" x="2453"/>
        <item m="1" x="187"/>
        <item m="1" x="2135"/>
        <item m="1" x="3015"/>
        <item m="1" x="3966"/>
        <item m="1" x="556"/>
        <item m="1" x="4011"/>
        <item m="1" x="4961"/>
        <item m="1" x="7822"/>
        <item m="1" x="3736"/>
        <item m="1" x="4670"/>
        <item m="1" x="5570"/>
        <item m="1" x="6348"/>
        <item m="1" x="675"/>
        <item m="1" x="1103"/>
        <item m="1" x="1653"/>
        <item m="1" x="5235"/>
        <item m="1" x="6097"/>
        <item m="1" x="6779"/>
        <item m="1" x="7299"/>
        <item m="1" x="1739"/>
        <item m="1" x="2513"/>
        <item m="1" x="3385"/>
        <item m="1" x="6834"/>
        <item m="1" x="7359"/>
        <item m="1" x="7745"/>
        <item m="1" x="7965"/>
        <item m="1" x="3467"/>
        <item m="1" x="4410"/>
        <item m="1" x="5331"/>
        <item m="1" x="582"/>
        <item m="1" x="4048"/>
        <item m="1" x="4998"/>
        <item m="1" x="5897"/>
        <item m="1" x="6608"/>
        <item m="1" x="1567"/>
        <item m="1" x="5944"/>
        <item m="1" x="6681"/>
        <item m="1" x="7231"/>
        <item m="1" x="7639"/>
        <item m="1" x="3211"/>
        <item m="1" x="2822"/>
        <item m="1" x="3782"/>
        <item m="1" x="4738"/>
        <item m="1" x="4790"/>
        <item m="1" x="5705"/>
        <item m="1" x="6484"/>
        <item m="1" x="1177"/>
        <item m="1" x="1797"/>
        <item m="1" x="2609"/>
        <item m="1" x="3533"/>
        <item m="1" x="2668"/>
        <item m="1" x="3594"/>
        <item m="1" x="4553"/>
        <item m="1" x="5472"/>
        <item m="1" x="4612"/>
        <item m="1" x="5521"/>
        <item m="1" x="627"/>
        <item m="1" x="1031"/>
        <item m="1" x="1608"/>
        <item m="1" x="2353"/>
        <item m="1" x="6042"/>
        <item m="1" x="6713"/>
        <item m="1" x="1654"/>
        <item m="1" x="2409"/>
        <item m="1" x="3306"/>
        <item m="1" x="4281"/>
        <item m="1" x="6423"/>
        <item m="1" x="7018"/>
        <item m="1" x="2071"/>
        <item m="1" x="2889"/>
        <item m="1" x="225"/>
        <item m="1" x="1771"/>
        <item m="1" x="2556"/>
        <item m="1" x="3490"/>
        <item m="1" x="4419"/>
        <item m="1" x="722"/>
        <item m="1" x="3534"/>
        <item m="1" x="4484"/>
        <item m="1" x="5420"/>
        <item m="1" x="6236"/>
        <item m="1" x="1871"/>
        <item m="1" x="1709"/>
        <item m="1" x="2454"/>
        <item m="1" x="3339"/>
        <item m="1" x="4312"/>
        <item m="1" x="7334"/>
        <item m="1" x="7714"/>
        <item m="1" x="3424"/>
        <item m="1" x="4381"/>
        <item m="1" x="5312"/>
        <item m="1" x="6156"/>
        <item m="1" x="7996"/>
        <item m="1" x="123"/>
        <item m="1" x="5371"/>
        <item m="1" x="6194"/>
        <item m="1" x="6849"/>
        <item m="1" x="987"/>
        <item m="1" x="1526"/>
        <item m="1" x="2239"/>
        <item m="1" x="6652"/>
        <item m="1" x="7201"/>
        <item m="1" x="7620"/>
        <item m="1" x="2320"/>
        <item m="1" x="3181"/>
        <item m="1" x="4147"/>
        <item m="1" x="7672"/>
        <item m="1" x="7942"/>
        <item m="1" x="104"/>
        <item m="1" x="4205"/>
        <item m="1" x="5135"/>
        <item m="1" x="5992"/>
        <item m="1" x="869"/>
        <item m="1" x="1358"/>
        <item m="1" x="5673"/>
        <item m="1" x="6456"/>
        <item m="1" x="7054"/>
        <item m="1" x="2944"/>
        <item m="1" x="7109"/>
        <item m="1" x="7575"/>
        <item m="1" x="7879"/>
        <item m="1" x="3951"/>
        <item m="1" x="4886"/>
        <item m="1" x="750"/>
        <item m="1" x="3565"/>
        <item m="1" x="4518"/>
        <item m="1" x="5452"/>
        <item m="1" x="6277"/>
        <item m="1" x="1914"/>
        <item m="1" x="5500"/>
        <item m="1" x="6328"/>
        <item m="1" x="6970"/>
        <item m="1" x="7913"/>
        <item m="1" x="5084"/>
        <item m="1" x="5963"/>
        <item m="1" x="474"/>
        <item m="1" x="810"/>
        <item m="1" x="1295"/>
        <item m="1" x="1971"/>
        <item m="1" x="6386"/>
        <item m="1" x="6991"/>
        <item m="1" x="1359"/>
        <item m="1" x="2015"/>
        <item m="1" x="2851"/>
        <item m="1" x="3809"/>
        <item m="1" x="7510"/>
        <item m="1" x="7844"/>
        <item m="1" x="2945"/>
        <item m="1" x="3879"/>
        <item m="1" x="4823"/>
        <item m="1" x="5723"/>
        <item m="1" x="406"/>
        <item m="1" x="701"/>
        <item m="1" x="1147"/>
        <item m="1" x="5385"/>
        <item m="1" x="6208"/>
        <item m="1" x="6859"/>
        <item m="1" x="1197"/>
        <item m="1" x="1824"/>
        <item m="1" x="2631"/>
        <item m="1" x="6278"/>
        <item m="1" x="6898"/>
        <item m="1" x="7394"/>
        <item m="1" x="7768"/>
        <item m="1" x="2701"/>
        <item m="1" x="3623"/>
        <item m="1" x="4575"/>
        <item m="1" x="350"/>
        <item m="1" x="3247"/>
        <item m="1" x="4220"/>
        <item m="1" x="5150"/>
        <item m="1" x="6007"/>
        <item m="1" x="1056"/>
        <item m="1" x="5196"/>
        <item m="1" x="6063"/>
        <item m="1" x="6741"/>
        <item m="1" x="7265"/>
        <item m="1" x="2455"/>
        <item m="1" x="2136"/>
        <item m="1" x="3016"/>
        <item m="1" x="3967"/>
        <item m="1" x="4012"/>
        <item m="1" x="4962"/>
        <item m="1" x="5850"/>
        <item m="1" x="2072"/>
        <item m="1" x="2890"/>
        <item m="1" x="3849"/>
        <item m="1" x="7545"/>
        <item m="1" x="7856"/>
        <item m="1" x="3914"/>
        <item m="1" x="4858"/>
        <item m="1" x="5753"/>
        <item m="1" x="7110"/>
        <item m="1" x="7576"/>
        <item m="1" x="7880"/>
        <item m="1" x="3005"/>
        <item m="1" x="3952"/>
        <item m="1" x="4887"/>
        <item m="1" x="439"/>
        <item m="1" x="751"/>
        <item m="1" x="3566"/>
        <item m="1" x="4519"/>
        <item m="1" x="5453"/>
        <item m="1" x="6279"/>
        <item m="1" x="1269"/>
        <item m="1" x="1915"/>
        <item m="1" x="5501"/>
        <item m="1" x="6329"/>
        <item m="1" x="6971"/>
        <item m="1" x="7456"/>
        <item m="1" x="2766"/>
        <item m="1" x="3688"/>
        <item m="1" x="2379"/>
        <item m="1" x="3277"/>
        <item m="1" x="4257"/>
        <item m="1" x="5197"/>
        <item m="1" x="4313"/>
        <item m="1" x="5258"/>
        <item m="1" x="6129"/>
        <item m="1" x="6807"/>
        <item m="1" x="1451"/>
        <item m="1" x="2173"/>
        <item m="1" x="3053"/>
        <item m="1" x="3110"/>
        <item m="1" x="4080"/>
        <item m="1" x="5028"/>
        <item m="1" x="5085"/>
        <item m="1" x="475"/>
        <item m="1" x="811"/>
        <item m="1" x="1296"/>
        <item m="1" x="1972"/>
        <item m="1" x="6387"/>
        <item m="1" x="1360"/>
        <item m="1" x="2016"/>
        <item m="1" x="2852"/>
        <item m="1" x="3810"/>
        <item m="1" x="7511"/>
        <item m="1" x="2946"/>
        <item m="1" x="3880"/>
        <item m="1" x="4824"/>
        <item m="1" x="244"/>
        <item m="1" x="407"/>
        <item m="1" x="702"/>
        <item m="1" x="1148"/>
        <item m="1" x="4452"/>
        <item m="1" x="5386"/>
        <item m="1" x="6209"/>
        <item m="1" x="752"/>
        <item m="1" x="1198"/>
        <item m="1" x="1825"/>
        <item m="1" x="2632"/>
        <item m="1" x="5851"/>
        <item m="1" x="1527"/>
        <item m="1" x="2073"/>
        <item m="1" x="2891"/>
        <item m="1" x="3850"/>
        <item m="1" x="7546"/>
        <item m="1" x="3915"/>
        <item m="1" x="4859"/>
        <item m="1" x="5754"/>
        <item m="1" x="5805"/>
        <item m="1" x="6544"/>
        <item m="1" x="783"/>
        <item m="1" x="1241"/>
        <item m="1" x="1872"/>
        <item m="1" x="2669"/>
        <item m="1" x="6939"/>
        <item m="1" x="7427"/>
        <item m="1" x="1946"/>
        <item m="1" x="2739"/>
        <item m="1" x="3665"/>
        <item m="1" x="4613"/>
        <item m="1" x="7823"/>
        <item m="1" x="3737"/>
        <item m="1" x="4671"/>
        <item m="1" x="5571"/>
        <item m="1" x="6349"/>
        <item m="1" x="676"/>
        <item m="1" x="1104"/>
        <item m="1" x="1655"/>
        <item m="1" x="5236"/>
        <item m="1" x="6098"/>
        <item m="1" x="6780"/>
        <item m="1" x="7300"/>
        <item m="1" x="1740"/>
        <item m="1" x="2514"/>
        <item m="1" x="3386"/>
        <item m="1" x="6835"/>
        <item m="1" x="7360"/>
        <item m="1" x="7746"/>
        <item m="1" x="7966"/>
        <item m="1" x="3468"/>
        <item m="1" x="4411"/>
        <item m="1" x="5332"/>
        <item m="1" x="583"/>
        <item m="1" x="4049"/>
        <item m="1" x="4999"/>
        <item m="1" x="5898"/>
        <item m="1" x="6609"/>
        <item m="1" x="1568"/>
        <item m="1" x="5945"/>
        <item m="1" x="6682"/>
        <item m="1" x="7232"/>
        <item m="1" x="7640"/>
        <item m="1" x="3212"/>
        <item m="1" x="2823"/>
        <item m="1" x="3783"/>
        <item m="1" x="4739"/>
        <item m="1" x="4791"/>
        <item m="1" x="5706"/>
        <item m="1" x="6485"/>
        <item m="1" x="7301"/>
        <item m="1" x="7693"/>
        <item m="1" x="3387"/>
        <item m="1" x="4352"/>
        <item m="1" x="5281"/>
        <item m="1" x="322"/>
        <item m="1" x="535"/>
        <item m="1" x="901"/>
        <item m="1" x="4935"/>
        <item m="1" x="5823"/>
        <item m="1" x="6559"/>
        <item m="1" x="951"/>
        <item m="1" x="1485"/>
        <item m="1" x="2202"/>
        <item m="1" x="6610"/>
        <item m="1" x="7168"/>
        <item m="1" x="7598"/>
        <item m="1" x="2282"/>
        <item m="1" x="3148"/>
        <item m="1" x="4109"/>
        <item m="1" x="284"/>
        <item m="1" x="448"/>
        <item m="1" x="3745"/>
        <item m="1" x="4682"/>
        <item m="1" x="5582"/>
        <item m="1" x="842"/>
        <item m="1" x="1317"/>
        <item m="1" x="5637"/>
        <item m="1" x="6424"/>
        <item m="1" x="7019"/>
        <item m="1" x="2074"/>
        <item m="1" x="2892"/>
        <item m="1" x="226"/>
        <item m="1" x="1772"/>
        <item m="1" x="2557"/>
        <item m="1" x="3491"/>
        <item m="1" x="4420"/>
        <item m="1" x="723"/>
        <item m="1" x="3535"/>
        <item m="1" x="4485"/>
        <item m="1" x="5421"/>
        <item m="1" x="6237"/>
        <item m="1" x="1873"/>
        <item m="1" x="1710"/>
        <item m="1" x="2456"/>
        <item m="1" x="3340"/>
        <item m="1" x="4314"/>
        <item m="1" x="7335"/>
        <item m="1" x="7715"/>
        <item m="1" x="3425"/>
        <item m="1" x="4382"/>
        <item m="1" x="5313"/>
        <item m="1" x="6157"/>
        <item m="1" x="7997"/>
        <item m="1" x="124"/>
        <item m="1" x="5372"/>
        <item m="1" x="6195"/>
        <item m="1" x="6850"/>
        <item m="1" x="988"/>
        <item m="1" x="1528"/>
        <item m="1" x="2240"/>
        <item m="1" x="6653"/>
        <item m="1" x="7202"/>
        <item m="1" x="7621"/>
        <item m="1" x="2321"/>
        <item m="1" x="3182"/>
        <item m="1" x="4148"/>
        <item m="1" x="7457"/>
        <item m="1" x="3689"/>
        <item m="1" x="2380"/>
        <item m="1" x="3278"/>
        <item m="1" x="4258"/>
        <item m="1" x="5198"/>
        <item m="1" x="4315"/>
        <item m="1" x="5259"/>
        <item m="1" x="6130"/>
        <item m="1" x="6808"/>
        <item m="1" x="6158"/>
        <item m="1" x="1452"/>
        <item m="1" x="2174"/>
        <item m="1" x="3054"/>
        <item m="1" x="7142"/>
        <item m="1" x="3111"/>
        <item m="1" x="4081"/>
        <item m="1" x="5029"/>
        <item m="1" x="7914"/>
        <item m="1" x="5086"/>
        <item m="1" x="5964"/>
        <item m="1" x="476"/>
        <item m="1" x="812"/>
        <item m="1" x="1297"/>
        <item m="1" x="1973"/>
        <item m="1" x="6388"/>
        <item m="1" x="6992"/>
        <item m="1" x="1361"/>
        <item m="1" x="2017"/>
        <item m="1" x="2853"/>
        <item m="1" x="3811"/>
        <item m="1" x="7512"/>
        <item m="1" x="7845"/>
        <item m="1" x="2947"/>
        <item m="1" x="3881"/>
        <item m="1" x="4825"/>
        <item m="1" x="5724"/>
        <item m="1" x="408"/>
        <item m="1" x="703"/>
        <item m="1" x="1149"/>
        <item m="1" x="4453"/>
        <item m="1" x="5387"/>
        <item m="1" x="6210"/>
        <item m="1" x="6860"/>
        <item m="1" x="1199"/>
        <item m="1" x="1826"/>
        <item m="1" x="2633"/>
        <item m="1" x="6280"/>
        <item m="1" x="6899"/>
        <item m="1" x="7395"/>
        <item m="1" x="7769"/>
        <item m="1" x="2702"/>
        <item m="1" x="3624"/>
        <item m="1" x="4576"/>
        <item m="1" x="351"/>
        <item m="1" x="3248"/>
        <item m="1" x="4221"/>
        <item m="1" x="5151"/>
        <item m="1" x="6008"/>
        <item m="1" x="1057"/>
        <item m="1" x="5199"/>
        <item m="1" x="6064"/>
        <item m="1" x="147"/>
        <item m="1" x="5806"/>
        <item m="1" x="6545"/>
        <item m="1" x="7128"/>
        <item m="1" x="1242"/>
        <item m="1" x="1874"/>
        <item m="1" x="2670"/>
        <item m="1" x="6940"/>
        <item m="1" x="7428"/>
        <item m="1" x="7788"/>
        <item m="1" x="2740"/>
        <item m="1" x="3666"/>
        <item m="1" x="4614"/>
        <item m="1" x="7824"/>
        <item m="1" x="136"/>
        <item m="1" x="4672"/>
        <item m="1" x="5572"/>
        <item m="1" x="6350"/>
        <item m="1" x="989"/>
        <item m="1" x="1529"/>
        <item m="1" x="2241"/>
        <item m="1" x="6654"/>
        <item m="1" x="7203"/>
        <item m="1" x="2322"/>
        <item m="1" x="3183"/>
        <item m="1" x="4149"/>
        <item m="1" x="7673"/>
        <item m="1" x="7943"/>
        <item m="1" x="4206"/>
        <item m="1" x="5136"/>
        <item m="1" x="5993"/>
        <item m="1" x="510"/>
        <item m="1" x="870"/>
        <item m="1" x="1362"/>
        <item m="1" x="5674"/>
        <item m="1" x="6457"/>
        <item m="1" x="7055"/>
        <item m="1" x="1412"/>
        <item m="1" x="2948"/>
        <item m="1" x="7111"/>
        <item m="1" x="7577"/>
        <item m="1" x="7881"/>
        <item m="1" x="3006"/>
        <item m="1" x="3953"/>
        <item m="1" x="4888"/>
        <item m="1" x="440"/>
        <item m="1" x="753"/>
        <item m="1" x="3567"/>
        <item m="1" x="4520"/>
        <item m="1" x="5454"/>
        <item m="1" x="6281"/>
        <item m="1" x="1270"/>
        <item m="1" x="1916"/>
        <item m="1" x="5502"/>
        <item m="1" x="6330"/>
        <item m="1" x="6972"/>
        <item m="1" x="7458"/>
        <item m="1" x="2767"/>
        <item m="1" x="3690"/>
        <item m="1" x="2381"/>
        <item m="1" x="3279"/>
        <item m="1" x="4259"/>
        <item m="1" x="5200"/>
        <item m="1" x="4316"/>
        <item m="1" x="5260"/>
        <item m="1" x="6131"/>
        <item m="1" x="7513"/>
        <item m="1" x="2949"/>
        <item m="1" x="3882"/>
        <item m="1" x="4826"/>
        <item m="1" x="245"/>
        <item m="1" x="409"/>
        <item m="1" x="704"/>
        <item m="1" x="1150"/>
        <item m="1" x="4454"/>
        <item m="1" x="5388"/>
        <item m="1" x="6211"/>
        <item m="1" x="754"/>
        <item m="1" x="1200"/>
        <item m="1" x="1827"/>
        <item m="1" x="2634"/>
        <item m="1" x="6282"/>
        <item m="1" x="6900"/>
        <item m="1" x="7396"/>
        <item m="1" x="1917"/>
        <item m="1" x="2703"/>
        <item m="1" x="3625"/>
        <item m="1" x="4577"/>
        <item m="1" x="217"/>
        <item m="1" x="352"/>
        <item m="1" x="3249"/>
        <item m="1" x="4222"/>
        <item m="1" x="5152"/>
        <item m="1" x="6009"/>
        <item m="1" x="650"/>
        <item m="1" x="1058"/>
        <item m="1" x="5201"/>
        <item m="1" x="6065"/>
        <item m="1" x="6742"/>
        <item m="1" x="7266"/>
        <item m="1" x="1711"/>
        <item m="1" x="2457"/>
        <item m="1" x="188"/>
        <item m="1" x="2137"/>
        <item m="1" x="3017"/>
        <item m="1" x="3968"/>
        <item m="1" x="557"/>
        <item m="1" x="4013"/>
        <item m="1" x="4963"/>
        <item m="1" x="5852"/>
        <item m="1" x="1530"/>
        <item m="1" x="2075"/>
        <item m="1" x="2893"/>
        <item m="1" x="3851"/>
        <item m="1" x="7547"/>
        <item m="1" x="3916"/>
        <item m="1" x="4860"/>
        <item m="1" x="5755"/>
        <item m="1" x="5807"/>
        <item m="1" x="6546"/>
        <item m="1" x="784"/>
        <item m="1" x="1243"/>
        <item m="1" x="1875"/>
        <item m="1" x="2671"/>
        <item m="1" x="6941"/>
        <item m="1" x="7429"/>
        <item m="1" x="1947"/>
        <item m="1" x="2741"/>
        <item m="1" x="3667"/>
        <item m="1" x="4615"/>
        <item m="1" x="7233"/>
        <item m="1" x="7641"/>
        <item m="1" x="3213"/>
        <item m="1" x="2824"/>
        <item m="1" x="3784"/>
        <item m="1" x="4740"/>
        <item m="1" x="4792"/>
        <item m="1" x="5707"/>
        <item m="1" x="6486"/>
        <item m="1" x="1178"/>
        <item m="1" x="1798"/>
        <item m="1" x="2610"/>
        <item m="1" x="3536"/>
        <item m="1" x="2672"/>
        <item m="1" x="3595"/>
        <item m="1" x="4554"/>
        <item m="1" x="5473"/>
        <item m="1" x="4616"/>
        <item m="1" x="5522"/>
        <item m="1" x="1032"/>
        <item m="1" x="1609"/>
        <item m="1" x="2354"/>
        <item m="1" x="6043"/>
        <item m="1" x="6714"/>
        <item m="1" x="1656"/>
        <item m="1" x="2410"/>
        <item m="1" x="3307"/>
        <item m="1" x="4282"/>
        <item m="1" x="7302"/>
        <item m="1" x="7694"/>
        <item m="1" x="3388"/>
        <item m="1" x="4353"/>
        <item m="1" x="5282"/>
        <item m="1" x="323"/>
        <item m="1" x="536"/>
        <item m="1" x="902"/>
        <item m="1" x="4936"/>
        <item m="1" x="5824"/>
        <item m="1" x="6560"/>
        <item m="1" x="952"/>
        <item m="1" x="1486"/>
        <item m="1" x="2203"/>
        <item m="1" x="6611"/>
        <item m="1" x="7169"/>
        <item m="1" x="7599"/>
        <item m="1" x="2283"/>
        <item m="1" x="3149"/>
        <item m="1" x="4110"/>
        <item m="1" x="285"/>
        <item m="1" x="449"/>
        <item m="1" x="3746"/>
        <item m="1" x="4683"/>
        <item m="1" x="5583"/>
        <item m="1" x="843"/>
        <item m="1" x="1318"/>
        <item m="1" x="5638"/>
        <item m="1" x="7998"/>
        <item m="1" x="125"/>
        <item m="1" x="5373"/>
        <item m="1" x="6196"/>
        <item m="1" x="6851"/>
        <item m="1" x="990"/>
        <item m="1" x="1531"/>
        <item m="1" x="2242"/>
        <item m="1" x="6655"/>
        <item m="1" x="7204"/>
        <item m="1" x="7622"/>
        <item m="1" x="2323"/>
        <item m="1" x="3184"/>
        <item m="1" x="4150"/>
        <item m="1" x="7674"/>
        <item m="1" x="7944"/>
        <item m="1" x="105"/>
        <item m="1" x="4207"/>
        <item m="1" x="5137"/>
        <item m="1" x="5994"/>
        <item m="1" x="871"/>
        <item m="1" x="1363"/>
        <item m="1" x="5675"/>
        <item m="1" x="6458"/>
        <item m="1" x="7056"/>
        <item m="1" x="2950"/>
        <item m="1" x="7112"/>
        <item m="1" x="7578"/>
        <item m="1" x="7882"/>
        <item m="1" x="3954"/>
        <item m="1" x="4889"/>
        <item m="1" x="755"/>
        <item m="1" x="3568"/>
        <item m="1" x="4521"/>
        <item m="1" x="5455"/>
        <item m="1" x="6283"/>
        <item m="1" x="1918"/>
        <item m="1" x="5503"/>
        <item m="1" x="6331"/>
        <item m="1" x="6973"/>
        <item m="1" x="7459"/>
        <item m="1" x="3691"/>
        <item m="1" x="2382"/>
        <item m="1" x="3280"/>
        <item m="1" x="4260"/>
        <item m="1" x="5202"/>
        <item m="1" x="4317"/>
        <item m="1" x="5261"/>
        <item m="1" x="6132"/>
        <item m="1" x="6809"/>
        <item m="1" x="6159"/>
        <item m="1" x="1453"/>
        <item m="1" x="2175"/>
        <item m="1" x="3055"/>
        <item m="1" x="7143"/>
        <item m="1" x="3112"/>
        <item m="1" x="4082"/>
        <item m="1" x="5030"/>
        <item m="1" x="6901"/>
        <item m="1" x="7397"/>
        <item m="1" x="7770"/>
        <item m="1" x="2704"/>
        <item m="1" x="3626"/>
        <item m="1" x="4578"/>
        <item m="1" x="353"/>
        <item m="1" x="3250"/>
        <item m="1" x="4223"/>
        <item m="1" x="5153"/>
        <item m="1" x="6010"/>
        <item m="1" x="1059"/>
        <item m="1" x="5203"/>
        <item m="1" x="6066"/>
        <item m="1" x="6743"/>
        <item m="1" x="7267"/>
        <item m="1" x="2458"/>
        <item m="1" x="2138"/>
        <item m="1" x="3018"/>
        <item m="1" x="3969"/>
        <item m="1" x="4014"/>
        <item m="1" x="4964"/>
        <item m="1" x="5853"/>
        <item m="1" x="2076"/>
        <item m="1" x="2894"/>
        <item m="1" x="3852"/>
        <item m="1" x="7548"/>
        <item m="1" x="7857"/>
        <item m="1" x="3917"/>
        <item m="1" x="4861"/>
        <item m="1" x="5756"/>
        <item m="1" x="148"/>
        <item m="1" x="5808"/>
        <item m="1" x="6547"/>
        <item m="1" x="7129"/>
        <item m="1" x="1244"/>
        <item m="1" x="1876"/>
        <item m="1" x="2673"/>
        <item m="1" x="6942"/>
        <item m="1" x="7430"/>
        <item m="1" x="7789"/>
        <item m="1" x="2742"/>
        <item m="1" x="3668"/>
        <item m="1" x="4617"/>
        <item m="1" x="7825"/>
        <item m="1" x="137"/>
        <item m="1" x="4673"/>
        <item m="1" x="5573"/>
        <item m="1" x="6351"/>
        <item m="1" x="991"/>
        <item m="1" x="1532"/>
        <item m="1" x="2243"/>
        <item m="1" x="6656"/>
        <item m="1" x="7205"/>
        <item m="1" x="2324"/>
        <item m="1" x="3185"/>
        <item m="1" x="4151"/>
        <item m="1" x="6974"/>
        <item m="1" x="7460"/>
        <item m="1" x="2768"/>
        <item m="1" x="3692"/>
        <item m="1" x="2383"/>
        <item m="1" x="3281"/>
        <item m="1" x="4261"/>
        <item m="1" x="5204"/>
        <item m="1" x="4318"/>
        <item m="1" x="5262"/>
        <item m="1" x="6133"/>
        <item m="1" x="6810"/>
        <item m="1" x="1454"/>
        <item m="1" x="2176"/>
        <item m="1" x="3056"/>
        <item m="1" x="3113"/>
        <item m="1" x="4083"/>
        <item m="1" x="5031"/>
        <item m="1" x="5087"/>
        <item m="1" x="477"/>
        <item m="1" x="813"/>
        <item m="1" x="1298"/>
        <item m="1" x="1974"/>
        <item m="1" x="6389"/>
        <item m="1" x="1364"/>
        <item m="1" x="2018"/>
        <item m="1" x="2854"/>
        <item m="1" x="3812"/>
        <item m="1" x="7514"/>
        <item m="1" x="2951"/>
        <item m="1" x="3883"/>
        <item m="1" x="4827"/>
        <item m="1" x="246"/>
        <item m="1" x="410"/>
        <item m="1" x="705"/>
        <item m="1" x="1151"/>
        <item m="1" x="4455"/>
        <item m="1" x="5389"/>
        <item m="1" x="6212"/>
        <item m="1" x="756"/>
        <item m="1" x="1201"/>
        <item m="1" x="1828"/>
        <item m="1" x="2635"/>
        <item m="1" x="6284"/>
        <item m="1" x="6902"/>
        <item m="1" x="7398"/>
        <item m="1" x="1919"/>
        <item m="1" x="2705"/>
        <item m="1" x="3627"/>
        <item m="1" x="4579"/>
        <item m="1" x="218"/>
        <item m="1" x="354"/>
        <item m="1" x="3251"/>
        <item m="1" x="4224"/>
        <item m="1" x="5154"/>
        <item m="1" x="6011"/>
        <item m="1" x="651"/>
        <item m="1" x="1060"/>
        <item m="1" x="5205"/>
        <item m="1" x="5809"/>
        <item m="1" x="6548"/>
        <item m="1" x="785"/>
        <item m="1" x="1245"/>
        <item m="1" x="1877"/>
        <item m="1" x="2674"/>
        <item m="1" x="6943"/>
        <item m="1" x="7431"/>
        <item m="1" x="1948"/>
        <item m="1" x="2743"/>
        <item m="1" x="3669"/>
        <item m="1" x="4618"/>
        <item m="1" x="7826"/>
        <item m="1" x="3738"/>
        <item m="1" x="4674"/>
        <item m="1" x="5574"/>
        <item m="1" x="6352"/>
        <item m="1" x="677"/>
        <item m="1" x="1105"/>
        <item m="1" x="1657"/>
        <item m="1" x="5237"/>
        <item m="1" x="6099"/>
        <item m="1" x="6781"/>
        <item m="1" x="7303"/>
        <item m="1" x="1741"/>
        <item m="1" x="2515"/>
        <item m="1" x="3389"/>
        <item m="1" x="6836"/>
        <item m="1" x="7361"/>
        <item m="1" x="7747"/>
        <item m="1" x="7967"/>
        <item m="1" x="3469"/>
        <item m="1" x="4412"/>
        <item m="1" x="5333"/>
        <item m="1" x="584"/>
        <item m="1" x="4050"/>
        <item m="1" x="5000"/>
        <item m="1" x="5899"/>
        <item m="1" x="6612"/>
        <item m="1" x="1569"/>
        <item m="1" x="5946"/>
        <item m="1" x="6683"/>
        <item m="1" x="7234"/>
        <item m="1" x="7642"/>
        <item m="1" x="3214"/>
        <item m="1" x="2825"/>
        <item m="1" x="3785"/>
        <item m="1" x="4741"/>
        <item m="1" x="4793"/>
        <item m="1" x="5708"/>
        <item m="1" x="6487"/>
        <item m="1" x="1179"/>
        <item m="1" x="1799"/>
        <item m="1" x="2611"/>
        <item m="1" x="3537"/>
        <item m="1" x="2675"/>
        <item m="1" x="3596"/>
        <item m="1" x="4555"/>
        <item m="1" x="5474"/>
        <item m="1" x="6613"/>
        <item m="1" x="7170"/>
        <item m="1" x="7600"/>
        <item m="1" x="2284"/>
        <item m="1" x="3150"/>
        <item m="1" x="4111"/>
        <item m="1" x="286"/>
        <item m="1" x="450"/>
        <item m="1" x="3747"/>
        <item m="1" x="4684"/>
        <item m="1" x="5584"/>
        <item m="1" x="844"/>
        <item m="1" x="1319"/>
        <item m="1" x="5639"/>
        <item m="1" x="6425"/>
        <item m="1" x="7020"/>
        <item m="1" x="2077"/>
        <item m="1" x="2895"/>
        <item m="1" x="227"/>
        <item m="1" x="1773"/>
        <item m="1" x="2558"/>
        <item m="1" x="3492"/>
        <item m="1" x="4421"/>
        <item m="1" x="724"/>
        <item m="1" x="3538"/>
        <item m="1" x="4486"/>
        <item m="1" x="5422"/>
        <item m="1" x="6238"/>
        <item m="1" x="1878"/>
        <item m="1" x="1712"/>
        <item m="1" x="2459"/>
        <item m="1" x="3341"/>
        <item m="1" x="4319"/>
        <item m="1" x="7336"/>
        <item m="1" x="7716"/>
        <item m="1" x="3426"/>
        <item m="1" x="4383"/>
        <item m="1" x="5314"/>
        <item m="1" x="6160"/>
        <item m="1" x="7999"/>
        <item m="1" x="126"/>
        <item m="1" x="5374"/>
        <item m="1" x="6197"/>
        <item m="1" x="6852"/>
        <item m="1" x="992"/>
        <item m="1" x="1533"/>
        <item m="1" x="2244"/>
        <item m="1" x="6657"/>
        <item m="1" x="7206"/>
        <item m="1" x="7623"/>
        <item m="1" x="2325"/>
        <item m="1" x="3186"/>
        <item m="1" x="4152"/>
        <item m="1" x="7675"/>
        <item m="1" x="7945"/>
        <item m="1" x="106"/>
        <item m="1" x="4208"/>
        <item m="1" x="5138"/>
        <item m="1" x="5995"/>
        <item m="1" x="872"/>
        <item m="1" x="1365"/>
        <item m="1" x="5676"/>
        <item m="1" x="6459"/>
        <item m="1" x="7057"/>
        <item m="1" x="2952"/>
        <item m="1" x="7113"/>
        <item m="1" x="6161"/>
        <item m="1" x="1455"/>
        <item m="1" x="2177"/>
        <item m="1" x="3057"/>
        <item m="1" x="7144"/>
        <item m="1" x="3114"/>
        <item m="1" x="4084"/>
        <item m="1" x="5032"/>
        <item m="1" x="7915"/>
        <item m="1" x="5088"/>
        <item m="1" x="5965"/>
        <item m="1" x="478"/>
        <item m="1" x="814"/>
        <item m="1" x="1299"/>
        <item m="1" x="1975"/>
        <item m="1" x="6390"/>
        <item m="1" x="6993"/>
        <item m="1" x="1366"/>
        <item m="1" x="2019"/>
        <item m="1" x="2855"/>
        <item m="1" x="3813"/>
        <item m="1" x="7515"/>
        <item m="1" x="7846"/>
        <item m="1" x="2953"/>
        <item m="1" x="3884"/>
        <item m="1" x="4828"/>
        <item m="1" x="5725"/>
        <item m="1" x="411"/>
        <item m="1" x="706"/>
        <item m="1" x="1152"/>
        <item m="1" x="4456"/>
        <item m="1" x="5390"/>
        <item m="1" x="6213"/>
        <item m="1" x="6861"/>
        <item m="1" x="1202"/>
        <item m="1" x="1829"/>
        <item m="1" x="2636"/>
        <item m="1" x="6285"/>
        <item m="1" x="6903"/>
        <item m="1" x="7399"/>
        <item m="1" x="7771"/>
        <item m="1" x="2706"/>
        <item m="1" x="3628"/>
        <item m="1" x="4580"/>
        <item m="1" x="355"/>
        <item m="1" x="3252"/>
        <item m="1" x="4225"/>
        <item m="1" x="5155"/>
        <item m="1" x="6012"/>
        <item m="1" x="1061"/>
        <item m="1" x="5206"/>
        <item m="1" x="6067"/>
        <item m="1" x="6744"/>
        <item m="1" x="7268"/>
        <item m="1" x="2460"/>
        <item m="1" x="2139"/>
        <item m="1" x="3019"/>
        <item m="1" x="3970"/>
        <item m="1" x="4015"/>
        <item m="1" x="4965"/>
        <item m="1" x="5854"/>
        <item m="1" x="7249"/>
        <item m="1" x="7676"/>
        <item m="1" x="7946"/>
        <item m="1" x="3238"/>
        <item m="1" x="4209"/>
        <item m="1" x="5139"/>
        <item m="1" x="5996"/>
        <item m="1" x="511"/>
        <item m="1" x="873"/>
        <item m="1" x="4762"/>
        <item m="1" x="5677"/>
        <item m="1" x="6460"/>
        <item m="1" x="7058"/>
        <item m="1" x="1413"/>
        <item m="1" x="2108"/>
        <item m="1" x="6507"/>
        <item m="1" x="7114"/>
        <item m="1" x="7579"/>
        <item m="1" x="7883"/>
        <item m="1" x="3007"/>
        <item m="1" x="3955"/>
        <item m="1" x="441"/>
        <item m="1" x="3569"/>
        <item m="1" x="4522"/>
        <item m="1" x="5456"/>
        <item m="1" x="1271"/>
        <item m="1" x="5504"/>
        <item m="1" x="6332"/>
        <item m="1" x="6975"/>
        <item m="1" x="2769"/>
        <item m="1" x="1622"/>
        <item m="1" x="2384"/>
        <item m="1" x="3282"/>
        <item m="1" x="4262"/>
        <item m="1" x="3342"/>
        <item m="1" x="4320"/>
        <item m="1" x="5263"/>
        <item m="1" x="6134"/>
        <item m="1" x="5315"/>
        <item m="1" x="921"/>
        <item m="1" x="1456"/>
        <item m="1" x="2178"/>
        <item m="1" x="3058"/>
        <item m="1" x="6575"/>
        <item m="1" x="2245"/>
        <item m="1" x="3115"/>
        <item m="1" x="4085"/>
        <item m="1" x="5033"/>
        <item m="1" x="7624"/>
        <item m="1" x="4153"/>
        <item m="1" x="5089"/>
        <item m="1" x="479"/>
        <item m="1" x="815"/>
        <item m="1" x="1300"/>
        <item m="1" x="5611"/>
        <item m="1" x="6391"/>
        <item m="1" x="1367"/>
        <item m="1" x="2020"/>
        <item m="1" x="2856"/>
        <item m="1" x="6068"/>
        <item m="1" x="6745"/>
        <item m="1" x="1713"/>
        <item m="1" x="2461"/>
        <item m="1" x="1424"/>
        <item m="1" x="2140"/>
        <item m="1" x="3020"/>
        <item m="1" x="3971"/>
        <item m="1" x="3059"/>
        <item m="1" x="4016"/>
        <item m="1" x="4966"/>
        <item m="1" x="5855"/>
        <item m="1" x="1393"/>
        <item m="1" x="2078"/>
        <item m="1" x="2896"/>
        <item m="1" x="3853"/>
        <item m="1" x="7080"/>
        <item m="1" x="7549"/>
        <item m="1" x="2973"/>
        <item m="1" x="3918"/>
        <item m="1" x="4862"/>
        <item m="1" x="5757"/>
        <item m="1" x="7900"/>
        <item m="1" x="4925"/>
        <item m="1" x="5810"/>
        <item m="1" x="6549"/>
        <item m="1" x="786"/>
        <item m="1" x="1246"/>
        <item m="1" x="1879"/>
        <item m="1" x="6313"/>
        <item m="1" x="6944"/>
        <item m="1" x="7432"/>
        <item m="1" x="1949"/>
        <item m="1" x="2744"/>
        <item m="1" x="3670"/>
        <item m="1" x="7482"/>
        <item m="1" x="7827"/>
        <item m="1" x="3739"/>
        <item m="1" x="4675"/>
        <item m="1" x="5575"/>
        <item m="1" x="678"/>
        <item m="1" x="1106"/>
        <item m="1" x="5238"/>
        <item m="1" x="6100"/>
        <item m="1" x="6782"/>
        <item m="1" x="1742"/>
        <item m="1" x="2516"/>
        <item m="1" x="6837"/>
        <item m="1" x="7362"/>
        <item m="1" x="7748"/>
        <item m="1" x="3470"/>
        <item m="1" x="4413"/>
        <item m="1" x="585"/>
        <item m="1" x="3084"/>
        <item m="1" x="4051"/>
        <item m="1" x="5001"/>
        <item m="1" x="5900"/>
        <item m="1" x="1570"/>
        <item m="1" x="5057"/>
        <item m="1" x="5947"/>
        <item m="1" x="6684"/>
        <item m="1" x="7790"/>
        <item m="1" x="4619"/>
        <item m="1" x="5523"/>
        <item m="1" x="381"/>
        <item m="1" x="628"/>
        <item m="1" x="1033"/>
        <item m="1" x="1610"/>
        <item m="1" x="6044"/>
        <item m="1" x="6715"/>
        <item m="1" x="1107"/>
        <item m="1" x="1658"/>
        <item m="1" x="2411"/>
        <item m="1" x="3308"/>
        <item m="1" x="7304"/>
        <item m="1" x="7695"/>
        <item m="1" x="2517"/>
        <item m="1" x="4354"/>
        <item m="1" x="5283"/>
        <item m="1" x="324"/>
        <item m="1" x="537"/>
        <item m="1" x="903"/>
        <item m="1" x="3994"/>
        <item m="1" x="4937"/>
        <item m="1" x="5825"/>
        <item m="1" x="6561"/>
        <item m="1" x="953"/>
        <item m="1" x="1487"/>
        <item m="1" x="2204"/>
        <item m="1" x="5901"/>
        <item m="1" x="6614"/>
        <item m="1" x="7171"/>
        <item m="1" x="7601"/>
        <item m="1" x="2285"/>
        <item m="1" x="3151"/>
        <item m="1" x="4112"/>
        <item m="1" x="287"/>
        <item m="1" x="2792"/>
        <item m="1" x="3748"/>
        <item m="1" x="4685"/>
        <item m="1" x="5585"/>
        <item m="1" x="845"/>
        <item m="1" x="4742"/>
        <item m="1" x="5640"/>
        <item m="1" x="6426"/>
        <item m="1" x="7021"/>
        <item m="1" x="2079"/>
        <item m="1" x="1774"/>
        <item m="1" x="2559"/>
        <item m="1" x="3493"/>
        <item m="1" x="3539"/>
        <item m="1" x="4487"/>
        <item m="1" x="5423"/>
        <item m="1" x="1124"/>
        <item m="1" x="1714"/>
        <item m="1" x="2462"/>
        <item m="1" x="3343"/>
        <item m="1" x="7337"/>
        <item m="1" x="7717"/>
        <item m="1" x="2525"/>
        <item m="1" x="3427"/>
        <item m="1" x="4384"/>
        <item m="1" x="5316"/>
        <item m="1" x="7580"/>
        <item m="1" x="7884"/>
        <item m="1" x="3956"/>
        <item m="1" x="3570"/>
        <item m="1" x="4523"/>
        <item m="1" x="5457"/>
        <item m="1" x="5505"/>
        <item m="1" x="6333"/>
        <item m="1" x="6976"/>
        <item m="1" x="1623"/>
        <item m="1" x="2385"/>
        <item m="1" x="3283"/>
        <item m="1" x="4263"/>
        <item m="1" x="3344"/>
        <item m="1" x="4321"/>
        <item m="1" x="5264"/>
        <item m="1" x="6135"/>
        <item m="1" x="5317"/>
        <item m="1" x="6162"/>
        <item m="1" x="922"/>
        <item m="1" x="1457"/>
        <item m="1" x="2179"/>
        <item m="1" x="3060"/>
        <item m="1" x="6576"/>
        <item m="1" x="7145"/>
        <item m="1" x="2246"/>
        <item m="1" x="3116"/>
        <item m="1" x="4086"/>
        <item m="1" x="5034"/>
        <item m="1" x="7625"/>
        <item m="1" x="7916"/>
        <item m="1" x="4154"/>
        <item m="1" x="5090"/>
        <item m="1" x="5966"/>
        <item m="1" x="480"/>
        <item m="1" x="816"/>
        <item m="1" x="1301"/>
        <item m="1" x="5612"/>
        <item m="1" x="6392"/>
        <item m="1" x="6994"/>
        <item m="1" x="1368"/>
        <item m="1" x="2021"/>
        <item m="1" x="2857"/>
        <item m="1" x="7059"/>
        <item m="1" x="7516"/>
        <item m="1" x="7847"/>
        <item m="1" x="2954"/>
        <item m="1" x="3885"/>
        <item m="1" x="4829"/>
        <item m="1" x="412"/>
        <item m="1" x="707"/>
        <item m="1" x="4457"/>
        <item m="1" x="5391"/>
        <item m="1" x="6214"/>
        <item m="1" x="1203"/>
        <item m="1" x="1830"/>
        <item m="1" x="6286"/>
        <item m="1" x="5035"/>
        <item m="1" x="1394"/>
        <item m="1" x="2080"/>
        <item m="1" x="2897"/>
        <item m="1" x="3854"/>
        <item m="1" x="7081"/>
        <item m="1" x="7550"/>
        <item m="1" x="7858"/>
        <item m="1" x="2974"/>
        <item m="1" x="3919"/>
        <item m="1" x="4863"/>
        <item m="1" x="5758"/>
        <item m="1" x="7901"/>
        <item m="1" x="149"/>
        <item m="1" x="4926"/>
        <item m="1" x="5811"/>
        <item m="1" x="6550"/>
        <item m="1" x="7130"/>
        <item m="1" x="1247"/>
        <item m="1" x="1880"/>
        <item m="1" x="6314"/>
        <item m="1" x="6945"/>
        <item m="1" x="7433"/>
        <item m="1" x="7791"/>
        <item m="1" x="2745"/>
        <item m="1" x="3671"/>
        <item m="1" x="7483"/>
        <item m="1" x="7828"/>
        <item m="1" x="138"/>
        <item m="1" x="4676"/>
        <item m="1" x="5576"/>
        <item m="1" x="600"/>
        <item m="1" x="993"/>
        <item m="1" x="1534"/>
        <item m="1" x="2247"/>
        <item m="1" x="5917"/>
        <item m="1" x="6658"/>
        <item m="1" x="7207"/>
        <item m="1" x="1585"/>
        <item m="1" x="2326"/>
        <item m="1" x="3187"/>
        <item m="1" x="4155"/>
        <item m="1" x="7250"/>
        <item m="1" x="7677"/>
        <item m="1" x="7947"/>
        <item m="1" x="3239"/>
        <item m="1" x="4210"/>
        <item m="1" x="5140"/>
        <item m="1" x="5997"/>
        <item m="1" x="512"/>
        <item m="1" x="874"/>
        <item m="1" x="4763"/>
        <item m="1" x="5678"/>
        <item m="1" x="6461"/>
        <item m="1" x="7060"/>
        <item m="1" x="1414"/>
        <item m="1" x="2109"/>
        <item m="1" x="6508"/>
        <item m="1" x="7115"/>
        <item m="1" x="7581"/>
        <item m="1" x="7885"/>
        <item m="1" x="3008"/>
        <item m="1" x="3957"/>
        <item m="1" x="442"/>
        <item m="1" x="3571"/>
        <item m="1" x="4524"/>
        <item m="1" x="5458"/>
        <item m="1" x="1272"/>
        <item m="1" x="5506"/>
        <item m="1" x="6334"/>
        <item m="1" x="7626"/>
        <item m="1" x="4156"/>
        <item m="1" x="5091"/>
        <item m="1" x="481"/>
        <item m="1" x="817"/>
        <item m="1" x="1302"/>
        <item m="1" x="5613"/>
        <item m="1" x="6393"/>
        <item m="1" x="1369"/>
        <item m="1" x="2022"/>
        <item m="1" x="2858"/>
        <item m="1" x="7061"/>
        <item m="1" x="7517"/>
        <item m="1" x="2955"/>
        <item m="1" x="3886"/>
        <item m="1" x="4830"/>
        <item m="1" x="247"/>
        <item m="1" x="413"/>
        <item m="1" x="708"/>
        <item m="1" x="4458"/>
        <item m="1" x="5392"/>
        <item m="1" x="6215"/>
        <item m="1" x="757"/>
        <item m="1" x="1204"/>
        <item m="1" x="1831"/>
        <item m="1" x="6287"/>
        <item m="1" x="6904"/>
        <item m="1" x="7400"/>
        <item m="1" x="1920"/>
        <item m="1" x="2707"/>
        <item m="1" x="3629"/>
        <item m="1" x="219"/>
        <item m="1" x="356"/>
        <item m="1" x="2344"/>
        <item m="1" x="3253"/>
        <item m="1" x="4226"/>
        <item m="1" x="5156"/>
        <item m="1" x="652"/>
        <item m="1" x="1062"/>
        <item m="1" x="4264"/>
        <item m="1" x="5207"/>
        <item m="1" x="6069"/>
        <item m="1" x="6746"/>
        <item m="1" x="1715"/>
        <item m="1" x="2463"/>
        <item m="1" x="1425"/>
        <item m="1" x="2141"/>
        <item m="1" x="3021"/>
        <item m="1" x="3972"/>
        <item m="1" x="3061"/>
        <item m="1" x="4017"/>
        <item m="1" x="4967"/>
        <item m="1" x="5856"/>
        <item m="1" x="1395"/>
        <item m="1" x="2081"/>
        <item m="1" x="2898"/>
        <item m="1" x="3855"/>
        <item m="1" x="7082"/>
        <item m="1" x="7551"/>
        <item m="1" x="2975"/>
        <item m="1" x="3920"/>
        <item m="1" x="4864"/>
        <item m="1" x="5759"/>
        <item m="1" x="7363"/>
        <item m="1" x="7749"/>
        <item m="1" x="3471"/>
        <item m="1" x="4414"/>
        <item m="1" x="586"/>
        <item m="1" x="3085"/>
        <item m="1" x="4052"/>
        <item m="1" x="5002"/>
        <item m="1" x="5902"/>
        <item m="1" x="1571"/>
        <item m="1" x="5058"/>
        <item m="1" x="5948"/>
        <item m="1" x="6685"/>
        <item m="1" x="7235"/>
        <item m="1" x="3215"/>
        <item m="1" x="1997"/>
        <item m="1" x="2826"/>
        <item m="1" x="3786"/>
        <item m="1" x="4743"/>
        <item m="1" x="3856"/>
        <item m="1" x="4794"/>
        <item m="1" x="5709"/>
        <item m="1" x="6488"/>
        <item m="1" x="5760"/>
        <item m="1" x="1180"/>
        <item m="1" x="1800"/>
        <item m="1" x="2612"/>
        <item m="1" x="6880"/>
        <item m="1" x="2676"/>
        <item m="1" x="3597"/>
        <item m="1" x="4556"/>
        <item m="1" x="7792"/>
        <item m="1" x="4620"/>
        <item m="1" x="5524"/>
        <item m="1" x="382"/>
        <item m="1" x="629"/>
        <item m="1" x="1034"/>
        <item m="1" x="1611"/>
        <item m="1" x="6045"/>
        <item m="1" x="6716"/>
        <item m="1" x="1108"/>
        <item m="1" x="1659"/>
        <item m="1" x="2412"/>
        <item m="1" x="3309"/>
        <item m="1" x="7305"/>
        <item m="1" x="7696"/>
        <item m="1" x="2518"/>
        <item m="1" x="4355"/>
        <item m="1" x="5284"/>
        <item m="1" x="325"/>
        <item m="1" x="538"/>
        <item m="1" x="904"/>
        <item m="1" x="3995"/>
        <item m="1" x="4938"/>
        <item m="1" x="5826"/>
        <item m="1" x="6562"/>
        <item m="1" x="954"/>
        <item m="1" x="1488"/>
        <item m="1" x="2205"/>
        <item m="1" x="5903"/>
        <item m="1" x="1125"/>
        <item m="1" x="1716"/>
        <item m="1" x="2464"/>
        <item m="1" x="3345"/>
        <item m="1" x="7338"/>
        <item m="1" x="7718"/>
        <item m="1" x="2526"/>
        <item m="1" x="3428"/>
        <item m="1" x="4385"/>
        <item m="1" x="5318"/>
        <item m="1" x="127"/>
        <item m="1" x="4450"/>
        <item m="1" x="5375"/>
        <item m="1" x="6198"/>
        <item m="1" x="6853"/>
        <item m="1" x="994"/>
        <item m="1" x="1535"/>
        <item m="1" x="2248"/>
        <item m="1" x="5918"/>
        <item m="1" x="6659"/>
        <item m="1" x="7208"/>
        <item m="1" x="7627"/>
        <item m="1" x="2327"/>
        <item m="1" x="3188"/>
        <item m="1" x="4157"/>
        <item m="1" x="7251"/>
        <item m="1" x="7678"/>
        <item m="1" x="7948"/>
        <item m="1" x="107"/>
        <item m="1" x="4211"/>
        <item m="1" x="5141"/>
        <item m="1" x="5998"/>
        <item m="1" x="875"/>
        <item m="1" x="4764"/>
        <item m="1" x="5679"/>
        <item m="1" x="6462"/>
        <item m="1" x="7062"/>
        <item m="1" x="2110"/>
        <item m="1" x="6509"/>
        <item m="1" x="7116"/>
        <item m="1" x="7582"/>
        <item m="1" x="7886"/>
        <item m="1" x="3958"/>
        <item m="1" x="3572"/>
        <item m="1" x="4525"/>
        <item m="1" x="5459"/>
        <item m="1" x="5507"/>
        <item m="1" x="6335"/>
        <item m="1" x="6977"/>
        <item m="1" x="1624"/>
        <item m="1" x="2386"/>
        <item m="1" x="3284"/>
        <item m="1" x="4265"/>
        <item m="1" x="3346"/>
        <item m="1" x="4322"/>
        <item m="1" x="5265"/>
        <item m="1" x="6136"/>
        <item m="1" x="7063"/>
        <item m="1" x="7518"/>
        <item m="1" x="7848"/>
        <item m="1" x="2956"/>
        <item m="1" x="3887"/>
        <item m="1" x="4831"/>
        <item m="1" x="414"/>
        <item m="1" x="709"/>
        <item m="1" x="4459"/>
        <item m="1" x="5393"/>
        <item m="1" x="6216"/>
        <item m="1" x="1205"/>
        <item m="1" x="1832"/>
        <item m="1" x="6288"/>
        <item m="1" x="6905"/>
        <item m="1" x="7401"/>
        <item m="1" x="2708"/>
        <item m="1" x="3630"/>
        <item m="1" x="357"/>
        <item m="1" x="2345"/>
        <item m="1" x="3254"/>
        <item m="1" x="4227"/>
        <item m="1" x="5157"/>
        <item m="1" x="1063"/>
        <item m="1" x="4266"/>
        <item m="1" x="5208"/>
        <item m="1" x="6070"/>
        <item m="1" x="6747"/>
        <item m="1" x="2465"/>
        <item m="1" x="1426"/>
        <item m="1" x="2142"/>
        <item m="1" x="3022"/>
        <item m="1" x="3973"/>
        <item m="1" x="3062"/>
        <item m="1" x="4018"/>
        <item m="1" x="4968"/>
        <item m="1" x="5857"/>
        <item m="1" x="5036"/>
        <item m="1" x="1396"/>
        <item m="1" x="2082"/>
        <item m="1" x="2899"/>
        <item m="1" x="3857"/>
        <item m="1" x="7083"/>
        <item m="1" x="7552"/>
        <item m="1" x="7859"/>
        <item m="1" x="2976"/>
        <item m="1" x="3921"/>
        <item m="1" x="4865"/>
        <item m="1" x="5761"/>
        <item m="1" x="7902"/>
        <item m="1" x="150"/>
        <item m="1" x="4927"/>
        <item m="1" x="5812"/>
        <item m="1" x="6551"/>
        <item m="1" x="7131"/>
        <item m="1" x="601"/>
        <item m="1" x="995"/>
        <item m="1" x="1536"/>
        <item m="1" x="2249"/>
        <item m="1" x="5919"/>
        <item m="1" x="6660"/>
        <item m="1" x="7209"/>
        <item m="1" x="1586"/>
        <item m="1" x="2328"/>
        <item m="1" x="3189"/>
        <item m="1" x="4158"/>
        <item m="1" x="6978"/>
        <item m="1" x="2770"/>
        <item m="1" x="1625"/>
        <item m="1" x="2387"/>
        <item m="1" x="3285"/>
        <item m="1" x="4267"/>
        <item m="1" x="3347"/>
        <item m="1" x="4323"/>
        <item m="1" x="5266"/>
        <item m="1" x="6137"/>
        <item m="1" x="5319"/>
        <item m="1" x="923"/>
        <item m="1" x="1458"/>
        <item m="1" x="2180"/>
        <item m="1" x="3063"/>
        <item m="1" x="6577"/>
        <item m="1" x="2250"/>
        <item m="1" x="3117"/>
        <item m="1" x="4087"/>
        <item m="1" x="5037"/>
        <item m="1" x="7628"/>
        <item m="1" x="4159"/>
        <item m="1" x="5092"/>
        <item m="1" x="482"/>
        <item m="1" x="818"/>
        <item m="1" x="1303"/>
        <item m="1" x="5614"/>
        <item m="1" x="6394"/>
        <item m="1" x="1370"/>
        <item m="1" x="2023"/>
        <item m="1" x="2859"/>
        <item m="1" x="7064"/>
        <item m="1" x="7519"/>
        <item m="1" x="2957"/>
        <item m="1" x="3888"/>
        <item m="1" x="4832"/>
        <item m="1" x="248"/>
        <item m="1" x="415"/>
        <item m="1" x="710"/>
        <item m="1" x="4460"/>
        <item m="1" x="5394"/>
        <item m="1" x="6217"/>
        <item m="1" x="758"/>
        <item m="1" x="1206"/>
        <item m="1" x="1833"/>
        <item m="1" x="6289"/>
        <item m="1" x="6906"/>
        <item m="1" x="7402"/>
        <item m="1" x="1921"/>
        <item m="1" x="2709"/>
        <item m="1" x="3631"/>
        <item m="1" x="220"/>
        <item m="1" x="358"/>
        <item m="1" x="2346"/>
        <item m="1" x="3255"/>
        <item m="1" x="4228"/>
        <item m="1" x="5158"/>
        <item m="1" x="653"/>
        <item m="1" x="1064"/>
        <item m="1" x="4268"/>
        <item m="1" x="5209"/>
        <item m="1" x="7903"/>
        <item m="1" x="4928"/>
        <item m="1" x="5813"/>
        <item m="1" x="6552"/>
        <item m="1" x="787"/>
        <item m="1" x="1248"/>
        <item m="1" x="1881"/>
        <item m="1" x="6315"/>
        <item m="1" x="6946"/>
        <item m="1" x="7434"/>
        <item m="1" x="1950"/>
        <item m="1" x="2746"/>
        <item m="1" x="3672"/>
        <item m="1" x="7484"/>
        <item m="1" x="7829"/>
        <item m="1" x="3740"/>
        <item m="1" x="4677"/>
        <item m="1" x="5577"/>
        <item m="1" x="679"/>
        <item m="1" x="1109"/>
        <item m="1" x="5239"/>
        <item m="1" x="6101"/>
        <item m="1" x="6783"/>
        <item m="1" x="1743"/>
        <item m="1" x="2519"/>
        <item m="1" x="6838"/>
        <item m="1" x="7364"/>
        <item m="1" x="7750"/>
        <item m="1" x="3472"/>
        <item m="1" x="4415"/>
        <item m="1" x="587"/>
        <item m="1" x="3086"/>
        <item m="1" x="4053"/>
        <item m="1" x="5003"/>
        <item m="1" x="5904"/>
        <item m="1" x="1572"/>
        <item m="1" x="5059"/>
        <item m="1" x="5949"/>
        <item m="1" x="6686"/>
        <item m="1" x="7236"/>
        <item m="1" x="3216"/>
        <item m="1" x="1998"/>
        <item m="1" x="2827"/>
        <item m="1" x="3787"/>
        <item m="1" x="4744"/>
        <item m="1" x="3858"/>
        <item m="1" x="4795"/>
        <item m="1" x="5710"/>
        <item m="1" x="6489"/>
        <item m="1" x="5762"/>
        <item m="1" x="1181"/>
        <item m="1" x="1801"/>
        <item m="1" x="2613"/>
        <item m="1" x="6881"/>
        <item m="1" x="2677"/>
        <item m="1" x="3598"/>
        <item m="1" x="4557"/>
        <item m="1" x="6615"/>
        <item m="1" x="7172"/>
        <item m="1" x="7602"/>
        <item m="1" x="2286"/>
        <item m="1" x="3152"/>
        <item m="1" x="4113"/>
        <item m="1" x="288"/>
        <item m="1" x="2793"/>
        <item m="1" x="3749"/>
        <item m="1" x="4686"/>
        <item m="1" x="5586"/>
        <item m="1" x="846"/>
        <item m="1" x="4745"/>
        <item m="1" x="5641"/>
        <item m="1" x="6427"/>
        <item m="1" x="7022"/>
        <item m="1" x="2083"/>
        <item m="1" x="1775"/>
        <item m="1" x="2560"/>
        <item m="1" x="3494"/>
        <item m="1" x="3540"/>
        <item m="1" x="4488"/>
        <item m="1" x="5424"/>
        <item m="1" x="1126"/>
        <item m="1" x="1717"/>
        <item m="1" x="2466"/>
        <item m="1" x="3348"/>
        <item m="1" x="7339"/>
        <item m="1" x="7719"/>
        <item m="1" x="2527"/>
        <item m="1" x="3429"/>
        <item m="1" x="4386"/>
        <item m="1" x="5320"/>
        <item m="1" x="128"/>
        <item m="1" x="4451"/>
        <item m="1" x="5376"/>
        <item m="1" x="6199"/>
        <item m="1" x="6854"/>
        <item m="1" x="996"/>
        <item m="1" x="1537"/>
        <item m="1" x="2251"/>
        <item m="1" x="5920"/>
        <item m="1" x="6661"/>
        <item m="1" x="7210"/>
        <item m="1" x="7629"/>
        <item m="1" x="2329"/>
        <item m="1" x="3190"/>
        <item m="1" x="4160"/>
        <item m="1" x="7252"/>
        <item m="1" x="7679"/>
        <item m="1" x="7949"/>
        <item m="1" x="108"/>
        <item m="1" x="4212"/>
        <item m="1" x="5142"/>
        <item m="1" x="5999"/>
        <item m="1" x="876"/>
        <item m="1" x="4765"/>
        <item m="1" x="5680"/>
        <item m="1" x="6463"/>
        <item m="1" x="7065"/>
        <item m="1" x="2111"/>
        <item m="1" x="6510"/>
        <item m="1" x="7117"/>
        <item m="1" x="7630"/>
        <item m="1" x="7917"/>
        <item m="1" x="4161"/>
        <item m="1" x="5093"/>
        <item m="1" x="5967"/>
        <item m="1" x="483"/>
        <item m="1" x="819"/>
        <item m="1" x="1304"/>
        <item m="1" x="5615"/>
        <item m="1" x="6395"/>
        <item m="1" x="6995"/>
        <item m="1" x="1371"/>
        <item m="1" x="2024"/>
        <item m="1" x="2860"/>
        <item m="1" x="7066"/>
        <item m="1" x="7520"/>
        <item m="1" x="7849"/>
        <item m="1" x="2958"/>
        <item m="1" x="3889"/>
        <item m="1" x="4833"/>
        <item m="1" x="416"/>
        <item m="1" x="711"/>
        <item m="1" x="4461"/>
        <item m="1" x="5395"/>
        <item m="1" x="6218"/>
        <item m="1" x="1207"/>
        <item m="1" x="1834"/>
        <item m="1" x="6290"/>
        <item m="1" x="6907"/>
        <item m="1" x="7403"/>
        <item m="1" x="2710"/>
        <item m="1" x="3632"/>
        <item m="1" x="359"/>
        <item m="1" x="2347"/>
        <item m="1" x="3256"/>
        <item m="1" x="4229"/>
        <item m="1" x="5159"/>
        <item m="1" x="1065"/>
        <item m="1" x="4269"/>
        <item m="1" x="5210"/>
        <item m="1" x="6071"/>
        <item m="1" x="6748"/>
        <item m="1" x="2467"/>
        <item m="1" x="1427"/>
        <item m="1" x="2143"/>
        <item m="1" x="3023"/>
        <item m="1" x="3974"/>
        <item m="1" x="3064"/>
        <item m="1" x="4019"/>
        <item m="1" x="4969"/>
        <item m="1" x="5858"/>
        <item m="1" x="7831"/>
        <item m="1" x="4687"/>
        <item m="1" x="5587"/>
        <item m="1" x="6354"/>
        <item m="1" x="681"/>
        <item m="1" x="1115"/>
        <item m="1" x="1684"/>
        <item m="1" x="6112"/>
        <item m="1" x="6789"/>
        <item m="1" x="7321"/>
        <item m="1" x="1745"/>
        <item m="1" x="3405"/>
        <item m="1" x="7366"/>
        <item m="1" x="7756"/>
        <item m="1" x="7984"/>
        <item m="1" x="3495"/>
        <item m="1" x="4426"/>
        <item m="1" x="5349"/>
        <item m="1" x="597"/>
        <item m="1" x="968"/>
        <item m="1" x="4064"/>
        <item m="1" x="5012"/>
        <item m="1" x="5908"/>
        <item m="1" x="6629"/>
        <item m="1" x="1582"/>
        <item m="1" x="2300"/>
        <item m="1" x="5951"/>
        <item m="1" x="6687"/>
        <item m="1" x="7240"/>
        <item m="1" x="7658"/>
        <item m="1" x="3226"/>
        <item m="1" x="4182"/>
        <item m="1" x="2836"/>
        <item m="1" x="3794"/>
        <item m="1" x="4755"/>
        <item m="1" x="5651"/>
        <item m="1" x="4804"/>
        <item m="1" x="5712"/>
        <item m="1" x="6500"/>
        <item m="1" x="7093"/>
        <item m="1" x="1809"/>
        <item m="1" x="2616"/>
        <item m="1" x="3549"/>
        <item m="1" x="3609"/>
        <item m="1" x="4561"/>
        <item m="1" x="5484"/>
        <item m="1" x="6630"/>
        <item m="1" x="7187"/>
        <item m="1" x="7610"/>
        <item m="1" x="2301"/>
        <item m="1" x="3167"/>
        <item m="1" x="4133"/>
        <item m="1" x="5069"/>
        <item m="1" x="291"/>
        <item m="1" x="459"/>
        <item m="1" x="3750"/>
        <item m="1" x="4696"/>
        <item m="1" x="5604"/>
        <item m="1" x="6371"/>
        <item m="1" x="858"/>
        <item m="1" x="1335"/>
        <item m="1" x="5652"/>
        <item m="1" x="6440"/>
        <item m="1" x="7037"/>
        <item m="1" x="7493"/>
        <item m="1" x="2096"/>
        <item m="1" x="2915"/>
        <item m="1" x="235"/>
        <item m="1" x="2561"/>
        <item m="1" x="3500"/>
        <item m="1" x="4442"/>
        <item m="1" x="732"/>
        <item m="1" x="4501"/>
        <item m="1" x="5435"/>
        <item m="1" x="6254"/>
        <item m="1" x="1892"/>
        <item m="1" x="2499"/>
        <item m="1" x="3366"/>
        <item m="1" x="4341"/>
        <item m="1" x="7735"/>
        <item m="1" x="4398"/>
        <item m="1" x="5321"/>
        <item m="1" x="6163"/>
        <item m="1" x="129"/>
        <item m="1" x="6219"/>
        <item m="1" x="6862"/>
        <item m="1" x="1004"/>
        <item m="1" x="1559"/>
        <item m="1" x="2271"/>
        <item m="1" x="3137"/>
        <item m="1" x="7223"/>
        <item m="1" x="7631"/>
        <item m="1" x="2339"/>
        <item m="1" x="3203"/>
        <item m="1" x="4162"/>
        <item m="1" x="5094"/>
        <item m="1" x="7950"/>
        <item m="1" x="109"/>
        <item m="1" x="4230"/>
        <item m="1" x="5160"/>
        <item m="1" x="6013"/>
        <item m="1" x="6696"/>
        <item m="1" x="879"/>
        <item m="1" x="1388"/>
        <item m="1" x="2051"/>
        <item m="1" x="5697"/>
        <item m="1" x="6476"/>
        <item m="1" x="7075"/>
        <item m="1" x="7529"/>
        <item m="1" x="2115"/>
        <item m="1" x="2968"/>
        <item m="1" x="3899"/>
        <item m="1" x="7118"/>
        <item m="1" x="1476"/>
        <item m="1" x="2193"/>
        <item m="1" x="3080"/>
        <item m="1" x="4035"/>
        <item m="1" x="3138"/>
        <item m="1" x="4102"/>
        <item m="1" x="5053"/>
        <item m="1" x="5936"/>
        <item m="1" x="5095"/>
        <item m="1" x="5968"/>
        <item m="1" x="1309"/>
        <item m="1" x="1992"/>
        <item m="1" x="2814"/>
        <item m="1" x="6414"/>
        <item m="1" x="7010"/>
        <item m="1" x="2052"/>
        <item m="1" x="2873"/>
        <item m="1" x="3836"/>
        <item m="1" x="4782"/>
        <item m="1" x="7530"/>
        <item m="1" x="7850"/>
        <item m="1" x="3900"/>
        <item m="1" x="4847"/>
        <item m="1" x="5742"/>
        <item m="1" x="423"/>
        <item m="1" x="716"/>
        <item m="1" x="1171"/>
        <item m="1" x="5413"/>
        <item m="1" x="6228"/>
        <item m="1" x="6876"/>
        <item m="1" x="1231"/>
        <item m="1" x="1857"/>
        <item m="1" x="2655"/>
        <item m="1" x="6926"/>
        <item m="1" x="7417"/>
        <item m="1" x="7781"/>
        <item m="1" x="2729"/>
        <item m="1" x="3655"/>
        <item m="1" x="4598"/>
        <item m="1" x="377"/>
        <item m="1" x="619"/>
        <item m="1" x="4234"/>
        <item m="1" x="5168"/>
        <item m="1" x="6034"/>
        <item m="1" x="1096"/>
        <item m="1" x="1642"/>
        <item m="1" x="6090"/>
        <item m="1" x="6771"/>
        <item m="1" x="7286"/>
        <item m="1" x="2500"/>
        <item m="1" x="3367"/>
        <item m="1" x="312"/>
        <item m="1" x="2144"/>
        <item m="1" x="3024"/>
        <item m="1" x="3988"/>
        <item m="1" x="4920"/>
        <item m="1" x="941"/>
        <item m="1" x="4036"/>
        <item m="1" x="4985"/>
        <item m="1" x="5888"/>
        <item m="1" x="7832"/>
        <item m="1" x="139"/>
        <item m="1" x="4688"/>
        <item m="1" x="5588"/>
        <item m="1" x="6355"/>
        <item m="1" x="1116"/>
        <item m="1" x="1685"/>
        <item m="1" x="6113"/>
        <item m="1" x="6790"/>
        <item m="1" x="7322"/>
        <item m="1" x="3406"/>
        <item m="1" x="7367"/>
        <item m="1" x="7757"/>
        <item m="1" x="7985"/>
        <item m="1" x="4427"/>
        <item m="1" x="5350"/>
        <item m="1" x="969"/>
        <item m="1" x="4065"/>
        <item m="1" x="5013"/>
        <item m="1" x="5909"/>
        <item m="1" x="6631"/>
        <item m="1" x="2302"/>
        <item m="1" x="5952"/>
        <item m="1" x="6688"/>
        <item m="1" x="7241"/>
        <item m="1" x="7659"/>
        <item m="1" x="4183"/>
        <item m="1" x="2837"/>
        <item m="1" x="3795"/>
        <item m="1" x="4756"/>
        <item m="1" x="5653"/>
        <item m="1" x="4805"/>
        <item m="1" x="5713"/>
        <item m="1" x="6501"/>
        <item m="1" x="7094"/>
        <item m="1" x="6513"/>
        <item m="1" x="1810"/>
        <item m="1" x="2617"/>
        <item m="1" x="3550"/>
        <item m="1" x="7384"/>
        <item m="1" x="3610"/>
        <item m="1" x="4562"/>
        <item m="1" x="5485"/>
        <item m="1" x="5526"/>
        <item m="1" x="6340"/>
        <item m="1" x="639"/>
        <item m="1" x="1042"/>
        <item m="1" x="1615"/>
        <item m="1" x="2364"/>
        <item m="1" x="6726"/>
        <item m="1" x="7253"/>
        <item m="1" x="1686"/>
        <item m="1" x="2435"/>
        <item m="1" x="3328"/>
        <item m="1" x="4293"/>
        <item m="1" x="7038"/>
        <item m="1" x="7494"/>
        <item m="1" x="2916"/>
        <item m="1" x="2562"/>
        <item m="1" x="3501"/>
        <item m="1" x="4443"/>
        <item m="1" x="4502"/>
        <item m="1" x="5436"/>
        <item m="1" x="6255"/>
        <item m="1" x="2501"/>
        <item m="1" x="3368"/>
        <item m="1" x="4342"/>
        <item m="1" x="7736"/>
        <item m="1" x="7958"/>
        <item m="1" x="4399"/>
        <item m="1" x="5322"/>
        <item m="1" x="6164"/>
        <item m="1" x="130"/>
        <item m="1" x="156"/>
        <item m="1" x="6220"/>
        <item m="1" x="6863"/>
        <item m="1" x="7373"/>
        <item m="1" x="1560"/>
        <item m="1" x="2272"/>
        <item m="1" x="3139"/>
        <item m="1" x="7224"/>
        <item m="1" x="7632"/>
        <item m="1" x="7918"/>
        <item m="1" x="3204"/>
        <item m="1" x="4163"/>
        <item m="1" x="5096"/>
        <item m="1" x="7951"/>
        <item m="1" x="110"/>
        <item m="1" x="155"/>
        <item m="1" x="5161"/>
        <item m="1" x="6014"/>
        <item m="1" x="6697"/>
        <item m="1" x="1258"/>
        <item m="1" x="1893"/>
        <item m="1" x="2688"/>
        <item m="1" x="6957"/>
        <item m="1" x="7442"/>
        <item m="1" x="2757"/>
        <item m="1" x="3674"/>
        <item m="1" x="4622"/>
        <item m="1" x="7833"/>
        <item m="1" x="4689"/>
        <item m="1" x="5589"/>
        <item m="1" x="6356"/>
        <item m="1" x="682"/>
        <item m="1" x="1117"/>
        <item m="1" x="1687"/>
        <item m="1" x="6114"/>
        <item m="1" x="6791"/>
        <item m="1" x="7323"/>
        <item m="1" x="1746"/>
        <item m="1" x="3407"/>
        <item m="1" x="7095"/>
        <item m="1" x="1811"/>
        <item m="1" x="2618"/>
        <item m="1" x="3551"/>
        <item m="1" x="3611"/>
        <item m="1" x="4563"/>
        <item m="1" x="5486"/>
        <item m="1" x="5527"/>
        <item m="1" x="640"/>
        <item m="1" x="1043"/>
        <item m="1" x="1616"/>
        <item m="1" x="2365"/>
        <item m="1" x="6727"/>
        <item m="1" x="1688"/>
        <item m="1" x="2436"/>
        <item m="1" x="3329"/>
        <item m="1" x="4294"/>
        <item m="1" x="7704"/>
        <item m="1" x="3408"/>
        <item m="1" x="4371"/>
        <item m="1" x="5302"/>
        <item m="1" x="326"/>
        <item m="1" x="546"/>
        <item m="1" x="915"/>
        <item m="1" x="1438"/>
        <item m="1" x="4949"/>
        <item m="1" x="5836"/>
        <item m="1" x="6568"/>
        <item m="1" x="970"/>
        <item m="1" x="1508"/>
        <item m="1" x="2226"/>
        <item m="1" x="3097"/>
        <item m="1" x="6632"/>
        <item m="1" x="7188"/>
        <item m="1" x="7611"/>
        <item m="1" x="2303"/>
        <item m="1" x="3168"/>
        <item m="1" x="4134"/>
        <item m="1" x="5070"/>
        <item m="1" x="292"/>
        <item m="1" x="460"/>
        <item m="1" x="3751"/>
        <item m="1" x="4697"/>
        <item m="1" x="5605"/>
        <item m="1" x="6372"/>
        <item m="1" x="859"/>
        <item m="1" x="1336"/>
        <item m="1" x="5654"/>
        <item m="1" x="6441"/>
        <item m="1" x="7039"/>
        <item m="1" x="7495"/>
        <item m="1" x="2097"/>
        <item m="1" x="2917"/>
        <item m="1" x="236"/>
        <item m="1" x="2563"/>
        <item m="1" x="3502"/>
        <item m="1" x="4444"/>
        <item m="1" x="733"/>
        <item m="1" x="4503"/>
        <item m="1" x="5437"/>
        <item m="1" x="7952"/>
        <item m="1" x="111"/>
        <item m="1" x="4231"/>
        <item m="1" x="5162"/>
        <item m="1" x="6015"/>
        <item m="1" x="6698"/>
        <item m="1" x="880"/>
        <item m="1" x="1389"/>
        <item m="1" x="2053"/>
        <item m="1" x="5698"/>
        <item m="1" x="6477"/>
        <item m="1" x="7076"/>
        <item m="1" x="7531"/>
        <item m="1" x="2116"/>
        <item m="1" x="2969"/>
        <item m="1" x="3901"/>
        <item m="1" x="7119"/>
        <item m="1" x="7584"/>
        <item m="1" x="7897"/>
        <item m="1" x="3978"/>
        <item m="1" x="4900"/>
        <item m="1" x="5778"/>
        <item m="1" x="777"/>
        <item m="1" x="4546"/>
        <item m="1" x="5465"/>
        <item m="1" x="6309"/>
        <item m="1" x="6927"/>
        <item m="1" x="1940"/>
        <item m="1" x="6336"/>
        <item m="1" x="6984"/>
        <item m="1" x="7479"/>
        <item m="1" x="7814"/>
        <item m="1" x="3711"/>
        <item m="1" x="3299"/>
        <item m="1" x="4274"/>
        <item m="1" x="5229"/>
        <item m="1" x="5273"/>
        <item m="1" x="6142"/>
        <item m="1" x="6828"/>
        <item m="1" x="1477"/>
        <item m="1" x="2194"/>
        <item m="1" x="3081"/>
        <item m="1" x="4037"/>
        <item m="1" x="3140"/>
        <item m="1" x="4103"/>
        <item m="1" x="5054"/>
        <item m="1" x="5937"/>
        <item m="1" x="5097"/>
        <item m="1" x="5969"/>
        <item m="1" x="1310"/>
        <item m="1" x="1993"/>
        <item m="1" x="2815"/>
        <item m="1" x="6415"/>
        <item m="1" x="7011"/>
        <item m="1" x="2054"/>
        <item m="1" x="2874"/>
        <item m="1" x="3837"/>
        <item m="1" x="4783"/>
        <item m="1" x="6772"/>
        <item m="1" x="7287"/>
        <item m="1" x="2502"/>
        <item m="1" x="3369"/>
        <item m="1" x="313"/>
        <item m="1" x="2145"/>
        <item m="1" x="3025"/>
        <item m="1" x="3989"/>
        <item m="1" x="4921"/>
        <item m="1" x="942"/>
        <item m="1" x="4038"/>
        <item m="1" x="4986"/>
        <item m="1" x="5889"/>
        <item m="1" x="6597"/>
        <item m="1" x="2273"/>
        <item m="1" x="2098"/>
        <item m="1" x="2918"/>
        <item m="1" x="3867"/>
        <item m="1" x="4806"/>
        <item m="1" x="7562"/>
        <item m="1" x="7866"/>
        <item m="1" x="3931"/>
        <item m="1" x="4873"/>
        <item m="1" x="5764"/>
        <item m="1" x="6514"/>
        <item m="1" x="151"/>
        <item m="1" x="5827"/>
        <item m="1" x="6563"/>
        <item m="1" x="7132"/>
        <item m="1" x="1259"/>
        <item m="1" x="1894"/>
        <item m="1" x="2689"/>
        <item m="1" x="6958"/>
        <item m="1" x="7443"/>
        <item m="1" x="7793"/>
        <item m="1" x="2758"/>
        <item m="1" x="3675"/>
        <item m="1" x="4623"/>
        <item m="1" x="7834"/>
        <item m="1" x="140"/>
        <item m="1" x="4690"/>
        <item m="1" x="5590"/>
        <item m="1" x="6357"/>
        <item m="1" x="1118"/>
        <item m="1" x="1689"/>
        <item m="1" x="6115"/>
        <item m="1" x="6792"/>
        <item m="1" x="7324"/>
        <item m="1" x="3409"/>
        <item m="1" x="7368"/>
        <item m="1" x="7758"/>
        <item m="1" x="7986"/>
        <item m="1" x="4428"/>
        <item m="1" x="5351"/>
        <item m="1" x="971"/>
        <item m="1" x="4066"/>
        <item m="1" x="5014"/>
        <item m="1" x="5910"/>
        <item m="1" x="6633"/>
        <item m="1" x="2304"/>
        <item m="1" x="5953"/>
        <item m="1" x="6689"/>
        <item m="1" x="7242"/>
        <item m="1" x="5528"/>
        <item m="1" x="6341"/>
        <item m="1" x="641"/>
        <item m="1" x="1044"/>
        <item m="1" x="1617"/>
        <item m="1" x="2366"/>
        <item m="1" x="6728"/>
        <item m="1" x="7254"/>
        <item m="1" x="1690"/>
        <item m="1" x="2437"/>
        <item m="1" x="3330"/>
        <item m="1" x="4295"/>
        <item m="1" x="7705"/>
        <item m="1" x="7955"/>
        <item m="1" x="3410"/>
        <item m="1" x="4372"/>
        <item m="1" x="5303"/>
        <item m="1" x="6146"/>
        <item m="1" x="547"/>
        <item m="1" x="916"/>
        <item m="1" x="1439"/>
        <item m="1" x="4950"/>
        <item m="1" x="5837"/>
        <item m="1" x="6569"/>
        <item m="1" x="7135"/>
        <item m="1" x="1509"/>
        <item m="1" x="2227"/>
        <item m="1" x="3098"/>
        <item m="1" x="6634"/>
        <item m="1" x="7189"/>
        <item m="1" x="7612"/>
        <item m="1" x="7907"/>
        <item m="1" x="3169"/>
        <item m="1" x="4135"/>
        <item m="1" x="5071"/>
        <item m="1" x="461"/>
        <item m="1" x="3752"/>
        <item m="1" x="4698"/>
        <item m="1" x="5606"/>
        <item m="1" x="6373"/>
        <item m="1" x="1337"/>
        <item m="1" x="5655"/>
        <item m="1" x="6442"/>
        <item m="1" x="7040"/>
        <item m="1" x="7496"/>
        <item m="1" x="2919"/>
        <item m="1" x="1260"/>
        <item m="1" x="1895"/>
        <item m="1" x="2690"/>
        <item m="1" x="6959"/>
        <item m="1" x="7444"/>
        <item m="1" x="2759"/>
        <item m="1" x="3676"/>
        <item m="1" x="4624"/>
        <item m="1" x="7835"/>
        <item m="1" x="4691"/>
        <item m="1" x="5591"/>
        <item m="1" x="6358"/>
        <item m="1" x="683"/>
        <item m="1" x="1119"/>
        <item m="1" x="1691"/>
        <item m="1" x="6116"/>
        <item m="1" x="6793"/>
        <item m="1" x="7325"/>
        <item m="1" x="1747"/>
        <item m="1" x="3411"/>
        <item m="1" x="7096"/>
        <item m="1" x="1812"/>
        <item m="1" x="2619"/>
        <item m="1" x="3552"/>
        <item m="1" x="3612"/>
        <item m="1" x="4564"/>
        <item m="1" x="5487"/>
        <item m="1" x="5529"/>
        <item m="1" x="642"/>
        <item m="1" x="1045"/>
        <item m="1" x="1618"/>
        <item m="1" x="2367"/>
        <item m="1" x="6729"/>
        <item m="1" x="1692"/>
        <item m="1" x="2438"/>
        <item m="1" x="3331"/>
        <item m="1" x="4296"/>
        <item m="1" x="7706"/>
        <item m="1" x="3412"/>
        <item m="1" x="4373"/>
        <item m="1" x="5304"/>
        <item m="1" x="327"/>
        <item m="1" x="548"/>
        <item m="1" x="917"/>
        <item m="1" x="1440"/>
        <item m="1" x="4951"/>
        <item m="1" x="5838"/>
        <item m="1" x="6570"/>
        <item m="1" x="972"/>
        <item m="1" x="1510"/>
        <item m="1" x="2228"/>
        <item m="1" x="3099"/>
        <item m="1" x="6635"/>
        <item m="1" x="7190"/>
        <item m="1" x="7613"/>
        <item m="1" x="2305"/>
        <item m="1" x="3170"/>
        <item m="1" x="4136"/>
        <item m="1" x="5072"/>
        <item m="1" x="293"/>
        <item m="1" x="462"/>
        <item m="1" x="3753"/>
        <item m="1" x="4699"/>
        <item m="1" x="5607"/>
        <item m="1" x="6374"/>
        <item m="1" x="860"/>
        <item m="1" x="1338"/>
        <item m="1" x="5656"/>
        <item m="1" x="6443"/>
        <item m="1" x="7041"/>
        <item m="1" x="7497"/>
        <item m="1" x="2099"/>
        <item m="1" x="2920"/>
        <item m="1" x="237"/>
        <item m="1" x="2564"/>
        <item m="1" x="3503"/>
        <item m="1" x="4445"/>
        <item m="1" x="734"/>
        <item m="1" x="4504"/>
        <item m="1" x="5438"/>
        <item m="1" x="7953"/>
        <item m="1" x="112"/>
        <item m="1" x="4232"/>
        <item m="1" x="5163"/>
        <item m="1" x="6016"/>
        <item m="1" x="6699"/>
        <item m="1" x="881"/>
        <item m="1" x="1390"/>
        <item m="1" x="2055"/>
        <item m="1" x="5699"/>
        <item m="1" x="6478"/>
        <item m="1" x="7077"/>
        <item m="1" x="7532"/>
        <item m="1" x="2117"/>
        <item m="1" x="2970"/>
        <item m="1" x="3902"/>
        <item m="1" x="7120"/>
        <item m="1" x="7585"/>
        <item m="1" x="7898"/>
        <item m="1" x="3979"/>
        <item m="1" x="4901"/>
        <item m="1" x="5779"/>
        <item m="1" x="778"/>
        <item m="1" x="4547"/>
        <item m="1" x="5466"/>
        <item m="1" x="6310"/>
        <item m="1" x="6928"/>
        <item m="1" x="1941"/>
        <item m="1" x="6337"/>
        <item m="1" x="6985"/>
        <item m="1" x="7480"/>
        <item m="1" x="7815"/>
        <item m="1" x="3712"/>
        <item m="1" x="3300"/>
        <item m="1" x="4275"/>
        <item m="1" x="5230"/>
        <item m="1" x="5274"/>
        <item m="1" x="6143"/>
        <item m="1" x="6829"/>
        <item m="1" x="1478"/>
        <item m="1" x="2195"/>
        <item m="1" x="3082"/>
        <item m="1" x="4039"/>
        <item m="1" x="3141"/>
        <item m="1" x="4104"/>
        <item m="1" x="5055"/>
        <item m="1" x="5938"/>
        <item m="1" x="5098"/>
        <item m="1" x="5970"/>
        <item m="1" x="1311"/>
        <item m="1" x="1994"/>
        <item m="1" x="2816"/>
        <item m="1" x="6416"/>
        <item m="1" x="7012"/>
        <item m="1" x="2056"/>
        <item m="1" x="2875"/>
        <item m="1" x="3838"/>
        <item m="1" x="4784"/>
        <item m="1" x="6773"/>
        <item m="1" x="7288"/>
        <item m="1" x="2503"/>
        <item m="1" x="3370"/>
        <item m="1" x="314"/>
        <item m="1" x="2146"/>
        <item m="1" x="3026"/>
        <item m="1" x="3990"/>
        <item m="1" x="4922"/>
        <item m="1" x="943"/>
        <item m="1" x="4040"/>
        <item m="1" x="4987"/>
        <item m="1" x="5890"/>
        <item m="1" x="6598"/>
        <item m="1" x="2274"/>
        <item m="1" x="2100"/>
        <item m="1" x="2921"/>
        <item m="1" x="3868"/>
        <item m="1" x="4807"/>
        <item m="1" x="7563"/>
        <item m="1" x="7867"/>
        <item m="1" x="3932"/>
        <item m="1" x="4874"/>
        <item m="1" x="5765"/>
        <item m="1" x="6515"/>
        <item m="1" x="152"/>
        <item m="1" x="5828"/>
        <item m="1" x="6564"/>
        <item m="1" x="7133"/>
        <item m="1" x="1261"/>
        <item m="1" x="1896"/>
        <item m="1" x="2691"/>
        <item m="1" x="6960"/>
        <item m="1" x="7445"/>
        <item m="1" x="7794"/>
        <item m="1" x="2760"/>
        <item m="1" x="3677"/>
        <item m="1" x="4625"/>
        <item m="1" x="7836"/>
        <item m="1" x="141"/>
        <item m="1" x="4692"/>
        <item m="1" x="5592"/>
        <item m="1" x="6359"/>
        <item m="1" x="1120"/>
        <item m="1" x="1693"/>
        <item m="1" x="6117"/>
        <item m="1" x="6794"/>
        <item m="1" x="7326"/>
        <item m="1" x="3413"/>
        <item m="1" x="7369"/>
        <item m="1" x="7759"/>
        <item m="1" x="7987"/>
        <item m="1" x="4429"/>
        <item m="1" x="5352"/>
        <item m="1" x="973"/>
        <item m="1" x="4067"/>
        <item m="1" x="5015"/>
        <item m="1" x="5911"/>
        <item m="1" x="6636"/>
        <item m="1" x="2306"/>
        <item m="1" x="5954"/>
        <item m="1" x="6690"/>
        <item m="1" x="7243"/>
        <item m="1" x="5530"/>
        <item m="1" x="6342"/>
        <item m="1" x="643"/>
        <item m="1" x="1046"/>
        <item m="1" x="1619"/>
        <item m="1" x="2368"/>
        <item m="1" x="6730"/>
        <item m="1" x="7255"/>
        <item m="1" x="1694"/>
        <item m="1" x="2439"/>
        <item m="1" x="3332"/>
        <item m="1" x="4297"/>
        <item m="1" x="7707"/>
        <item m="1" x="7956"/>
        <item m="1" x="3414"/>
        <item m="1" x="4374"/>
        <item m="1" x="5305"/>
        <item m="1" x="6147"/>
        <item m="1" x="549"/>
        <item m="1" x="918"/>
        <item m="1" x="1441"/>
        <item m="1" x="4952"/>
        <item m="1" x="5839"/>
        <item m="1" x="6571"/>
        <item m="1" x="7136"/>
        <item m="1" x="1511"/>
        <item m="1" x="2229"/>
        <item m="1" x="3100"/>
        <item m="1" x="6637"/>
        <item m="1" x="7191"/>
        <item m="1" x="7614"/>
        <item m="1" x="7908"/>
        <item m="1" x="3171"/>
        <item m="1" x="4137"/>
        <item m="1" x="5073"/>
        <item m="1" x="463"/>
        <item m="1" x="3754"/>
        <item m="1" x="4700"/>
        <item m="1" x="5608"/>
        <item m="1" x="6375"/>
        <item m="1" x="1339"/>
        <item m="1" x="5657"/>
        <item m="1" x="6444"/>
        <item m="1" x="7042"/>
        <item m="1" x="7498"/>
        <item m="1" x="2922"/>
        <item m="1" x="2565"/>
        <item m="1" x="3504"/>
        <item m="1" x="4446"/>
        <item m="1" x="4505"/>
        <item m="1" x="5439"/>
        <item m="1" x="6256"/>
        <item m="1" x="2504"/>
        <item m="1" x="3371"/>
        <item m="1" x="4343"/>
        <item m="1" x="7737"/>
        <item m="1" x="7959"/>
        <item m="1" x="4400"/>
        <item m="1" x="5323"/>
        <item m="1" x="6165"/>
        <item m="1" x="7837"/>
        <item m="1" x="4693"/>
        <item m="1" x="5593"/>
        <item m="1" x="6360"/>
        <item m="1" x="684"/>
        <item m="1" x="1121"/>
        <item m="1" x="1695"/>
        <item m="1" x="6118"/>
        <item m="1" x="6795"/>
        <item m="1" x="7327"/>
        <item m="1" x="1748"/>
        <item m="1" x="3415"/>
        <item m="1" x="7370"/>
        <item m="1" x="7760"/>
        <item m="1" x="7988"/>
        <item m="1" x="3496"/>
        <item m="1" x="4430"/>
        <item m="1" x="5353"/>
        <item m="1" x="598"/>
        <item m="1" x="974"/>
        <item m="1" x="4068"/>
        <item m="1" x="5016"/>
        <item m="1" x="5912"/>
        <item m="1" x="6638"/>
        <item m="1" x="1583"/>
        <item m="1" x="2307"/>
        <item m="1" x="5955"/>
        <item m="1" x="6691"/>
        <item m="1" x="7244"/>
        <item m="1" x="7660"/>
        <item m="1" x="3227"/>
        <item m="1" x="4184"/>
        <item m="1" x="2838"/>
        <item m="1" x="3796"/>
        <item m="1" x="4757"/>
        <item m="1" x="5658"/>
        <item m="1" x="4808"/>
        <item m="1" x="5714"/>
        <item m="1" x="6502"/>
        <item m="1" x="7097"/>
        <item m="1" x="1813"/>
        <item m="1" x="2620"/>
        <item m="1" x="3553"/>
        <item m="1" x="3613"/>
        <item m="1" x="4565"/>
        <item m="1" x="5488"/>
        <item m="1" x="5531"/>
        <item m="1" x="644"/>
        <item m="1" x="1047"/>
        <item m="1" x="1620"/>
        <item m="1" x="2369"/>
        <item m="1" x="6731"/>
        <item m="1" x="1696"/>
        <item m="1" x="2440"/>
        <item m="1" x="3333"/>
        <item m="1" x="4298"/>
        <item m="1" x="6445"/>
        <item m="1" x="7043"/>
        <item m="1" x="7499"/>
        <item m="1" x="2101"/>
        <item m="1" x="2923"/>
        <item m="1" x="238"/>
        <item m="1" x="2566"/>
        <item m="1" x="3505"/>
        <item m="1" x="4447"/>
        <item m="1" x="735"/>
        <item m="1" x="4506"/>
        <item m="1" x="5440"/>
        <item m="1" x="6257"/>
        <item m="1" x="1897"/>
        <item m="1" x="2505"/>
        <item m="1" x="3372"/>
        <item m="1" x="4344"/>
        <item m="1" x="7738"/>
        <item m="1" x="4401"/>
        <item m="1" x="5324"/>
        <item m="1" x="6166"/>
        <item m="1" x="131"/>
        <item m="1" x="6221"/>
        <item m="1" x="6864"/>
        <item m="1" x="1005"/>
        <item m="1" x="1561"/>
        <item m="1" x="2275"/>
        <item m="1" x="3142"/>
        <item m="1" x="7225"/>
        <item m="1" x="7633"/>
        <item m="1" x="2340"/>
        <item m="1" x="3205"/>
        <item m="1" x="4164"/>
        <item m="1" x="5099"/>
        <item m="1" x="7954"/>
        <item m="1" x="113"/>
        <item m="1" x="4233"/>
        <item m="1" x="5164"/>
        <item m="1" x="6017"/>
        <item m="1" x="6700"/>
        <item m="1" x="882"/>
        <item m="1" x="1391"/>
        <item m="1" x="2057"/>
        <item m="1" x="5700"/>
        <item m="1" x="6479"/>
        <item m="1" x="7078"/>
        <item m="1" x="7533"/>
        <item m="1" x="2118"/>
        <item m="1" x="2971"/>
        <item m="1" x="3903"/>
        <item m="1" x="7121"/>
        <item m="1" x="7586"/>
        <item m="1" x="7899"/>
        <item m="1" x="3980"/>
        <item m="1" x="4902"/>
        <item m="1" x="5780"/>
        <item m="1" x="779"/>
        <item m="1" x="4548"/>
        <item m="1" x="5467"/>
        <item m="1" x="6311"/>
        <item m="1" x="6929"/>
        <item m="1" x="1942"/>
        <item m="1" x="6338"/>
        <item m="1" x="6986"/>
        <item m="1" x="5100"/>
        <item m="1" x="5971"/>
        <item m="1" x="1312"/>
        <item m="1" x="1995"/>
        <item m="1" x="2817"/>
        <item m="1" x="6417"/>
        <item m="1" x="7013"/>
        <item m="1" x="2058"/>
        <item m="1" x="2876"/>
        <item m="1" x="3839"/>
        <item m="1" x="4785"/>
        <item m="1" x="7534"/>
        <item m="1" x="7851"/>
        <item m="1" x="3904"/>
        <item m="1" x="4848"/>
        <item m="1" x="5743"/>
        <item m="1" x="424"/>
        <item m="1" x="717"/>
        <item m="1" x="1172"/>
        <item m="1" x="5414"/>
        <item m="1" x="6229"/>
        <item m="1" x="6877"/>
        <item m="1" x="1232"/>
        <item m="1" x="1858"/>
        <item m="1" x="2656"/>
        <item m="1" x="6930"/>
        <item m="1" x="7418"/>
        <item m="1" x="7782"/>
        <item m="1" x="2730"/>
        <item m="1" x="3656"/>
        <item m="1" x="4599"/>
        <item m="1" x="378"/>
        <item m="1" x="620"/>
        <item m="1" x="4235"/>
        <item m="1" x="5169"/>
        <item m="1" x="6035"/>
        <item m="1" x="1097"/>
        <item m="1" x="1643"/>
        <item m="1" x="6091"/>
        <item m="1" x="6774"/>
        <item m="1" x="7289"/>
        <item m="1" x="2506"/>
        <item m="1" x="3373"/>
        <item m="1" x="315"/>
        <item m="1" x="2147"/>
        <item m="1" x="3027"/>
        <item m="1" x="3991"/>
        <item m="1" x="4923"/>
        <item m="1" x="944"/>
        <item m="1" x="4041"/>
        <item m="1" x="4988"/>
        <item m="1" x="5891"/>
        <item m="1" x="6599"/>
        <item m="1" x="2276"/>
        <item m="1" x="2102"/>
        <item m="1" x="2924"/>
        <item m="1" x="3869"/>
        <item m="1" x="4809"/>
        <item m="1" x="7564"/>
        <item m="1" x="7868"/>
        <item m="1" x="3933"/>
        <item m="1" x="4875"/>
        <item m="1" x="5766"/>
        <item m="1" x="6516"/>
        <item m="1" x="7761"/>
        <item m="1" x="7989"/>
        <item m="1" x="4431"/>
        <item m="1" x="5354"/>
        <item m="1" x="975"/>
        <item m="1" x="4069"/>
        <item m="1" x="5017"/>
        <item m="1" x="5913"/>
        <item m="1" x="6639"/>
        <item m="1" x="2308"/>
        <item m="1" x="5956"/>
        <item m="1" x="6692"/>
        <item m="1" x="7245"/>
        <item m="1" x="7661"/>
        <item m="1" x="4185"/>
        <item m="1" x="2839"/>
        <item m="1" x="3797"/>
        <item m="1" x="4758"/>
        <item m="1" x="5659"/>
        <item m="1" x="4810"/>
        <item m="1" x="5715"/>
        <item m="1" x="6503"/>
        <item m="1" x="7098"/>
        <item m="1" x="6517"/>
        <item m="1" x="1814"/>
        <item m="1" x="2621"/>
        <item m="1" x="3554"/>
        <item m="1" x="7385"/>
        <item m="1" x="3614"/>
        <item m="1" x="4566"/>
        <item m="1" x="5489"/>
        <item m="1" x="5532"/>
        <item m="1" x="645"/>
        <item m="1" x="1048"/>
        <item m="1" x="1621"/>
        <item m="1" x="2370"/>
        <item m="1" x="6732"/>
        <item m="1" x="7256"/>
        <item m="1" x="1697"/>
        <item m="1" x="2441"/>
        <item m="1" x="3334"/>
        <item m="1" x="4299"/>
        <item m="1" x="7708"/>
        <item m="1" x="7957"/>
        <item m="1" x="3416"/>
        <item m="1" x="4375"/>
        <item m="1" x="5306"/>
        <item m="1" x="6148"/>
        <item m="1" x="550"/>
        <item m="1" x="919"/>
        <item m="1" x="1442"/>
        <item m="1" x="4953"/>
        <item m="1" x="5840"/>
        <item m="1" x="6572"/>
        <item m="1" x="7137"/>
        <item m="1" x="1512"/>
        <item m="1" x="2230"/>
        <item m="1" x="3101"/>
        <item m="1" x="6640"/>
        <item m="1" x="2507"/>
        <item m="1" x="3374"/>
        <item m="1" x="4345"/>
        <item m="1" x="7739"/>
        <item m="1" x="7960"/>
        <item m="1" x="4402"/>
        <item m="1" x="5325"/>
        <item m="1" x="6167"/>
        <item m="1" x="132"/>
        <item m="1" x="157"/>
        <item m="1" x="6222"/>
        <item m="1" x="6865"/>
        <item m="1" x="7374"/>
        <item m="1" x="1262"/>
        <item m="1" x="1898"/>
        <item m="1" x="2692"/>
        <item m="1" x="6961"/>
        <item m="1" x="7446"/>
        <item m="1" x="2761"/>
        <item m="1" x="3678"/>
        <item m="1" x="4626"/>
        <item m="1" x="7838"/>
        <item m="1" x="4694"/>
        <item m="1" x="5594"/>
        <item m="1" x="6361"/>
        <item m="1" x="685"/>
        <item m="1" x="1122"/>
        <item m="1" x="1698"/>
        <item m="1" x="6119"/>
        <item m="1" x="6796"/>
        <item m="1" x="7328"/>
        <item m="1" x="1749"/>
        <item m="1" x="3417"/>
        <item m="1" x="7371"/>
        <item m="1" x="7762"/>
        <item m="1" x="7990"/>
        <item m="1" x="3497"/>
        <item m="1" x="4432"/>
        <item m="1" x="5355"/>
        <item m="1" x="599"/>
        <item m="1" x="976"/>
        <item m="1" x="4070"/>
        <item m="1" x="5018"/>
        <item m="1" x="5914"/>
        <item m="1" x="6641"/>
        <item m="1" x="1584"/>
        <item m="1" x="2309"/>
        <item m="1" x="5957"/>
        <item m="1" x="6693"/>
        <item m="1" x="7246"/>
        <item m="1" x="7662"/>
        <item m="1" x="3228"/>
        <item m="1" x="4186"/>
        <item m="1" x="2840"/>
        <item m="1" x="3798"/>
        <item m="1" x="4759"/>
        <item m="1" x="5660"/>
        <item m="1" x="4811"/>
        <item m="1" x="5716"/>
        <item m="1" x="6504"/>
        <item m="1" x="7709"/>
        <item m="1" x="3418"/>
        <item m="1" x="4376"/>
        <item m="1" x="5307"/>
        <item m="1" x="328"/>
        <item m="1" x="551"/>
        <item m="1" x="920"/>
        <item m="1" x="1443"/>
        <item m="1" x="4954"/>
        <item m="1" x="5841"/>
        <item m="1" x="6573"/>
        <item m="1" x="977"/>
        <item m="1" x="1513"/>
        <item m="1" x="2231"/>
        <item m="1" x="3102"/>
        <item m="1" x="6642"/>
        <item m="1" x="7192"/>
        <item m="1" x="7615"/>
        <item m="1" x="2310"/>
        <item m="1" x="3172"/>
        <item m="1" x="4138"/>
        <item m="1" x="5074"/>
        <item m="1" x="294"/>
        <item m="1" x="464"/>
        <item m="1" x="3755"/>
        <item m="1" x="4701"/>
        <item m="1" x="5609"/>
        <item m="1" x="6376"/>
        <item m="1" x="861"/>
        <item m="1" x="1340"/>
        <item m="1" x="5661"/>
        <item m="1" x="6446"/>
        <item m="1" x="7044"/>
        <item m="1" x="7500"/>
        <item m="1" x="2103"/>
        <item m="1" x="2925"/>
        <item m="1" x="239"/>
        <item m="1" x="2567"/>
        <item m="1" x="3506"/>
        <item m="1" x="4448"/>
        <item m="1" x="736"/>
        <item m="1" x="4507"/>
        <item m="1" x="5441"/>
        <item m="1" x="6258"/>
        <item m="1" x="1899"/>
        <item m="1" x="2508"/>
        <item m="1" x="3375"/>
        <item m="1" x="4346"/>
        <item m="1" x="7740"/>
        <item m="1" x="4403"/>
        <item m="1" x="5326"/>
        <item m="1" x="6168"/>
        <item m="1" x="133"/>
        <item m="1" x="6223"/>
        <item m="1" x="6866"/>
        <item m="1" x="1006"/>
        <item m="1" x="1562"/>
        <item m="1" x="2277"/>
        <item m="1" x="3143"/>
        <item m="1" x="7226"/>
        <item m="1" x="7634"/>
        <item m="1" x="2341"/>
        <item m="1" x="3206"/>
        <item m="1" x="4165"/>
        <item m="1" x="5101"/>
        <item m="1" x="7481"/>
        <item m="1" x="7816"/>
        <item m="1" x="3713"/>
        <item m="1" x="3301"/>
        <item m="1" x="4276"/>
        <item m="1" x="5231"/>
        <item m="1" x="5275"/>
        <item m="1" x="6144"/>
        <item m="1" x="6830"/>
        <item m="1" x="1479"/>
        <item m="1" x="2196"/>
        <item m="1" x="3083"/>
        <item m="1" x="4042"/>
        <item m="1" x="3144"/>
        <item m="1" x="4105"/>
        <item m="1" x="5056"/>
        <item m="1" x="5939"/>
        <item m="1" x="5102"/>
        <item m="1" x="5972"/>
        <item m="1" x="1313"/>
        <item m="1" x="1996"/>
        <item m="1" x="2818"/>
        <item m="1" x="6418"/>
        <item m="1" x="7014"/>
        <item m="1" x="2059"/>
        <item m="1" x="2877"/>
        <item m="1" x="3840"/>
        <item m="1" x="4786"/>
        <item m="1" x="7535"/>
        <item m="1" x="7852"/>
        <item m="1" x="3905"/>
        <item m="1" x="4849"/>
        <item m="1" x="5744"/>
        <item m="1" x="425"/>
        <item m="1" x="718"/>
        <item m="1" x="1173"/>
        <item m="1" x="5415"/>
        <item m="1" x="6230"/>
        <item m="1" x="6878"/>
        <item m="1" x="1233"/>
        <item m="1" x="1859"/>
        <item m="1" x="2657"/>
        <item m="1" x="6931"/>
        <item m="1" x="7419"/>
        <item m="1" x="7783"/>
        <item m="1" x="2731"/>
        <item m="1" x="3657"/>
        <item m="1" x="4600"/>
        <item m="1" x="379"/>
        <item m="1" x="621"/>
        <item m="1" x="4236"/>
        <item m="1" x="5170"/>
        <item m="1" x="6036"/>
        <item m="1" x="1098"/>
        <item m="1" x="1644"/>
        <item m="1" x="6092"/>
        <item m="1" x="153"/>
        <item m="1" x="5829"/>
        <item m="1" x="6565"/>
        <item m="1" x="7134"/>
        <item m="1" x="1263"/>
        <item m="1" x="1900"/>
        <item m="1" x="2693"/>
        <item m="1" x="6962"/>
        <item m="1" x="7447"/>
        <item m="1" x="7795"/>
        <item m="1" x="2762"/>
        <item m="1" x="3679"/>
        <item m="1" x="4627"/>
        <item m="1" x="7839"/>
        <item m="1" x="142"/>
        <item m="1" x="4695"/>
        <item m="1" x="5595"/>
        <item m="1" x="6362"/>
        <item m="1" x="1123"/>
        <item m="1" x="1699"/>
        <item m="1" x="6120"/>
        <item m="1" x="6797"/>
        <item m="1" x="7329"/>
        <item m="1" x="3419"/>
        <item m="1" x="7372"/>
        <item m="1" x="7763"/>
        <item m="1" x="7991"/>
        <item m="1" x="4433"/>
        <item m="1" x="5356"/>
        <item m="1" x="978"/>
        <item m="1" x="4071"/>
        <item m="1" x="5019"/>
        <item m="1" x="5915"/>
        <item m="1" x="6643"/>
        <item m="1" x="2311"/>
        <item m="1" x="5958"/>
        <item m="1" x="6694"/>
        <item m="1" x="7247"/>
        <item m="1" x="7663"/>
        <item m="1" x="4187"/>
        <item m="1" x="2841"/>
        <item m="1" x="3799"/>
        <item m="1" x="4760"/>
        <item m="1" x="5662"/>
        <item m="1" x="4812"/>
        <item m="1" x="5717"/>
        <item m="1" x="6505"/>
        <item m="1" x="7099"/>
        <item m="1" x="6518"/>
        <item m="1" x="1815"/>
        <item m="1" x="2622"/>
        <item m="1" x="3555"/>
        <item m="1" x="7386"/>
        <item m="1" x="3615"/>
        <item m="1" x="4567"/>
        <item m="1" x="5490"/>
        <item m="1" x="7193"/>
        <item m="1" x="7616"/>
        <item m="1" x="7909"/>
        <item m="1" x="3173"/>
        <item m="1" x="4139"/>
        <item m="1" x="5075"/>
        <item m="1" x="465"/>
        <item m="1" x="3756"/>
        <item m="1" x="4702"/>
        <item m="1" x="5610"/>
        <item m="1" x="6377"/>
        <item m="1" x="1341"/>
        <item m="1" x="5663"/>
        <item m="1" x="6447"/>
        <item m="1" x="7045"/>
        <item m="1" x="7501"/>
        <item m="1" x="2926"/>
        <item m="1" x="2568"/>
        <item m="1" x="3507"/>
        <item m="1" x="4449"/>
        <item m="1" x="4508"/>
        <item m="1" x="5442"/>
        <item m="1" x="6259"/>
        <item m="1" x="5416"/>
        <item m="1" x="6231"/>
        <item m="1" x="6879"/>
        <item m="1" x="1234"/>
        <item m="1" x="1860"/>
        <item m="1" x="2658"/>
        <item m="1" x="6932"/>
        <item m="1" x="7420"/>
        <item m="1" x="7784"/>
        <item m="1" x="2732"/>
        <item m="1" x="3658"/>
        <item m="1" x="4601"/>
        <item m="1" x="380"/>
        <item m="1" x="622"/>
        <item m="1" x="4237"/>
        <item m="1" x="5171"/>
        <item m="1" x="6037"/>
        <item m="1" x="1099"/>
        <item m="1" x="1645"/>
        <item m="1" x="6093"/>
        <item m="1" x="6775"/>
        <item m="1" x="7290"/>
        <item m="1" x="2509"/>
        <item m="1" x="3376"/>
        <item m="1" x="316"/>
        <item m="1" x="2148"/>
        <item m="1" x="3028"/>
        <item m="1" x="3992"/>
        <item m="1" x="4924"/>
        <item m="1" x="945"/>
        <item m="1" x="4043"/>
        <item m="1" x="4989"/>
        <item m="1" x="5892"/>
        <item m="1" x="6600"/>
        <item m="1" x="2278"/>
        <item m="1" x="2104"/>
        <item m="1" x="2927"/>
        <item m="1" x="3870"/>
        <item m="1" x="4813"/>
        <item m="1" x="7565"/>
        <item m="1" x="7869"/>
        <item m="1" x="3934"/>
        <item m="1" x="4876"/>
        <item m="1" x="5767"/>
        <item m="1" x="6519"/>
        <item m="1" x="7764"/>
        <item m="1" x="7992"/>
        <item m="1" x="4434"/>
        <item m="1" x="5357"/>
        <item m="1" x="979"/>
        <item m="1" x="4072"/>
        <item m="1" x="5020"/>
        <item m="1" x="5916"/>
        <item m="1" x="6644"/>
        <item m="1" x="2312"/>
        <item m="1" x="5959"/>
        <item m="1" x="6695"/>
        <item m="1" x="7248"/>
        <item m="1" x="7664"/>
        <item m="1" x="4188"/>
        <item m="1" x="2842"/>
        <item m="1" x="3800"/>
        <item m="1" x="4761"/>
        <item m="1" x="5664"/>
        <item m="1" x="4814"/>
        <item m="1" x="5718"/>
        <item m="1" x="6506"/>
        <item m="1" x="7100"/>
        <item m="1" x="6520"/>
        <item x="0"/>
        <item x="1"/>
        <item x="2"/>
        <item x="3"/>
        <item x="4"/>
        <item x="5"/>
        <item x="6"/>
        <item x="7"/>
        <item x="8"/>
        <item x="9"/>
        <item x="10"/>
        <item x="11"/>
        <item x="12"/>
        <item x="13"/>
        <item x="14"/>
        <item x="15"/>
        <item x="16"/>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70"/>
        <item x="71"/>
        <item x="72"/>
        <item x="73"/>
        <item x="74"/>
        <item x="75"/>
        <item x="76"/>
        <item x="77"/>
        <item x="78"/>
        <item x="79"/>
        <item x="80"/>
        <item x="81"/>
        <item x="82"/>
        <item x="83"/>
        <item x="84"/>
        <item x="85"/>
        <item x="86"/>
        <item x="87"/>
        <item x="89"/>
        <item x="90"/>
        <item x="91"/>
        <item x="92"/>
        <item x="93"/>
        <item m="1" x="7173"/>
        <item m="1" x="7603"/>
        <item m="1" x="7906"/>
        <item m="1" x="3153"/>
        <item m="1" x="4114"/>
        <item m="1" x="5060"/>
        <item m="1" x="5950"/>
        <item m="1" x="2112"/>
        <item m="1" x="2959"/>
        <item m="1" x="3890"/>
        <item m="1" x="4834"/>
        <item m="1" x="5726"/>
        <item m="1" x="6511"/>
        <item m="1" x="7583"/>
        <item m="1" x="7887"/>
        <item m="1" x="3959"/>
        <item m="1" x="4890"/>
        <item m="1" x="5768"/>
        <item m="1" x="6521"/>
        <item m="1" x="7123"/>
        <item m="1" x="7588"/>
        <item m="1" x="7905"/>
        <item m="1" x="154"/>
        <item m="1" x="165"/>
        <item m="1" x="5842"/>
        <item m="1" x="6574"/>
        <item m="1" x="7138"/>
        <item x="69"/>
        <item m="1" x="221"/>
        <item m="1" x="94"/>
        <item m="1" x="883"/>
        <item m="1" x="1397"/>
        <item m="1" x="2084"/>
        <item m="1" x="2900"/>
        <item m="1" x="3859"/>
        <item m="1" x="4796"/>
        <item m="1" x="5711"/>
        <item m="1" x="6490"/>
        <item m="1" x="7084"/>
        <item m="1" x="7553"/>
        <item m="1" x="2119"/>
        <item m="1" x="2977"/>
        <item m="1" x="3922"/>
        <item m="1" x="4866"/>
        <item m="1" x="5763"/>
        <item m="1" x="6512"/>
        <item m="1" x="7122"/>
        <item m="1" x="7587"/>
        <item m="1" x="7904"/>
        <item m="1" x="3993"/>
        <item m="1" x="4929"/>
        <item m="1" x="5814"/>
        <item m="1" x="6553"/>
        <item m="1" x="788"/>
        <item m="1" x="1249"/>
        <item m="1" x="1882"/>
        <item m="1" x="2678"/>
        <item m="1" x="3599"/>
        <item m="1" x="4558"/>
        <item m="1" x="5475"/>
        <item m="1" x="6316"/>
        <item m="1" x="6947"/>
        <item m="1" x="7435"/>
        <item m="1" x="1951"/>
        <item m="1" x="2747"/>
        <item m="1" x="3673"/>
        <item m="1" x="4621"/>
        <item m="1" x="5525"/>
        <item m="1" x="6339"/>
        <item m="1" x="6987"/>
        <item m="1" x="7485"/>
        <item m="1" x="7830"/>
        <item m="1" x="3741"/>
        <item m="1" x="4678"/>
        <item m="1" x="5578"/>
        <item m="1" x="6353"/>
        <item m="1" x="680"/>
        <item m="1" x="1110"/>
        <item m="1" x="1660"/>
        <item m="1" x="2413"/>
        <item m="1" x="3310"/>
        <item m="1" x="4283"/>
        <item m="1" x="5240"/>
        <item m="1" x="6102"/>
        <item m="1" x="6784"/>
        <item m="1" x="7306"/>
        <item m="1" x="1744"/>
        <item m="1" x="2520"/>
        <item m="1" x="3390"/>
        <item m="1" x="4356"/>
        <item m="1" x="5285"/>
        <item m="1" x="6145"/>
        <item m="1" x="6839"/>
        <item m="1" x="7365"/>
        <item m="1" x="7751"/>
        <item m="1" x="7968"/>
        <item m="1" x="3473"/>
        <item x="17"/>
        <item x="88"/>
        <item t="default"/>
      </items>
    </pivotField>
    <pivotField showAll="0">
      <items count="11">
        <item x="0"/>
        <item x="1"/>
        <item x="2"/>
        <item x="3"/>
        <item m="1" x="9"/>
        <item m="1" x="4"/>
        <item m="1" x="5"/>
        <item m="1" x="6"/>
        <item m="1" x="7"/>
        <item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8"/>
    <field x="9"/>
  </rowFields>
  <rowItems count="1801">
    <i>
      <x/>
    </i>
    <i r="1">
      <x v="7810"/>
    </i>
    <i r="1">
      <x v="7811"/>
    </i>
    <i r="1">
      <x v="7812"/>
    </i>
    <i r="1">
      <x v="7813"/>
    </i>
    <i r="1">
      <x v="7814"/>
    </i>
    <i r="1">
      <x v="7815"/>
    </i>
    <i r="1">
      <x v="7816"/>
    </i>
    <i r="1">
      <x v="7817"/>
    </i>
    <i r="1">
      <x v="7818"/>
    </i>
    <i r="1">
      <x v="7819"/>
    </i>
    <i r="1">
      <x v="7820"/>
    </i>
    <i r="1">
      <x v="7821"/>
    </i>
    <i r="1">
      <x v="7822"/>
    </i>
    <i r="1">
      <x v="7823"/>
    </i>
    <i r="1">
      <x v="7824"/>
    </i>
    <i r="1">
      <x v="7825"/>
    </i>
    <i r="1">
      <x v="7826"/>
    </i>
    <i r="1">
      <x v="7827"/>
    </i>
    <i r="1">
      <x v="7828"/>
    </i>
    <i r="1">
      <x v="7829"/>
    </i>
    <i r="1">
      <x v="7830"/>
    </i>
    <i r="1">
      <x v="7831"/>
    </i>
    <i r="1">
      <x v="7832"/>
    </i>
    <i r="1">
      <x v="7833"/>
    </i>
    <i r="1">
      <x v="7998"/>
    </i>
    <i>
      <x v="1"/>
    </i>
    <i r="1">
      <x v="7811"/>
    </i>
    <i r="1">
      <x v="7812"/>
    </i>
    <i r="1">
      <x v="7813"/>
    </i>
    <i r="1">
      <x v="7814"/>
    </i>
    <i r="1">
      <x v="7815"/>
    </i>
    <i r="1">
      <x v="7816"/>
    </i>
    <i r="1">
      <x v="7817"/>
    </i>
    <i r="1">
      <x v="7818"/>
    </i>
    <i r="1">
      <x v="7819"/>
    </i>
    <i r="1">
      <x v="7820"/>
    </i>
    <i r="1">
      <x v="7821"/>
    </i>
    <i r="1">
      <x v="7822"/>
    </i>
    <i r="1">
      <x v="7823"/>
    </i>
    <i r="1">
      <x v="7824"/>
    </i>
    <i r="1">
      <x v="7825"/>
    </i>
    <i r="1">
      <x v="7826"/>
    </i>
    <i r="1">
      <x v="7827"/>
    </i>
    <i r="1">
      <x v="7828"/>
    </i>
    <i r="1">
      <x v="7829"/>
    </i>
    <i r="1">
      <x v="7830"/>
    </i>
    <i r="1">
      <x v="7831"/>
    </i>
    <i r="1">
      <x v="7832"/>
    </i>
    <i r="1">
      <x v="7833"/>
    </i>
    <i r="1">
      <x v="7834"/>
    </i>
    <i r="1">
      <x v="7998"/>
    </i>
    <i>
      <x v="2"/>
    </i>
    <i r="1">
      <x v="7812"/>
    </i>
    <i r="1">
      <x v="7813"/>
    </i>
    <i r="1">
      <x v="7814"/>
    </i>
    <i r="1">
      <x v="7815"/>
    </i>
    <i r="1">
      <x v="7816"/>
    </i>
    <i r="1">
      <x v="7817"/>
    </i>
    <i r="1">
      <x v="7818"/>
    </i>
    <i r="1">
      <x v="7819"/>
    </i>
    <i r="1">
      <x v="7820"/>
    </i>
    <i r="1">
      <x v="7821"/>
    </i>
    <i r="1">
      <x v="7822"/>
    </i>
    <i r="1">
      <x v="7823"/>
    </i>
    <i r="1">
      <x v="7824"/>
    </i>
    <i r="1">
      <x v="7825"/>
    </i>
    <i r="1">
      <x v="7826"/>
    </i>
    <i r="1">
      <x v="7827"/>
    </i>
    <i r="1">
      <x v="7828"/>
    </i>
    <i r="1">
      <x v="7829"/>
    </i>
    <i r="1">
      <x v="7830"/>
    </i>
    <i r="1">
      <x v="7831"/>
    </i>
    <i r="1">
      <x v="7832"/>
    </i>
    <i r="1">
      <x v="7833"/>
    </i>
    <i r="1">
      <x v="7834"/>
    </i>
    <i r="1">
      <x v="7835"/>
    </i>
    <i r="1">
      <x v="7998"/>
    </i>
    <i>
      <x v="3"/>
    </i>
    <i r="1">
      <x v="7813"/>
    </i>
    <i r="1">
      <x v="7814"/>
    </i>
    <i r="1">
      <x v="7815"/>
    </i>
    <i r="1">
      <x v="7816"/>
    </i>
    <i r="1">
      <x v="7817"/>
    </i>
    <i r="1">
      <x v="7818"/>
    </i>
    <i r="1">
      <x v="7819"/>
    </i>
    <i r="1">
      <x v="7820"/>
    </i>
    <i r="1">
      <x v="7821"/>
    </i>
    <i r="1">
      <x v="7822"/>
    </i>
    <i r="1">
      <x v="7823"/>
    </i>
    <i r="1">
      <x v="7824"/>
    </i>
    <i r="1">
      <x v="7825"/>
    </i>
    <i r="1">
      <x v="7826"/>
    </i>
    <i r="1">
      <x v="7827"/>
    </i>
    <i r="1">
      <x v="7828"/>
    </i>
    <i r="1">
      <x v="7829"/>
    </i>
    <i r="1">
      <x v="7830"/>
    </i>
    <i r="1">
      <x v="7831"/>
    </i>
    <i r="1">
      <x v="7832"/>
    </i>
    <i r="1">
      <x v="7833"/>
    </i>
    <i r="1">
      <x v="7834"/>
    </i>
    <i r="1">
      <x v="7835"/>
    </i>
    <i r="1">
      <x v="7836"/>
    </i>
    <i r="1">
      <x v="7998"/>
    </i>
    <i>
      <x v="4"/>
    </i>
    <i r="1">
      <x v="7814"/>
    </i>
    <i r="1">
      <x v="7815"/>
    </i>
    <i r="1">
      <x v="7816"/>
    </i>
    <i r="1">
      <x v="7817"/>
    </i>
    <i r="1">
      <x v="7818"/>
    </i>
    <i r="1">
      <x v="7819"/>
    </i>
    <i r="1">
      <x v="7820"/>
    </i>
    <i r="1">
      <x v="7821"/>
    </i>
    <i r="1">
      <x v="7822"/>
    </i>
    <i r="1">
      <x v="7823"/>
    </i>
    <i r="1">
      <x v="7824"/>
    </i>
    <i r="1">
      <x v="7825"/>
    </i>
    <i r="1">
      <x v="7826"/>
    </i>
    <i r="1">
      <x v="7827"/>
    </i>
    <i r="1">
      <x v="7828"/>
    </i>
    <i r="1">
      <x v="7829"/>
    </i>
    <i r="1">
      <x v="7830"/>
    </i>
    <i r="1">
      <x v="7831"/>
    </i>
    <i r="1">
      <x v="7832"/>
    </i>
    <i r="1">
      <x v="7833"/>
    </i>
    <i r="1">
      <x v="7834"/>
    </i>
    <i r="1">
      <x v="7835"/>
    </i>
    <i r="1">
      <x v="7836"/>
    </i>
    <i r="1">
      <x v="7837"/>
    </i>
    <i r="1">
      <x v="7998"/>
    </i>
    <i>
      <x v="5"/>
    </i>
    <i r="1">
      <x v="7815"/>
    </i>
    <i r="1">
      <x v="7816"/>
    </i>
    <i r="1">
      <x v="7817"/>
    </i>
    <i r="1">
      <x v="7818"/>
    </i>
    <i r="1">
      <x v="7819"/>
    </i>
    <i r="1">
      <x v="7820"/>
    </i>
    <i r="1">
      <x v="7821"/>
    </i>
    <i r="1">
      <x v="7822"/>
    </i>
    <i r="1">
      <x v="7823"/>
    </i>
    <i r="1">
      <x v="7824"/>
    </i>
    <i r="1">
      <x v="7825"/>
    </i>
    <i r="1">
      <x v="7826"/>
    </i>
    <i r="1">
      <x v="7827"/>
    </i>
    <i r="1">
      <x v="7828"/>
    </i>
    <i r="1">
      <x v="7829"/>
    </i>
    <i r="1">
      <x v="7830"/>
    </i>
    <i r="1">
      <x v="7831"/>
    </i>
    <i r="1">
      <x v="7832"/>
    </i>
    <i r="1">
      <x v="7833"/>
    </i>
    <i r="1">
      <x v="7834"/>
    </i>
    <i r="1">
      <x v="7835"/>
    </i>
    <i r="1">
      <x v="7836"/>
    </i>
    <i r="1">
      <x v="7837"/>
    </i>
    <i r="1">
      <x v="7838"/>
    </i>
    <i r="1">
      <x v="7998"/>
    </i>
    <i>
      <x v="6"/>
    </i>
    <i r="1">
      <x v="7816"/>
    </i>
    <i r="1">
      <x v="7817"/>
    </i>
    <i r="1">
      <x v="7818"/>
    </i>
    <i r="1">
      <x v="7819"/>
    </i>
    <i r="1">
      <x v="7820"/>
    </i>
    <i r="1">
      <x v="7821"/>
    </i>
    <i r="1">
      <x v="7822"/>
    </i>
    <i r="1">
      <x v="7823"/>
    </i>
    <i r="1">
      <x v="7824"/>
    </i>
    <i r="1">
      <x v="7825"/>
    </i>
    <i r="1">
      <x v="7826"/>
    </i>
    <i r="1">
      <x v="7827"/>
    </i>
    <i r="1">
      <x v="7828"/>
    </i>
    <i r="1">
      <x v="7829"/>
    </i>
    <i r="1">
      <x v="7830"/>
    </i>
    <i r="1">
      <x v="7831"/>
    </i>
    <i r="1">
      <x v="7832"/>
    </i>
    <i r="1">
      <x v="7833"/>
    </i>
    <i r="1">
      <x v="7834"/>
    </i>
    <i r="1">
      <x v="7835"/>
    </i>
    <i r="1">
      <x v="7836"/>
    </i>
    <i r="1">
      <x v="7837"/>
    </i>
    <i r="1">
      <x v="7838"/>
    </i>
    <i r="1">
      <x v="7839"/>
    </i>
    <i r="1">
      <x v="7998"/>
    </i>
    <i>
      <x v="7"/>
    </i>
    <i r="1">
      <x v="7817"/>
    </i>
    <i r="1">
      <x v="7818"/>
    </i>
    <i r="1">
      <x v="7819"/>
    </i>
    <i r="1">
      <x v="7820"/>
    </i>
    <i r="1">
      <x v="7821"/>
    </i>
    <i r="1">
      <x v="7822"/>
    </i>
    <i r="1">
      <x v="7823"/>
    </i>
    <i r="1">
      <x v="7824"/>
    </i>
    <i r="1">
      <x v="7825"/>
    </i>
    <i r="1">
      <x v="7826"/>
    </i>
    <i r="1">
      <x v="7827"/>
    </i>
    <i r="1">
      <x v="7828"/>
    </i>
    <i r="1">
      <x v="7829"/>
    </i>
    <i r="1">
      <x v="7830"/>
    </i>
    <i r="1">
      <x v="7831"/>
    </i>
    <i r="1">
      <x v="7832"/>
    </i>
    <i r="1">
      <x v="7833"/>
    </i>
    <i r="1">
      <x v="7834"/>
    </i>
    <i r="1">
      <x v="7835"/>
    </i>
    <i r="1">
      <x v="7836"/>
    </i>
    <i r="1">
      <x v="7837"/>
    </i>
    <i r="1">
      <x v="7838"/>
    </i>
    <i r="1">
      <x v="7839"/>
    </i>
    <i r="1">
      <x v="7840"/>
    </i>
    <i r="1">
      <x v="7998"/>
    </i>
    <i>
      <x v="8"/>
    </i>
    <i r="1">
      <x v="7818"/>
    </i>
    <i r="1">
      <x v="7819"/>
    </i>
    <i r="1">
      <x v="7820"/>
    </i>
    <i r="1">
      <x v="7821"/>
    </i>
    <i r="1">
      <x v="7822"/>
    </i>
    <i r="1">
      <x v="7823"/>
    </i>
    <i r="1">
      <x v="7824"/>
    </i>
    <i r="1">
      <x v="7825"/>
    </i>
    <i r="1">
      <x v="7826"/>
    </i>
    <i r="1">
      <x v="7827"/>
    </i>
    <i r="1">
      <x v="7828"/>
    </i>
    <i r="1">
      <x v="7829"/>
    </i>
    <i r="1">
      <x v="7830"/>
    </i>
    <i r="1">
      <x v="7831"/>
    </i>
    <i r="1">
      <x v="7832"/>
    </i>
    <i r="1">
      <x v="7833"/>
    </i>
    <i r="1">
      <x v="7834"/>
    </i>
    <i r="1">
      <x v="7835"/>
    </i>
    <i r="1">
      <x v="7836"/>
    </i>
    <i r="1">
      <x v="7837"/>
    </i>
    <i r="1">
      <x v="7838"/>
    </i>
    <i r="1">
      <x v="7839"/>
    </i>
    <i r="1">
      <x v="7840"/>
    </i>
    <i r="1">
      <x v="7841"/>
    </i>
    <i r="1">
      <x v="7998"/>
    </i>
    <i>
      <x v="9"/>
    </i>
    <i r="1">
      <x v="7819"/>
    </i>
    <i r="1">
      <x v="7820"/>
    </i>
    <i r="1">
      <x v="7821"/>
    </i>
    <i r="1">
      <x v="7822"/>
    </i>
    <i r="1">
      <x v="7823"/>
    </i>
    <i r="1">
      <x v="7824"/>
    </i>
    <i r="1">
      <x v="7825"/>
    </i>
    <i r="1">
      <x v="7826"/>
    </i>
    <i r="1">
      <x v="7827"/>
    </i>
    <i r="1">
      <x v="7828"/>
    </i>
    <i r="1">
      <x v="7829"/>
    </i>
    <i r="1">
      <x v="7830"/>
    </i>
    <i r="1">
      <x v="7831"/>
    </i>
    <i r="1">
      <x v="7832"/>
    </i>
    <i r="1">
      <x v="7833"/>
    </i>
    <i r="1">
      <x v="7834"/>
    </i>
    <i r="1">
      <x v="7835"/>
    </i>
    <i r="1">
      <x v="7836"/>
    </i>
    <i r="1">
      <x v="7837"/>
    </i>
    <i r="1">
      <x v="7838"/>
    </i>
    <i r="1">
      <x v="7839"/>
    </i>
    <i r="1">
      <x v="7840"/>
    </i>
    <i r="1">
      <x v="7841"/>
    </i>
    <i r="1">
      <x v="7842"/>
    </i>
    <i r="1">
      <x v="7998"/>
    </i>
    <i>
      <x v="10"/>
    </i>
    <i r="1">
      <x v="7820"/>
    </i>
    <i r="1">
      <x v="7821"/>
    </i>
    <i r="1">
      <x v="7822"/>
    </i>
    <i r="1">
      <x v="7823"/>
    </i>
    <i r="1">
      <x v="7824"/>
    </i>
    <i r="1">
      <x v="7825"/>
    </i>
    <i r="1">
      <x v="7826"/>
    </i>
    <i r="1">
      <x v="7827"/>
    </i>
    <i r="1">
      <x v="7828"/>
    </i>
    <i r="1">
      <x v="7829"/>
    </i>
    <i r="1">
      <x v="7830"/>
    </i>
    <i r="1">
      <x v="7831"/>
    </i>
    <i r="1">
      <x v="7832"/>
    </i>
    <i r="1">
      <x v="7833"/>
    </i>
    <i r="1">
      <x v="7834"/>
    </i>
    <i r="1">
      <x v="7835"/>
    </i>
    <i r="1">
      <x v="7836"/>
    </i>
    <i r="1">
      <x v="7837"/>
    </i>
    <i r="1">
      <x v="7838"/>
    </i>
    <i r="1">
      <x v="7839"/>
    </i>
    <i r="1">
      <x v="7840"/>
    </i>
    <i r="1">
      <x v="7841"/>
    </i>
    <i r="1">
      <x v="7842"/>
    </i>
    <i r="1">
      <x v="7843"/>
    </i>
    <i r="1">
      <x v="7998"/>
    </i>
    <i>
      <x v="11"/>
    </i>
    <i r="1">
      <x v="7821"/>
    </i>
    <i r="1">
      <x v="7822"/>
    </i>
    <i r="1">
      <x v="7823"/>
    </i>
    <i r="1">
      <x v="7824"/>
    </i>
    <i r="1">
      <x v="7825"/>
    </i>
    <i r="1">
      <x v="7826"/>
    </i>
    <i r="1">
      <x v="7827"/>
    </i>
    <i r="1">
      <x v="7828"/>
    </i>
    <i r="1">
      <x v="7829"/>
    </i>
    <i r="1">
      <x v="7830"/>
    </i>
    <i r="1">
      <x v="7831"/>
    </i>
    <i r="1">
      <x v="7832"/>
    </i>
    <i r="1">
      <x v="7833"/>
    </i>
    <i r="1">
      <x v="7834"/>
    </i>
    <i r="1">
      <x v="7835"/>
    </i>
    <i r="1">
      <x v="7836"/>
    </i>
    <i r="1">
      <x v="7837"/>
    </i>
    <i r="1">
      <x v="7838"/>
    </i>
    <i r="1">
      <x v="7839"/>
    </i>
    <i r="1">
      <x v="7840"/>
    </i>
    <i r="1">
      <x v="7841"/>
    </i>
    <i r="1">
      <x v="7842"/>
    </i>
    <i r="1">
      <x v="7843"/>
    </i>
    <i r="1">
      <x v="7844"/>
    </i>
    <i r="1">
      <x v="7998"/>
    </i>
    <i>
      <x v="12"/>
    </i>
    <i r="1">
      <x v="7822"/>
    </i>
    <i r="1">
      <x v="7823"/>
    </i>
    <i r="1">
      <x v="7824"/>
    </i>
    <i r="1">
      <x v="7825"/>
    </i>
    <i r="1">
      <x v="7826"/>
    </i>
    <i r="1">
      <x v="7827"/>
    </i>
    <i r="1">
      <x v="7828"/>
    </i>
    <i r="1">
      <x v="7829"/>
    </i>
    <i r="1">
      <x v="7830"/>
    </i>
    <i r="1">
      <x v="7831"/>
    </i>
    <i r="1">
      <x v="7832"/>
    </i>
    <i r="1">
      <x v="7833"/>
    </i>
    <i r="1">
      <x v="7834"/>
    </i>
    <i r="1">
      <x v="7835"/>
    </i>
    <i r="1">
      <x v="7836"/>
    </i>
    <i r="1">
      <x v="7837"/>
    </i>
    <i r="1">
      <x v="7838"/>
    </i>
    <i r="1">
      <x v="7839"/>
    </i>
    <i r="1">
      <x v="7840"/>
    </i>
    <i r="1">
      <x v="7841"/>
    </i>
    <i r="1">
      <x v="7842"/>
    </i>
    <i r="1">
      <x v="7843"/>
    </i>
    <i r="1">
      <x v="7844"/>
    </i>
    <i r="1">
      <x v="7845"/>
    </i>
    <i r="1">
      <x v="7998"/>
    </i>
    <i>
      <x v="13"/>
    </i>
    <i r="1">
      <x v="7823"/>
    </i>
    <i r="1">
      <x v="7824"/>
    </i>
    <i r="1">
      <x v="7825"/>
    </i>
    <i r="1">
      <x v="7826"/>
    </i>
    <i r="1">
      <x v="7827"/>
    </i>
    <i r="1">
      <x v="7828"/>
    </i>
    <i r="1">
      <x v="7829"/>
    </i>
    <i r="1">
      <x v="7830"/>
    </i>
    <i r="1">
      <x v="7831"/>
    </i>
    <i r="1">
      <x v="7832"/>
    </i>
    <i r="1">
      <x v="7833"/>
    </i>
    <i r="1">
      <x v="7834"/>
    </i>
    <i r="1">
      <x v="7835"/>
    </i>
    <i r="1">
      <x v="7836"/>
    </i>
    <i r="1">
      <x v="7837"/>
    </i>
    <i r="1">
      <x v="7838"/>
    </i>
    <i r="1">
      <x v="7839"/>
    </i>
    <i r="1">
      <x v="7840"/>
    </i>
    <i r="1">
      <x v="7841"/>
    </i>
    <i r="1">
      <x v="7842"/>
    </i>
    <i r="1">
      <x v="7843"/>
    </i>
    <i r="1">
      <x v="7844"/>
    </i>
    <i r="1">
      <x v="7845"/>
    </i>
    <i r="1">
      <x v="7846"/>
    </i>
    <i r="1">
      <x v="7998"/>
    </i>
    <i>
      <x v="14"/>
    </i>
    <i r="1">
      <x v="7824"/>
    </i>
    <i r="1">
      <x v="7825"/>
    </i>
    <i r="1">
      <x v="7826"/>
    </i>
    <i r="1">
      <x v="7827"/>
    </i>
    <i r="1">
      <x v="7828"/>
    </i>
    <i r="1">
      <x v="7829"/>
    </i>
    <i r="1">
      <x v="7830"/>
    </i>
    <i r="1">
      <x v="7831"/>
    </i>
    <i r="1">
      <x v="7832"/>
    </i>
    <i r="1">
      <x v="7833"/>
    </i>
    <i r="1">
      <x v="7834"/>
    </i>
    <i r="1">
      <x v="7835"/>
    </i>
    <i r="1">
      <x v="7836"/>
    </i>
    <i r="1">
      <x v="7837"/>
    </i>
    <i r="1">
      <x v="7838"/>
    </i>
    <i r="1">
      <x v="7839"/>
    </i>
    <i r="1">
      <x v="7840"/>
    </i>
    <i r="1">
      <x v="7841"/>
    </i>
    <i r="1">
      <x v="7842"/>
    </i>
    <i r="1">
      <x v="7843"/>
    </i>
    <i r="1">
      <x v="7844"/>
    </i>
    <i r="1">
      <x v="7845"/>
    </i>
    <i r="1">
      <x v="7846"/>
    </i>
    <i r="1">
      <x v="7847"/>
    </i>
    <i r="1">
      <x v="7998"/>
    </i>
    <i>
      <x v="15"/>
    </i>
    <i r="1">
      <x v="7825"/>
    </i>
    <i r="1">
      <x v="7826"/>
    </i>
    <i r="1">
      <x v="7827"/>
    </i>
    <i r="1">
      <x v="7828"/>
    </i>
    <i r="1">
      <x v="7829"/>
    </i>
    <i r="1">
      <x v="7830"/>
    </i>
    <i r="1">
      <x v="7831"/>
    </i>
    <i r="1">
      <x v="7832"/>
    </i>
    <i r="1">
      <x v="7833"/>
    </i>
    <i r="1">
      <x v="7834"/>
    </i>
    <i r="1">
      <x v="7835"/>
    </i>
    <i r="1">
      <x v="7836"/>
    </i>
    <i r="1">
      <x v="7837"/>
    </i>
    <i r="1">
      <x v="7838"/>
    </i>
    <i r="1">
      <x v="7839"/>
    </i>
    <i r="1">
      <x v="7840"/>
    </i>
    <i r="1">
      <x v="7841"/>
    </i>
    <i r="1">
      <x v="7842"/>
    </i>
    <i r="1">
      <x v="7843"/>
    </i>
    <i r="1">
      <x v="7844"/>
    </i>
    <i r="1">
      <x v="7845"/>
    </i>
    <i r="1">
      <x v="7846"/>
    </i>
    <i r="1">
      <x v="7847"/>
    </i>
    <i r="1">
      <x v="7848"/>
    </i>
    <i r="1">
      <x v="7998"/>
    </i>
    <i>
      <x v="16"/>
    </i>
    <i r="1">
      <x v="7826"/>
    </i>
    <i r="1">
      <x v="7827"/>
    </i>
    <i r="1">
      <x v="7828"/>
    </i>
    <i r="1">
      <x v="7829"/>
    </i>
    <i r="1">
      <x v="7830"/>
    </i>
    <i r="1">
      <x v="7831"/>
    </i>
    <i r="1">
      <x v="7832"/>
    </i>
    <i r="1">
      <x v="7833"/>
    </i>
    <i r="1">
      <x v="7834"/>
    </i>
    <i r="1">
      <x v="7835"/>
    </i>
    <i r="1">
      <x v="7836"/>
    </i>
    <i r="1">
      <x v="7837"/>
    </i>
    <i r="1">
      <x v="7838"/>
    </i>
    <i r="1">
      <x v="7839"/>
    </i>
    <i r="1">
      <x v="7840"/>
    </i>
    <i r="1">
      <x v="7841"/>
    </i>
    <i r="1">
      <x v="7842"/>
    </i>
    <i r="1">
      <x v="7843"/>
    </i>
    <i r="1">
      <x v="7844"/>
    </i>
    <i r="1">
      <x v="7845"/>
    </i>
    <i r="1">
      <x v="7846"/>
    </i>
    <i r="1">
      <x v="7847"/>
    </i>
    <i r="1">
      <x v="7848"/>
    </i>
    <i r="1">
      <x v="7849"/>
    </i>
    <i r="1">
      <x v="7998"/>
    </i>
    <i>
      <x v="17"/>
    </i>
    <i r="1">
      <x v="7827"/>
    </i>
    <i r="1">
      <x v="7828"/>
    </i>
    <i r="1">
      <x v="7829"/>
    </i>
    <i r="1">
      <x v="7830"/>
    </i>
    <i r="1">
      <x v="7831"/>
    </i>
    <i r="1">
      <x v="7832"/>
    </i>
    <i r="1">
      <x v="7833"/>
    </i>
    <i r="1">
      <x v="7834"/>
    </i>
    <i r="1">
      <x v="7835"/>
    </i>
    <i r="1">
      <x v="7836"/>
    </i>
    <i r="1">
      <x v="7837"/>
    </i>
    <i r="1">
      <x v="7838"/>
    </i>
    <i r="1">
      <x v="7839"/>
    </i>
    <i r="1">
      <x v="7840"/>
    </i>
    <i r="1">
      <x v="7841"/>
    </i>
    <i r="1">
      <x v="7842"/>
    </i>
    <i r="1">
      <x v="7843"/>
    </i>
    <i r="1">
      <x v="7844"/>
    </i>
    <i r="1">
      <x v="7845"/>
    </i>
    <i r="1">
      <x v="7846"/>
    </i>
    <i r="1">
      <x v="7847"/>
    </i>
    <i r="1">
      <x v="7848"/>
    </i>
    <i r="1">
      <x v="7849"/>
    </i>
    <i r="1">
      <x v="7850"/>
    </i>
    <i r="1">
      <x v="7998"/>
    </i>
    <i>
      <x v="18"/>
    </i>
    <i r="1">
      <x v="7827"/>
    </i>
    <i r="1">
      <x v="7828"/>
    </i>
    <i r="1">
      <x v="7829"/>
    </i>
    <i r="1">
      <x v="7830"/>
    </i>
    <i r="1">
      <x v="7831"/>
    </i>
    <i r="1">
      <x v="7832"/>
    </i>
    <i r="1">
      <x v="7833"/>
    </i>
    <i r="1">
      <x v="7834"/>
    </i>
    <i r="1">
      <x v="7835"/>
    </i>
    <i r="1">
      <x v="7836"/>
    </i>
    <i r="1">
      <x v="7837"/>
    </i>
    <i r="1">
      <x v="7838"/>
    </i>
    <i r="1">
      <x v="7839"/>
    </i>
    <i r="1">
      <x v="7840"/>
    </i>
    <i r="1">
      <x v="7841"/>
    </i>
    <i r="1">
      <x v="7842"/>
    </i>
    <i r="1">
      <x v="7843"/>
    </i>
    <i r="1">
      <x v="7844"/>
    </i>
    <i r="1">
      <x v="7845"/>
    </i>
    <i r="1">
      <x v="7846"/>
    </i>
    <i r="1">
      <x v="7847"/>
    </i>
    <i r="1">
      <x v="7848"/>
    </i>
    <i r="1">
      <x v="7849"/>
    </i>
    <i r="1">
      <x v="7850"/>
    </i>
    <i r="1">
      <x v="7851"/>
    </i>
    <i>
      <x v="19"/>
    </i>
    <i r="1">
      <x v="7828"/>
    </i>
    <i r="1">
      <x v="7829"/>
    </i>
    <i r="1">
      <x v="7830"/>
    </i>
    <i r="1">
      <x v="7831"/>
    </i>
    <i r="1">
      <x v="7832"/>
    </i>
    <i r="1">
      <x v="7833"/>
    </i>
    <i r="1">
      <x v="7834"/>
    </i>
    <i r="1">
      <x v="7835"/>
    </i>
    <i r="1">
      <x v="7836"/>
    </i>
    <i r="1">
      <x v="7837"/>
    </i>
    <i r="1">
      <x v="7838"/>
    </i>
    <i r="1">
      <x v="7839"/>
    </i>
    <i r="1">
      <x v="7840"/>
    </i>
    <i r="1">
      <x v="7841"/>
    </i>
    <i r="1">
      <x v="7842"/>
    </i>
    <i r="1">
      <x v="7843"/>
    </i>
    <i r="1">
      <x v="7844"/>
    </i>
    <i r="1">
      <x v="7845"/>
    </i>
    <i r="1">
      <x v="7846"/>
    </i>
    <i r="1">
      <x v="7847"/>
    </i>
    <i r="1">
      <x v="7848"/>
    </i>
    <i r="1">
      <x v="7849"/>
    </i>
    <i r="1">
      <x v="7850"/>
    </i>
    <i r="1">
      <x v="7851"/>
    </i>
    <i r="1">
      <x v="7852"/>
    </i>
    <i>
      <x v="20"/>
    </i>
    <i r="1">
      <x v="7829"/>
    </i>
    <i r="1">
      <x v="7830"/>
    </i>
    <i r="1">
      <x v="7831"/>
    </i>
    <i r="1">
      <x v="7832"/>
    </i>
    <i r="1">
      <x v="7833"/>
    </i>
    <i r="1">
      <x v="7834"/>
    </i>
    <i r="1">
      <x v="7835"/>
    </i>
    <i r="1">
      <x v="7836"/>
    </i>
    <i r="1">
      <x v="7837"/>
    </i>
    <i r="1">
      <x v="7838"/>
    </i>
    <i r="1">
      <x v="7839"/>
    </i>
    <i r="1">
      <x v="7840"/>
    </i>
    <i r="1">
      <x v="7841"/>
    </i>
    <i r="1">
      <x v="7842"/>
    </i>
    <i r="1">
      <x v="7843"/>
    </i>
    <i r="1">
      <x v="7844"/>
    </i>
    <i r="1">
      <x v="7845"/>
    </i>
    <i r="1">
      <x v="7846"/>
    </i>
    <i r="1">
      <x v="7847"/>
    </i>
    <i r="1">
      <x v="7848"/>
    </i>
    <i r="1">
      <x v="7849"/>
    </i>
    <i r="1">
      <x v="7850"/>
    </i>
    <i r="1">
      <x v="7851"/>
    </i>
    <i r="1">
      <x v="7852"/>
    </i>
    <i r="1">
      <x v="7853"/>
    </i>
    <i>
      <x v="21"/>
    </i>
    <i r="1">
      <x v="7830"/>
    </i>
    <i r="1">
      <x v="7831"/>
    </i>
    <i r="1">
      <x v="7832"/>
    </i>
    <i r="1">
      <x v="7833"/>
    </i>
    <i r="1">
      <x v="7834"/>
    </i>
    <i r="1">
      <x v="7835"/>
    </i>
    <i r="1">
      <x v="7836"/>
    </i>
    <i r="1">
      <x v="7837"/>
    </i>
    <i r="1">
      <x v="7838"/>
    </i>
    <i r="1">
      <x v="7839"/>
    </i>
    <i r="1">
      <x v="7840"/>
    </i>
    <i r="1">
      <x v="7841"/>
    </i>
    <i r="1">
      <x v="7842"/>
    </i>
    <i r="1">
      <x v="7843"/>
    </i>
    <i r="1">
      <x v="7844"/>
    </i>
    <i r="1">
      <x v="7845"/>
    </i>
    <i r="1">
      <x v="7846"/>
    </i>
    <i r="1">
      <x v="7847"/>
    </i>
    <i r="1">
      <x v="7848"/>
    </i>
    <i r="1">
      <x v="7849"/>
    </i>
    <i r="1">
      <x v="7850"/>
    </i>
    <i r="1">
      <x v="7851"/>
    </i>
    <i r="1">
      <x v="7852"/>
    </i>
    <i r="1">
      <x v="7853"/>
    </i>
    <i r="1">
      <x v="7854"/>
    </i>
    <i>
      <x v="22"/>
    </i>
    <i r="1">
      <x v="7831"/>
    </i>
    <i r="1">
      <x v="7832"/>
    </i>
    <i r="1">
      <x v="7833"/>
    </i>
    <i r="1">
      <x v="7834"/>
    </i>
    <i r="1">
      <x v="7835"/>
    </i>
    <i r="1">
      <x v="7836"/>
    </i>
    <i r="1">
      <x v="7837"/>
    </i>
    <i r="1">
      <x v="7838"/>
    </i>
    <i r="1">
      <x v="7839"/>
    </i>
    <i r="1">
      <x v="7840"/>
    </i>
    <i r="1">
      <x v="7841"/>
    </i>
    <i r="1">
      <x v="7842"/>
    </i>
    <i r="1">
      <x v="7843"/>
    </i>
    <i r="1">
      <x v="7844"/>
    </i>
    <i r="1">
      <x v="7845"/>
    </i>
    <i r="1">
      <x v="7846"/>
    </i>
    <i r="1">
      <x v="7847"/>
    </i>
    <i r="1">
      <x v="7848"/>
    </i>
    <i r="1">
      <x v="7849"/>
    </i>
    <i r="1">
      <x v="7850"/>
    </i>
    <i r="1">
      <x v="7851"/>
    </i>
    <i r="1">
      <x v="7852"/>
    </i>
    <i r="1">
      <x v="7853"/>
    </i>
    <i r="1">
      <x v="7854"/>
    </i>
    <i r="1">
      <x v="7855"/>
    </i>
    <i>
      <x v="23"/>
    </i>
    <i r="1">
      <x v="7832"/>
    </i>
    <i r="1">
      <x v="7833"/>
    </i>
    <i r="1">
      <x v="7834"/>
    </i>
    <i r="1">
      <x v="7835"/>
    </i>
    <i r="1">
      <x v="7836"/>
    </i>
    <i r="1">
      <x v="7837"/>
    </i>
    <i r="1">
      <x v="7838"/>
    </i>
    <i r="1">
      <x v="7839"/>
    </i>
    <i r="1">
      <x v="7840"/>
    </i>
    <i r="1">
      <x v="7841"/>
    </i>
    <i r="1">
      <x v="7842"/>
    </i>
    <i r="1">
      <x v="7843"/>
    </i>
    <i r="1">
      <x v="7844"/>
    </i>
    <i r="1">
      <x v="7845"/>
    </i>
    <i r="1">
      <x v="7846"/>
    </i>
    <i r="1">
      <x v="7847"/>
    </i>
    <i r="1">
      <x v="7848"/>
    </i>
    <i r="1">
      <x v="7849"/>
    </i>
    <i r="1">
      <x v="7850"/>
    </i>
    <i r="1">
      <x v="7851"/>
    </i>
    <i r="1">
      <x v="7852"/>
    </i>
    <i r="1">
      <x v="7853"/>
    </i>
    <i r="1">
      <x v="7854"/>
    </i>
    <i r="1">
      <x v="7855"/>
    </i>
    <i r="1">
      <x v="7856"/>
    </i>
    <i>
      <x v="24"/>
    </i>
    <i r="1">
      <x v="7833"/>
    </i>
    <i r="1">
      <x v="7834"/>
    </i>
    <i r="1">
      <x v="7835"/>
    </i>
    <i r="1">
      <x v="7836"/>
    </i>
    <i r="1">
      <x v="7837"/>
    </i>
    <i r="1">
      <x v="7838"/>
    </i>
    <i r="1">
      <x v="7839"/>
    </i>
    <i r="1">
      <x v="7840"/>
    </i>
    <i r="1">
      <x v="7841"/>
    </i>
    <i r="1">
      <x v="7842"/>
    </i>
    <i r="1">
      <x v="7843"/>
    </i>
    <i r="1">
      <x v="7844"/>
    </i>
    <i r="1">
      <x v="7845"/>
    </i>
    <i r="1">
      <x v="7846"/>
    </i>
    <i r="1">
      <x v="7847"/>
    </i>
    <i r="1">
      <x v="7848"/>
    </i>
    <i r="1">
      <x v="7849"/>
    </i>
    <i r="1">
      <x v="7850"/>
    </i>
    <i r="1">
      <x v="7851"/>
    </i>
    <i r="1">
      <x v="7852"/>
    </i>
    <i r="1">
      <x v="7853"/>
    </i>
    <i r="1">
      <x v="7854"/>
    </i>
    <i r="1">
      <x v="7855"/>
    </i>
    <i r="1">
      <x v="7856"/>
    </i>
    <i r="1">
      <x v="7857"/>
    </i>
    <i>
      <x v="25"/>
    </i>
    <i r="1">
      <x v="7834"/>
    </i>
    <i r="1">
      <x v="7835"/>
    </i>
    <i r="1">
      <x v="7836"/>
    </i>
    <i r="1">
      <x v="7837"/>
    </i>
    <i r="1">
      <x v="7838"/>
    </i>
    <i r="1">
      <x v="7839"/>
    </i>
    <i r="1">
      <x v="7840"/>
    </i>
    <i r="1">
      <x v="7841"/>
    </i>
    <i r="1">
      <x v="7842"/>
    </i>
    <i r="1">
      <x v="7843"/>
    </i>
    <i r="1">
      <x v="7844"/>
    </i>
    <i r="1">
      <x v="7845"/>
    </i>
    <i r="1">
      <x v="7846"/>
    </i>
    <i r="1">
      <x v="7847"/>
    </i>
    <i r="1">
      <x v="7848"/>
    </i>
    <i r="1">
      <x v="7849"/>
    </i>
    <i r="1">
      <x v="7850"/>
    </i>
    <i r="1">
      <x v="7851"/>
    </i>
    <i r="1">
      <x v="7852"/>
    </i>
    <i r="1">
      <x v="7853"/>
    </i>
    <i r="1">
      <x v="7854"/>
    </i>
    <i r="1">
      <x v="7855"/>
    </i>
    <i r="1">
      <x v="7856"/>
    </i>
    <i r="1">
      <x v="7857"/>
    </i>
    <i r="1">
      <x v="7858"/>
    </i>
    <i>
      <x v="26"/>
    </i>
    <i r="1">
      <x v="7835"/>
    </i>
    <i r="1">
      <x v="7836"/>
    </i>
    <i r="1">
      <x v="7837"/>
    </i>
    <i r="1">
      <x v="7838"/>
    </i>
    <i r="1">
      <x v="7839"/>
    </i>
    <i r="1">
      <x v="7840"/>
    </i>
    <i r="1">
      <x v="7841"/>
    </i>
    <i r="1">
      <x v="7842"/>
    </i>
    <i r="1">
      <x v="7843"/>
    </i>
    <i r="1">
      <x v="7844"/>
    </i>
    <i r="1">
      <x v="7845"/>
    </i>
    <i r="1">
      <x v="7846"/>
    </i>
    <i r="1">
      <x v="7847"/>
    </i>
    <i r="1">
      <x v="7848"/>
    </i>
    <i r="1">
      <x v="7849"/>
    </i>
    <i r="1">
      <x v="7850"/>
    </i>
    <i r="1">
      <x v="7851"/>
    </i>
    <i r="1">
      <x v="7852"/>
    </i>
    <i r="1">
      <x v="7853"/>
    </i>
    <i r="1">
      <x v="7854"/>
    </i>
    <i r="1">
      <x v="7855"/>
    </i>
    <i r="1">
      <x v="7856"/>
    </i>
    <i r="1">
      <x v="7857"/>
    </i>
    <i r="1">
      <x v="7858"/>
    </i>
    <i r="1">
      <x v="7859"/>
    </i>
    <i>
      <x v="27"/>
    </i>
    <i r="1">
      <x v="7836"/>
    </i>
    <i r="1">
      <x v="7837"/>
    </i>
    <i r="1">
      <x v="7838"/>
    </i>
    <i r="1">
      <x v="7839"/>
    </i>
    <i r="1">
      <x v="7840"/>
    </i>
    <i r="1">
      <x v="7841"/>
    </i>
    <i r="1">
      <x v="7842"/>
    </i>
    <i r="1">
      <x v="7843"/>
    </i>
    <i r="1">
      <x v="7844"/>
    </i>
    <i r="1">
      <x v="7845"/>
    </i>
    <i r="1">
      <x v="7846"/>
    </i>
    <i r="1">
      <x v="7847"/>
    </i>
    <i r="1">
      <x v="7848"/>
    </i>
    <i r="1">
      <x v="7849"/>
    </i>
    <i r="1">
      <x v="7850"/>
    </i>
    <i r="1">
      <x v="7851"/>
    </i>
    <i r="1">
      <x v="7852"/>
    </i>
    <i r="1">
      <x v="7853"/>
    </i>
    <i r="1">
      <x v="7854"/>
    </i>
    <i r="1">
      <x v="7855"/>
    </i>
    <i r="1">
      <x v="7856"/>
    </i>
    <i r="1">
      <x v="7857"/>
    </i>
    <i r="1">
      <x v="7858"/>
    </i>
    <i r="1">
      <x v="7859"/>
    </i>
    <i r="1">
      <x v="7860"/>
    </i>
    <i>
      <x v="28"/>
    </i>
    <i r="1">
      <x v="7837"/>
    </i>
    <i r="1">
      <x v="7838"/>
    </i>
    <i r="1">
      <x v="7839"/>
    </i>
    <i r="1">
      <x v="7840"/>
    </i>
    <i r="1">
      <x v="7841"/>
    </i>
    <i r="1">
      <x v="7842"/>
    </i>
    <i r="1">
      <x v="7843"/>
    </i>
    <i r="1">
      <x v="7844"/>
    </i>
    <i r="1">
      <x v="7845"/>
    </i>
    <i r="1">
      <x v="7846"/>
    </i>
    <i r="1">
      <x v="7847"/>
    </i>
    <i r="1">
      <x v="7848"/>
    </i>
    <i r="1">
      <x v="7849"/>
    </i>
    <i r="1">
      <x v="7850"/>
    </i>
    <i r="1">
      <x v="7851"/>
    </i>
    <i r="1">
      <x v="7852"/>
    </i>
    <i r="1">
      <x v="7853"/>
    </i>
    <i r="1">
      <x v="7854"/>
    </i>
    <i r="1">
      <x v="7855"/>
    </i>
    <i r="1">
      <x v="7856"/>
    </i>
    <i r="1">
      <x v="7857"/>
    </i>
    <i r="1">
      <x v="7858"/>
    </i>
    <i r="1">
      <x v="7859"/>
    </i>
    <i r="1">
      <x v="7860"/>
    </i>
    <i r="1">
      <x v="7861"/>
    </i>
    <i>
      <x v="29"/>
    </i>
    <i r="1">
      <x v="7838"/>
    </i>
    <i r="1">
      <x v="7839"/>
    </i>
    <i r="1">
      <x v="7840"/>
    </i>
    <i r="1">
      <x v="7841"/>
    </i>
    <i r="1">
      <x v="7842"/>
    </i>
    <i r="1">
      <x v="7843"/>
    </i>
    <i r="1">
      <x v="7844"/>
    </i>
    <i r="1">
      <x v="7845"/>
    </i>
    <i r="1">
      <x v="7846"/>
    </i>
    <i r="1">
      <x v="7847"/>
    </i>
    <i r="1">
      <x v="7848"/>
    </i>
    <i r="1">
      <x v="7849"/>
    </i>
    <i r="1">
      <x v="7850"/>
    </i>
    <i r="1">
      <x v="7851"/>
    </i>
    <i r="1">
      <x v="7852"/>
    </i>
    <i r="1">
      <x v="7853"/>
    </i>
    <i r="1">
      <x v="7854"/>
    </i>
    <i r="1">
      <x v="7855"/>
    </i>
    <i r="1">
      <x v="7856"/>
    </i>
    <i r="1">
      <x v="7857"/>
    </i>
    <i r="1">
      <x v="7858"/>
    </i>
    <i r="1">
      <x v="7859"/>
    </i>
    <i r="1">
      <x v="7860"/>
    </i>
    <i r="1">
      <x v="7861"/>
    </i>
    <i r="1">
      <x v="7862"/>
    </i>
    <i>
      <x v="30"/>
    </i>
    <i r="1">
      <x v="7839"/>
    </i>
    <i r="1">
      <x v="7840"/>
    </i>
    <i r="1">
      <x v="7841"/>
    </i>
    <i r="1">
      <x v="7842"/>
    </i>
    <i r="1">
      <x v="7843"/>
    </i>
    <i r="1">
      <x v="7844"/>
    </i>
    <i r="1">
      <x v="7845"/>
    </i>
    <i r="1">
      <x v="7846"/>
    </i>
    <i r="1">
      <x v="7847"/>
    </i>
    <i r="1">
      <x v="7848"/>
    </i>
    <i r="1">
      <x v="7849"/>
    </i>
    <i r="1">
      <x v="7850"/>
    </i>
    <i r="1">
      <x v="7851"/>
    </i>
    <i r="1">
      <x v="7852"/>
    </i>
    <i r="1">
      <x v="7853"/>
    </i>
    <i r="1">
      <x v="7854"/>
    </i>
    <i r="1">
      <x v="7855"/>
    </i>
    <i r="1">
      <x v="7856"/>
    </i>
    <i r="1">
      <x v="7857"/>
    </i>
    <i r="1">
      <x v="7858"/>
    </i>
    <i r="1">
      <x v="7859"/>
    </i>
    <i r="1">
      <x v="7860"/>
    </i>
    <i r="1">
      <x v="7861"/>
    </i>
    <i r="1">
      <x v="7862"/>
    </i>
    <i r="1">
      <x v="7863"/>
    </i>
    <i>
      <x v="31"/>
    </i>
    <i r="1">
      <x v="7840"/>
    </i>
    <i r="1">
      <x v="7841"/>
    </i>
    <i r="1">
      <x v="7842"/>
    </i>
    <i r="1">
      <x v="7843"/>
    </i>
    <i r="1">
      <x v="7844"/>
    </i>
    <i r="1">
      <x v="7845"/>
    </i>
    <i r="1">
      <x v="7846"/>
    </i>
    <i r="1">
      <x v="7847"/>
    </i>
    <i r="1">
      <x v="7848"/>
    </i>
    <i r="1">
      <x v="7849"/>
    </i>
    <i r="1">
      <x v="7850"/>
    </i>
    <i r="1">
      <x v="7851"/>
    </i>
    <i r="1">
      <x v="7852"/>
    </i>
    <i r="1">
      <x v="7853"/>
    </i>
    <i r="1">
      <x v="7854"/>
    </i>
    <i r="1">
      <x v="7855"/>
    </i>
    <i r="1">
      <x v="7856"/>
    </i>
    <i r="1">
      <x v="7857"/>
    </i>
    <i r="1">
      <x v="7858"/>
    </i>
    <i r="1">
      <x v="7859"/>
    </i>
    <i r="1">
      <x v="7860"/>
    </i>
    <i r="1">
      <x v="7861"/>
    </i>
    <i r="1">
      <x v="7862"/>
    </i>
    <i r="1">
      <x v="7863"/>
    </i>
    <i r="1">
      <x v="7864"/>
    </i>
    <i>
      <x v="32"/>
    </i>
    <i r="1">
      <x v="7841"/>
    </i>
    <i r="1">
      <x v="7842"/>
    </i>
    <i r="1">
      <x v="7843"/>
    </i>
    <i r="1">
      <x v="7844"/>
    </i>
    <i r="1">
      <x v="7845"/>
    </i>
    <i r="1">
      <x v="7846"/>
    </i>
    <i r="1">
      <x v="7847"/>
    </i>
    <i r="1">
      <x v="7848"/>
    </i>
    <i r="1">
      <x v="7849"/>
    </i>
    <i r="1">
      <x v="7850"/>
    </i>
    <i r="1">
      <x v="7851"/>
    </i>
    <i r="1">
      <x v="7852"/>
    </i>
    <i r="1">
      <x v="7853"/>
    </i>
    <i r="1">
      <x v="7854"/>
    </i>
    <i r="1">
      <x v="7855"/>
    </i>
    <i r="1">
      <x v="7856"/>
    </i>
    <i r="1">
      <x v="7857"/>
    </i>
    <i r="1">
      <x v="7858"/>
    </i>
    <i r="1">
      <x v="7859"/>
    </i>
    <i r="1">
      <x v="7860"/>
    </i>
    <i r="1">
      <x v="7861"/>
    </i>
    <i r="1">
      <x v="7862"/>
    </i>
    <i r="1">
      <x v="7863"/>
    </i>
    <i r="1">
      <x v="7864"/>
    </i>
    <i r="1">
      <x v="7865"/>
    </i>
    <i>
      <x v="33"/>
    </i>
    <i r="1">
      <x v="7842"/>
    </i>
    <i r="1">
      <x v="7843"/>
    </i>
    <i r="1">
      <x v="7844"/>
    </i>
    <i r="1">
      <x v="7845"/>
    </i>
    <i r="1">
      <x v="7846"/>
    </i>
    <i r="1">
      <x v="7847"/>
    </i>
    <i r="1">
      <x v="7848"/>
    </i>
    <i r="1">
      <x v="7849"/>
    </i>
    <i r="1">
      <x v="7850"/>
    </i>
    <i r="1">
      <x v="7851"/>
    </i>
    <i r="1">
      <x v="7852"/>
    </i>
    <i r="1">
      <x v="7853"/>
    </i>
    <i r="1">
      <x v="7854"/>
    </i>
    <i r="1">
      <x v="7855"/>
    </i>
    <i r="1">
      <x v="7856"/>
    </i>
    <i r="1">
      <x v="7857"/>
    </i>
    <i r="1">
      <x v="7858"/>
    </i>
    <i r="1">
      <x v="7859"/>
    </i>
    <i r="1">
      <x v="7860"/>
    </i>
    <i r="1">
      <x v="7861"/>
    </i>
    <i r="1">
      <x v="7862"/>
    </i>
    <i r="1">
      <x v="7863"/>
    </i>
    <i r="1">
      <x v="7864"/>
    </i>
    <i r="1">
      <x v="7865"/>
    </i>
    <i r="1">
      <x v="7866"/>
    </i>
    <i>
      <x v="34"/>
    </i>
    <i r="1">
      <x v="7843"/>
    </i>
    <i r="1">
      <x v="7844"/>
    </i>
    <i r="1">
      <x v="7845"/>
    </i>
    <i r="1">
      <x v="7846"/>
    </i>
    <i r="1">
      <x v="7847"/>
    </i>
    <i r="1">
      <x v="7848"/>
    </i>
    <i r="1">
      <x v="7849"/>
    </i>
    <i r="1">
      <x v="7850"/>
    </i>
    <i r="1">
      <x v="7851"/>
    </i>
    <i r="1">
      <x v="7852"/>
    </i>
    <i r="1">
      <x v="7853"/>
    </i>
    <i r="1">
      <x v="7854"/>
    </i>
    <i r="1">
      <x v="7855"/>
    </i>
    <i r="1">
      <x v="7856"/>
    </i>
    <i r="1">
      <x v="7857"/>
    </i>
    <i r="1">
      <x v="7858"/>
    </i>
    <i r="1">
      <x v="7859"/>
    </i>
    <i r="1">
      <x v="7860"/>
    </i>
    <i r="1">
      <x v="7861"/>
    </i>
    <i r="1">
      <x v="7862"/>
    </i>
    <i r="1">
      <x v="7863"/>
    </i>
    <i r="1">
      <x v="7864"/>
    </i>
    <i r="1">
      <x v="7865"/>
    </i>
    <i r="1">
      <x v="7866"/>
    </i>
    <i r="1">
      <x v="7867"/>
    </i>
    <i>
      <x v="35"/>
    </i>
    <i r="1">
      <x v="7844"/>
    </i>
    <i r="1">
      <x v="7845"/>
    </i>
    <i r="1">
      <x v="7846"/>
    </i>
    <i r="1">
      <x v="7847"/>
    </i>
    <i r="1">
      <x v="7848"/>
    </i>
    <i r="1">
      <x v="7849"/>
    </i>
    <i r="1">
      <x v="7850"/>
    </i>
    <i r="1">
      <x v="7851"/>
    </i>
    <i r="1">
      <x v="7852"/>
    </i>
    <i r="1">
      <x v="7853"/>
    </i>
    <i r="1">
      <x v="7854"/>
    </i>
    <i r="1">
      <x v="7855"/>
    </i>
    <i r="1">
      <x v="7856"/>
    </i>
    <i r="1">
      <x v="7857"/>
    </i>
    <i r="1">
      <x v="7858"/>
    </i>
    <i r="1">
      <x v="7859"/>
    </i>
    <i r="1">
      <x v="7860"/>
    </i>
    <i r="1">
      <x v="7861"/>
    </i>
    <i r="1">
      <x v="7862"/>
    </i>
    <i r="1">
      <x v="7863"/>
    </i>
    <i r="1">
      <x v="7864"/>
    </i>
    <i r="1">
      <x v="7865"/>
    </i>
    <i r="1">
      <x v="7866"/>
    </i>
    <i r="1">
      <x v="7867"/>
    </i>
    <i r="1">
      <x v="7868"/>
    </i>
    <i>
      <x v="36"/>
    </i>
    <i r="1">
      <x v="7845"/>
    </i>
    <i r="1">
      <x v="7846"/>
    </i>
    <i r="1">
      <x v="7847"/>
    </i>
    <i r="1">
      <x v="7848"/>
    </i>
    <i r="1">
      <x v="7849"/>
    </i>
    <i r="1">
      <x v="7850"/>
    </i>
    <i r="1">
      <x v="7851"/>
    </i>
    <i r="1">
      <x v="7852"/>
    </i>
    <i r="1">
      <x v="7853"/>
    </i>
    <i r="1">
      <x v="7854"/>
    </i>
    <i r="1">
      <x v="7855"/>
    </i>
    <i r="1">
      <x v="7856"/>
    </i>
    <i r="1">
      <x v="7857"/>
    </i>
    <i r="1">
      <x v="7858"/>
    </i>
    <i r="1">
      <x v="7859"/>
    </i>
    <i r="1">
      <x v="7860"/>
    </i>
    <i r="1">
      <x v="7861"/>
    </i>
    <i r="1">
      <x v="7862"/>
    </i>
    <i r="1">
      <x v="7863"/>
    </i>
    <i r="1">
      <x v="7864"/>
    </i>
    <i r="1">
      <x v="7865"/>
    </i>
    <i r="1">
      <x v="7866"/>
    </i>
    <i r="1">
      <x v="7867"/>
    </i>
    <i r="1">
      <x v="7868"/>
    </i>
    <i r="1">
      <x v="7869"/>
    </i>
    <i>
      <x v="37"/>
    </i>
    <i r="1">
      <x v="7846"/>
    </i>
    <i r="1">
      <x v="7847"/>
    </i>
    <i r="1">
      <x v="7848"/>
    </i>
    <i r="1">
      <x v="7849"/>
    </i>
    <i r="1">
      <x v="7850"/>
    </i>
    <i r="1">
      <x v="7851"/>
    </i>
    <i r="1">
      <x v="7852"/>
    </i>
    <i r="1">
      <x v="7853"/>
    </i>
    <i r="1">
      <x v="7854"/>
    </i>
    <i r="1">
      <x v="7855"/>
    </i>
    <i r="1">
      <x v="7856"/>
    </i>
    <i r="1">
      <x v="7857"/>
    </i>
    <i r="1">
      <x v="7858"/>
    </i>
    <i r="1">
      <x v="7859"/>
    </i>
    <i r="1">
      <x v="7860"/>
    </i>
    <i r="1">
      <x v="7861"/>
    </i>
    <i r="1">
      <x v="7862"/>
    </i>
    <i r="1">
      <x v="7863"/>
    </i>
    <i r="1">
      <x v="7864"/>
    </i>
    <i r="1">
      <x v="7865"/>
    </i>
    <i r="1">
      <x v="7866"/>
    </i>
    <i r="1">
      <x v="7867"/>
    </i>
    <i r="1">
      <x v="7868"/>
    </i>
    <i r="1">
      <x v="7869"/>
    </i>
    <i r="1">
      <x v="7870"/>
    </i>
    <i>
      <x v="38"/>
    </i>
    <i r="1">
      <x v="7847"/>
    </i>
    <i r="1">
      <x v="7848"/>
    </i>
    <i r="1">
      <x v="7849"/>
    </i>
    <i r="1">
      <x v="7850"/>
    </i>
    <i r="1">
      <x v="7851"/>
    </i>
    <i r="1">
      <x v="7852"/>
    </i>
    <i r="1">
      <x v="7853"/>
    </i>
    <i r="1">
      <x v="7854"/>
    </i>
    <i r="1">
      <x v="7855"/>
    </i>
    <i r="1">
      <x v="7856"/>
    </i>
    <i r="1">
      <x v="7857"/>
    </i>
    <i r="1">
      <x v="7858"/>
    </i>
    <i r="1">
      <x v="7859"/>
    </i>
    <i r="1">
      <x v="7860"/>
    </i>
    <i r="1">
      <x v="7861"/>
    </i>
    <i r="1">
      <x v="7862"/>
    </i>
    <i r="1">
      <x v="7863"/>
    </i>
    <i r="1">
      <x v="7864"/>
    </i>
    <i r="1">
      <x v="7865"/>
    </i>
    <i r="1">
      <x v="7866"/>
    </i>
    <i r="1">
      <x v="7867"/>
    </i>
    <i r="1">
      <x v="7868"/>
    </i>
    <i r="1">
      <x v="7869"/>
    </i>
    <i r="1">
      <x v="7870"/>
    </i>
    <i r="1">
      <x v="7871"/>
    </i>
    <i>
      <x v="39"/>
    </i>
    <i r="1">
      <x v="7848"/>
    </i>
    <i r="1">
      <x v="7849"/>
    </i>
    <i r="1">
      <x v="7850"/>
    </i>
    <i r="1">
      <x v="7851"/>
    </i>
    <i r="1">
      <x v="7852"/>
    </i>
    <i r="1">
      <x v="7853"/>
    </i>
    <i r="1">
      <x v="7854"/>
    </i>
    <i r="1">
      <x v="7855"/>
    </i>
    <i r="1">
      <x v="7856"/>
    </i>
    <i r="1">
      <x v="7857"/>
    </i>
    <i r="1">
      <x v="7858"/>
    </i>
    <i r="1">
      <x v="7859"/>
    </i>
    <i r="1">
      <x v="7860"/>
    </i>
    <i r="1">
      <x v="7861"/>
    </i>
    <i r="1">
      <x v="7862"/>
    </i>
    <i r="1">
      <x v="7863"/>
    </i>
    <i r="1">
      <x v="7864"/>
    </i>
    <i r="1">
      <x v="7865"/>
    </i>
    <i r="1">
      <x v="7866"/>
    </i>
    <i r="1">
      <x v="7867"/>
    </i>
    <i r="1">
      <x v="7868"/>
    </i>
    <i r="1">
      <x v="7869"/>
    </i>
    <i r="1">
      <x v="7870"/>
    </i>
    <i r="1">
      <x v="7871"/>
    </i>
    <i r="1">
      <x v="7872"/>
    </i>
    <i>
      <x v="40"/>
    </i>
    <i r="1">
      <x v="7849"/>
    </i>
    <i r="1">
      <x v="7850"/>
    </i>
    <i r="1">
      <x v="7851"/>
    </i>
    <i r="1">
      <x v="7852"/>
    </i>
    <i r="1">
      <x v="7853"/>
    </i>
    <i r="1">
      <x v="7854"/>
    </i>
    <i r="1">
      <x v="7855"/>
    </i>
    <i r="1">
      <x v="7856"/>
    </i>
    <i r="1">
      <x v="7857"/>
    </i>
    <i r="1">
      <x v="7858"/>
    </i>
    <i r="1">
      <x v="7859"/>
    </i>
    <i r="1">
      <x v="7860"/>
    </i>
    <i r="1">
      <x v="7861"/>
    </i>
    <i r="1">
      <x v="7862"/>
    </i>
    <i r="1">
      <x v="7863"/>
    </i>
    <i r="1">
      <x v="7864"/>
    </i>
    <i r="1">
      <x v="7865"/>
    </i>
    <i r="1">
      <x v="7866"/>
    </i>
    <i r="1">
      <x v="7867"/>
    </i>
    <i r="1">
      <x v="7868"/>
    </i>
    <i r="1">
      <x v="7869"/>
    </i>
    <i r="1">
      <x v="7870"/>
    </i>
    <i r="1">
      <x v="7871"/>
    </i>
    <i r="1">
      <x v="7872"/>
    </i>
    <i r="1">
      <x v="7873"/>
    </i>
    <i>
      <x v="41"/>
    </i>
    <i r="1">
      <x v="7850"/>
    </i>
    <i r="1">
      <x v="7851"/>
    </i>
    <i r="1">
      <x v="7852"/>
    </i>
    <i r="1">
      <x v="7853"/>
    </i>
    <i r="1">
      <x v="7854"/>
    </i>
    <i r="1">
      <x v="7855"/>
    </i>
    <i r="1">
      <x v="7856"/>
    </i>
    <i r="1">
      <x v="7857"/>
    </i>
    <i r="1">
      <x v="7858"/>
    </i>
    <i r="1">
      <x v="7859"/>
    </i>
    <i r="1">
      <x v="7860"/>
    </i>
    <i r="1">
      <x v="7861"/>
    </i>
    <i r="1">
      <x v="7862"/>
    </i>
    <i r="1">
      <x v="7863"/>
    </i>
    <i r="1">
      <x v="7864"/>
    </i>
    <i r="1">
      <x v="7865"/>
    </i>
    <i r="1">
      <x v="7866"/>
    </i>
    <i r="1">
      <x v="7867"/>
    </i>
    <i r="1">
      <x v="7868"/>
    </i>
    <i r="1">
      <x v="7869"/>
    </i>
    <i r="1">
      <x v="7870"/>
    </i>
    <i r="1">
      <x v="7871"/>
    </i>
    <i r="1">
      <x v="7872"/>
    </i>
    <i r="1">
      <x v="7873"/>
    </i>
    <i r="1">
      <x v="7874"/>
    </i>
    <i>
      <x v="42"/>
    </i>
    <i r="1">
      <x v="7851"/>
    </i>
    <i r="1">
      <x v="7852"/>
    </i>
    <i r="1">
      <x v="7853"/>
    </i>
    <i r="1">
      <x v="7854"/>
    </i>
    <i r="1">
      <x v="7855"/>
    </i>
    <i r="1">
      <x v="7856"/>
    </i>
    <i r="1">
      <x v="7857"/>
    </i>
    <i r="1">
      <x v="7858"/>
    </i>
    <i r="1">
      <x v="7859"/>
    </i>
    <i r="1">
      <x v="7860"/>
    </i>
    <i r="1">
      <x v="7861"/>
    </i>
    <i r="1">
      <x v="7862"/>
    </i>
    <i r="1">
      <x v="7863"/>
    </i>
    <i r="1">
      <x v="7864"/>
    </i>
    <i r="1">
      <x v="7865"/>
    </i>
    <i r="1">
      <x v="7866"/>
    </i>
    <i r="1">
      <x v="7867"/>
    </i>
    <i r="1">
      <x v="7868"/>
    </i>
    <i r="1">
      <x v="7869"/>
    </i>
    <i r="1">
      <x v="7870"/>
    </i>
    <i r="1">
      <x v="7871"/>
    </i>
    <i r="1">
      <x v="7872"/>
    </i>
    <i r="1">
      <x v="7873"/>
    </i>
    <i r="1">
      <x v="7874"/>
    </i>
    <i r="1">
      <x v="7875"/>
    </i>
    <i>
      <x v="43"/>
    </i>
    <i r="1">
      <x v="7852"/>
    </i>
    <i r="1">
      <x v="7853"/>
    </i>
    <i r="1">
      <x v="7854"/>
    </i>
    <i r="1">
      <x v="7855"/>
    </i>
    <i r="1">
      <x v="7856"/>
    </i>
    <i r="1">
      <x v="7857"/>
    </i>
    <i r="1">
      <x v="7858"/>
    </i>
    <i r="1">
      <x v="7859"/>
    </i>
    <i r="1">
      <x v="7860"/>
    </i>
    <i r="1">
      <x v="7861"/>
    </i>
    <i r="1">
      <x v="7862"/>
    </i>
    <i r="1">
      <x v="7863"/>
    </i>
    <i r="1">
      <x v="7864"/>
    </i>
    <i r="1">
      <x v="7865"/>
    </i>
    <i r="1">
      <x v="7866"/>
    </i>
    <i r="1">
      <x v="7867"/>
    </i>
    <i r="1">
      <x v="7868"/>
    </i>
    <i r="1">
      <x v="7869"/>
    </i>
    <i r="1">
      <x v="7870"/>
    </i>
    <i r="1">
      <x v="7871"/>
    </i>
    <i r="1">
      <x v="7872"/>
    </i>
    <i r="1">
      <x v="7873"/>
    </i>
    <i r="1">
      <x v="7874"/>
    </i>
    <i r="1">
      <x v="7875"/>
    </i>
    <i r="1">
      <x v="7876"/>
    </i>
    <i>
      <x v="44"/>
    </i>
    <i r="1">
      <x v="7853"/>
    </i>
    <i r="1">
      <x v="7854"/>
    </i>
    <i r="1">
      <x v="7855"/>
    </i>
    <i r="1">
      <x v="7856"/>
    </i>
    <i r="1">
      <x v="7857"/>
    </i>
    <i r="1">
      <x v="7858"/>
    </i>
    <i r="1">
      <x v="7859"/>
    </i>
    <i r="1">
      <x v="7860"/>
    </i>
    <i r="1">
      <x v="7861"/>
    </i>
    <i r="1">
      <x v="7862"/>
    </i>
    <i r="1">
      <x v="7863"/>
    </i>
    <i r="1">
      <x v="7864"/>
    </i>
    <i r="1">
      <x v="7865"/>
    </i>
    <i r="1">
      <x v="7866"/>
    </i>
    <i r="1">
      <x v="7867"/>
    </i>
    <i r="1">
      <x v="7868"/>
    </i>
    <i r="1">
      <x v="7869"/>
    </i>
    <i r="1">
      <x v="7870"/>
    </i>
    <i r="1">
      <x v="7871"/>
    </i>
    <i r="1">
      <x v="7872"/>
    </i>
    <i r="1">
      <x v="7873"/>
    </i>
    <i r="1">
      <x v="7874"/>
    </i>
    <i r="1">
      <x v="7875"/>
    </i>
    <i r="1">
      <x v="7876"/>
    </i>
    <i r="1">
      <x v="7877"/>
    </i>
    <i>
      <x v="45"/>
    </i>
    <i r="1">
      <x v="7854"/>
    </i>
    <i r="1">
      <x v="7855"/>
    </i>
    <i r="1">
      <x v="7856"/>
    </i>
    <i r="1">
      <x v="7857"/>
    </i>
    <i r="1">
      <x v="7858"/>
    </i>
    <i r="1">
      <x v="7859"/>
    </i>
    <i r="1">
      <x v="7860"/>
    </i>
    <i r="1">
      <x v="7861"/>
    </i>
    <i r="1">
      <x v="7862"/>
    </i>
    <i r="1">
      <x v="7863"/>
    </i>
    <i r="1">
      <x v="7864"/>
    </i>
    <i r="1">
      <x v="7865"/>
    </i>
    <i r="1">
      <x v="7866"/>
    </i>
    <i r="1">
      <x v="7867"/>
    </i>
    <i r="1">
      <x v="7868"/>
    </i>
    <i r="1">
      <x v="7869"/>
    </i>
    <i r="1">
      <x v="7870"/>
    </i>
    <i r="1">
      <x v="7871"/>
    </i>
    <i r="1">
      <x v="7872"/>
    </i>
    <i r="1">
      <x v="7873"/>
    </i>
    <i r="1">
      <x v="7874"/>
    </i>
    <i r="1">
      <x v="7875"/>
    </i>
    <i r="1">
      <x v="7876"/>
    </i>
    <i r="1">
      <x v="7877"/>
    </i>
    <i r="1">
      <x v="7878"/>
    </i>
    <i>
      <x v="46"/>
    </i>
    <i r="1">
      <x v="7855"/>
    </i>
    <i r="1">
      <x v="7856"/>
    </i>
    <i r="1">
      <x v="7857"/>
    </i>
    <i r="1">
      <x v="7858"/>
    </i>
    <i r="1">
      <x v="7859"/>
    </i>
    <i r="1">
      <x v="7860"/>
    </i>
    <i r="1">
      <x v="7861"/>
    </i>
    <i r="1">
      <x v="7862"/>
    </i>
    <i r="1">
      <x v="7863"/>
    </i>
    <i r="1">
      <x v="7864"/>
    </i>
    <i r="1">
      <x v="7865"/>
    </i>
    <i r="1">
      <x v="7866"/>
    </i>
    <i r="1">
      <x v="7867"/>
    </i>
    <i r="1">
      <x v="7868"/>
    </i>
    <i r="1">
      <x v="7869"/>
    </i>
    <i r="1">
      <x v="7870"/>
    </i>
    <i r="1">
      <x v="7871"/>
    </i>
    <i r="1">
      <x v="7872"/>
    </i>
    <i r="1">
      <x v="7873"/>
    </i>
    <i r="1">
      <x v="7874"/>
    </i>
    <i r="1">
      <x v="7875"/>
    </i>
    <i r="1">
      <x v="7876"/>
    </i>
    <i r="1">
      <x v="7877"/>
    </i>
    <i r="1">
      <x v="7878"/>
    </i>
    <i r="1">
      <x v="7879"/>
    </i>
    <i>
      <x v="47"/>
    </i>
    <i r="1">
      <x v="7856"/>
    </i>
    <i r="1">
      <x v="7857"/>
    </i>
    <i r="1">
      <x v="7858"/>
    </i>
    <i r="1">
      <x v="7859"/>
    </i>
    <i r="1">
      <x v="7860"/>
    </i>
    <i r="1">
      <x v="7861"/>
    </i>
    <i r="1">
      <x v="7862"/>
    </i>
    <i r="1">
      <x v="7863"/>
    </i>
    <i r="1">
      <x v="7864"/>
    </i>
    <i r="1">
      <x v="7865"/>
    </i>
    <i r="1">
      <x v="7866"/>
    </i>
    <i r="1">
      <x v="7867"/>
    </i>
    <i r="1">
      <x v="7868"/>
    </i>
    <i r="1">
      <x v="7869"/>
    </i>
    <i r="1">
      <x v="7870"/>
    </i>
    <i r="1">
      <x v="7871"/>
    </i>
    <i r="1">
      <x v="7872"/>
    </i>
    <i r="1">
      <x v="7873"/>
    </i>
    <i r="1">
      <x v="7874"/>
    </i>
    <i r="1">
      <x v="7875"/>
    </i>
    <i r="1">
      <x v="7876"/>
    </i>
    <i r="1">
      <x v="7877"/>
    </i>
    <i r="1">
      <x v="7878"/>
    </i>
    <i r="1">
      <x v="7879"/>
    </i>
    <i r="1">
      <x v="7880"/>
    </i>
    <i>
      <x v="48"/>
    </i>
    <i r="1">
      <x v="7857"/>
    </i>
    <i r="1">
      <x v="7858"/>
    </i>
    <i r="1">
      <x v="7859"/>
    </i>
    <i r="1">
      <x v="7860"/>
    </i>
    <i r="1">
      <x v="7861"/>
    </i>
    <i r="1">
      <x v="7862"/>
    </i>
    <i r="1">
      <x v="7863"/>
    </i>
    <i r="1">
      <x v="7864"/>
    </i>
    <i r="1">
      <x v="7865"/>
    </i>
    <i r="1">
      <x v="7866"/>
    </i>
    <i r="1">
      <x v="7867"/>
    </i>
    <i r="1">
      <x v="7868"/>
    </i>
    <i r="1">
      <x v="7869"/>
    </i>
    <i r="1">
      <x v="7870"/>
    </i>
    <i r="1">
      <x v="7871"/>
    </i>
    <i r="1">
      <x v="7872"/>
    </i>
    <i r="1">
      <x v="7873"/>
    </i>
    <i r="1">
      <x v="7874"/>
    </i>
    <i r="1">
      <x v="7875"/>
    </i>
    <i r="1">
      <x v="7876"/>
    </i>
    <i r="1">
      <x v="7877"/>
    </i>
    <i r="1">
      <x v="7878"/>
    </i>
    <i r="1">
      <x v="7879"/>
    </i>
    <i r="1">
      <x v="7880"/>
    </i>
    <i r="1">
      <x v="7881"/>
    </i>
    <i>
      <x v="49"/>
    </i>
    <i r="1">
      <x v="7858"/>
    </i>
    <i r="1">
      <x v="7859"/>
    </i>
    <i r="1">
      <x v="7860"/>
    </i>
    <i r="1">
      <x v="7861"/>
    </i>
    <i r="1">
      <x v="7862"/>
    </i>
    <i r="1">
      <x v="7863"/>
    </i>
    <i r="1">
      <x v="7864"/>
    </i>
    <i r="1">
      <x v="7865"/>
    </i>
    <i r="1">
      <x v="7866"/>
    </i>
    <i r="1">
      <x v="7867"/>
    </i>
    <i r="1">
      <x v="7868"/>
    </i>
    <i r="1">
      <x v="7869"/>
    </i>
    <i r="1">
      <x v="7870"/>
    </i>
    <i r="1">
      <x v="7871"/>
    </i>
    <i r="1">
      <x v="7872"/>
    </i>
    <i r="1">
      <x v="7873"/>
    </i>
    <i r="1">
      <x v="7874"/>
    </i>
    <i r="1">
      <x v="7875"/>
    </i>
    <i r="1">
      <x v="7876"/>
    </i>
    <i r="1">
      <x v="7877"/>
    </i>
    <i r="1">
      <x v="7878"/>
    </i>
    <i r="1">
      <x v="7879"/>
    </i>
    <i r="1">
      <x v="7880"/>
    </i>
    <i r="1">
      <x v="7881"/>
    </i>
    <i r="1">
      <x v="7882"/>
    </i>
    <i>
      <x v="50"/>
    </i>
    <i r="1">
      <x v="7859"/>
    </i>
    <i r="1">
      <x v="7860"/>
    </i>
    <i r="1">
      <x v="7861"/>
    </i>
    <i r="1">
      <x v="7862"/>
    </i>
    <i r="1">
      <x v="7863"/>
    </i>
    <i r="1">
      <x v="7864"/>
    </i>
    <i r="1">
      <x v="7865"/>
    </i>
    <i r="1">
      <x v="7866"/>
    </i>
    <i r="1">
      <x v="7867"/>
    </i>
    <i r="1">
      <x v="7868"/>
    </i>
    <i r="1">
      <x v="7869"/>
    </i>
    <i r="1">
      <x v="7870"/>
    </i>
    <i r="1">
      <x v="7871"/>
    </i>
    <i r="1">
      <x v="7872"/>
    </i>
    <i r="1">
      <x v="7873"/>
    </i>
    <i r="1">
      <x v="7874"/>
    </i>
    <i r="1">
      <x v="7875"/>
    </i>
    <i r="1">
      <x v="7876"/>
    </i>
    <i r="1">
      <x v="7877"/>
    </i>
    <i r="1">
      <x v="7878"/>
    </i>
    <i r="1">
      <x v="7879"/>
    </i>
    <i r="1">
      <x v="7880"/>
    </i>
    <i r="1">
      <x v="7881"/>
    </i>
    <i r="1">
      <x v="7882"/>
    </i>
    <i r="1">
      <x v="7883"/>
    </i>
    <i>
      <x v="51"/>
    </i>
    <i r="1">
      <x v="7860"/>
    </i>
    <i r="1">
      <x v="7861"/>
    </i>
    <i r="1">
      <x v="7862"/>
    </i>
    <i r="1">
      <x v="7863"/>
    </i>
    <i r="1">
      <x v="7864"/>
    </i>
    <i r="1">
      <x v="7865"/>
    </i>
    <i r="1">
      <x v="7866"/>
    </i>
    <i r="1">
      <x v="7867"/>
    </i>
    <i r="1">
      <x v="7868"/>
    </i>
    <i r="1">
      <x v="7869"/>
    </i>
    <i r="1">
      <x v="7870"/>
    </i>
    <i r="1">
      <x v="7871"/>
    </i>
    <i r="1">
      <x v="7872"/>
    </i>
    <i r="1">
      <x v="7873"/>
    </i>
    <i r="1">
      <x v="7874"/>
    </i>
    <i r="1">
      <x v="7875"/>
    </i>
    <i r="1">
      <x v="7876"/>
    </i>
    <i r="1">
      <x v="7877"/>
    </i>
    <i r="1">
      <x v="7878"/>
    </i>
    <i r="1">
      <x v="7879"/>
    </i>
    <i r="1">
      <x v="7880"/>
    </i>
    <i r="1">
      <x v="7881"/>
    </i>
    <i r="1">
      <x v="7882"/>
    </i>
    <i r="1">
      <x v="7883"/>
    </i>
    <i r="1">
      <x v="7884"/>
    </i>
    <i>
      <x v="52"/>
    </i>
    <i r="1">
      <x v="7861"/>
    </i>
    <i r="1">
      <x v="7862"/>
    </i>
    <i r="1">
      <x v="7863"/>
    </i>
    <i r="1">
      <x v="7864"/>
    </i>
    <i r="1">
      <x v="7865"/>
    </i>
    <i r="1">
      <x v="7866"/>
    </i>
    <i r="1">
      <x v="7867"/>
    </i>
    <i r="1">
      <x v="7868"/>
    </i>
    <i r="1">
      <x v="7869"/>
    </i>
    <i r="1">
      <x v="7870"/>
    </i>
    <i r="1">
      <x v="7871"/>
    </i>
    <i r="1">
      <x v="7872"/>
    </i>
    <i r="1">
      <x v="7873"/>
    </i>
    <i r="1">
      <x v="7874"/>
    </i>
    <i r="1">
      <x v="7875"/>
    </i>
    <i r="1">
      <x v="7876"/>
    </i>
    <i r="1">
      <x v="7877"/>
    </i>
    <i r="1">
      <x v="7878"/>
    </i>
    <i r="1">
      <x v="7879"/>
    </i>
    <i r="1">
      <x v="7880"/>
    </i>
    <i r="1">
      <x v="7881"/>
    </i>
    <i r="1">
      <x v="7882"/>
    </i>
    <i r="1">
      <x v="7883"/>
    </i>
    <i r="1">
      <x v="7884"/>
    </i>
    <i r="1">
      <x v="7885"/>
    </i>
    <i>
      <x v="53"/>
    </i>
    <i r="1">
      <x v="7862"/>
    </i>
    <i r="1">
      <x v="7863"/>
    </i>
    <i r="1">
      <x v="7864"/>
    </i>
    <i r="1">
      <x v="7865"/>
    </i>
    <i r="1">
      <x v="7866"/>
    </i>
    <i r="1">
      <x v="7867"/>
    </i>
    <i r="1">
      <x v="7868"/>
    </i>
    <i r="1">
      <x v="7869"/>
    </i>
    <i r="1">
      <x v="7870"/>
    </i>
    <i r="1">
      <x v="7871"/>
    </i>
    <i r="1">
      <x v="7872"/>
    </i>
    <i r="1">
      <x v="7873"/>
    </i>
    <i r="1">
      <x v="7874"/>
    </i>
    <i r="1">
      <x v="7875"/>
    </i>
    <i r="1">
      <x v="7876"/>
    </i>
    <i r="1">
      <x v="7877"/>
    </i>
    <i r="1">
      <x v="7878"/>
    </i>
    <i r="1">
      <x v="7879"/>
    </i>
    <i r="1">
      <x v="7880"/>
    </i>
    <i r="1">
      <x v="7881"/>
    </i>
    <i r="1">
      <x v="7882"/>
    </i>
    <i r="1">
      <x v="7883"/>
    </i>
    <i r="1">
      <x v="7884"/>
    </i>
    <i r="1">
      <x v="7885"/>
    </i>
    <i r="1">
      <x v="7886"/>
    </i>
    <i>
      <x v="54"/>
    </i>
    <i r="1">
      <x v="7863"/>
    </i>
    <i r="1">
      <x v="7864"/>
    </i>
    <i r="1">
      <x v="7865"/>
    </i>
    <i r="1">
      <x v="7866"/>
    </i>
    <i r="1">
      <x v="7867"/>
    </i>
    <i r="1">
      <x v="7868"/>
    </i>
    <i r="1">
      <x v="7869"/>
    </i>
    <i r="1">
      <x v="7870"/>
    </i>
    <i r="1">
      <x v="7871"/>
    </i>
    <i r="1">
      <x v="7872"/>
    </i>
    <i r="1">
      <x v="7873"/>
    </i>
    <i r="1">
      <x v="7874"/>
    </i>
    <i r="1">
      <x v="7875"/>
    </i>
    <i r="1">
      <x v="7876"/>
    </i>
    <i r="1">
      <x v="7877"/>
    </i>
    <i r="1">
      <x v="7878"/>
    </i>
    <i r="1">
      <x v="7879"/>
    </i>
    <i r="1">
      <x v="7880"/>
    </i>
    <i r="1">
      <x v="7881"/>
    </i>
    <i r="1">
      <x v="7882"/>
    </i>
    <i r="1">
      <x v="7883"/>
    </i>
    <i r="1">
      <x v="7884"/>
    </i>
    <i r="1">
      <x v="7885"/>
    </i>
    <i r="1">
      <x v="7886"/>
    </i>
    <i r="1">
      <x v="7887"/>
    </i>
    <i>
      <x v="55"/>
    </i>
    <i r="1">
      <x v="7864"/>
    </i>
    <i r="1">
      <x v="7865"/>
    </i>
    <i r="1">
      <x v="7866"/>
    </i>
    <i r="1">
      <x v="7867"/>
    </i>
    <i r="1">
      <x v="7868"/>
    </i>
    <i r="1">
      <x v="7869"/>
    </i>
    <i r="1">
      <x v="7870"/>
    </i>
    <i r="1">
      <x v="7871"/>
    </i>
    <i r="1">
      <x v="7872"/>
    </i>
    <i r="1">
      <x v="7873"/>
    </i>
    <i r="1">
      <x v="7874"/>
    </i>
    <i r="1">
      <x v="7875"/>
    </i>
    <i r="1">
      <x v="7876"/>
    </i>
    <i r="1">
      <x v="7877"/>
    </i>
    <i r="1">
      <x v="7878"/>
    </i>
    <i r="1">
      <x v="7879"/>
    </i>
    <i r="1">
      <x v="7880"/>
    </i>
    <i r="1">
      <x v="7881"/>
    </i>
    <i r="1">
      <x v="7882"/>
    </i>
    <i r="1">
      <x v="7883"/>
    </i>
    <i r="1">
      <x v="7884"/>
    </i>
    <i r="1">
      <x v="7885"/>
    </i>
    <i r="1">
      <x v="7886"/>
    </i>
    <i r="1">
      <x v="7887"/>
    </i>
    <i r="1">
      <x v="7888"/>
    </i>
    <i>
      <x v="56"/>
    </i>
    <i r="1">
      <x v="7865"/>
    </i>
    <i r="1">
      <x v="7866"/>
    </i>
    <i r="1">
      <x v="7867"/>
    </i>
    <i r="1">
      <x v="7868"/>
    </i>
    <i r="1">
      <x v="7869"/>
    </i>
    <i r="1">
      <x v="7870"/>
    </i>
    <i r="1">
      <x v="7871"/>
    </i>
    <i r="1">
      <x v="7872"/>
    </i>
    <i r="1">
      <x v="7873"/>
    </i>
    <i r="1">
      <x v="7874"/>
    </i>
    <i r="1">
      <x v="7875"/>
    </i>
    <i r="1">
      <x v="7876"/>
    </i>
    <i r="1">
      <x v="7877"/>
    </i>
    <i r="1">
      <x v="7878"/>
    </i>
    <i r="1">
      <x v="7879"/>
    </i>
    <i r="1">
      <x v="7880"/>
    </i>
    <i r="1">
      <x v="7881"/>
    </i>
    <i r="1">
      <x v="7882"/>
    </i>
    <i r="1">
      <x v="7883"/>
    </i>
    <i r="1">
      <x v="7884"/>
    </i>
    <i r="1">
      <x v="7885"/>
    </i>
    <i r="1">
      <x v="7886"/>
    </i>
    <i r="1">
      <x v="7887"/>
    </i>
    <i r="1">
      <x v="7888"/>
    </i>
    <i r="1">
      <x v="7889"/>
    </i>
    <i>
      <x v="57"/>
    </i>
    <i r="1">
      <x v="7866"/>
    </i>
    <i r="1">
      <x v="7867"/>
    </i>
    <i r="1">
      <x v="7868"/>
    </i>
    <i r="1">
      <x v="7869"/>
    </i>
    <i r="1">
      <x v="7870"/>
    </i>
    <i r="1">
      <x v="7871"/>
    </i>
    <i r="1">
      <x v="7872"/>
    </i>
    <i r="1">
      <x v="7873"/>
    </i>
    <i r="1">
      <x v="7874"/>
    </i>
    <i r="1">
      <x v="7875"/>
    </i>
    <i r="1">
      <x v="7876"/>
    </i>
    <i r="1">
      <x v="7877"/>
    </i>
    <i r="1">
      <x v="7878"/>
    </i>
    <i r="1">
      <x v="7879"/>
    </i>
    <i r="1">
      <x v="7880"/>
    </i>
    <i r="1">
      <x v="7881"/>
    </i>
    <i r="1">
      <x v="7882"/>
    </i>
    <i r="1">
      <x v="7883"/>
    </i>
    <i r="1">
      <x v="7884"/>
    </i>
    <i r="1">
      <x v="7885"/>
    </i>
    <i r="1">
      <x v="7886"/>
    </i>
    <i r="1">
      <x v="7887"/>
    </i>
    <i r="1">
      <x v="7888"/>
    </i>
    <i r="1">
      <x v="7889"/>
    </i>
    <i r="1">
      <x v="7890"/>
    </i>
    <i>
      <x v="58"/>
    </i>
    <i r="1">
      <x v="7867"/>
    </i>
    <i r="1">
      <x v="7868"/>
    </i>
    <i r="1">
      <x v="7869"/>
    </i>
    <i r="1">
      <x v="7870"/>
    </i>
    <i r="1">
      <x v="7871"/>
    </i>
    <i r="1">
      <x v="7872"/>
    </i>
    <i r="1">
      <x v="7873"/>
    </i>
    <i r="1">
      <x v="7874"/>
    </i>
    <i r="1">
      <x v="7875"/>
    </i>
    <i r="1">
      <x v="7876"/>
    </i>
    <i r="1">
      <x v="7877"/>
    </i>
    <i r="1">
      <x v="7878"/>
    </i>
    <i r="1">
      <x v="7879"/>
    </i>
    <i r="1">
      <x v="7880"/>
    </i>
    <i r="1">
      <x v="7881"/>
    </i>
    <i r="1">
      <x v="7882"/>
    </i>
    <i r="1">
      <x v="7883"/>
    </i>
    <i r="1">
      <x v="7884"/>
    </i>
    <i r="1">
      <x v="7885"/>
    </i>
    <i r="1">
      <x v="7886"/>
    </i>
    <i r="1">
      <x v="7887"/>
    </i>
    <i r="1">
      <x v="7888"/>
    </i>
    <i r="1">
      <x v="7889"/>
    </i>
    <i r="1">
      <x v="7890"/>
    </i>
    <i r="1">
      <x v="7891"/>
    </i>
    <i>
      <x v="59"/>
    </i>
    <i r="1">
      <x v="7868"/>
    </i>
    <i r="1">
      <x v="7869"/>
    </i>
    <i r="1">
      <x v="7870"/>
    </i>
    <i r="1">
      <x v="7871"/>
    </i>
    <i r="1">
      <x v="7872"/>
    </i>
    <i r="1">
      <x v="7873"/>
    </i>
    <i r="1">
      <x v="7874"/>
    </i>
    <i r="1">
      <x v="7875"/>
    </i>
    <i r="1">
      <x v="7876"/>
    </i>
    <i r="1">
      <x v="7877"/>
    </i>
    <i r="1">
      <x v="7878"/>
    </i>
    <i r="1">
      <x v="7879"/>
    </i>
    <i r="1">
      <x v="7880"/>
    </i>
    <i r="1">
      <x v="7881"/>
    </i>
    <i r="1">
      <x v="7882"/>
    </i>
    <i r="1">
      <x v="7883"/>
    </i>
    <i r="1">
      <x v="7884"/>
    </i>
    <i r="1">
      <x v="7885"/>
    </i>
    <i r="1">
      <x v="7886"/>
    </i>
    <i r="1">
      <x v="7887"/>
    </i>
    <i r="1">
      <x v="7888"/>
    </i>
    <i r="1">
      <x v="7889"/>
    </i>
    <i r="1">
      <x v="7890"/>
    </i>
    <i r="1">
      <x v="7891"/>
    </i>
    <i r="1">
      <x v="7892"/>
    </i>
    <i>
      <x v="60"/>
    </i>
    <i r="1">
      <x v="7869"/>
    </i>
    <i r="1">
      <x v="7870"/>
    </i>
    <i r="1">
      <x v="7871"/>
    </i>
    <i r="1">
      <x v="7872"/>
    </i>
    <i r="1">
      <x v="7873"/>
    </i>
    <i r="1">
      <x v="7874"/>
    </i>
    <i r="1">
      <x v="7875"/>
    </i>
    <i r="1">
      <x v="7876"/>
    </i>
    <i r="1">
      <x v="7877"/>
    </i>
    <i r="1">
      <x v="7878"/>
    </i>
    <i r="1">
      <x v="7879"/>
    </i>
    <i r="1">
      <x v="7880"/>
    </i>
    <i r="1">
      <x v="7881"/>
    </i>
    <i r="1">
      <x v="7882"/>
    </i>
    <i r="1">
      <x v="7883"/>
    </i>
    <i r="1">
      <x v="7884"/>
    </i>
    <i r="1">
      <x v="7885"/>
    </i>
    <i r="1">
      <x v="7886"/>
    </i>
    <i r="1">
      <x v="7887"/>
    </i>
    <i r="1">
      <x v="7888"/>
    </i>
    <i r="1">
      <x v="7889"/>
    </i>
    <i r="1">
      <x v="7890"/>
    </i>
    <i r="1">
      <x v="7891"/>
    </i>
    <i r="1">
      <x v="7892"/>
    </i>
    <i r="1">
      <x v="7893"/>
    </i>
    <i>
      <x v="61"/>
    </i>
    <i r="1">
      <x v="7870"/>
    </i>
    <i r="1">
      <x v="7871"/>
    </i>
    <i r="1">
      <x v="7872"/>
    </i>
    <i r="1">
      <x v="7873"/>
    </i>
    <i r="1">
      <x v="7874"/>
    </i>
    <i r="1">
      <x v="7875"/>
    </i>
    <i r="1">
      <x v="7876"/>
    </i>
    <i r="1">
      <x v="7877"/>
    </i>
    <i r="1">
      <x v="7878"/>
    </i>
    <i r="1">
      <x v="7879"/>
    </i>
    <i r="1">
      <x v="7880"/>
    </i>
    <i r="1">
      <x v="7881"/>
    </i>
    <i r="1">
      <x v="7882"/>
    </i>
    <i r="1">
      <x v="7883"/>
    </i>
    <i r="1">
      <x v="7884"/>
    </i>
    <i r="1">
      <x v="7885"/>
    </i>
    <i r="1">
      <x v="7886"/>
    </i>
    <i r="1">
      <x v="7887"/>
    </i>
    <i r="1">
      <x v="7888"/>
    </i>
    <i r="1">
      <x v="7889"/>
    </i>
    <i r="1">
      <x v="7890"/>
    </i>
    <i r="1">
      <x v="7891"/>
    </i>
    <i r="1">
      <x v="7892"/>
    </i>
    <i r="1">
      <x v="7893"/>
    </i>
    <i r="1">
      <x v="7894"/>
    </i>
    <i>
      <x v="62"/>
    </i>
    <i r="1">
      <x v="7871"/>
    </i>
    <i r="1">
      <x v="7872"/>
    </i>
    <i r="1">
      <x v="7873"/>
    </i>
    <i r="1">
      <x v="7874"/>
    </i>
    <i r="1">
      <x v="7875"/>
    </i>
    <i r="1">
      <x v="7876"/>
    </i>
    <i r="1">
      <x v="7877"/>
    </i>
    <i r="1">
      <x v="7878"/>
    </i>
    <i r="1">
      <x v="7879"/>
    </i>
    <i r="1">
      <x v="7880"/>
    </i>
    <i r="1">
      <x v="7881"/>
    </i>
    <i r="1">
      <x v="7882"/>
    </i>
    <i r="1">
      <x v="7883"/>
    </i>
    <i r="1">
      <x v="7884"/>
    </i>
    <i r="1">
      <x v="7885"/>
    </i>
    <i r="1">
      <x v="7886"/>
    </i>
    <i r="1">
      <x v="7887"/>
    </i>
    <i r="1">
      <x v="7888"/>
    </i>
    <i r="1">
      <x v="7889"/>
    </i>
    <i r="1">
      <x v="7890"/>
    </i>
    <i r="1">
      <x v="7891"/>
    </i>
    <i r="1">
      <x v="7892"/>
    </i>
    <i r="1">
      <x v="7893"/>
    </i>
    <i r="1">
      <x v="7894"/>
    </i>
    <i r="1">
      <x v="7895"/>
    </i>
    <i>
      <x v="63"/>
    </i>
    <i r="1">
      <x v="7872"/>
    </i>
    <i r="1">
      <x v="7873"/>
    </i>
    <i r="1">
      <x v="7874"/>
    </i>
    <i r="1">
      <x v="7875"/>
    </i>
    <i r="1">
      <x v="7876"/>
    </i>
    <i r="1">
      <x v="7877"/>
    </i>
    <i r="1">
      <x v="7878"/>
    </i>
    <i r="1">
      <x v="7879"/>
    </i>
    <i r="1">
      <x v="7880"/>
    </i>
    <i r="1">
      <x v="7881"/>
    </i>
    <i r="1">
      <x v="7882"/>
    </i>
    <i r="1">
      <x v="7883"/>
    </i>
    <i r="1">
      <x v="7884"/>
    </i>
    <i r="1">
      <x v="7885"/>
    </i>
    <i r="1">
      <x v="7886"/>
    </i>
    <i r="1">
      <x v="7887"/>
    </i>
    <i r="1">
      <x v="7888"/>
    </i>
    <i r="1">
      <x v="7889"/>
    </i>
    <i r="1">
      <x v="7890"/>
    </i>
    <i r="1">
      <x v="7891"/>
    </i>
    <i r="1">
      <x v="7892"/>
    </i>
    <i r="1">
      <x v="7893"/>
    </i>
    <i r="1">
      <x v="7894"/>
    </i>
    <i r="1">
      <x v="7895"/>
    </i>
    <i r="1">
      <x v="7999"/>
    </i>
    <i>
      <x v="64"/>
    </i>
    <i r="1">
      <x v="7873"/>
    </i>
    <i r="1">
      <x v="7874"/>
    </i>
    <i r="1">
      <x v="7875"/>
    </i>
    <i r="1">
      <x v="7876"/>
    </i>
    <i r="1">
      <x v="7877"/>
    </i>
    <i r="1">
      <x v="7878"/>
    </i>
    <i r="1">
      <x v="7879"/>
    </i>
    <i r="1">
      <x v="7880"/>
    </i>
    <i r="1">
      <x v="7881"/>
    </i>
    <i r="1">
      <x v="7882"/>
    </i>
    <i r="1">
      <x v="7883"/>
    </i>
    <i r="1">
      <x v="7884"/>
    </i>
    <i r="1">
      <x v="7885"/>
    </i>
    <i r="1">
      <x v="7886"/>
    </i>
    <i r="1">
      <x v="7887"/>
    </i>
    <i r="1">
      <x v="7888"/>
    </i>
    <i r="1">
      <x v="7889"/>
    </i>
    <i r="1">
      <x v="7890"/>
    </i>
    <i r="1">
      <x v="7891"/>
    </i>
    <i r="1">
      <x v="7892"/>
    </i>
    <i r="1">
      <x v="7893"/>
    </i>
    <i r="1">
      <x v="7894"/>
    </i>
    <i r="1">
      <x v="7895"/>
    </i>
    <i r="1">
      <x v="7896"/>
    </i>
    <i r="1">
      <x v="7999"/>
    </i>
    <i>
      <x v="65"/>
    </i>
    <i r="1">
      <x v="7874"/>
    </i>
    <i r="1">
      <x v="7875"/>
    </i>
    <i r="1">
      <x v="7876"/>
    </i>
    <i r="1">
      <x v="7877"/>
    </i>
    <i r="1">
      <x v="7878"/>
    </i>
    <i r="1">
      <x v="7879"/>
    </i>
    <i r="1">
      <x v="7880"/>
    </i>
    <i r="1">
      <x v="7881"/>
    </i>
    <i r="1">
      <x v="7882"/>
    </i>
    <i r="1">
      <x v="7883"/>
    </i>
    <i r="1">
      <x v="7884"/>
    </i>
    <i r="1">
      <x v="7885"/>
    </i>
    <i r="1">
      <x v="7886"/>
    </i>
    <i r="1">
      <x v="7887"/>
    </i>
    <i r="1">
      <x v="7888"/>
    </i>
    <i r="1">
      <x v="7889"/>
    </i>
    <i r="1">
      <x v="7890"/>
    </i>
    <i r="1">
      <x v="7891"/>
    </i>
    <i r="1">
      <x v="7892"/>
    </i>
    <i r="1">
      <x v="7893"/>
    </i>
    <i r="1">
      <x v="7894"/>
    </i>
    <i r="1">
      <x v="7895"/>
    </i>
    <i r="1">
      <x v="7896"/>
    </i>
    <i r="1">
      <x v="7897"/>
    </i>
    <i r="1">
      <x v="7999"/>
    </i>
    <i>
      <x v="66"/>
    </i>
    <i r="1">
      <x v="7875"/>
    </i>
    <i r="1">
      <x v="7876"/>
    </i>
    <i r="1">
      <x v="7877"/>
    </i>
    <i r="1">
      <x v="7878"/>
    </i>
    <i r="1">
      <x v="7879"/>
    </i>
    <i r="1">
      <x v="7880"/>
    </i>
    <i r="1">
      <x v="7881"/>
    </i>
    <i r="1">
      <x v="7882"/>
    </i>
    <i r="1">
      <x v="7883"/>
    </i>
    <i r="1">
      <x v="7884"/>
    </i>
    <i r="1">
      <x v="7885"/>
    </i>
    <i r="1">
      <x v="7886"/>
    </i>
    <i r="1">
      <x v="7887"/>
    </i>
    <i r="1">
      <x v="7888"/>
    </i>
    <i r="1">
      <x v="7889"/>
    </i>
    <i r="1">
      <x v="7890"/>
    </i>
    <i r="1">
      <x v="7891"/>
    </i>
    <i r="1">
      <x v="7892"/>
    </i>
    <i r="1">
      <x v="7893"/>
    </i>
    <i r="1">
      <x v="7894"/>
    </i>
    <i r="1">
      <x v="7895"/>
    </i>
    <i r="1">
      <x v="7896"/>
    </i>
    <i r="1">
      <x v="7897"/>
    </i>
    <i r="1">
      <x v="7898"/>
    </i>
    <i r="1">
      <x v="7999"/>
    </i>
    <i>
      <x v="67"/>
    </i>
    <i r="1">
      <x v="7876"/>
    </i>
    <i r="1">
      <x v="7877"/>
    </i>
    <i r="1">
      <x v="7878"/>
    </i>
    <i r="1">
      <x v="7879"/>
    </i>
    <i r="1">
      <x v="7880"/>
    </i>
    <i r="1">
      <x v="7881"/>
    </i>
    <i r="1">
      <x v="7882"/>
    </i>
    <i r="1">
      <x v="7883"/>
    </i>
    <i r="1">
      <x v="7884"/>
    </i>
    <i r="1">
      <x v="7885"/>
    </i>
    <i r="1">
      <x v="7886"/>
    </i>
    <i r="1">
      <x v="7887"/>
    </i>
    <i r="1">
      <x v="7888"/>
    </i>
    <i r="1">
      <x v="7889"/>
    </i>
    <i r="1">
      <x v="7890"/>
    </i>
    <i r="1">
      <x v="7891"/>
    </i>
    <i r="1">
      <x v="7892"/>
    </i>
    <i r="1">
      <x v="7893"/>
    </i>
    <i r="1">
      <x v="7894"/>
    </i>
    <i r="1">
      <x v="7895"/>
    </i>
    <i r="1">
      <x v="7896"/>
    </i>
    <i r="1">
      <x v="7897"/>
    </i>
    <i r="1">
      <x v="7898"/>
    </i>
    <i r="1">
      <x v="7899"/>
    </i>
    <i r="1">
      <x v="7999"/>
    </i>
    <i>
      <x v="68"/>
    </i>
    <i r="1">
      <x v="7877"/>
    </i>
    <i r="1">
      <x v="7878"/>
    </i>
    <i r="1">
      <x v="7879"/>
    </i>
    <i r="1">
      <x v="7880"/>
    </i>
    <i r="1">
      <x v="7881"/>
    </i>
    <i r="1">
      <x v="7882"/>
    </i>
    <i r="1">
      <x v="7883"/>
    </i>
    <i r="1">
      <x v="7884"/>
    </i>
    <i r="1">
      <x v="7885"/>
    </i>
    <i r="1">
      <x v="7886"/>
    </i>
    <i r="1">
      <x v="7887"/>
    </i>
    <i r="1">
      <x v="7888"/>
    </i>
    <i r="1">
      <x v="7889"/>
    </i>
    <i r="1">
      <x v="7890"/>
    </i>
    <i r="1">
      <x v="7891"/>
    </i>
    <i r="1">
      <x v="7892"/>
    </i>
    <i r="1">
      <x v="7893"/>
    </i>
    <i r="1">
      <x v="7894"/>
    </i>
    <i r="1">
      <x v="7895"/>
    </i>
    <i r="1">
      <x v="7896"/>
    </i>
    <i r="1">
      <x v="7897"/>
    </i>
    <i r="1">
      <x v="7898"/>
    </i>
    <i r="1">
      <x v="7899"/>
    </i>
    <i r="1">
      <x v="7900"/>
    </i>
    <i r="1">
      <x v="7999"/>
    </i>
    <i>
      <x v="69"/>
    </i>
    <i r="1">
      <x v="7928"/>
    </i>
    <i>
      <x v="70"/>
    </i>
    <i r="1">
      <x v="7928"/>
    </i>
    <i>
      <x v="71"/>
    </i>
    <i r="1">
      <x v="7928"/>
    </i>
    <i t="grand">
      <x/>
    </i>
  </rowItems>
  <colFields count="1">
    <field x="-2"/>
  </colFields>
  <colItems count="3">
    <i>
      <x/>
    </i>
    <i i="1">
      <x v="1"/>
    </i>
    <i i="2">
      <x v="2"/>
    </i>
  </colItems>
  <dataFields count="3">
    <dataField name="Average of ACTUALTR" fld="14" subtotal="average" baseField="7" baseItem="12"/>
    <dataField name="Average of PREDICTEDTR" fld="15" subtotal="average" baseField="7" baseItem="12"/>
    <dataField name="Average of ERRORTR" fld="16"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75" firstHeaderRow="0" firstDataRow="1" firstDataCol="1"/>
  <pivotFields count="20">
    <pivotField showAll="0">
      <items count="192">
        <item m="1" x="184"/>
        <item m="1" x="164"/>
        <item m="1" x="75"/>
        <item m="1" x="19"/>
        <item m="1" x="62"/>
        <item x="0"/>
        <item m="1" x="185"/>
        <item m="1" x="7"/>
        <item m="1" x="161"/>
        <item m="1" x="46"/>
        <item m="1" x="135"/>
        <item m="1" x="79"/>
        <item m="1" x="182"/>
        <item m="1" x="68"/>
        <item m="1" x="11"/>
        <item m="1" x="136"/>
        <item m="1" x="82"/>
        <item m="1" x="143"/>
        <item m="1" x="88"/>
        <item m="1" x="115"/>
        <item m="1" x="141"/>
        <item m="1" x="34"/>
        <item m="1" x="50"/>
        <item m="1" x="186"/>
        <item m="1" x="8"/>
        <item m="1" x="179"/>
        <item m="1" x="51"/>
        <item m="1" x="83"/>
        <item m="1" x="58"/>
        <item m="1" x="91"/>
        <item m="1" x="95"/>
        <item m="1" x="69"/>
        <item m="1" x="23"/>
        <item m="1" x="156"/>
        <item m="1" x="32"/>
        <item m="1" x="35"/>
        <item m="1" x="146"/>
        <item m="1" x="99"/>
        <item m="1" x="63"/>
        <item m="1" x="187"/>
        <item m="1" x="147"/>
        <item m="1" x="100"/>
        <item m="1" x="168"/>
        <item m="1" x="44"/>
        <item m="1" x="12"/>
        <item m="1" x="20"/>
        <item m="1" x="128"/>
        <item m="1" x="109"/>
        <item m="1" x="148"/>
        <item m="1" x="111"/>
        <item m="1" x="80"/>
        <item m="1" x="92"/>
        <item m="1" x="89"/>
        <item m="1" x="66"/>
        <item m="1" x="180"/>
        <item m="1" x="4"/>
        <item m="1" x="188"/>
        <item m="1" x="116"/>
        <item m="1" x="5"/>
        <item m="1" x="84"/>
        <item m="1" x="153"/>
        <item m="1" x="151"/>
        <item m="1" x="21"/>
        <item m="1" x="93"/>
        <item m="1" x="67"/>
        <item m="1" x="142"/>
        <item m="1" x="40"/>
        <item m="1" x="162"/>
        <item m="1" x="173"/>
        <item m="1" x="24"/>
        <item m="1" x="120"/>
        <item m="1" x="138"/>
        <item m="1" x="169"/>
        <item m="1" x="160"/>
        <item m="1" x="104"/>
        <item m="1" x="131"/>
        <item m="1" x="165"/>
        <item m="1" x="52"/>
        <item m="1" x="36"/>
        <item m="1" x="70"/>
        <item m="1" x="105"/>
        <item m="1" x="101"/>
        <item m="1" x="41"/>
        <item m="1" x="150"/>
        <item m="1" x="37"/>
        <item m="1" x="152"/>
        <item m="1" x="72"/>
        <item m="1" x="64"/>
        <item m="1" x="174"/>
        <item m="1" x="189"/>
        <item m="1" x="1"/>
        <item m="1" x="170"/>
        <item m="1" x="190"/>
        <item m="1" x="132"/>
        <item m="1" x="139"/>
        <item m="1" x="27"/>
        <item m="1" x="157"/>
        <item m="1" x="134"/>
        <item m="1" x="47"/>
        <item m="1" x="73"/>
        <item m="1" x="117"/>
        <item m="1" x="129"/>
        <item m="1" x="90"/>
        <item m="1" x="76"/>
        <item m="1" x="48"/>
        <item m="1" x="14"/>
        <item m="1" x="118"/>
        <item m="1" x="59"/>
        <item m="1" x="158"/>
        <item m="1" x="85"/>
        <item m="1" x="56"/>
        <item m="1" x="28"/>
        <item m="1" x="60"/>
        <item m="1" x="2"/>
        <item m="1" x="33"/>
        <item m="1" x="22"/>
        <item m="1" x="6"/>
        <item m="1" x="124"/>
        <item m="1" x="86"/>
        <item m="1" x="49"/>
        <item m="1" x="30"/>
        <item m="1" x="38"/>
        <item m="1" x="130"/>
        <item m="1" x="163"/>
        <item m="1" x="29"/>
        <item m="1" x="125"/>
        <item m="1" x="13"/>
        <item m="1" x="42"/>
        <item m="1" x="17"/>
        <item m="1" x="102"/>
        <item m="1" x="74"/>
        <item m="1" x="77"/>
        <item m="1" x="16"/>
        <item m="1" x="175"/>
        <item m="1" x="176"/>
        <item m="1" x="110"/>
        <item m="1" x="144"/>
        <item m="1" x="53"/>
        <item m="1" x="25"/>
        <item m="1" x="106"/>
        <item m="1" x="149"/>
        <item m="1" x="121"/>
        <item m="1" x="39"/>
        <item m="1" x="177"/>
        <item m="1" x="112"/>
        <item m="1" x="9"/>
        <item m="1" x="166"/>
        <item m="1" x="18"/>
        <item m="1" x="45"/>
        <item m="1" x="96"/>
        <item m="1" x="71"/>
        <item m="1" x="126"/>
        <item m="1" x="159"/>
        <item m="1" x="103"/>
        <item m="1" x="113"/>
        <item m="1" x="54"/>
        <item m="1" x="15"/>
        <item m="1" x="43"/>
        <item m="1" x="55"/>
        <item m="1" x="107"/>
        <item m="1" x="122"/>
        <item m="1" x="133"/>
        <item m="1" x="127"/>
        <item m="1" x="78"/>
        <item m="1" x="94"/>
        <item m="1" x="26"/>
        <item m="1" x="57"/>
        <item m="1" x="167"/>
        <item m="1" x="97"/>
        <item m="1" x="3"/>
        <item m="1" x="145"/>
        <item m="1" x="183"/>
        <item m="1" x="65"/>
        <item m="1" x="119"/>
        <item m="1" x="137"/>
        <item m="1" x="81"/>
        <item m="1" x="98"/>
        <item m="1" x="114"/>
        <item m="1" x="123"/>
        <item m="1" x="171"/>
        <item m="1" x="10"/>
        <item m="1" x="140"/>
        <item m="1" x="178"/>
        <item m="1" x="181"/>
        <item m="1" x="31"/>
        <item m="1" x="61"/>
        <item m="1" x="154"/>
        <item m="1" x="172"/>
        <item m="1" x="155"/>
        <item m="1" x="87"/>
        <item m="1" x="108"/>
        <item t="default"/>
      </items>
    </pivotField>
    <pivotField showAll="0">
      <items count="456">
        <item m="1" x="39"/>
        <item m="1" x="421"/>
        <item m="1" x="348"/>
        <item m="1" x="120"/>
        <item m="1" x="341"/>
        <item m="1" x="304"/>
        <item m="1" x="355"/>
        <item m="1" x="349"/>
        <item m="1" x="317"/>
        <item m="1" x="413"/>
        <item m="1" x="156"/>
        <item m="1" x="76"/>
        <item m="1" x="350"/>
        <item m="1" x="232"/>
        <item m="1" x="289"/>
        <item x="20"/>
        <item m="1" x="64"/>
        <item m="1" x="404"/>
        <item m="1" x="305"/>
        <item m="1" x="233"/>
        <item m="1" x="356"/>
        <item m="1" x="369"/>
        <item m="1" x="240"/>
        <item m="1" x="65"/>
        <item m="1" x="318"/>
        <item m="1" x="259"/>
        <item m="1" x="90"/>
        <item m="1" x="40"/>
        <item x="18"/>
        <item m="1" x="332"/>
        <item m="1" x="210"/>
        <item m="1" x="363"/>
        <item m="1" x="385"/>
        <item m="1" x="56"/>
        <item m="1" x="276"/>
        <item m="1" x="144"/>
        <item m="1" x="31"/>
        <item m="1" x="422"/>
        <item m="1" x="98"/>
        <item m="1" x="192"/>
        <item m="1" x="46"/>
        <item m="1" x="436"/>
        <item m="1" x="306"/>
        <item m="1" x="234"/>
        <item m="1" x="177"/>
        <item m="1" x="392"/>
        <item m="1" x="411"/>
        <item m="1" x="218"/>
        <item m="1" x="437"/>
        <item m="1" x="145"/>
        <item x="11"/>
        <item m="1" x="91"/>
        <item m="1" x="47"/>
        <item m="1" x="370"/>
        <item m="1" x="307"/>
        <item m="1" x="146"/>
        <item m="1" x="138"/>
        <item m="1" x="135"/>
        <item m="1" x="405"/>
        <item m="1" x="398"/>
        <item m="1" x="147"/>
        <item m="1" x="260"/>
        <item x="2"/>
        <item m="1" x="374"/>
        <item m="1" x="34"/>
        <item m="1" x="399"/>
        <item m="1" x="428"/>
        <item m="1" x="193"/>
        <item m="1" x="364"/>
        <item m="1" x="48"/>
        <item m="1" x="106"/>
        <item m="1" x="277"/>
        <item m="1" x="152"/>
        <item m="1" x="35"/>
        <item m="1" x="333"/>
        <item m="1" x="269"/>
        <item m="1" x="127"/>
        <item m="1" x="297"/>
        <item x="0"/>
        <item m="1" x="226"/>
        <item m="1" x="386"/>
        <item m="1" x="319"/>
        <item m="1" x="57"/>
        <item m="1" x="113"/>
        <item m="1" x="163"/>
        <item m="1" x="334"/>
        <item m="1" x="235"/>
        <item m="1" x="41"/>
        <item m="1" x="58"/>
        <item m="1" x="114"/>
        <item m="1" x="178"/>
        <item m="1" x="278"/>
        <item m="1" x="414"/>
        <item m="1" x="194"/>
        <item m="1" x="423"/>
        <item m="1" x="360"/>
        <item m="1" x="227"/>
        <item m="1" x="241"/>
        <item m="1" x="429"/>
        <item m="1" x="128"/>
        <item m="1" x="298"/>
        <item m="1" x="49"/>
        <item m="1" x="443"/>
        <item m="1" x="387"/>
        <item m="1" x="308"/>
        <item m="1" x="195"/>
        <item m="1" x="50"/>
        <item m="1" x="179"/>
        <item m="1" x="279"/>
        <item m="1" x="444"/>
        <item m="1" x="139"/>
        <item m="1" x="219"/>
        <item m="1" x="201"/>
        <item m="1" x="309"/>
        <item x="5"/>
        <item m="1" x="211"/>
        <item m="1" x="312"/>
        <item m="1" x="299"/>
        <item m="1" x="84"/>
        <item m="1" x="187"/>
        <item m="1" x="406"/>
        <item x="8"/>
        <item m="1" x="438"/>
        <item m="1" x="205"/>
        <item m="1" x="249"/>
        <item m="1" x="342"/>
        <item m="1" x="415"/>
        <item m="1" x="285"/>
        <item m="1" x="400"/>
        <item m="1" x="212"/>
        <item m="1" x="70"/>
        <item m="1" x="430"/>
        <item x="22"/>
        <item m="1" x="157"/>
        <item m="1" x="311"/>
        <item m="1" x="250"/>
        <item m="1" x="188"/>
        <item m="1" x="99"/>
        <item m="1" x="153"/>
        <item m="1" x="66"/>
        <item m="1" x="357"/>
        <item m="1" x="115"/>
        <item m="1" x="365"/>
        <item m="1" x="51"/>
        <item m="1" x="264"/>
        <item m="1" x="121"/>
        <item m="1" x="290"/>
        <item m="1" x="228"/>
        <item m="1" x="154"/>
        <item m="1" x="116"/>
        <item m="1" x="323"/>
        <item m="1" x="140"/>
        <item m="1" x="189"/>
        <item x="17"/>
        <item m="1" x="222"/>
        <item m="1" x="335"/>
        <item m="1" x="92"/>
        <item m="1" x="256"/>
        <item m="1" x="77"/>
        <item m="1" x="93"/>
        <item m="1" x="180"/>
        <item m="1" x="202"/>
        <item m="1" x="136"/>
        <item m="1" x="85"/>
        <item m="1" x="206"/>
        <item x="9"/>
        <item x="19"/>
        <item m="1" x="361"/>
        <item m="1" x="213"/>
        <item m="1" x="42"/>
        <item m="1" x="169"/>
        <item m="1" x="25"/>
        <item m="1" x="129"/>
        <item m="1" x="78"/>
        <item m="1" x="261"/>
        <item x="16"/>
        <item m="1" x="375"/>
        <item m="1" x="251"/>
        <item m="1" x="272"/>
        <item m="1" x="52"/>
        <item m="1" x="320"/>
        <item m="1" x="280"/>
        <item m="1" x="324"/>
        <item m="1" x="416"/>
        <item m="1" x="445"/>
        <item m="1" x="291"/>
        <item x="10"/>
        <item m="1" x="407"/>
        <item x="24"/>
        <item m="1" x="181"/>
        <item m="1" x="351"/>
        <item m="1" x="158"/>
        <item m="1" x="86"/>
        <item m="1" x="223"/>
        <item m="1" x="292"/>
        <item m="1" x="148"/>
        <item m="1" x="71"/>
        <item m="1" x="242"/>
        <item m="1" x="417"/>
        <item m="1" x="100"/>
        <item m="1" x="366"/>
        <item m="1" x="325"/>
        <item m="1" x="67"/>
        <item m="1" x="214"/>
        <item m="1" x="313"/>
        <item m="1" x="170"/>
        <item m="1" x="300"/>
        <item m="1" x="32"/>
        <item m="1" x="137"/>
        <item m="1" x="184"/>
        <item m="1" x="358"/>
        <item m="1" x="446"/>
        <item m="1" x="376"/>
        <item m="1" x="452"/>
        <item m="1" x="149"/>
        <item x="1"/>
        <item m="1" x="196"/>
        <item m="1" x="26"/>
        <item m="1" x="388"/>
        <item m="1" x="321"/>
        <item m="1" x="87"/>
        <item m="1" x="265"/>
        <item m="1" x="447"/>
        <item m="1" x="207"/>
        <item m="1" x="68"/>
        <item m="1" x="215"/>
        <item m="1" x="293"/>
        <item m="1" x="380"/>
        <item m="1" x="229"/>
        <item m="1" x="314"/>
        <item m="1" x="301"/>
        <item m="1" x="53"/>
        <item m="1" x="236"/>
        <item m="1" x="79"/>
        <item m="1" x="352"/>
        <item m="1" x="439"/>
        <item m="1" x="371"/>
        <item m="1" x="117"/>
        <item m="1" x="208"/>
        <item m="1" x="286"/>
        <item m="1" x="453"/>
        <item m="1" x="122"/>
        <item m="1" x="216"/>
        <item m="1" x="72"/>
        <item m="1" x="431"/>
        <item m="1" x="302"/>
        <item m="1" x="182"/>
        <item m="1" x="281"/>
        <item m="1" x="159"/>
        <item m="1" x="224"/>
        <item m="1" x="381"/>
        <item m="1" x="315"/>
        <item m="1" x="171"/>
        <item m="1" x="101"/>
        <item m="1" x="412"/>
        <item m="1" x="393"/>
        <item m="1" x="418"/>
        <item m="1" x="287"/>
        <item m="1" x="36"/>
        <item m="1" x="141"/>
        <item m="1" x="123"/>
        <item m="1" x="217"/>
        <item m="1" x="408"/>
        <item m="1" x="73"/>
        <item m="1" x="102"/>
        <item m="1" x="273"/>
        <item m="1" x="27"/>
        <item m="1" x="80"/>
        <item m="1" x="107"/>
        <item x="15"/>
        <item m="1" x="243"/>
        <item m="1" x="326"/>
        <item m="1" x="336"/>
        <item m="1" x="124"/>
        <item m="1" x="294"/>
        <item m="1" x="150"/>
        <item m="1" x="172"/>
        <item m="1" x="103"/>
        <item m="1" x="197"/>
        <item m="1" x="367"/>
        <item m="1" x="389"/>
        <item m="1" x="81"/>
        <item m="1" x="59"/>
        <item m="1" x="160"/>
        <item m="1" x="327"/>
        <item m="1" x="419"/>
        <item m="1" x="88"/>
        <item m="1" x="209"/>
        <item m="1" x="401"/>
        <item m="1" x="94"/>
        <item m="1" x="125"/>
        <item m="1" x="43"/>
        <item m="1" x="343"/>
        <item m="1" x="104"/>
        <item m="1" x="353"/>
        <item m="1" x="440"/>
        <item m="1" x="108"/>
        <item m="1" x="328"/>
        <item m="1" x="359"/>
        <item m="1" x="142"/>
        <item m="1" x="164"/>
        <item m="1" x="252"/>
        <item m="1" x="382"/>
        <item m="1" x="409"/>
        <item m="1" x="74"/>
        <item m="1" x="432"/>
        <item m="1" x="28"/>
        <item m="1" x="220"/>
        <item m="1" x="390"/>
        <item m="1" x="82"/>
        <item m="1" x="109"/>
        <item m="1" x="372"/>
        <item m="1" x="394"/>
        <item m="1" x="244"/>
        <item m="1" x="329"/>
        <item m="1" x="448"/>
        <item m="1" x="402"/>
        <item m="1" x="337"/>
        <item m="1" x="454"/>
        <item m="1" x="230"/>
        <item m="1" x="173"/>
        <item m="1" x="257"/>
        <item m="1" x="344"/>
        <item m="1" x="54"/>
        <item m="1" x="83"/>
        <item x="21"/>
        <item x="4"/>
        <item m="1" x="161"/>
        <item m="1" x="245"/>
        <item m="1" x="330"/>
        <item m="1" x="377"/>
        <item m="1" x="424"/>
        <item m="1" x="95"/>
        <item m="1" x="270"/>
        <item m="1" x="44"/>
        <item m="1" x="151"/>
        <item m="1" x="316"/>
        <item m="1" x="105"/>
        <item m="1" x="130"/>
        <item m="1" x="221"/>
        <item m="1" x="237"/>
        <item m="1" x="262"/>
        <item m="1" x="441"/>
        <item m="1" x="282"/>
        <item m="1" x="395"/>
        <item m="1" x="60"/>
        <item x="23"/>
        <item m="1" x="253"/>
        <item m="1" x="295"/>
        <item m="1" x="75"/>
        <item m="1" x="345"/>
        <item m="1" x="433"/>
        <item m="1" x="131"/>
        <item m="1" x="110"/>
        <item m="1" x="203"/>
        <item m="1" x="373"/>
        <item m="1" x="396"/>
        <item m="1" x="185"/>
        <item m="1" x="266"/>
        <item m="1" x="449"/>
        <item m="1" x="383"/>
        <item x="6"/>
        <item m="1" x="174"/>
        <item m="1" x="258"/>
        <item m="1" x="346"/>
        <item m="1" x="183"/>
        <item m="1" x="111"/>
        <item m="1" x="204"/>
        <item m="1" x="162"/>
        <item x="7"/>
        <item m="1" x="450"/>
        <item m="1" x="118"/>
        <item m="1" x="143"/>
        <item m="1" x="425"/>
        <item m="1" x="362"/>
        <item m="1" x="126"/>
        <item m="1" x="175"/>
        <item m="1" x="434"/>
        <item m="1" x="198"/>
        <item m="1" x="263"/>
        <item m="1" x="354"/>
        <item m="1" x="33"/>
        <item m="1" x="310"/>
        <item m="1" x="246"/>
        <item m="1" x="420"/>
        <item m="1" x="165"/>
        <item m="1" x="199"/>
        <item m="1" x="274"/>
        <item m="1" x="132"/>
        <item m="1" x="55"/>
        <item m="1" x="238"/>
        <item m="1" x="112"/>
        <item m="1" x="397"/>
        <item m="1" x="61"/>
        <item m="1" x="247"/>
        <item x="3"/>
        <item m="1" x="267"/>
        <item m="1" x="451"/>
        <item m="1" x="288"/>
        <item m="1" x="166"/>
        <item m="1" x="254"/>
        <item m="1" x="338"/>
        <item m="1" x="426"/>
        <item m="1" x="384"/>
        <item m="1" x="45"/>
        <item m="1" x="176"/>
        <item m="1" x="435"/>
        <item m="1" x="133"/>
        <item x="13"/>
        <item m="1" x="283"/>
        <item m="1" x="62"/>
        <item m="1" x="186"/>
        <item m="1" x="69"/>
        <item m="1" x="96"/>
        <item m="1" x="410"/>
        <item m="1" x="275"/>
        <item m="1" x="29"/>
        <item x="14"/>
        <item m="1" x="303"/>
        <item m="1" x="322"/>
        <item m="1" x="284"/>
        <item x="12"/>
        <item m="1" x="248"/>
        <item m="1" x="403"/>
        <item m="1" x="368"/>
        <item m="1" x="30"/>
        <item m="1" x="391"/>
        <item m="1" x="155"/>
        <item m="1" x="63"/>
        <item m="1" x="89"/>
        <item m="1" x="225"/>
        <item m="1" x="167"/>
        <item m="1" x="339"/>
        <item m="1" x="190"/>
        <item m="1" x="296"/>
        <item m="1" x="134"/>
        <item m="1" x="378"/>
        <item m="1" x="37"/>
        <item m="1" x="168"/>
        <item m="1" x="191"/>
        <item m="1" x="271"/>
        <item m="1" x="239"/>
        <item m="1" x="119"/>
        <item m="1" x="379"/>
        <item m="1" x="427"/>
        <item m="1" x="231"/>
        <item m="1" x="200"/>
        <item m="1" x="331"/>
        <item m="1" x="268"/>
        <item m="1" x="38"/>
        <item m="1" x="255"/>
        <item m="1" x="340"/>
        <item m="1" x="97"/>
        <item m="1" x="442"/>
        <item m="1" x="347"/>
        <item t="default"/>
      </items>
    </pivotField>
    <pivotField showAll="0" defaultSubtotal="0">
      <items count="25">
        <item h="1" x="0"/>
        <item h="1" x="1"/>
        <item h="1" x="2"/>
        <item h="1" x="3"/>
        <item h="1" x="4"/>
        <item h="1" x="5"/>
        <item x="6"/>
        <item h="1" x="7"/>
        <item h="1" x="8"/>
        <item h="1" x="9"/>
        <item h="1" x="10"/>
        <item h="1" x="11"/>
        <item h="1" x="12"/>
        <item h="1" x="13"/>
        <item h="1" x="14"/>
        <item h="1" x="15"/>
        <item h="1" x="16"/>
        <item h="1" x="17"/>
        <item h="1" x="18"/>
        <item h="1" x="19"/>
        <item h="1" x="20"/>
        <item h="1" x="21"/>
        <item h="1" x="22"/>
        <item h="1" x="23"/>
        <item h="1" x="24"/>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41">
        <item m="1" x="46"/>
        <item m="1" x="109"/>
        <item m="1" x="69"/>
        <item m="1" x="173"/>
        <item m="1" x="186"/>
        <item m="1" x="49"/>
        <item m="1" x="154"/>
        <item m="1" x="102"/>
        <item m="1" x="319"/>
        <item m="1" x="213"/>
        <item m="1" x="150"/>
        <item m="1" x="272"/>
        <item m="1" x="320"/>
        <item m="1" x="337"/>
        <item m="1" x="295"/>
        <item m="1" x="230"/>
        <item m="1" x="214"/>
        <item m="1" x="321"/>
        <item m="1" x="242"/>
        <item m="1" x="114"/>
        <item m="1" x="59"/>
        <item m="1" x="222"/>
        <item m="1" x="411"/>
        <item m="1" x="39"/>
        <item m="1" x="330"/>
        <item m="1" x="223"/>
        <item m="1" x="155"/>
        <item m="1" x="281"/>
        <item m="1" x="303"/>
        <item m="1" x="124"/>
        <item m="1" x="252"/>
        <item m="1" x="199"/>
        <item m="1" x="296"/>
        <item m="1" x="297"/>
        <item m="1" x="412"/>
        <item m="1" x="151"/>
        <item m="1" x="304"/>
        <item m="1" x="152"/>
        <item m="1" x="276"/>
        <item m="1" x="23"/>
        <item m="1" x="121"/>
        <item m="1" x="425"/>
        <item m="1" x="347"/>
        <item m="1" x="253"/>
        <item m="1" x="68"/>
        <item m="1" x="174"/>
        <item m="1" x="209"/>
        <item m="1" x="110"/>
        <item m="1" x="74"/>
        <item m="1" x="50"/>
        <item m="1" x="377"/>
        <item m="1" x="175"/>
        <item m="1" x="167"/>
        <item m="1" x="47"/>
        <item m="1" x="266"/>
        <item m="1" x="111"/>
        <item m="1" x="331"/>
        <item m="1" x="305"/>
        <item m="1" x="138"/>
        <item m="1" x="282"/>
        <item m="1" x="431"/>
        <item m="1" x="156"/>
        <item m="1" x="51"/>
        <item m="1" x="215"/>
        <item m="1" x="383"/>
        <item m="1" x="168"/>
        <item m="1" x="290"/>
        <item m="1" x="176"/>
        <item m="1" x="395"/>
        <item m="1" x="413"/>
        <item m="1" x="70"/>
        <item m="1" x="277"/>
        <item m="1" x="243"/>
        <item m="1" x="398"/>
        <item m="1" x="384"/>
        <item m="1" x="177"/>
        <item m="1" x="273"/>
        <item m="1" x="33"/>
        <item m="1" x="283"/>
        <item m="1" x="231"/>
        <item m="1" x="368"/>
        <item m="1" x="402"/>
        <item m="1" x="267"/>
        <item m="1" x="224"/>
        <item m="1" x="342"/>
        <item m="1" x="52"/>
        <item m="1" x="115"/>
        <item m="1" x="238"/>
        <item m="1" x="403"/>
        <item m="1" x="417"/>
        <item m="1" x="97"/>
        <item m="1" x="157"/>
        <item m="1" x="232"/>
        <item m="1" x="326"/>
        <item m="1" x="426"/>
        <item m="1" x="244"/>
        <item m="1" x="158"/>
        <item m="1" x="91"/>
        <item m="1" x="159"/>
        <item m="1" x="254"/>
        <item m="1" x="291"/>
        <item m="1" x="60"/>
        <item m="1" x="245"/>
        <item m="1" x="40"/>
        <item m="1" x="274"/>
        <item m="1" x="140"/>
        <item m="1" x="75"/>
        <item m="1" x="200"/>
        <item m="1" x="434"/>
        <item m="1" x="332"/>
        <item m="1" x="28"/>
        <item m="1" x="298"/>
        <item m="1" x="112"/>
        <item m="1" x="24"/>
        <item m="1" x="369"/>
        <item m="1" x="233"/>
        <item m="1" x="133"/>
        <item m="1" x="160"/>
        <item m="1" x="327"/>
        <item m="1" x="306"/>
        <item m="1" x="134"/>
        <item m="1" x="275"/>
        <item m="1" x="246"/>
        <item m="1" x="76"/>
        <item m="1" x="92"/>
        <item m="1" x="29"/>
        <item m="1" x="122"/>
        <item m="1" x="34"/>
        <item m="1" x="98"/>
        <item m="1" x="234"/>
        <item m="1" x="80"/>
        <item m="1" x="278"/>
        <item m="1" x="370"/>
        <item m="1" x="284"/>
        <item m="1" x="352"/>
        <item m="1" x="312"/>
        <item m="1" x="103"/>
        <item m="1" x="178"/>
        <item m="1" x="139"/>
        <item m="1" x="179"/>
        <item m="1" x="201"/>
        <item m="1" x="385"/>
        <item m="1" x="25"/>
        <item m="1" x="255"/>
        <item m="1" x="378"/>
        <item m="1" x="407"/>
        <item m="1" x="379"/>
        <item m="1" x="386"/>
        <item m="1" x="225"/>
        <item m="1" x="81"/>
        <item m="1" x="210"/>
        <item m="1" x="418"/>
        <item m="1" x="348"/>
        <item m="1" x="380"/>
        <item m="1" x="314"/>
        <item m="1" x="359"/>
        <item m="1" x="292"/>
        <item m="1" x="387"/>
        <item m="1" x="77"/>
        <item m="1" x="322"/>
        <item m="1" x="404"/>
        <item m="1" x="360"/>
        <item m="1" x="30"/>
        <item m="1" x="381"/>
        <item m="1" x="202"/>
        <item m="1" x="279"/>
        <item m="1" x="141"/>
        <item m="1" x="247"/>
        <item m="1" x="161"/>
        <item m="1" x="61"/>
        <item m="1" x="113"/>
        <item m="1" x="371"/>
        <item m="1" x="116"/>
        <item m="1" x="203"/>
        <item m="1" x="408"/>
        <item m="1" x="93"/>
        <item m="1" x="41"/>
        <item m="1" x="419"/>
        <item m="1" x="191"/>
        <item m="1" x="372"/>
        <item m="1" x="361"/>
        <item m="1" x="35"/>
        <item m="1" x="349"/>
        <item m="1" x="125"/>
        <item m="1" x="268"/>
        <item m="1" x="153"/>
        <item m="1" x="71"/>
        <item m="1" x="414"/>
        <item m="1" x="142"/>
        <item m="1" x="26"/>
        <item m="1" x="399"/>
        <item m="1" x="388"/>
        <item m="1" x="415"/>
        <item m="1" x="394"/>
        <item m="1" x="62"/>
        <item m="1" x="181"/>
        <item m="1" x="78"/>
        <item m="1" x="192"/>
        <item m="1" x="350"/>
        <item m="1" x="362"/>
        <item m="1" x="435"/>
        <item m="1" x="204"/>
        <item m="1" x="193"/>
        <item m="1" x="117"/>
        <item m="1" x="285"/>
        <item m="1" x="162"/>
        <item m="1" x="343"/>
        <item m="1" x="344"/>
        <item m="1" x="333"/>
        <item m="1" x="194"/>
        <item m="1" x="169"/>
        <item m="1" x="143"/>
        <item m="1" x="187"/>
        <item m="1" x="86"/>
        <item m="1" x="373"/>
        <item m="1" x="353"/>
        <item m="1" x="87"/>
        <item m="1" x="220"/>
        <item m="1" x="211"/>
        <item m="1" x="307"/>
        <item m="1" x="196"/>
        <item m="1" x="135"/>
        <item m="1" x="31"/>
        <item m="1" x="308"/>
        <item m="1" x="53"/>
        <item m="1" x="79"/>
        <item m="1" x="309"/>
        <item m="1" x="126"/>
        <item m="1" x="72"/>
        <item m="1" x="400"/>
        <item m="1" x="315"/>
        <item m="1" x="299"/>
        <item m="1" x="323"/>
        <item m="1" x="88"/>
        <item m="1" x="436"/>
        <item m="1" x="197"/>
        <item m="1" x="123"/>
        <item m="1" x="221"/>
        <item m="1" x="63"/>
        <item m="1" x="432"/>
        <item m="1" x="239"/>
        <item m="1" x="351"/>
        <item m="1" x="363"/>
        <item m="1" x="240"/>
        <item m="1" x="82"/>
        <item m="1" x="405"/>
        <item m="1" x="144"/>
        <item m="1" x="316"/>
        <item m="1" x="259"/>
        <item m="1" x="324"/>
        <item m="1" x="420"/>
        <item m="1" x="241"/>
        <item m="1" x="364"/>
        <item m="1" x="136"/>
        <item m="1" x="99"/>
        <item m="1" x="374"/>
        <item m="1" x="248"/>
        <item m="1" x="345"/>
        <item m="1" x="127"/>
        <item m="1" x="64"/>
        <item m="1" x="42"/>
        <item m="1" x="421"/>
        <item m="1" x="118"/>
        <item m="1" x="54"/>
        <item m="1" x="260"/>
        <item m="1" x="269"/>
        <item m="1" x="375"/>
        <item m="1" x="354"/>
        <item m="1" x="334"/>
        <item m="1" x="73"/>
        <item m="1" x="422"/>
        <item m="1" x="128"/>
        <item m="1" x="235"/>
        <item m="1" x="129"/>
        <item m="1" x="338"/>
        <item m="1" x="409"/>
        <item m="1" x="36"/>
        <item m="1" x="389"/>
        <item m="1" x="236"/>
        <item m="1" x="355"/>
        <item m="1" x="256"/>
        <item m="1" x="390"/>
        <item m="1" x="83"/>
        <item m="1" x="145"/>
        <item m="1" x="317"/>
        <item m="1" x="401"/>
        <item m="1" x="104"/>
        <item m="1" x="293"/>
        <item m="1" x="65"/>
        <item m="1" x="423"/>
        <item m="1" x="32"/>
        <item m="1" x="146"/>
        <item m="1" x="105"/>
        <item m="1" x="163"/>
        <item m="1" x="280"/>
        <item m="1" x="437"/>
        <item m="1" x="261"/>
        <item m="1" x="382"/>
        <item m="1" x="335"/>
        <item m="1" x="286"/>
        <item m="1" x="325"/>
        <item m="1" x="365"/>
        <item m="1" x="249"/>
        <item m="1" x="188"/>
        <item m="1" x="356"/>
        <item m="1" x="366"/>
        <item m="1" x="147"/>
        <item m="1" x="137"/>
        <item m="1" x="164"/>
        <item m="1" x="262"/>
        <item m="1" x="84"/>
        <item m="1" x="416"/>
        <item m="1" x="205"/>
        <item m="1" x="310"/>
        <item m="1" x="410"/>
        <item m="1" x="165"/>
        <item m="1" x="106"/>
        <item m="1" x="55"/>
        <item m="1" x="198"/>
        <item m="1" x="119"/>
        <item m="1" x="43"/>
        <item m="1" x="130"/>
        <item m="1" x="328"/>
        <item m="1" x="48"/>
        <item m="1" x="212"/>
        <item m="1" x="270"/>
        <item m="1" x="336"/>
        <item m="1" x="37"/>
        <item m="1" x="100"/>
        <item m="1" x="170"/>
        <item m="1" x="250"/>
        <item m="1" x="226"/>
        <item m="1" x="131"/>
        <item m="1" x="376"/>
        <item m="1" x="257"/>
        <item m="1" x="216"/>
        <item m="1" x="251"/>
        <item m="1" x="391"/>
        <item m="1" x="227"/>
        <item m="1" x="271"/>
        <item m="1" x="189"/>
        <item m="1" x="438"/>
        <item m="1" x="56"/>
        <item m="1" x="300"/>
        <item m="1" x="301"/>
        <item m="1" x="313"/>
        <item m="1" x="263"/>
        <item m="1" x="107"/>
        <item m="1" x="171"/>
        <item m="1" x="357"/>
        <item m="1" x="132"/>
        <item m="1" x="329"/>
        <item m="1" x="406"/>
        <item m="1" x="94"/>
        <item m="1" x="180"/>
        <item m="1" x="38"/>
        <item m="1" x="264"/>
        <item m="1" x="439"/>
        <item m="1" x="217"/>
        <item m="1" x="95"/>
        <item m="1" x="66"/>
        <item m="1" x="67"/>
        <item m="1" x="108"/>
        <item m="1" x="44"/>
        <item m="1" x="427"/>
        <item m="1" x="57"/>
        <item m="1" x="190"/>
        <item m="1" x="206"/>
        <item m="1" x="358"/>
        <item m="1" x="207"/>
        <item m="1" x="392"/>
        <item m="1" x="346"/>
        <item m="1" x="166"/>
        <item m="1" x="182"/>
        <item m="1" x="396"/>
        <item m="1" x="318"/>
        <item m="1" x="428"/>
        <item m="1" x="101"/>
        <item m="1" x="287"/>
        <item m="1" x="237"/>
        <item m="1" x="96"/>
        <item m="1" x="429"/>
        <item m="1" x="85"/>
        <item m="1" x="302"/>
        <item m="1" x="228"/>
        <item m="1" x="58"/>
        <item m="1" x="424"/>
        <item m="1" x="45"/>
        <item m="1" x="430"/>
        <item m="1" x="148"/>
        <item m="1" x="229"/>
        <item m="1" x="288"/>
        <item m="1" x="183"/>
        <item m="1" x="89"/>
        <item m="1" x="195"/>
        <item m="1" x="294"/>
        <item m="1" x="172"/>
        <item m="1" x="149"/>
        <item m="1" x="120"/>
        <item m="1" x="367"/>
        <item m="1" x="339"/>
        <item m="1" x="208"/>
        <item m="1" x="265"/>
        <item m="1" x="289"/>
        <item m="1" x="218"/>
        <item m="1" x="27"/>
        <item m="1" x="433"/>
        <item m="1" x="397"/>
        <item m="1" x="340"/>
        <item m="1" x="393"/>
        <item m="1" x="90"/>
        <item m="1" x="184"/>
        <item m="1" x="219"/>
        <item x="22"/>
        <item x="7"/>
        <item x="1"/>
        <item x="2"/>
        <item x="6"/>
        <item x="8"/>
        <item x="21"/>
        <item x="14"/>
        <item x="20"/>
        <item x="10"/>
        <item x="9"/>
        <item x="15"/>
        <item x="3"/>
        <item x="19"/>
        <item x="17"/>
        <item m="1" x="311"/>
        <item x="5"/>
        <item x="4"/>
        <item x="16"/>
        <item x="13"/>
        <item x="18"/>
        <item x="0"/>
        <item x="11"/>
        <item x="12"/>
        <item m="1" x="258"/>
        <item m="1" x="341"/>
        <item m="1" x="185"/>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m="1" x="2441"/>
        <item sd="0" m="1" x="3421"/>
        <item sd="0" m="1" x="6345"/>
        <item sd="0" m="1" x="7323"/>
        <item sd="0" m="1" x="2309"/>
        <item sd="0" m="1" x="3287"/>
        <item sd="0" m="1" x="5245"/>
        <item sd="0" m="1" x="6216"/>
        <item sd="0" m="1" x="1216"/>
        <item sd="0" m="1" x="2180"/>
        <item sd="0" m="1" x="5114"/>
        <item sd="0" m="1" x="6082"/>
        <item sd="0" m="1" x="115"/>
        <item sd="0" m="1" x="1087"/>
        <item sd="0" m="1" x="4018"/>
        <item sd="0" m="1" x="4987"/>
        <item sd="0" m="1" x="7911"/>
        <item sd="0" m="1" x="954"/>
        <item sd="0" m="1" x="2896"/>
        <item sd="0" m="1" x="3886"/>
        <item sd="0" m="1" x="6803"/>
        <item sd="0" m="1" x="7783"/>
        <item sd="0" m="1" x="2765"/>
        <item sd="0" m="1" x="3750"/>
        <item sd="0" m="1" x="5695"/>
        <item sd="0" m="1" x="6673"/>
        <item sd="0" m="1" x="1666"/>
        <item sd="0" m="1" x="2637"/>
        <item sd="0" m="1" x="5565"/>
        <item sd="0" m="1" x="6538"/>
        <item sd="0" m="1" x="569"/>
        <item sd="0" m="1" x="1534"/>
        <item sd="0" m="1" x="2017"/>
        <item sd="0" m="1" x="4475"/>
        <item sd="0" m="1" x="4953"/>
        <item sd="0" m="1" x="5436"/>
        <item sd="0" m="1" x="7879"/>
        <item sd="0" m="1" x="440"/>
        <item sd="0" m="1" x="922"/>
        <item sd="0" m="1" x="1402"/>
        <item sd="0" m="1" x="3357"/>
        <item sd="0" m="1" x="3853"/>
        <item sd="0" m="1" x="4343"/>
        <item sd="0" m="1" x="4823"/>
        <item sd="0" m="1" x="7263"/>
        <item sd="0" m="1" x="7752"/>
        <item sd="0" m="1" x="311"/>
        <item sd="0" m="1" x="2734"/>
        <item sd="0" m="1" x="3227"/>
        <item sd="0" m="1" x="3721"/>
        <item sd="0" m="1" x="4213"/>
        <item sd="0" m="1" x="6149"/>
        <item sd="0" m="1" x="6643"/>
        <item sd="0" m="1" x="7132"/>
        <item sd="0" m="1" x="7622"/>
        <item sd="0" m="1" x="2117"/>
        <item sd="0" m="1" x="2607"/>
        <item sd="0" m="1" x="3096"/>
        <item sd="0" m="1" x="5533"/>
        <item sd="0" m="1" x="6019"/>
        <item sd="0" m="1" x="6510"/>
        <item sd="0" m="1" x="7000"/>
        <item sd="0" m="1" x="1020"/>
        <item sd="0" m="1" x="1504"/>
        <item sd="0" m="1" x="1987"/>
        <item sd="0" m="1" x="2476"/>
        <item sd="0" m="1" x="4922"/>
        <item sd="0" m="1" x="5406"/>
        <item m="1" x="5891"/>
        <item m="1" x="6380"/>
        <item sd="0" m="1" x="407"/>
        <item sd="0" m="1" x="890"/>
        <item m="1" x="1374"/>
        <item m="1" x="1858"/>
        <item sd="0" m="1" x="3819"/>
        <item sd="0" m="1" x="4312"/>
        <item sd="0" m="1" x="4793"/>
        <item m="1" x="5277"/>
        <item sd="0" m="1" x="7719"/>
        <item sd="0" m="1" x="279"/>
        <item m="1" x="761"/>
        <item m="1" x="1247"/>
        <item sd="0" m="1" x="3194"/>
        <item sd="0" m="1" x="3687"/>
        <item m="1" x="4182"/>
        <item m="1" x="4665"/>
        <item sd="0" m="1" x="6611"/>
        <item sd="0" m="1" x="7099"/>
        <item sd="0" m="1" x="7588"/>
        <item m="1" x="151"/>
        <item sd="0" m="1" x="2575"/>
        <item sd="0" m="1" x="3063"/>
        <item m="1" x="3557"/>
        <item m="1" x="4055"/>
        <item sd="0" m="1" x="5990"/>
        <item sd="0" m="1" x="6479"/>
        <item m="1" x="6969"/>
        <item m="1" x="7459"/>
        <item sd="0" m="1" x="1473"/>
        <item sd="0" m="1" x="1719"/>
        <item sd="0" m="1" x="1958"/>
        <item sd="0" m="1" x="2201"/>
        <item sd="0" m="1" x="2445"/>
        <item m="1" x="2691"/>
        <item m="1" x="2935"/>
        <item m="1" x="3177"/>
        <item sd="0" m="1" x="5133"/>
        <item sd="0" m="1" x="5375"/>
        <item sd="0" m="1" x="5621"/>
        <item sd="0" m="1" x="5861"/>
        <item sd="0" m="1" x="6106"/>
        <item m="1" x="6351"/>
        <item m="1" x="6594"/>
        <item m="1" x="6841"/>
        <item sd="0" m="1" x="860"/>
        <item sd="0" m="1" x="1106"/>
        <item sd="0" m="1" x="1345"/>
        <item sd="0" m="1" x="1591"/>
        <item m="1" x="1829"/>
        <item m="1" x="2074"/>
        <item m="1" x="2314"/>
        <item sd="0" m="1" x="4278"/>
        <item sd="0" m="1" x="4524"/>
        <item sd="0" m="1" x="4764"/>
        <item sd="0" m="1" x="5007"/>
        <item sd="0" m="1" x="5248"/>
        <item m="1" x="5493"/>
        <item m="1" x="5734"/>
        <item m="1" x="5975"/>
        <item sd="0" m="1" x="7929"/>
        <item sd="0" m="1" x="245"/>
        <item sd="0" m="1" x="491"/>
        <item sd="0" m="1" x="731"/>
        <item sd="0" m="1" x="978"/>
        <item m="1" x="1222"/>
        <item m="1" x="1460"/>
        <item m="1" x="1706"/>
        <item sd="0" m="1" x="3651"/>
        <item sd="0" m="1" x="3904"/>
        <item sd="0" m="1" x="4149"/>
        <item sd="0" m="1" x="4397"/>
        <item m="1" x="4636"/>
        <item m="1" x="4879"/>
        <item m="1" x="5120"/>
        <item sd="0" m="1" x="7063"/>
        <item sd="0" m="1" x="7309"/>
        <item sd="0" m="1" x="7554"/>
        <item sd="0" m="1" x="7802"/>
        <item sd="0" m="1" x="119"/>
        <item m="1" x="364"/>
        <item m="1" x="607"/>
        <item m="1" x="845"/>
        <item sd="0" m="1" x="2784"/>
        <item sd="0" m="1" x="3028"/>
        <item sd="0" m="1" x="3275"/>
        <item sd="0" m="1" x="3523"/>
        <item sd="0" m="1" x="3771"/>
        <item m="1" x="4024"/>
        <item m="1" x="4265"/>
        <item m="1" x="4512"/>
        <item sd="0" m="1" x="6443"/>
        <item sd="0" m="1" x="6692"/>
        <item sd="0" m="1" x="6935"/>
        <item sd="0" m="1" x="7183"/>
        <item m="1" x="7425"/>
        <item m="1" x="7672"/>
        <item m="1" x="7916"/>
        <item sd="0" m="1" x="1924"/>
        <item sd="0" m="1" x="2166"/>
        <item sd="0" m="1" x="2409"/>
        <item sd="0" m="1" x="2657"/>
        <item sd="0" m="1" x="2900"/>
        <item m="1" x="3146"/>
        <item m="1" x="3395"/>
        <item m="1" x="3637"/>
        <item sd="0" m="1" x="5586"/>
        <item sd="0" m="1" x="5825"/>
        <item sd="0" m="1" x="6070"/>
        <item sd="0" m="1" x="6314"/>
        <item sd="0" m="1" x="6560"/>
        <item m="1" x="6809"/>
        <item m="1" x="7049"/>
        <item m="1" x="7296"/>
        <item sd="0" m="1" x="1311"/>
        <item sd="0" m="1" x="1554"/>
        <item sd="0" m="1" x="1794"/>
        <item sd="0" m="1" x="2039"/>
        <item m="1" x="2278"/>
        <item m="1" x="2527"/>
        <item m="1" x="2770"/>
        <item sd="0" m="1" x="4731"/>
        <item sd="0" m="1" x="4972"/>
        <item sd="0" m="1" x="5212"/>
        <item sd="0" m="1" x="5457"/>
        <item sd="0" m="1" x="5699"/>
        <item m="1" x="5941"/>
        <item m="1" x="6187"/>
        <item m="1" x="6428"/>
        <item sd="0" m="1" x="460"/>
        <item sd="0" m="1" x="699"/>
        <item sd="0" m="1" x="942"/>
        <item sd="0" m="1" x="1186"/>
        <item sd="0" m="1" x="1425"/>
        <item m="1" x="1672"/>
        <item m="1" x="1907"/>
        <item m="1" x="2151"/>
        <item sd="0" m="1" x="4119"/>
        <item sd="0" m="1" x="4362"/>
        <item sd="0" m="1" x="4603"/>
        <item sd="0" m="1" x="4845"/>
        <item m="1" x="5083"/>
        <item m="1" x="5328"/>
        <item m="1" x="5570"/>
        <item sd="0" m="1" x="7523"/>
        <item sd="0" m="1" x="7768"/>
        <item sd="0" m="1" x="86"/>
        <item sd="0" m="1" x="330"/>
        <item sd="0" m="1" x="573"/>
        <item m="1" x="812"/>
        <item m="1" x="1056"/>
        <item m="1" x="1296"/>
        <item sd="0" m="1" x="3244"/>
        <item sd="0" m="1" x="3490"/>
        <item sd="0" m="1" x="3738"/>
        <item sd="0" m="1" x="3990"/>
        <item sd="0" m="1" x="4232"/>
        <item m="1" x="4480"/>
        <item m="1" x="4714"/>
        <item m="1" x="4957"/>
        <item sd="0" m="1" x="6904"/>
        <item sd="0" m="1" x="7149"/>
        <item sd="0" m="1" x="7393"/>
        <item sd="0" m="1" x="7516"/>
        <item sd="0" m="1" x="7641"/>
        <item sd="0" m="1" x="7762"/>
        <item m="1" x="7883"/>
        <item m="1" x="79"/>
        <item m="1" x="201"/>
        <item m="1" x="323"/>
        <item m="1" x="444"/>
        <item m="1" x="565"/>
        <item sd="0" m="1" x="2376"/>
        <item sd="0" m="1" x="2502"/>
        <item sd="0" m="1" x="2622"/>
        <item sd="0" m="1" x="2743"/>
        <item sd="0" m="1" x="2868"/>
        <item sd="0" m="1" x="2990"/>
        <item sd="0" m="1" x="3114"/>
        <item sd="0" m="1" x="3237"/>
        <item sd="0" m="1" x="3361"/>
        <item m="1" x="3484"/>
        <item m="1" x="3731"/>
        <item m="1" x="3857"/>
        <item m="1" x="3982"/>
        <item m="1" x="4105"/>
        <item sd="0" m="1" x="5915"/>
        <item sd="0" m="1" x="6037"/>
        <item sd="0" m="1" x="6159"/>
        <item sd="0" m="1" x="6280"/>
        <item sd="0" m="1" x="6403"/>
        <item sd="0" m="1" x="6526"/>
        <item sd="0" m="1" x="6652"/>
        <item sd="0" m="1" x="6776"/>
        <item sd="0" m="1" x="6897"/>
        <item sd="0" m="1" x="7017"/>
        <item m="1" x="7143"/>
        <item m="1" x="7266"/>
        <item m="1" x="7386"/>
        <item m="1" x="7508"/>
        <item m="1" x="7633"/>
        <item m="1" x="7755"/>
        <item sd="0" m="1" x="1645"/>
        <item sd="0" m="1" x="1763"/>
        <item sd="0" m="1" x="1880"/>
        <item sd="0" m="1" x="2004"/>
        <item sd="0" m="1" x="2127"/>
        <item sd="0" m="1" x="2246"/>
        <item sd="0" m="1" x="2369"/>
        <item sd="0" m="1" x="2495"/>
        <item sd="0" m="1" x="2616"/>
        <item m="1" x="2737"/>
        <item m="1" x="2862"/>
        <item m="1" x="2984"/>
        <item m="1" x="3108"/>
        <item m="1" x="3230"/>
        <item m="1" x="3354"/>
        <item sd="0" m="1" x="5179"/>
        <item sd="0" m="1" x="5303"/>
        <item sd="0" m="1" x="5421"/>
        <item sd="0" m="1" x="5543"/>
        <item sd="0" m="1" x="5665"/>
        <item sd="0" m="1" x="5785"/>
        <item sd="0" m="1" x="5908"/>
        <item sd="0" m="1" x="6030"/>
        <item sd="0" m="1" x="6152"/>
        <item m="1" x="6274"/>
        <item m="1" x="6397"/>
        <item m="1" x="6520"/>
        <item m="1" x="6646"/>
        <item m="1" x="6769"/>
        <item m="1" x="6892"/>
        <item sd="0" m="1" x="786"/>
        <item sd="0" m="1" x="908"/>
        <item sd="0" m="1" x="1030"/>
        <item sd="0" m="1" x="1150"/>
        <item sd="0" m="1" x="1271"/>
        <item sd="0" m="1" x="1390"/>
        <item sd="0" m="1" x="1513"/>
        <item sd="0" m="1" x="1638"/>
        <item sd="0" m="1" x="1756"/>
        <item sd="0" m="1" x="1874"/>
        <item m="1" x="1998"/>
        <item m="1" x="2120"/>
        <item m="1" x="2240"/>
        <item m="1" x="2362"/>
        <item m="1" x="2487"/>
        <item m="1" x="2611"/>
        <item sd="0" m="1" x="4455"/>
        <item sd="0" m="1" x="4572"/>
        <item sd="0" m="1" x="4689"/>
        <item sd="0" m="1" x="4810"/>
        <item sd="0" m="1" x="4932"/>
        <item sd="0" m="1" x="5051"/>
        <item sd="0" m="1" x="5171"/>
        <item sd="0" m="1" x="5296"/>
        <item sd="0" m="1" x="5415"/>
        <item m="1" x="5536"/>
        <item m="1" x="5659"/>
        <item m="1" x="5779"/>
        <item m="1" x="5902"/>
        <item m="1" x="6023"/>
        <item m="1" x="6146"/>
        <item sd="0" m="1" x="7982"/>
        <item sd="0" m="1" x="177"/>
        <item sd="0" m="1" x="296"/>
        <item sd="0" m="1" x="418"/>
        <item sd="0" m="1" x="539"/>
        <item sd="0" m="1" x="660"/>
        <item sd="0" m="1" x="779"/>
        <item sd="0" m="1" x="901"/>
        <item sd="0" m="1" x="1023"/>
        <item m="1" x="1145"/>
        <item m="1" x="1265"/>
        <item m="1" x="1384"/>
        <item m="1" x="1507"/>
        <item m="1" x="1631"/>
        <item m="1" x="1751"/>
        <item sd="0" m="1" x="3706"/>
        <item sd="0" m="1" x="3830"/>
        <item sd="0" m="1" x="3957"/>
        <item sd="0" m="1" x="4081"/>
        <item sd="0" m="1" x="4200"/>
        <item sd="0" m="1" x="4323"/>
        <item sd="0" m="1" x="4448"/>
        <item sd="0" m="1" x="4565"/>
        <item sd="0" m="1" x="4683"/>
        <item m="1" x="4805"/>
        <item m="1" x="4925"/>
        <item m="1" x="5045"/>
        <item m="1" x="5165"/>
        <item m="1" x="5288"/>
        <item m="1" x="5410"/>
        <item sd="0" m="1" x="7243"/>
        <item sd="0" m="1" x="7364"/>
        <item sd="0" m="1" x="7485"/>
        <item sd="0" m="1" x="7609"/>
        <item sd="0" m="1" x="7732"/>
        <item sd="0" m="1" x="7853"/>
        <item sd="0" m="1" x="7975"/>
        <item sd="0" m="1" x="171"/>
        <item sd="0" m="1" x="290"/>
        <item m="1" x="411"/>
        <item m="1" x="533"/>
        <item m="1" x="654"/>
        <item m="1" x="773"/>
        <item m="1" x="894"/>
        <item m="1" x="1017"/>
        <item sd="0" m="1" x="2839"/>
        <item sd="0" m="1" x="2961"/>
        <item sd="0" m="1" x="3082"/>
        <item sd="0" m="1" x="3205"/>
        <item sd="0" m="1" x="3329"/>
        <item sd="0" m="1" x="3454"/>
        <item sd="0" m="1" x="3577"/>
        <item sd="0" m="1" x="3699"/>
        <item sd="0" m="1" x="3823"/>
        <item m="1" x="3950"/>
        <item m="1" x="4074"/>
        <item m="1" x="4193"/>
        <item m="1" x="4316"/>
        <item m="1" x="4440"/>
        <item m="1" x="4559"/>
        <item sd="0" m="1" x="6498"/>
        <item sd="0" m="1" x="6621"/>
        <item sd="0" m="1" x="6746"/>
        <item sd="0" m="1" x="6868"/>
        <item sd="0" m="1" x="6987"/>
        <item sd="0" m="1" x="7111"/>
        <item sd="0" m="1" x="7235"/>
        <item sd="0" m="1" x="7356"/>
        <item sd="0" m="1" x="7477"/>
        <item m="1" x="7601"/>
        <item m="1" x="7723"/>
        <item m="1" x="7845"/>
        <item m="1" x="7967"/>
        <item m="1" x="161"/>
        <item m="1" x="283"/>
        <item sd="0" m="1" x="2099"/>
        <item sd="0" m="1" x="2219"/>
        <item sd="0" m="1" x="2340"/>
        <item sd="0" m="1" x="2464"/>
        <item sd="0" m="1" x="2588"/>
        <item sd="0" m="1" x="2709"/>
        <item sd="0" m="1" x="2831"/>
        <item sd="0" m="1" x="2954"/>
        <item sd="0" m="1" x="3075"/>
        <item m="1" x="3197"/>
        <item m="1" x="3322"/>
        <item m="1" x="3447"/>
        <item m="1" x="3570"/>
        <item m="1" x="3691"/>
        <item m="1" x="3815"/>
        <item sd="0" m="1" x="5638"/>
        <item sd="0" m="1" x="5758"/>
        <item sd="0" m="1" x="5879"/>
        <item sd="0" m="1" x="6001"/>
        <item sd="0" m="1" x="6124"/>
        <item sd="0" m="1" x="6247"/>
        <item sd="0" m="1" x="6370"/>
        <item sd="0" m="1" x="6492"/>
        <item sd="0" m="1" x="6615"/>
        <item m="1" x="6740"/>
        <item m="1" x="6862"/>
        <item m="1" x="6981"/>
        <item m="1" x="7105"/>
        <item m="1" x="7228"/>
        <item m="1" x="7350"/>
        <item sd="0" m="1" x="1363"/>
        <item sd="0" m="1" x="1483"/>
        <item sd="0" m="1" x="1608"/>
        <item sd="0" m="1" x="1730"/>
        <item sd="0" m="1" x="1846"/>
        <item sd="0" m="1" x="1969"/>
        <item sd="0" m="1" x="2093"/>
        <item sd="0" m="1" x="2212"/>
        <item sd="0" m="1" x="2333"/>
        <item m="1" x="2457"/>
        <item m="1" x="2580"/>
        <item m="1" x="2702"/>
        <item m="1" x="2824"/>
        <item m="1" x="2946"/>
        <item m="1" x="3068"/>
        <item sd="0" m="1" x="4904"/>
        <item sd="0" m="1" x="5024"/>
        <item sd="0" m="1" x="5144"/>
        <item sd="0" m="1" x="5266"/>
        <item sd="0" m="1" x="5387"/>
        <item sd="0" m="1" x="5509"/>
        <item sd="0" m="1" x="5631"/>
        <item sd="0" m="1" x="5750"/>
        <item sd="0" m="1" x="5871"/>
        <item m="1" x="5993"/>
        <item m="1" x="6116"/>
        <item m="1" x="6239"/>
        <item m="1" x="6362"/>
        <item m="1" x="6483"/>
        <item m="1" x="6606"/>
        <item sd="0" m="1" x="512"/>
        <item sd="0" m="1" x="632"/>
        <item sd="0" m="1" x="749"/>
        <item sd="0" m="1" x="872"/>
        <item sd="0" m="1" x="994"/>
        <item sd="0" m="1" x="1117"/>
        <item sd="0" m="1" x="1237"/>
        <item sd="0" m="1" x="1356"/>
        <item sd="0" m="1" x="1476"/>
        <item m="1" x="1601"/>
        <item m="1" x="1723"/>
        <item m="1" x="1839"/>
        <item m="1" x="1962"/>
        <item m="1" x="2085"/>
        <item m="1" x="2205"/>
        <item m="1" x="2325"/>
        <item sd="0" m="1" x="4170"/>
        <item m="1" x="4292"/>
        <item m="1" x="4417"/>
        <item sd="0" m="1" x="4538"/>
        <item sd="0" m="1" x="4653"/>
        <item sd="0" m="1" x="4776"/>
        <item sd="0" m="1" x="4897"/>
        <item m="1" x="5017"/>
        <item sd="0" m="1" x="5137"/>
        <item m="1" x="5259"/>
        <item m="1" x="5380"/>
        <item m="1" x="5503"/>
        <item m="1" x="5625"/>
        <item m="1" x="5743"/>
        <item m="1" x="5865"/>
        <item m="1" x="3671"/>
        <item sd="0" m="1" x="7700"/>
        <item sd="0" m="1" x="3794"/>
        <item sd="0" m="1" x="7822"/>
        <item sd="0" m="1" x="3922"/>
        <item sd="0" m="1" x="7944"/>
        <item sd="0" m="1" x="4047"/>
        <item sd="0" m="1" x="139"/>
        <item sd="0" m="1" x="4165"/>
        <item sd="0" m="1" x="259"/>
        <item m="1" x="4287"/>
        <item m="1" x="381"/>
        <item sd="0" m="1" x="4412"/>
        <item sd="0" m="1" x="503"/>
        <item sd="0" m="1" x="4533"/>
        <item sd="0" m="1" x="623"/>
        <item sd="0" m="1" x="4648"/>
        <item sd="0" m="1" x="741"/>
        <item sd="0" m="1" x="4771"/>
        <item m="1" x="864"/>
        <item m="1" x="4893"/>
        <item m="1" x="987"/>
        <item m="1" x="5014"/>
        <item m="1" x="1111"/>
        <item m="1" x="5134"/>
        <item m="1" x="1231"/>
        <item m="1" x="5255"/>
        <item m="1" x="1349"/>
        <item m="1" x="5376"/>
        <item m="1" x="1469"/>
        <item m="1" x="5499"/>
        <item sd="0" m="1" x="3299"/>
        <item sd="0" m="1" x="7329"/>
        <item sd="0" m="1" x="3422"/>
        <item sd="0" m="1" x="7448"/>
        <item m="1" x="3543"/>
        <item m="1" x="7571"/>
        <item m="1" x="3665"/>
        <item sd="0" m="1" x="7695"/>
        <item sd="0" m="1" x="3789"/>
        <item sd="0" m="1" x="7817"/>
        <item sd="0" m="1" x="3917"/>
        <item sd="0" m="1" x="7939"/>
        <item sd="0" m="1" x="4042"/>
        <item sd="0" m="1" x="134"/>
        <item sd="0" m="1" x="4160"/>
        <item m="1" x="253"/>
        <item m="1" x="4282"/>
        <item m="1" x="376"/>
        <item m="1" x="4407"/>
        <item m="1" x="498"/>
        <item m="1" x="4529"/>
        <item m="1" x="619"/>
        <item m="1" x="4645"/>
        <item m="1" x="738"/>
        <item m="1" x="4768"/>
        <item m="1" x="861"/>
        <item m="1" x="4889"/>
        <item m="1" x="983"/>
        <item m="1" x="5010"/>
        <item m="1" x="1107"/>
        <item m="1" x="5129"/>
        <item m="1" x="2925"/>
        <item sd="0" m="1" x="3046"/>
        <item sd="0" m="1" x="7077"/>
        <item sd="0" m="1" x="3168"/>
        <item sd="0" m="1" x="7203"/>
        <item sd="0" m="1" x="3293"/>
        <item sd="0" m="1" x="7324"/>
        <item sd="0" m="1" x="3416"/>
        <item sd="0" m="1" x="7443"/>
        <item m="1" x="3538"/>
        <item m="1" x="7566"/>
        <item sd="0" m="1" x="3660"/>
        <item sd="0" m="1" x="7690"/>
        <item sd="0" m="1" x="3784"/>
        <item sd="0" m="1" x="7812"/>
        <item sd="0" m="1" x="3912"/>
        <item sd="0" m="1" x="7934"/>
        <item m="1" x="4037"/>
        <item m="1" x="130"/>
        <item m="1" x="4156"/>
        <item m="1" x="250"/>
        <item m="1" x="4279"/>
        <item m="1" x="373"/>
        <item m="1" x="4404"/>
        <item m="1" x="495"/>
        <item m="1" x="4525"/>
        <item m="1" x="615"/>
        <item m="1" x="4641"/>
        <item m="1" x="734"/>
        <item sd="0" m="1" x="6464"/>
        <item sd="0" m="1" x="2557"/>
        <item sd="0" m="1" x="6585"/>
        <item sd="0" m="1" x="2677"/>
        <item sd="0" m="1" x="6710"/>
        <item sd="0" m="1" x="2799"/>
        <item m="1" x="6832"/>
        <item m="1" x="2920"/>
        <item sd="0" m="1" x="6951"/>
        <item sd="0" m="1" x="3042"/>
        <item sd="0" m="1" x="7072"/>
        <item sd="0" m="1" x="3163"/>
        <item sd="0" m="1" x="7198"/>
        <item sd="0" m="1" x="3288"/>
        <item sd="0" m="1" x="7318"/>
        <item sd="0" m="1" x="3411"/>
        <item m="1" x="7438"/>
        <item m="1" x="3533"/>
        <item m="1" x="7561"/>
        <item m="1" x="3655"/>
        <item m="1" x="7686"/>
        <item m="1" x="3780"/>
        <item m="1" x="7809"/>
        <item m="1" x="3909"/>
        <item m="1" x="7930"/>
        <item m="1" x="4034"/>
        <item m="1" x="126"/>
        <item m="1" x="4152"/>
        <item m="1" x="246"/>
        <item m="1" x="4274"/>
        <item m="1" x="369"/>
        <item m="1" x="6095"/>
        <item m="1" x="2187"/>
        <item m="1" x="6217"/>
        <item sd="0" m="1" x="2304"/>
        <item sd="0" m="1" x="6336"/>
        <item sd="0" m="1" x="2428"/>
        <item sd="0" m="1" x="6458"/>
        <item sd="0" m="1" x="2552"/>
        <item sd="0" m="1" x="6580"/>
        <item sd="0" m="1" x="2672"/>
        <item sd="0" m="1" x="6705"/>
        <item m="1" x="2794"/>
        <item m="1" x="6827"/>
        <item sd="0" m="1" x="2915"/>
        <item sd="0" m="1" x="6946"/>
        <item sd="0" m="1" x="3036"/>
        <item sd="0" m="1" x="7067"/>
        <item sd="0" m="1" x="3158"/>
        <item sd="0" m="1" x="7193"/>
        <item m="1" x="3282"/>
        <item m="1" x="7314"/>
        <item m="1" x="3407"/>
        <item m="1" x="7435"/>
        <item m="1" x="3530"/>
        <item m="1" x="7558"/>
        <item m="1" x="3652"/>
        <item m="1" x="7682"/>
        <item m="1" x="3776"/>
        <item m="1" x="7805"/>
        <item m="1" x="3905"/>
        <item m="1" x="7925"/>
        <item sd="0" m="1" x="5726"/>
        <item sd="0" m="1" x="1817"/>
        <item sd="0" m="1" x="5845"/>
        <item sd="0" m="1" x="1938"/>
        <item sd="0" m="1" x="5966"/>
        <item sd="0" m="1" x="2061"/>
        <item m="1" x="6088"/>
        <item m="1" x="2181"/>
        <item sd="0" m="1" x="6210"/>
        <item sd="0" m="1" x="2298"/>
        <item sd="0" m="1" x="6330"/>
        <item sd="0" m="1" x="2422"/>
        <item sd="0" m="1" x="6452"/>
        <item sd="0" m="1" x="2546"/>
        <item sd="0" m="1" x="6574"/>
        <item sd="0" m="1" x="2667"/>
        <item sd="0" m="1" x="6700"/>
        <item m="1" x="2789"/>
        <item m="1" x="6822"/>
        <item m="1" x="2911"/>
        <item m="1" x="6942"/>
        <item m="1" x="3033"/>
        <item m="1" x="7064"/>
        <item m="1" x="3155"/>
        <item m="1" x="7190"/>
        <item m="1" x="3279"/>
        <item m="1" x="7310"/>
        <item m="1" x="3403"/>
        <item m="1" x="7431"/>
        <item m="1" x="3526"/>
        <item sd="0" m="1" x="1331"/>
        <item sd="0" m="1" x="5358"/>
        <item m="1" x="1450"/>
        <item m="1" x="5479"/>
        <item sd="0" m="1" x="1573"/>
        <item sd="0" m="1" x="5601"/>
        <item sd="0" m="1" x="1696"/>
        <item sd="0" m="1" x="5720"/>
        <item sd="0" m="1" x="1811"/>
        <item sd="0" m="1" x="5839"/>
        <item sd="0" m="1" x="1932"/>
        <item sd="0" m="1" x="5960"/>
        <item m="1" x="2055"/>
        <item m="1" x="6083"/>
        <item m="1" x="2174"/>
        <item sd="0" m="1" x="6204"/>
        <item sd="0" m="1" x="2293"/>
        <item sd="0" m="1" x="6325"/>
        <item sd="0" m="1" x="2417"/>
        <item m="1" x="6447"/>
        <item m="1" x="2542"/>
        <item m="1" x="6570"/>
        <item m="1" x="2664"/>
        <item m="1" x="6697"/>
        <item m="1" x="2785"/>
        <item m="1" x="6819"/>
        <item m="1" x="2907"/>
        <item m="1" x="6938"/>
        <item m="1" x="3029"/>
        <item m="1" x="7059"/>
        <item m="1" x="3151"/>
        <item sd="0" m="1" x="966"/>
        <item sd="0" m="1" x="4993"/>
        <item sd="0" m="1" x="1088"/>
        <item sd="0" m="1" x="5109"/>
        <item sd="0" m="1" x="1207"/>
        <item sd="0" m="1" x="5231"/>
        <item sd="0" m="1" x="1326"/>
        <item m="1" x="5353"/>
        <item m="1" x="1445"/>
        <item sd="0" m="1" x="5474"/>
        <item sd="0" m="1" x="1568"/>
        <item sd="0" m="1" x="5596"/>
        <item sd="0" m="1" x="1691"/>
        <item sd="0" m="1" x="5715"/>
        <item sd="0" m="1" x="1806"/>
        <item sd="0" m="1" x="5834"/>
        <item sd="0" m="1" x="1928"/>
        <item sd="0" m="1" x="5956"/>
        <item m="1" x="2051"/>
        <item m="1" x="6078"/>
        <item m="1" x="2171"/>
        <item m="1" x="6201"/>
        <item m="1" x="2290"/>
        <item m="1" x="6322"/>
        <item m="1" x="2413"/>
        <item m="1" x="6444"/>
        <item m="1" x="2538"/>
        <item m="1" x="6566"/>
        <item m="1" x="2660"/>
        <item m="1" x="6693"/>
        <item m="1" x="2780"/>
        <item sd="0" m="1" x="599"/>
        <item sd="0" m="1" x="4625"/>
        <item m="1" x="716"/>
        <item m="1" x="4745"/>
        <item sd="0" m="1" x="837"/>
        <item sd="0" m="1" x="4866"/>
        <item sd="0" m="1" x="961"/>
        <item sd="0" m="1" x="4988"/>
        <item sd="0" m="1" x="1081"/>
        <item sd="0" m="1" x="5104"/>
        <item sd="0" m="1" x="1202"/>
        <item sd="0" m="1" x="5226"/>
        <item m="1" x="1321"/>
        <item m="1" x="5348"/>
        <item m="1" x="1440"/>
        <item sd="0" m="1" x="5469"/>
        <item sd="0" m="1" x="1564"/>
        <item sd="0" m="1" x="5592"/>
        <item m="1" x="1687"/>
        <item m="1" x="5712"/>
        <item m="1" x="1803"/>
        <item m="1" x="5831"/>
        <item m="1" x="1925"/>
        <item m="1" x="5953"/>
        <item m="1" x="2048"/>
        <item m="1" x="6075"/>
        <item m="1" x="2167"/>
        <item m="1" x="6197"/>
        <item m="1" x="2286"/>
        <item m="1" x="6318"/>
        <item sd="0" m="1" x="230"/>
        <item sd="0" m="1" x="4257"/>
        <item sd="0" m="1" x="351"/>
        <item sd="0" m="1" x="4380"/>
        <item sd="0" m="1" x="473"/>
        <item sd="0" m="1" x="4504"/>
        <item sd="0" m="1" x="594"/>
        <item m="1" x="4620"/>
        <item m="1" x="711"/>
        <item m="1" x="4740"/>
        <item sd="0" m="1" x="832"/>
        <item sd="0" m="1" x="4861"/>
        <item sd="0" m="1" x="955"/>
        <item sd="0" m="1" x="4981"/>
        <item sd="0" m="1" x="1075"/>
        <item sd="0" m="1" x="5099"/>
        <item sd="0" m="1" x="1197"/>
        <item sd="0" m="1" x="5221"/>
        <item m="1" x="1316"/>
        <item m="1" x="5344"/>
        <item m="1" x="1436"/>
        <item m="1" x="5465"/>
        <item m="1" x="1560"/>
        <item m="1" x="5587"/>
        <item m="1" x="1683"/>
        <item m="1" x="5707"/>
        <item m="1" x="1798"/>
        <item m="1" x="5826"/>
        <item m="1" x="1919"/>
        <item m="1" x="5948"/>
        <item sd="0" m="1" x="3760"/>
        <item sd="0" m="1" x="7789"/>
        <item sd="0" m="1" x="3887"/>
        <item m="1" x="7906"/>
        <item m="1" x="4010"/>
        <item sd="0" m="1" x="103"/>
        <item sd="0" m="1" x="4132"/>
        <item sd="0" m="1" x="225"/>
        <item sd="0" m="1" x="4252"/>
        <item sd="0" m="1" x="346"/>
        <item sd="0" m="1" x="4375"/>
        <item sd="0" m="1" x="468"/>
        <item sd="0" m="1" x="4499"/>
        <item sd="0" m="1" x="588"/>
        <item m="1" x="4614"/>
        <item m="1" x="706"/>
        <item sd="0" m="1" x="4735"/>
        <item sd="0" m="1" x="827"/>
        <item sd="0" m="1" x="4856"/>
        <item m="1" x="949"/>
        <item m="1" x="4977"/>
        <item m="1" x="1071"/>
        <item m="1" x="5095"/>
        <item m="1" x="1193"/>
        <item m="1" x="5216"/>
        <item m="1" x="1312"/>
        <item m="1" x="5339"/>
        <item m="1" x="1431"/>
        <item m="1" x="5460"/>
        <item m="1" x="1555"/>
        <item m="1" x="5581"/>
        <item sd="0" m="1" x="3387"/>
        <item sd="0" m="1" x="7414"/>
        <item sd="0" m="1" x="3508"/>
        <item sd="0" m="1" x="7536"/>
        <item sd="0" m="1" x="3629"/>
        <item sd="0" m="1" x="7660"/>
        <item sd="0" m="1" x="3755"/>
        <item sd="0" m="1" x="7784"/>
        <item m="1" x="3880"/>
        <item m="1" x="7902"/>
        <item m="1" x="4006"/>
        <item sd="0" m="1" x="99"/>
        <item sd="0" m="1" x="4128"/>
        <item sd="0" m="1" x="220"/>
        <item sd="0" m="1" x="4247"/>
        <item sd="0" m="1" x="342"/>
        <item sd="0" m="1" x="4371"/>
        <item sd="0" m="1" x="464"/>
        <item m="1" x="4495"/>
        <item m="1" x="585"/>
        <item m="1" x="4611"/>
        <item m="1" x="4732"/>
        <item m="1" x="824"/>
        <item m="1" x="4853"/>
        <item m="1" x="946"/>
        <item m="1" x="4973"/>
        <item m="1" x="1067"/>
        <item m="1" x="5091"/>
        <item m="1" x="1189"/>
        <item sd="0" m="1" x="3013"/>
        <item sd="0" m="1" x="7041"/>
        <item sd="0" m="1" x="3133"/>
        <item m="1" x="7166"/>
        <item m="1" x="3257"/>
        <item sd="0" m="1" x="7288"/>
        <item sd="0" m="1" x="3382"/>
        <item sd="0" m="1" x="7409"/>
        <item sd="0" m="1" x="3503"/>
        <item sd="0" m="1" x="7532"/>
        <item sd="0" m="1" x="3625"/>
        <item sd="0" m="1" x="7656"/>
        <item sd="0" m="1" x="3751"/>
        <item sd="0" m="1" x="7778"/>
        <item m="1" x="3875"/>
        <item m="1" x="7898"/>
        <item sd="0" m="1" x="4002"/>
        <item sd="0" m="1" x="95"/>
        <item m="1" x="4124"/>
        <item m="1" x="217"/>
        <item m="1" x="4244"/>
        <item m="1" x="339"/>
        <item m="1" x="4368"/>
        <item m="1" x="461"/>
        <item m="1" x="4492"/>
        <item m="1" x="582"/>
        <item m="1" x="4607"/>
        <item m="1" x="700"/>
        <item m="1" x="4727"/>
        <item m="1" x="820"/>
        <item m="1" x="6548"/>
        <item sd="0" m="1" x="2643"/>
        <item sd="0" m="1" x="6674"/>
        <item sd="0" m="1" x="2760"/>
        <item sd="0" m="1" x="6795"/>
        <item sd="0" m="1" x="2884"/>
        <item sd="0" m="1" x="6917"/>
        <item sd="0" m="1" x="3008"/>
        <item sd="0" m="1" x="7036"/>
        <item sd="0" m="1" x="3129"/>
        <item m="1" x="7162"/>
        <item m="1" x="3253"/>
        <item sd="0" m="1" x="7284"/>
        <item sd="0" m="1" x="3377"/>
        <item sd="0" m="1" x="7404"/>
        <item sd="0" m="1" x="3499"/>
        <item sd="0" m="1" x="7528"/>
        <item sd="0" m="1" x="3621"/>
        <item sd="0" m="1" x="7652"/>
        <item m="1" x="3746"/>
        <item m="1" x="7774"/>
        <item m="1" x="3871"/>
        <item m="1" x="7894"/>
        <item m="1" x="3998"/>
        <item m="1" x="91"/>
        <item m="1" x="4120"/>
        <item m="1" x="212"/>
        <item m="1" x="4239"/>
        <item m="1" x="334"/>
        <item m="1" x="4363"/>
        <item m="1" x="455"/>
        <item sd="0" m="1" x="6179"/>
        <item sd="0" m="1" x="2267"/>
        <item sd="0" m="1" x="6298"/>
        <item sd="0" m="1" x="2389"/>
        <item m="1" x="6420"/>
        <item m="1" x="2515"/>
        <item m="1" x="6543"/>
        <item sd="0" m="1" x="2638"/>
        <item sd="0" m="1" x="6668"/>
        <item sd="0" m="1" x="2756"/>
        <item sd="0" m="1" x="6791"/>
        <item sd="0" m="1" x="2880"/>
        <item sd="0" m="1" x="6913"/>
        <item sd="0" m="1" x="3003"/>
        <item sd="0" m="1" x="7031"/>
        <item m="1" x="3125"/>
        <item m="1" x="7158"/>
        <item sd="0" m="1" x="3249"/>
        <item m="1" x="7280"/>
        <item m="1" x="3372"/>
        <item m="1" x="7400"/>
        <item m="1" x="3495"/>
        <item m="1" x="7524"/>
        <item m="1" x="3617"/>
        <item m="1" x="7648"/>
        <item m="1" x="3742"/>
        <item m="1" x="7769"/>
        <item m="1" x="3866"/>
        <item m="1" x="7889"/>
        <item m="1" x="3993"/>
        <item m="1" x="5808"/>
        <item sd="0" m="1" x="1899"/>
        <item sd="0" m="1" x="5928"/>
        <item sd="0" m="1" x="2022"/>
        <item sd="0" m="1" x="6051"/>
        <item sd="0" m="1" x="2143"/>
        <item sd="0" m="1" x="6174"/>
        <item sd="0" m="1" x="2262"/>
        <item sd="0" m="1" x="6293"/>
        <item sd="0" m="1" x="2385"/>
        <item m="1" x="6416"/>
        <item m="1" x="2511"/>
        <item sd="0" m="1" x="6539"/>
        <item sd="0" m="1" x="2632"/>
        <item sd="0" m="1" x="6663"/>
        <item sd="0" m="1" x="2752"/>
        <item sd="0" m="1" x="6787"/>
        <item sd="0" m="1" x="2876"/>
        <item m="1" x="6909"/>
        <item m="1" x="2999"/>
        <item m="1" x="7027"/>
        <item m="1" x="3121"/>
        <item m="1" x="7154"/>
        <item m="1" x="3245"/>
        <item m="1" x="7276"/>
        <item m="1" x="3368"/>
        <item m="1" x="7396"/>
        <item m="1" x="3491"/>
        <item m="1" x="7519"/>
        <item m="1" x="3613"/>
        <item sd="0" m="1" x="1412"/>
        <item sd="0" m="1" x="5442"/>
        <item sd="0" m="1" x="1535"/>
        <item sd="0" m="1" x="5560"/>
        <item sd="0" m="1" x="1658"/>
        <item m="1" x="5683"/>
        <item m="1" x="1776"/>
        <item m="1" x="5803"/>
        <item sd="0" m="1" x="1894"/>
        <item sd="0" m="1" x="5924"/>
        <item sd="0" m="1" x="2018"/>
        <item sd="0" m="1" x="6047"/>
        <item sd="0" m="1" x="2139"/>
        <item sd="0" m="1" x="6169"/>
        <item sd="0" m="1" x="2257"/>
        <item sd="0" m="1" x="6289"/>
        <item m="1" x="2381"/>
        <item m="1" x="6412"/>
        <item m="1" x="2507"/>
        <item m="1" x="6534"/>
        <item m="1" x="2628"/>
        <item m="1" x="6659"/>
        <item m="1" x="2748"/>
        <item m="1" x="6783"/>
        <item m="1" x="2872"/>
        <item m="1" x="6905"/>
        <item m="1" x="2994"/>
        <item m="1" x="7023"/>
        <item m="1" x="3117"/>
        <item m="1" x="7150"/>
        <item m="1" x="3240"/>
        <item m="1" x="1049"/>
        <item m="1" x="5072"/>
        <item m="1" x="1169"/>
        <item sd="0" m="1" x="5192"/>
        <item sd="0" m="1" x="1288"/>
        <item sd="0" m="1" x="5316"/>
        <item sd="0" m="1" x="7334"/>
        <item sd="0" m="1" x="1407"/>
        <item sd="0" m="1" x="3428"/>
        <item sd="0" m="1" x="5437"/>
        <item sd="0" m="1" x="7454"/>
        <item sd="0" m="1" x="1529"/>
        <item sd="0" m="1" x="3548"/>
        <item sd="0" m="1" x="5556"/>
        <item sd="0" m="1" x="7576"/>
        <item sd="0" m="1" x="1654"/>
        <item m="1" x="3672"/>
        <item m="1" x="5679"/>
        <item m="1" x="7701"/>
        <item m="1" x="1772"/>
        <item m="1" x="3795"/>
        <item sd="0" m="1" x="5798"/>
        <item sd="0" m="1" x="7823"/>
        <item sd="0" m="1" x="1889"/>
        <item sd="0" m="1" x="3923"/>
        <item sd="0" m="1" x="5920"/>
        <item sd="0" m="1" x="7945"/>
        <item sd="0" m="1" x="2013"/>
        <item sd="0" m="1" x="4048"/>
        <item sd="0" m="1" x="6042"/>
        <item sd="0" m="1" x="140"/>
        <item m="1" x="2135"/>
        <item m="1" x="4166"/>
        <item m="1" x="6164"/>
        <item m="1" x="260"/>
        <item m="1" x="2253"/>
        <item m="1" x="4288"/>
        <item m="1" x="6285"/>
        <item m="1" x="382"/>
        <item m="1" x="2377"/>
        <item m="1" x="4413"/>
        <item m="1" x="6408"/>
        <item m="1" x="504"/>
        <item m="1" x="2503"/>
        <item m="1" x="4534"/>
        <item m="1" x="6530"/>
        <item m="1" x="624"/>
        <item m="1" x="2623"/>
        <item m="1" x="4649"/>
        <item m="1" x="6655"/>
        <item m="1" x="742"/>
        <item m="1" x="2744"/>
        <item m="1" x="4772"/>
        <item m="1" x="6779"/>
        <item m="1" x="865"/>
        <item sd="0" m="1" x="6595"/>
        <item sd="0" m="1" x="682"/>
        <item sd="0" m="1" x="2687"/>
        <item sd="0" m="1" x="4707"/>
        <item sd="0" m="1" x="6721"/>
        <item sd="0" m="1" x="800"/>
        <item sd="0" m="1" x="2808"/>
        <item sd="0" m="1" x="4828"/>
        <item sd="0" m="1" x="6842"/>
        <item sd="0" m="1" x="923"/>
        <item sd="0" m="1" x="2930"/>
        <item sd="0" m="1" x="4948"/>
        <item m="1" x="6960"/>
        <item m="1" x="1044"/>
        <item m="1" x="3052"/>
        <item m="1" x="5067"/>
        <item m="1" x="7083"/>
        <item sd="0" m="1" x="1164"/>
        <item sd="0" m="1" x="3173"/>
        <item sd="0" m="1" x="5188"/>
        <item sd="0" m="1" x="7208"/>
        <item sd="0" m="1" x="1284"/>
        <item sd="0" m="1" x="3300"/>
        <item sd="0" m="1" x="5312"/>
        <item sd="0" m="1" x="7330"/>
        <item sd="0" m="1" x="1403"/>
        <item sd="0" m="1" x="3423"/>
        <item sd="0" m="1" x="5431"/>
        <item sd="0" m="1" x="7449"/>
        <item sd="0" m="1" x="1524"/>
        <item sd="0" m="1" x="3544"/>
        <item sd="0" m="1" x="5552"/>
        <item sd="0" m="1" x="7572"/>
        <item m="1" x="1650"/>
        <item m="1" x="3666"/>
        <item m="1" x="5674"/>
        <item m="1" x="7696"/>
        <item m="1" x="1768"/>
        <item m="1" x="3790"/>
        <item m="1" x="5794"/>
        <item m="1" x="7818"/>
        <item m="1" x="1885"/>
        <item m="1" x="3918"/>
        <item m="1" x="5916"/>
        <item m="1" x="7940"/>
        <item m="1" x="2009"/>
        <item m="1" x="4043"/>
        <item m="1" x="6038"/>
        <item m="1" x="135"/>
        <item m="1" x="2131"/>
        <item m="1" x="4161"/>
        <item m="1" x="6160"/>
        <item m="1" x="254"/>
        <item m="1" x="2249"/>
        <item m="1" x="4283"/>
        <item m="1" x="6281"/>
        <item m="1" x="377"/>
        <item m="1" x="2372"/>
        <item m="1" x="4408"/>
        <item m="1" x="6404"/>
        <item m="1" x="499"/>
        <item sd="0" m="1" x="4221"/>
        <item sd="0" m="1" x="6226"/>
        <item m="1" x="316"/>
        <item m="1" x="2315"/>
        <item m="1" x="4344"/>
        <item m="1" x="6346"/>
        <item m="1" x="435"/>
        <item sd="0" m="1" x="2436"/>
        <item sd="0" m="1" x="4467"/>
        <item sd="0" m="1" x="6468"/>
        <item sd="0" m="1" x="557"/>
        <item sd="0" m="1" x="2561"/>
        <item sd="0" m="1" x="4585"/>
        <item sd="0" m="1" x="6589"/>
        <item sd="0" m="1" x="677"/>
        <item sd="0" m="1" x="2682"/>
        <item sd="0" m="1" x="4702"/>
        <item sd="0" m="1" x="6715"/>
        <item sd="0" m="1" x="795"/>
        <item sd="0" m="1" x="2804"/>
        <item sd="0" m="1" x="4824"/>
        <item sd="0" m="1" x="6837"/>
        <item sd="0" m="1" x="918"/>
        <item sd="0" m="1" x="2926"/>
        <item m="1" x="4944"/>
        <item m="1" x="6956"/>
        <item m="1" x="1039"/>
        <item m="1" x="3047"/>
        <item m="1" x="5062"/>
        <item sd="0" m="1" x="7078"/>
        <item sd="0" m="1" x="1159"/>
        <item sd="0" m="1" x="3169"/>
        <item sd="0" m="1" x="5184"/>
        <item sd="0" m="1" x="7204"/>
        <item sd="0" m="1" x="1280"/>
        <item sd="0" m="1" x="3294"/>
        <item sd="0" m="1" x="5308"/>
        <item m="1" x="7325"/>
        <item m="1" x="1398"/>
        <item m="1" x="3417"/>
        <item m="1" x="5427"/>
        <item m="1" x="7444"/>
        <item m="1" x="1520"/>
        <item m="1" x="3539"/>
        <item m="1" x="5548"/>
        <item m="1" x="7567"/>
        <item m="1" x="1646"/>
        <item m="1" x="3661"/>
        <item m="1" x="5670"/>
        <item m="1" x="7691"/>
        <item m="1" x="1764"/>
        <item m="1" x="3785"/>
        <item m="1" x="5789"/>
        <item m="1" x="7813"/>
        <item m="1" x="1881"/>
        <item m="1" x="3913"/>
        <item m="1" x="5911"/>
        <item m="1" x="7935"/>
        <item m="1" x="2005"/>
        <item m="1" x="4038"/>
        <item m="1" x="6033"/>
        <item sd="0" m="1" x="3849"/>
        <item sd="0" m="1" x="5855"/>
        <item sd="0" m="1" x="7873"/>
        <item sd="0" m="1" x="1948"/>
        <item sd="0" m="1" x="3975"/>
        <item sd="0" m="1" x="5976"/>
        <item sd="0" m="1" x="7996"/>
        <item sd="0" m="1" x="2070"/>
        <item sd="0" m="1" x="4098"/>
        <item sd="0" m="1" x="6099"/>
        <item sd="0" m="1" x="191"/>
        <item sd="0" m="1" x="2191"/>
        <item sd="0" m="1" x="4217"/>
        <item m="1" x="6222"/>
        <item m="1" x="312"/>
        <item m="1" x="2310"/>
        <item m="1" x="4339"/>
        <item m="1" x="6341"/>
        <item sd="0" m="1" x="432"/>
        <item sd="0" m="1" x="2433"/>
        <item sd="0" m="1" x="4464"/>
        <item sd="0" m="1" x="6465"/>
        <item sd="0" m="1" x="554"/>
        <item sd="0" m="1" x="2558"/>
        <item sd="0" m="1" x="4582"/>
        <item sd="0" m="1" x="6586"/>
        <item sd="0" m="1" x="673"/>
        <item sd="0" m="1" x="2678"/>
        <item sd="0" m="1" x="4698"/>
        <item sd="0" m="1" x="6711"/>
        <item sd="0" m="1" x="791"/>
        <item sd="0" m="1" x="2800"/>
        <item sd="0" m="1" x="4819"/>
        <item sd="0" m="1" x="6833"/>
        <item sd="0" m="1" x="913"/>
        <item m="1" x="2921"/>
        <item m="1" x="4940"/>
        <item m="1" x="6952"/>
        <item m="1" x="1035"/>
        <item m="1" x="5058"/>
        <item m="1" x="7073"/>
        <item m="1" x="1155"/>
        <item m="1" x="3164"/>
        <item m="1" x="5180"/>
        <item m="1" x="7199"/>
        <item m="1" x="1276"/>
        <item m="1" x="3289"/>
        <item m="1" x="5304"/>
        <item m="1" x="7319"/>
        <item m="1" x="1394"/>
        <item m="1" x="3412"/>
        <item m="1" x="5422"/>
        <item m="1" x="7439"/>
        <item m="1" x="1516"/>
        <item m="1" x="3534"/>
        <item m="1" x="5544"/>
        <item m="1" x="7562"/>
        <item m="1" x="1641"/>
        <item m="1" x="3656"/>
        <item m="1" x="5666"/>
        <item sd="0" m="1" x="1461"/>
        <item sd="0" m="1" x="3476"/>
        <item sd="0" m="1" x="5490"/>
        <item sd="0" m="1" x="7503"/>
        <item m="1" x="1585"/>
        <item m="1" x="3598"/>
        <item m="1" x="5611"/>
        <item m="1" x="7627"/>
        <item sd="0" m="1" x="1707"/>
        <item sd="0" m="1" x="3722"/>
        <item sd="0" m="1" x="5730"/>
        <item sd="0" m="1" x="7748"/>
        <item sd="0" m="1" x="1822"/>
        <item sd="0" m="1" x="3845"/>
        <item sd="0" m="1" x="5851"/>
        <item sd="0" m="1" x="7869"/>
        <item sd="0" m="1" x="1944"/>
        <item sd="0" m="1" x="3971"/>
        <item sd="0" m="1" x="5972"/>
        <item sd="0" m="1" x="7993"/>
        <item sd="0" m="1" x="2067"/>
        <item sd="0" m="1" x="4095"/>
        <item sd="0" m="1" x="6096"/>
        <item sd="0" m="1" x="188"/>
        <item sd="0" m="1" x="2188"/>
        <item m="1" x="4214"/>
        <item m="1" x="6218"/>
        <item m="1" x="307"/>
        <item m="1" x="2305"/>
        <item m="1" x="4335"/>
        <item sd="0" m="1" x="6337"/>
        <item sd="0" m="1" x="428"/>
        <item sd="0" m="1" x="2429"/>
        <item sd="0" m="1" x="4460"/>
        <item sd="0" m="1" x="6459"/>
        <item sd="0" m="1" x="549"/>
        <item sd="0" m="1" x="2553"/>
        <item m="1" x="4578"/>
        <item m="1" x="6581"/>
        <item m="1" x="669"/>
        <item m="1" x="2673"/>
        <item m="1" x="4694"/>
        <item m="1" x="6706"/>
        <item m="1" x="787"/>
        <item m="1" x="2795"/>
        <item m="1" x="4815"/>
        <item m="1" x="6828"/>
        <item m="1" x="909"/>
        <item m="1" x="2916"/>
        <item m="1" x="4936"/>
        <item m="1" x="6947"/>
        <item m="1" x="1031"/>
        <item m="1" x="3037"/>
        <item m="1" x="5054"/>
        <item m="1" x="7068"/>
        <item m="1" x="1151"/>
        <item m="1" x="3159"/>
        <item m="1" x="5175"/>
        <item m="1" x="7194"/>
        <item m="1" x="1272"/>
        <item m="1" x="3283"/>
        <item sd="0" m="1" x="7009"/>
        <item sd="0" m="1" x="1098"/>
        <item sd="0" m="1" x="3102"/>
        <item sd="0" m="1" x="5121"/>
        <item sd="0" m="1" x="7133"/>
        <item sd="0" m="1" x="1217"/>
        <item sd="0" m="1" x="3222"/>
        <item sd="0" m="1" x="5240"/>
        <item sd="0" m="1" x="7256"/>
        <item sd="0" m="1" x="1336"/>
        <item sd="0" m="1" x="3347"/>
        <item sd="0" m="1" x="5363"/>
        <item sd="0" m="1" x="7377"/>
        <item sd="0" m="1" x="1455"/>
        <item sd="0" m="1" x="3471"/>
        <item sd="0" m="1" x="5485"/>
        <item m="1" x="7498"/>
        <item m="1" x="1579"/>
        <item m="1" x="3593"/>
        <item m="1" x="5607"/>
        <item sd="0" m="1" x="7623"/>
        <item sd="0" m="1" x="1702"/>
        <item sd="0" m="1" x="3717"/>
        <item sd="0" m="1" x="5727"/>
        <item sd="0" m="1" x="7744"/>
        <item sd="0" m="1" x="1818"/>
        <item sd="0" m="1" x="3840"/>
        <item sd="0" m="1" x="5846"/>
        <item sd="0" m="1" x="7864"/>
        <item sd="0" m="1" x="1939"/>
        <item sd="0" m="1" x="3966"/>
        <item sd="0" m="1" x="5967"/>
        <item sd="0" m="1" x="7988"/>
        <item sd="0" m="1" x="2062"/>
        <item sd="0" m="1" x="4090"/>
        <item sd="0" m="1" x="6089"/>
        <item sd="0" m="1" x="183"/>
        <item m="1" x="2182"/>
        <item m="1" x="4208"/>
        <item m="1" x="6211"/>
        <item m="1" x="302"/>
        <item m="1" x="2299"/>
        <item m="1" x="4330"/>
        <item m="1" x="6331"/>
        <item m="1" x="423"/>
        <item m="1" x="2423"/>
        <item m="1" x="4456"/>
        <item m="1" x="6453"/>
        <item m="1" x="544"/>
        <item m="1" x="2547"/>
        <item m="1" x="4573"/>
        <item m="1" x="6575"/>
        <item m="1" x="664"/>
        <item m="1" x="2668"/>
        <item m="1" x="4690"/>
        <item m="1" x="6701"/>
        <item m="1" x="782"/>
        <item m="1" x="2790"/>
        <item m="1" x="4811"/>
        <item m="1" x="6823"/>
        <item m="1" x="904"/>
        <item sd="0" m="1" x="6639"/>
        <item sd="0" m="1" x="725"/>
        <item sd="0" m="1" x="2728"/>
        <item sd="0" m="1" x="4754"/>
        <item sd="0" m="1" x="6762"/>
        <item m="1" x="846"/>
        <item m="1" x="2851"/>
        <item m="1" x="4874"/>
        <item m="1" x="6884"/>
        <item m="1" x="970"/>
        <item sd="0" m="1" x="2974"/>
        <item sd="0" m="1" x="4997"/>
        <item sd="0" m="1" x="7004"/>
        <item sd="0" m="1" x="1093"/>
        <item sd="0" m="1" x="3097"/>
        <item sd="0" m="1" x="5115"/>
        <item sd="0" m="1" x="7127"/>
        <item sd="0" m="1" x="1212"/>
        <item sd="0" m="1" x="3218"/>
        <item sd="0" m="1" x="5236"/>
        <item sd="0" m="1" x="7252"/>
        <item sd="0" m="1" x="1332"/>
        <item sd="0" m="1" x="3343"/>
        <item sd="0" m="1" x="5359"/>
        <item sd="0" m="1" x="7373"/>
        <item sd="0" m="1" x="1451"/>
        <item sd="0" m="1" x="3466"/>
        <item m="1" x="5480"/>
        <item m="1" x="7493"/>
        <item m="1" x="1574"/>
        <item m="1" x="3588"/>
        <item sd="0" m="1" x="5602"/>
        <item sd="0" m="1" x="7617"/>
        <item sd="0" m="1" x="1697"/>
        <item sd="0" m="1" x="3711"/>
        <item sd="0" m="1" x="5721"/>
        <item sd="0" m="1" x="7739"/>
        <item m="1" x="1812"/>
        <item m="1" x="3835"/>
        <item m="1" x="5840"/>
        <item m="1" x="7859"/>
        <item m="1" x="1933"/>
        <item m="1" x="3961"/>
        <item m="1" x="5961"/>
        <item m="1" x="7983"/>
        <item m="1" x="2056"/>
        <item m="1" x="4085"/>
        <item m="1" x="6084"/>
        <item m="1" x="178"/>
        <item m="1" x="2175"/>
        <item m="1" x="4203"/>
        <item m="1" x="6205"/>
        <item m="1" x="297"/>
        <item m="1" x="2294"/>
        <item m="1" x="4326"/>
        <item m="1" x="6326"/>
        <item m="1" x="419"/>
        <item m="1" x="2418"/>
        <item m="1" x="4451"/>
        <item m="1" x="6448"/>
        <item m="1" x="540"/>
        <item sd="0" m="1" x="4266"/>
        <item sd="0" m="1" x="6266"/>
        <item sd="0" m="1" x="360"/>
        <item sd="0" m="1" x="2356"/>
        <item sd="0" m="1" x="4389"/>
        <item sd="0" m="1" x="6388"/>
        <item sd="0" m="1" x="481"/>
        <item sd="0" m="1" x="2480"/>
        <item sd="0" m="1" x="4513"/>
        <item sd="0" m="1" x="6511"/>
        <item sd="0" m="1" x="603"/>
        <item sd="0" m="1" x="2603"/>
        <item sd="0" m="1" x="4629"/>
        <item sd="0" m="1" x="6635"/>
        <item sd="0" m="1" x="721"/>
        <item sd="0" m="1" x="2724"/>
        <item sd="0" m="1" x="4750"/>
        <item m="1" x="6759"/>
        <item m="1" x="842"/>
        <item m="1" x="2848"/>
        <item m="1" x="4871"/>
        <item m="1" x="6881"/>
        <item sd="0" m="1" x="967"/>
        <item sd="0" m="1" x="2971"/>
        <item sd="0" m="1" x="4994"/>
        <item sd="0" m="1" x="7001"/>
        <item sd="0" m="1" x="1089"/>
        <item sd="0" m="1" x="3092"/>
        <item sd="0" m="1" x="5110"/>
        <item sd="0" m="1" x="7123"/>
        <item sd="0" m="1" x="1208"/>
        <item sd="0" m="1" x="3214"/>
        <item sd="0" m="1" x="5232"/>
        <item sd="0" m="1" x="7248"/>
        <item sd="0" m="1" x="1327"/>
        <item sd="0" m="1" x="3338"/>
        <item sd="0" m="1" x="5354"/>
        <item m="1" x="7369"/>
        <item m="1" x="1446"/>
        <item m="1" x="3463"/>
        <item m="1" x="5475"/>
        <item m="1" x="7489"/>
        <item m="1" x="1569"/>
        <item m="1" x="3584"/>
        <item m="1" x="5597"/>
        <item m="1" x="7613"/>
        <item m="1" x="1692"/>
        <item m="1" x="3707"/>
        <item m="1" x="5716"/>
        <item m="1" x="7735"/>
        <item m="1" x="1807"/>
        <item m="1" x="3831"/>
        <item m="1" x="5835"/>
        <item m="1" x="7856"/>
        <item m="1" x="1929"/>
        <item m="1" x="3958"/>
        <item m="1" x="5957"/>
        <item m="1" x="7979"/>
        <item m="1" x="2052"/>
        <item m="1" x="4082"/>
        <item m="1" x="6079"/>
        <item sd="0" m="1" x="1866"/>
        <item sd="0" m="1" x="3896"/>
        <item sd="0" m="1" x="5896"/>
        <item sd="0" m="1" x="7917"/>
        <item sd="0" m="1" x="1988"/>
        <item sd="0" m="1" x="4019"/>
        <item sd="0" m="1" x="6015"/>
        <item sd="0" m="1" x="111"/>
        <item m="1" x="2110"/>
        <item m="1" x="4140"/>
        <item m="1" x="6139"/>
        <item m="1" x="234"/>
        <item sd="0" m="1" x="2231"/>
        <item sd="0" m="1" x="4261"/>
        <item sd="0" m="1" x="6262"/>
        <item sd="0" m="1" x="356"/>
        <item sd="0" m="1" x="2352"/>
        <item sd="0" m="1" x="4385"/>
        <item sd="0" m="1" x="6385"/>
        <item sd="0" m="1" x="478"/>
        <item sd="0" m="1" x="2477"/>
        <item sd="0" m="1" x="4509"/>
        <item sd="0" m="1" x="6507"/>
        <item sd="0" m="1" x="600"/>
        <item sd="0" m="1" x="2600"/>
        <item sd="0" m="1" x="4626"/>
        <item sd="0" m="1" x="6631"/>
        <item sd="0" m="1" x="717"/>
        <item sd="0" m="1" x="2720"/>
        <item m="1" x="4746"/>
        <item m="1" x="6755"/>
        <item m="1" x="838"/>
        <item m="1" x="2844"/>
        <item m="1" x="4867"/>
        <item sd="0" m="1" x="6877"/>
        <item sd="0" m="1" x="962"/>
        <item sd="0" m="1" x="2967"/>
        <item m="1" x="4989"/>
        <item m="1" x="6996"/>
        <item m="1" x="1082"/>
        <item m="1" x="3088"/>
        <item m="1" x="5105"/>
        <item m="1" x="7119"/>
        <item m="1" x="1203"/>
        <item m="1" x="3210"/>
        <item m="1" x="5227"/>
        <item m="1" x="7244"/>
        <item m="1" x="1322"/>
        <item m="1" x="3334"/>
        <item m="1" x="5349"/>
        <item m="1" x="7365"/>
        <item m="1" x="1441"/>
        <item m="1" x="3458"/>
        <item m="1" x="5470"/>
        <item m="1" x="7486"/>
        <item m="1" x="1565"/>
        <item m="1" x="3581"/>
        <item m="1" x="5593"/>
        <item m="1" x="7610"/>
        <item m="1" x="1688"/>
        <item m="1" x="3703"/>
        <item m="1" x="1500"/>
        <item m="1" x="3517"/>
        <item sd="0" m="1" x="5527"/>
        <item sd="0" m="1" x="7545"/>
        <item sd="0" m="1" x="1623"/>
        <item sd="0" m="1" x="3638"/>
        <item sd="0" m="1" x="5649"/>
        <item sd="0" m="1" x="7668"/>
        <item sd="0" m="1" x="1744"/>
        <item sd="0" m="1" x="3764"/>
        <item sd="0" m="1" x="5770"/>
        <item sd="0" m="1" x="7793"/>
        <item sd="0" m="1" x="1862"/>
        <item sd="0" m="1" x="3892"/>
        <item sd="0" m="1" x="5892"/>
        <item sd="0" m="1" x="7912"/>
        <item sd="0" m="1" x="1983"/>
        <item sd="0" m="1" x="4015"/>
        <item m="1" x="6012"/>
        <item m="1" x="108"/>
        <item m="1" x="2107"/>
        <item m="1" x="4137"/>
        <item m="1" x="6136"/>
        <item sd="0" m="1" x="231"/>
        <item sd="0" m="1" x="2228"/>
        <item sd="0" m="1" x="4258"/>
        <item sd="0" m="1" x="6258"/>
        <item sd="0" m="1" x="352"/>
        <item sd="0" m="1" x="2348"/>
        <item sd="0" m="1" x="4381"/>
        <item sd="0" m="1" x="6381"/>
        <item sd="0" m="1" x="474"/>
        <item sd="0" m="1" x="2472"/>
        <item sd="0" m="1" x="4505"/>
        <item sd="0" m="1" x="6503"/>
        <item sd="0" m="1" x="595"/>
        <item sd="0" m="1" x="2596"/>
        <item m="1" x="4621"/>
        <item m="1" x="6627"/>
        <item m="1" x="712"/>
        <item m="1" x="2716"/>
        <item m="1" x="4741"/>
        <item m="1" x="6751"/>
        <item m="1" x="833"/>
        <item m="1" x="2840"/>
        <item m="1" x="4862"/>
        <item m="1" x="6873"/>
        <item m="1" x="956"/>
        <item m="1" x="2962"/>
        <item m="1" x="4982"/>
        <item m="1" x="6991"/>
        <item m="1" x="1076"/>
        <item m="1" x="3083"/>
        <item m="1" x="5100"/>
        <item m="1" x="7115"/>
        <item m="1" x="1198"/>
        <item m="1" x="3206"/>
        <item m="1" x="5222"/>
        <item m="1" x="7239"/>
        <item m="1" x="1317"/>
        <item m="1" x="3330"/>
        <item sd="0" m="1" x="7050"/>
        <item sd="0" m="1" x="1137"/>
        <item sd="0" m="1" x="3142"/>
        <item sd="0" m="1" x="5159"/>
        <item sd="0" m="1" x="7175"/>
        <item sd="0" m="1" x="1255"/>
        <item sd="0" m="1" x="3265"/>
        <item sd="0" m="1" x="5281"/>
        <item sd="0" m="1" x="7297"/>
        <item m="1" x="1375"/>
        <item m="1" x="3391"/>
        <item m="1" x="5402"/>
        <item m="1" x="7418"/>
        <item m="1" x="1496"/>
        <item sd="0" m="1" x="3513"/>
        <item sd="0" m="1" x="5523"/>
        <item sd="0" m="1" x="7541"/>
        <item sd="0" m="1" x="1619"/>
        <item sd="0" m="1" x="3634"/>
        <item sd="0" m="1" x="5646"/>
        <item sd="0" m="1" x="7665"/>
        <item sd="0" m="1" x="1741"/>
        <item sd="0" m="1" x="3761"/>
        <item sd="0" m="1" x="5767"/>
        <item sd="0" m="1" x="7790"/>
        <item sd="0" m="1" x="1859"/>
        <item sd="0" m="1" x="3888"/>
        <item sd="0" m="1" x="5887"/>
        <item sd="0" m="1" x="7907"/>
        <item sd="0" m="1" x="1979"/>
        <item m="1" x="4011"/>
        <item m="1" x="6008"/>
        <item m="1" x="104"/>
        <item m="1" x="2103"/>
        <item m="1" x="4133"/>
        <item sd="0" m="1" x="6132"/>
        <item sd="0" m="1" x="226"/>
        <item m="1" x="2224"/>
        <item m="1" x="4253"/>
        <item m="1" x="6254"/>
        <item m="1" x="347"/>
        <item m="1" x="2344"/>
        <item m="1" x="4376"/>
        <item m="1" x="6376"/>
        <item m="1" x="469"/>
        <item m="1" x="2468"/>
        <item m="1" x="4500"/>
        <item m="1" x="6499"/>
        <item m="1" x="589"/>
        <item m="1" x="2591"/>
        <item m="1" x="4615"/>
        <item m="1" x="6622"/>
        <item m="1" x="707"/>
        <item m="1" x="2712"/>
        <item m="1" x="4736"/>
        <item m="1" x="6747"/>
        <item m="1" x="828"/>
        <item m="1" x="2835"/>
        <item m="1" x="4857"/>
        <item m="1" x="6869"/>
        <item m="1" x="950"/>
        <item m="1" x="4673"/>
        <item m="1" x="6683"/>
        <item m="1" x="766"/>
        <item m="1" x="2771"/>
        <item sd="0" m="1" x="4794"/>
        <item sd="0" m="1" x="6804"/>
        <item sd="0" m="1" x="886"/>
        <item sd="0" m="1" x="2892"/>
        <item sd="0" m="1" x="4915"/>
        <item sd="0" m="1" x="6926"/>
        <item sd="0" m="1" x="1010"/>
        <item sd="0" m="1" x="3017"/>
        <item sd="0" m="1" x="5036"/>
        <item sd="0" m="1" x="7045"/>
        <item sd="0" m="1" x="1133"/>
        <item sd="0" m="1" x="3138"/>
        <item sd="0" m="1" x="5155"/>
        <item sd="0" m="1" x="7171"/>
        <item sd="0" m="1" x="1252"/>
        <item sd="0" m="1" x="3262"/>
        <item sd="0" m="1" x="5278"/>
        <item m="1" x="7293"/>
        <item m="1" x="1371"/>
        <item m="1" x="3388"/>
        <item m="1" x="5399"/>
        <item m="1" x="7415"/>
        <item sd="0" m="1" x="1492"/>
        <item sd="0" m="1" x="3509"/>
        <item sd="0" m="1" x="5519"/>
        <item sd="0" m="1" x="7537"/>
        <item sd="0" m="1" x="1615"/>
        <item sd="0" m="1" x="3630"/>
        <item sd="0" m="1" x="5642"/>
        <item sd="0" m="1" x="7661"/>
        <item sd="0" m="1" x="1737"/>
        <item sd="0" m="1" x="3756"/>
        <item sd="0" m="1" x="5763"/>
        <item m="1" x="7785"/>
        <item m="1" x="1854"/>
        <item m="1" x="3881"/>
        <item m="1" x="5883"/>
        <item m="1" x="7903"/>
        <item m="1" x="1976"/>
        <item m="1" x="4007"/>
        <item m="1" x="6005"/>
        <item m="1" x="100"/>
        <item m="1" x="2100"/>
        <item m="1" x="4129"/>
        <item m="1" x="6128"/>
        <item m="1" x="221"/>
        <item m="1" x="2220"/>
        <item m="1" x="4248"/>
        <item m="1" x="6250"/>
        <item m="1" x="343"/>
        <item m="1" x="2341"/>
        <item m="1" x="4372"/>
        <item m="1" x="6373"/>
        <item m="1" x="465"/>
        <item m="1" x="2465"/>
        <item m="1" x="4496"/>
        <item m="1" x="6495"/>
        <item sd="0" m="1" x="4308"/>
        <item sd="0" m="1" x="6307"/>
        <item sd="0" m="1" x="400"/>
        <item sd="0" m="1" x="2398"/>
        <item sd="0" m="1" x="4432"/>
        <item sd="0" m="1" x="6429"/>
        <item sd="0" m="1" x="522"/>
        <item sd="0" m="1" x="2523"/>
        <item sd="0" m="1" x="4552"/>
        <item sd="0" m="1" x="6553"/>
        <item m="1" x="644"/>
        <item m="1" x="2647"/>
        <item m="1" x="4669"/>
        <item m="1" x="6679"/>
        <item m="1" x="762"/>
        <item sd="0" m="1" x="2766"/>
        <item sd="0" m="1" x="4789"/>
        <item sd="0" m="1" x="6800"/>
        <item sd="0" m="1" x="883"/>
        <item sd="0" m="1" x="2889"/>
        <item sd="0" m="1" x="4912"/>
        <item sd="0" m="1" x="6922"/>
        <item sd="0" m="1" x="1006"/>
        <item sd="0" m="1" x="3014"/>
        <item sd="0" m="1" x="5033"/>
        <item sd="0" m="1" x="7042"/>
        <item sd="0" m="1" x="1129"/>
        <item sd="0" m="1" x="3134"/>
        <item sd="0" m="1" x="5151"/>
        <item sd="0" m="1" x="7167"/>
        <item sd="0" m="1" x="1248"/>
        <item sd="0" m="1" x="3258"/>
        <item m="1" x="5273"/>
        <item m="1" x="7289"/>
        <item m="1" x="1367"/>
        <item m="1" x="3383"/>
        <item m="1" x="5395"/>
        <item m="1" x="7410"/>
        <item m="1" x="1488"/>
        <item m="1" x="3504"/>
        <item m="1" x="5516"/>
        <item m="1" x="7533"/>
        <item m="1" x="1612"/>
        <item m="1" x="3626"/>
        <item m="1" x="5639"/>
        <item m="1" x="7657"/>
        <item m="1" x="1734"/>
        <item m="1" x="3752"/>
        <item m="1" x="5759"/>
        <item m="1" x="7779"/>
        <item m="1" x="1850"/>
        <item m="1" x="3876"/>
        <item m="1" x="5880"/>
        <item m="1" x="7899"/>
        <item m="1" x="1973"/>
        <item m="1" x="4003"/>
        <item m="1" x="6002"/>
        <item m="1" x="96"/>
        <item m="1" x="2096"/>
        <item m="1" x="4125"/>
        <item m="1" x="6125"/>
        <item sd="0" m="1" x="1908"/>
        <item m="1" x="3940"/>
        <item m="1" x="5937"/>
        <item m="1" x="7960"/>
        <item m="1" x="2031"/>
        <item sd="0" m="1" x="6059"/>
        <item sd="0" m="1" x="154"/>
        <item sd="0" m="1" x="2152"/>
        <item sd="0" m="1" x="4183"/>
        <item sd="0" m="1" x="6183"/>
        <item sd="0" m="1" x="275"/>
        <item sd="0" m="1" x="2271"/>
        <item sd="0" m="1" x="4304"/>
        <item sd="0" m="1" x="6303"/>
        <item sd="0" m="1" x="396"/>
        <item sd="0" m="1" x="2394"/>
        <item sd="0" m="1" x="4428"/>
        <item sd="0" m="1" x="6425"/>
        <item sd="0" m="1" x="519"/>
        <item sd="0" m="1" x="2520"/>
        <item sd="0" m="1" x="4549"/>
        <item m="1" x="6549"/>
        <item m="1" x="641"/>
        <item m="1" x="2644"/>
        <item m="1" x="4666"/>
        <item m="1" x="6675"/>
        <item sd="0" m="1" x="757"/>
        <item sd="0" m="1" x="2761"/>
        <item sd="0" m="1" x="4785"/>
        <item sd="0" m="1" x="6796"/>
        <item sd="0" m="1" x="879"/>
        <item sd="0" m="1" x="2885"/>
        <item sd="0" m="1" x="4908"/>
        <item sd="0" m="1" x="6918"/>
        <item sd="0" m="1" x="1002"/>
        <item sd="0" m="1" x="3009"/>
        <item m="1" x="5029"/>
        <item m="1" x="7037"/>
        <item m="1" x="1125"/>
        <item m="1" x="3130"/>
        <item m="1" x="5148"/>
        <item m="1" x="7163"/>
        <item m="1" x="1244"/>
        <item m="1" x="3254"/>
        <item m="1" x="5270"/>
        <item m="1" x="7285"/>
        <item m="1" x="1364"/>
        <item m="1" x="3378"/>
        <item m="1" x="5391"/>
        <item m="1" x="7405"/>
        <item m="1" x="1484"/>
        <item m="1" x="3500"/>
        <item m="1" x="5513"/>
        <item m="1" x="7529"/>
        <item m="1" x="1609"/>
        <item m="1" x="3622"/>
        <item m="1" x="5635"/>
        <item m="1" x="7653"/>
        <item m="1" x="1731"/>
        <item m="1" x="3747"/>
        <item sd="0" m="1" x="1544"/>
        <item sd="0" m="1" x="3562"/>
        <item sd="0" m="1" x="5571"/>
        <item sd="0" m="1" x="7589"/>
        <item sd="0" m="1" x="1667"/>
        <item sd="0" m="1" x="3683"/>
        <item sd="0" m="1" x="5691"/>
        <item sd="0" m="1" x="7712"/>
        <item sd="0" m="1" x="1784"/>
        <item sd="0" m="1" x="3808"/>
        <item sd="0" m="1" x="5812"/>
        <item sd="0" m="1" x="7835"/>
        <item m="1" x="1903"/>
        <item m="1" x="3936"/>
        <item m="1" x="5933"/>
        <item m="1" x="7956"/>
        <item sd="0" m="1" x="2027"/>
        <item sd="0" m="1" x="4060"/>
        <item sd="0" m="1" x="6056"/>
        <item sd="0" m="1" x="152"/>
        <item sd="0" m="1" x="2148"/>
        <item sd="0" m="1" x="4178"/>
        <item sd="0" m="1" x="6180"/>
        <item sd="0" m="1" x="272"/>
        <item sd="0" m="1" x="2268"/>
        <item sd="0" m="1" x="4301"/>
        <item sd="0" m="1" x="6299"/>
        <item sd="0" m="1" x="392"/>
        <item sd="0" m="1" x="2390"/>
        <item sd="0" m="1" x="4424"/>
        <item sd="0" m="1" x="6421"/>
        <item sd="0" m="1" x="515"/>
        <item sd="0" m="1" x="2516"/>
        <item m="1" x="4545"/>
        <item m="1" x="6544"/>
        <item m="1" x="637"/>
        <item m="1" x="2639"/>
        <item m="1" x="4661"/>
        <item m="1" x="6669"/>
        <item m="1" x="753"/>
        <item m="1" x="2757"/>
        <item m="1" x="4782"/>
        <item m="1" x="6792"/>
        <item m="1" x="876"/>
        <item m="1" x="2881"/>
        <item m="1" x="4905"/>
        <item m="1" x="6914"/>
        <item m="1" x="998"/>
        <item m="1" x="3004"/>
        <item m="1" x="5025"/>
        <item m="1" x="7032"/>
        <item m="1" x="1121"/>
        <item m="1" x="3126"/>
        <item m="1" x="5145"/>
        <item m="1" x="7159"/>
        <item m="1" x="1241"/>
        <item m="1" x="3250"/>
        <item m="1" x="5267"/>
        <item m="1" x="7281"/>
        <item m="1" x="1360"/>
        <item m="1" x="3373"/>
        <item sd="0" m="1" x="7094"/>
        <item sd="0" m="1" x="1177"/>
        <item m="1" x="3185"/>
        <item m="1" x="5200"/>
        <item m="1" x="7219"/>
        <item m="1" x="1297"/>
        <item m="1" x="3311"/>
        <item sd="0" m="1" x="5324"/>
        <item sd="0" m="1" x="7342"/>
        <item sd="0" m="1" x="1417"/>
        <item sd="0" m="1" x="3436"/>
        <item sd="0" m="1" x="5446"/>
        <item sd="0" m="1" x="7463"/>
        <item sd="0" m="1" x="1540"/>
        <item sd="0" m="1" x="3558"/>
        <item sd="0" m="1" x="5566"/>
        <item sd="0" m="1" x="7584"/>
        <item sd="0" m="1" x="1663"/>
        <item sd="0" m="1" x="3680"/>
        <item sd="0" m="1" x="5688"/>
        <item sd="0" m="1" x="7709"/>
        <item sd="0" m="1" x="1781"/>
        <item sd="0" m="1" x="3804"/>
        <item sd="0" m="1" x="5809"/>
        <item m="1" x="7832"/>
        <item m="1" x="1900"/>
        <item m="1" x="3932"/>
        <item m="1" x="5929"/>
        <item sd="0" m="1" x="7952"/>
        <item sd="0" m="1" x="2023"/>
        <item sd="0" m="1" x="4056"/>
        <item sd="0" m="1" x="6052"/>
        <item sd="0" m="1" x="147"/>
        <item sd="0" m="1" x="2144"/>
        <item sd="0" m="1" x="4174"/>
        <item sd="0" m="1" x="6175"/>
        <item sd="0" m="1" x="268"/>
        <item m="1" x="2263"/>
        <item m="1" x="4297"/>
        <item m="1" x="6294"/>
        <item m="1" x="389"/>
        <item m="1" x="2386"/>
        <item m="1" x="4421"/>
        <item m="1" x="6417"/>
        <item m="1" x="513"/>
        <item m="1" x="2512"/>
        <item m="1" x="4542"/>
        <item m="1" x="6540"/>
        <item m="1" x="633"/>
        <item m="1" x="2633"/>
        <item m="1" x="4657"/>
        <item m="1" x="6664"/>
        <item m="1" x="750"/>
        <item m="1" x="2753"/>
        <item m="1" x="4780"/>
        <item m="1" x="6788"/>
        <item m="1" x="873"/>
        <item m="1" x="2877"/>
        <item m="1" x="4901"/>
        <item m="1" x="6910"/>
        <item m="1" x="995"/>
        <item sd="0" m="1" x="4715"/>
        <item sd="0" m="1" x="6729"/>
        <item sd="0" m="1" x="808"/>
        <item sd="0" m="1" x="2816"/>
        <item sd="0" m="1" x="4836"/>
        <item sd="0" m="1" x="6850"/>
        <item sd="0" m="1" x="931"/>
        <item sd="0" m="1" x="2939"/>
        <item sd="0" m="1" x="4958"/>
        <item sd="0" m="1" x="6970"/>
        <item sd="0" m="1" x="1053"/>
        <item sd="0" m="1" x="3060"/>
        <item sd="0" m="1" x="5076"/>
        <item sd="0" m="1" x="7091"/>
        <item m="1" x="1174"/>
        <item m="1" x="3182"/>
        <item m="1" x="5197"/>
        <item m="1" x="7216"/>
        <item m="1" x="1293"/>
        <item sd="0" m="1" x="3308"/>
        <item sd="0" m="1" x="5321"/>
        <item sd="0" m="1" x="7339"/>
        <item sd="0" m="1" x="1413"/>
        <item sd="0" m="1" x="3433"/>
        <item sd="0" m="1" x="5443"/>
        <item sd="0" m="1" x="7460"/>
        <item sd="0" m="1" x="1536"/>
        <item sd="0" m="1" x="3553"/>
        <item sd="0" m="1" x="5561"/>
        <item sd="0" m="1" x="7580"/>
        <item sd="0" m="1" x="1659"/>
        <item sd="0" m="1" x="3676"/>
        <item sd="0" m="1" x="5684"/>
        <item sd="0" m="1" x="7705"/>
        <item sd="0" m="1" x="1777"/>
        <item sd="0" m="1" x="3800"/>
        <item m="1" x="5804"/>
        <item m="1" x="7828"/>
        <item m="1" x="1895"/>
        <item m="1" x="3928"/>
        <item m="1" x="5925"/>
        <item m="1" x="7949"/>
        <item m="1" x="2019"/>
        <item m="1" x="4052"/>
        <item m="1" x="6048"/>
        <item m="1" x="144"/>
        <item m="1" x="2140"/>
        <item m="1" x="4171"/>
        <item m="1" x="6170"/>
        <item m="1" x="264"/>
        <item m="1" x="2258"/>
        <item m="1" x="4293"/>
        <item m="1" x="6290"/>
        <item m="1" x="386"/>
        <item m="1" x="2382"/>
        <item m="1" x="4418"/>
        <item m="1" x="6413"/>
        <item m="1" x="508"/>
        <item m="1" x="2508"/>
        <item m="1" x="4539"/>
        <item m="1" x="6535"/>
        <item sd="0" m="1" x="4352"/>
        <item sd="0" m="1" x="6355"/>
        <item sd="0" m="1" x="445"/>
        <item sd="0" m="1" x="2446"/>
        <item m="1" x="4476"/>
        <item m="1" x="6476"/>
        <item m="1" x="566"/>
        <item m="1" x="2569"/>
        <item sd="0" m="1" x="4593"/>
        <item sd="0" m="1" x="6600"/>
        <item sd="0" m="1" x="686"/>
        <item sd="0" m="1" x="2692"/>
        <item sd="0" m="1" x="4711"/>
        <item sd="0" m="1" x="6726"/>
        <item sd="0" m="1" x="805"/>
        <item sd="0" m="1" x="2813"/>
        <item sd="0" m="1" x="4833"/>
        <item sd="0" m="1" x="6847"/>
        <item sd="0" m="1" x="928"/>
        <item sd="0" m="1" x="2936"/>
        <item sd="0" m="1" x="4954"/>
        <item sd="0" m="1" x="6965"/>
        <item sd="0" m="1" x="1050"/>
        <item sd="0" m="1" x="3057"/>
        <item sd="0" m="1" x="5073"/>
        <item m="1" x="7088"/>
        <item m="1" x="1170"/>
        <item m="1" x="3178"/>
        <item m="1" x="5193"/>
        <item m="1" x="7212"/>
        <item sd="0" m="1" x="1289"/>
        <item sd="0" m="1" x="3304"/>
        <item sd="0" m="1" x="5317"/>
        <item sd="0" m="1" x="7335"/>
        <item sd="0" m="1" x="1408"/>
        <item sd="0" m="1" x="3429"/>
        <item sd="0" m="1" x="5438"/>
        <item m="1" x="7455"/>
        <item m="1" x="1530"/>
        <item m="1" x="3549"/>
        <item m="1" x="5557"/>
        <item m="1" x="7577"/>
        <item m="1" x="1655"/>
        <item m="1" x="3673"/>
        <item m="1" x="5680"/>
        <item m="1" x="7702"/>
        <item m="1" x="1773"/>
        <item m="1" x="3796"/>
        <item m="1" x="5799"/>
        <item m="1" x="7824"/>
        <item m="1" x="1890"/>
        <item m="1" x="3924"/>
        <item m="1" x="5921"/>
        <item m="1" x="7946"/>
        <item m="1" x="2014"/>
        <item m="1" x="4049"/>
        <item m="1" x="6043"/>
        <item m="1" x="141"/>
        <item m="1" x="2136"/>
        <item m="1" x="4167"/>
        <item m="1" x="6165"/>
        <item sd="0" m="1" x="957"/>
        <item sd="0" m="1" x="1954"/>
        <item sd="0" m="1" x="2963"/>
        <item sd="0" m="1" x="3983"/>
        <item sd="0" m="1" x="4983"/>
        <item sd="0" m="1" x="5983"/>
        <item sd="0" m="1" x="6992"/>
        <item sd="0" m="1" x="75"/>
        <item sd="0" m="1" x="1077"/>
        <item sd="0" m="1" x="2078"/>
        <item sd="0" m="1" x="3084"/>
        <item sd="0" m="1" x="4106"/>
        <item sd="0" m="1" x="5101"/>
        <item sd="0" m="1" x="6107"/>
        <item sd="0" m="1" x="7116"/>
        <item sd="0" m="1" x="198"/>
        <item sd="0" m="1" x="1199"/>
        <item sd="0" m="1" x="2198"/>
        <item sd="0" m="1" x="3207"/>
        <item sd="0" m="1" x="4226"/>
        <item sd="0" m="1" x="5223"/>
        <item sd="0" m="1" x="6230"/>
        <item sd="0" m="1" x="7240"/>
        <item sd="0" m="1" x="320"/>
        <item sd="0" m="1" x="1318"/>
        <item sd="0" m="1" x="2319"/>
        <item sd="0" m="1" x="3331"/>
        <item sd="0" m="1" x="4349"/>
        <item sd="0" m="1" x="5345"/>
        <item sd="0" m="1" x="6352"/>
        <item sd="0" m="1" x="7361"/>
        <item m="1" x="441"/>
        <item m="1" x="1437"/>
        <item m="1" x="2442"/>
        <item m="1" x="3455"/>
        <item m="1" x="4472"/>
        <item m="1" x="5466"/>
        <item m="1" x="6473"/>
        <item m="1" x="7482"/>
        <item m="1" x="562"/>
        <item m="1" x="1561"/>
        <item sd="0" m="1" x="2566"/>
        <item sd="0" m="1" x="3578"/>
        <item sd="0" m="1" x="4590"/>
        <item sd="0" m="1" x="5588"/>
        <item sd="0" m="1" x="6596"/>
        <item sd="0" m="1" x="7606"/>
        <item sd="0" m="1" x="683"/>
        <item sd="0" m="1" x="1684"/>
        <item sd="0" m="1" x="2688"/>
        <item sd="0" m="1" x="3700"/>
        <item sd="0" m="1" x="4708"/>
        <item sd="0" m="1" x="5708"/>
        <item sd="0" m="1" x="6722"/>
        <item sd="0" m="1" x="7728"/>
        <item sd="0" m="1" x="801"/>
        <item sd="0" m="1" x="1799"/>
        <item sd="0" m="1" x="2809"/>
        <item sd="0" m="1" x="3824"/>
        <item sd="0" m="1" x="4829"/>
        <item sd="0" m="1" x="5827"/>
        <item sd="0" m="1" x="6843"/>
        <item sd="0" m="1" x="7849"/>
        <item sd="0" m="1" x="924"/>
        <item sd="0" m="1" x="1920"/>
        <item sd="0" m="1" x="2931"/>
        <item sd="0" m="1" x="3951"/>
        <item sd="0" m="1" x="4949"/>
        <item sd="0" m="1" x="5949"/>
        <item sd="0" m="1" x="6961"/>
        <item sd="0" m="1" x="7971"/>
        <item sd="0" m="1" x="1045"/>
        <item sd="0" m="1" x="2044"/>
        <item sd="0" m="1" x="3053"/>
        <item m="1" x="4075"/>
        <item m="1" x="5068"/>
        <item m="1" x="6071"/>
        <item m="1" x="7084"/>
        <item m="1" x="166"/>
        <item m="1" x="1165"/>
        <item m="1" x="2162"/>
        <item m="1" x="3174"/>
        <item m="1" x="4194"/>
        <item m="1" x="5189"/>
        <item m="1" x="6194"/>
        <item m="1" x="7209"/>
        <item m="1" x="287"/>
        <item m="1" x="1285"/>
        <item m="1" x="2283"/>
        <item m="1" x="3301"/>
        <item m="1" x="4317"/>
        <item m="1" x="5313"/>
        <item m="1" x="6315"/>
        <item m="1" x="7331"/>
        <item m="1" x="408"/>
        <item m="1" x="1404"/>
        <item m="1" x="2405"/>
        <item m="1" x="3424"/>
        <item m="1" x="4441"/>
        <item m="1" x="5432"/>
        <item m="1" x="6436"/>
        <item m="1" x="7450"/>
        <item m="1" x="529"/>
        <item m="1" x="1525"/>
        <item m="1" x="2531"/>
        <item m="1" x="3545"/>
        <item m="1" x="4560"/>
        <item m="1" x="5553"/>
        <item m="1" x="6561"/>
        <item m="1" x="7573"/>
        <item m="1" x="651"/>
        <item m="1" x="1651"/>
        <item m="1" x="2654"/>
        <item m="1" x="3667"/>
        <item m="1" x="4677"/>
        <item m="1" x="5675"/>
        <item m="1" x="6687"/>
        <item m="1" x="7697"/>
        <item m="1" x="770"/>
        <item m="1" x="1769"/>
        <item m="1" x="2775"/>
        <item m="1" x="3791"/>
        <item m="1" x="4798"/>
        <item sd="0" m="1" x="7509"/>
        <item sd="0" m="1" x="590"/>
        <item sd="0" m="1" x="1592"/>
        <item sd="0" m="1" x="2592"/>
        <item sd="0" m="1" x="3604"/>
        <item sd="0" m="1" x="4616"/>
        <item sd="0" m="1" x="5617"/>
        <item sd="0" m="1" x="6623"/>
        <item sd="0" m="1" x="7634"/>
        <item sd="0" m="1" x="708"/>
        <item sd="0" m="1" x="1713"/>
        <item m="1" x="2713"/>
        <item m="1" x="3728"/>
        <item m="1" x="4737"/>
        <item m="1" x="5737"/>
        <item m="1" x="6748"/>
        <item m="1" x="7756"/>
        <item m="1" x="829"/>
        <item m="1" x="1830"/>
        <item m="1" x="2836"/>
        <item m="1" x="3854"/>
        <item sd="0" m="1" x="4858"/>
        <item sd="0" m="1" x="5858"/>
        <item sd="0" m="1" x="6870"/>
        <item sd="0" m="1" x="7876"/>
        <item sd="0" m="1" x="951"/>
        <item sd="0" m="1" x="1951"/>
        <item sd="0" m="1" x="2958"/>
        <item sd="0" m="1" x="3979"/>
        <item sd="0" m="1" x="4978"/>
        <item sd="0" m="1" x="5980"/>
        <item sd="0" m="1" x="6988"/>
        <item sd="0" m="1" x="72"/>
        <item sd="0" m="1" x="1072"/>
        <item sd="0" m="1" x="2075"/>
        <item sd="0" m="1" x="3079"/>
        <item sd="0" m="1" x="4102"/>
        <item sd="0" m="1" x="5096"/>
        <item sd="0" m="1" x="6103"/>
        <item sd="0" m="1" x="7112"/>
        <item sd="0" m="1" x="195"/>
        <item sd="0" m="1" x="1194"/>
        <item sd="0" m="1" x="2195"/>
        <item sd="0" m="1" x="3201"/>
        <item sd="0" m="1" x="4222"/>
        <item sd="0" m="1" x="5217"/>
        <item sd="0" m="1" x="6227"/>
        <item sd="0" m="1" x="7236"/>
        <item sd="0" m="1" x="317"/>
        <item sd="0" m="1" x="1313"/>
        <item sd="0" m="1" x="2316"/>
        <item sd="0" m="1" x="3326"/>
        <item sd="0" m="1" x="4345"/>
        <item sd="0" m="1" x="5340"/>
        <item m="1" x="6347"/>
        <item m="1" x="7357"/>
        <item m="1" x="436"/>
        <item m="1" x="1432"/>
        <item m="1" x="2437"/>
        <item m="1" x="3450"/>
        <item m="1" x="4468"/>
        <item m="1" x="5461"/>
        <item m="1" x="6469"/>
        <item m="1" x="7478"/>
        <item sd="0" m="1" x="558"/>
        <item sd="0" m="1" x="1556"/>
        <item sd="0" m="1" x="2562"/>
        <item sd="0" m="1" x="3573"/>
        <item sd="0" m="1" x="4586"/>
        <item sd="0" m="1" x="5582"/>
        <item sd="0" m="1" x="6590"/>
        <item sd="0" m="1" x="7602"/>
        <item sd="0" m="1" x="678"/>
        <item sd="0" m="1" x="1679"/>
        <item m="1" x="2683"/>
        <item m="1" x="3695"/>
        <item m="1" x="4703"/>
        <item m="1" x="5703"/>
        <item m="1" x="6716"/>
        <item m="1" x="7724"/>
        <item m="1" x="796"/>
        <item m="1" x="1795"/>
        <item m="1" x="2805"/>
        <item m="1" x="3820"/>
        <item m="1" x="4825"/>
        <item m="1" x="5822"/>
        <item m="1" x="6838"/>
        <item m="1" x="7846"/>
        <item m="1" x="919"/>
        <item m="1" x="1916"/>
        <item m="1" x="2927"/>
        <item m="1" x="3947"/>
        <item m="1" x="4945"/>
        <item m="1" x="5945"/>
        <item m="1" x="6957"/>
        <item m="1" x="7968"/>
        <item m="1" x="1040"/>
        <item m="1" x="2040"/>
        <item m="1" x="3048"/>
        <item m="1" x="4070"/>
        <item m="1" x="5063"/>
        <item m="1" x="6066"/>
        <item m="1" x="7079"/>
        <item m="1" x="162"/>
        <item m="1" x="1160"/>
        <item m="1" x="2159"/>
        <item m="1" x="3170"/>
        <item m="1" x="4190"/>
        <item m="1" x="5185"/>
        <item m="1" x="6191"/>
        <item m="1" x="7205"/>
        <item m="1" x="284"/>
        <item m="1" x="1281"/>
        <item m="1" x="2279"/>
        <item m="1" x="3295"/>
        <item m="1" x="4313"/>
        <item m="1" x="5309"/>
        <item m="1" x="6311"/>
        <item m="1" x="7326"/>
        <item m="1" x="404"/>
        <item m="1" x="1399"/>
        <item m="1" x="2402"/>
        <item m="1" x="6129"/>
        <item sd="0" m="1" x="7140"/>
        <item sd="0" m="1" x="222"/>
        <item sd="0" m="1" x="1225"/>
        <item sd="0" m="1" x="2221"/>
        <item sd="0" m="1" x="3231"/>
        <item sd="0" m="1" x="4249"/>
        <item sd="0" m="1" x="5249"/>
        <item sd="0" m="1" x="6251"/>
        <item sd="0" m="1" x="7264"/>
        <item sd="0" m="1" x="344"/>
        <item sd="0" m="1" x="1343"/>
        <item sd="0" m="1" x="2342"/>
        <item sd="0" m="1" x="3355"/>
        <item sd="0" m="1" x="4373"/>
        <item sd="0" m="1" x="5370"/>
        <item sd="0" m="1" x="6374"/>
        <item sd="0" m="1" x="7384"/>
        <item sd="0" m="1" x="466"/>
        <item sd="0" m="1" x="1464"/>
        <item sd="0" m="1" x="2466"/>
        <item sd="0" m="1" x="3479"/>
        <item sd="0" m="1" x="4497"/>
        <item sd="0" m="1" x="5494"/>
        <item sd="0" m="1" x="6496"/>
        <item sd="0" m="1" x="7506"/>
        <item sd="0" m="1" x="586"/>
        <item sd="0" m="1" x="1589"/>
        <item sd="0" m="1" x="2589"/>
        <item sd="0" m="1" x="3602"/>
        <item sd="0" m="1" x="4612"/>
        <item sd="0" m="1" x="5615"/>
        <item sd="0" m="1" x="6619"/>
        <item sd="0" m="1" x="7631"/>
        <item m="1" x="704"/>
        <item m="1" x="1711"/>
        <item m="1" x="2710"/>
        <item m="1" x="3726"/>
        <item m="1" x="4733"/>
        <item m="1" x="5735"/>
        <item m="1" x="6744"/>
        <item m="1" x="7753"/>
        <item m="1" x="825"/>
        <item m="1" x="1826"/>
        <item sd="0" m="1" x="2832"/>
        <item sd="0" m="1" x="3850"/>
        <item sd="0" m="1" x="4854"/>
        <item sd="0" m="1" x="5856"/>
        <item sd="0" m="1" x="6866"/>
        <item sd="0" m="1" x="7874"/>
        <item sd="0" m="1" x="947"/>
        <item sd="0" m="1" x="1949"/>
        <item sd="0" m="1" x="2955"/>
        <item sd="0" m="1" x="3976"/>
        <item sd="0" m="1" x="4974"/>
        <item sd="0" m="1" x="5977"/>
        <item sd="0" m="1" x="6984"/>
        <item sd="0" m="1" x="7997"/>
        <item sd="0" m="1" x="1068"/>
        <item sd="0" m="1" x="2071"/>
        <item sd="0" m="1" x="3076"/>
        <item sd="0" m="1" x="4099"/>
        <item sd="0" m="1" x="5092"/>
        <item sd="0" m="1" x="6100"/>
        <item sd="0" m="1" x="7108"/>
        <item sd="0" m="1" x="192"/>
        <item sd="0" m="1" x="1190"/>
        <item sd="0" m="1" x="2192"/>
        <item sd="0" m="1" x="3198"/>
        <item sd="0" m="1" x="4218"/>
        <item sd="0" m="1" x="5213"/>
        <item sd="0" m="1" x="6223"/>
        <item sd="0" m="1" x="7232"/>
        <item sd="0" m="1" x="313"/>
        <item m="1" x="1308"/>
        <item m="1" x="2311"/>
        <item m="1" x="3323"/>
        <item m="1" x="4340"/>
        <item m="1" x="5336"/>
        <item m="1" x="6342"/>
        <item m="1" x="7354"/>
        <item m="1" x="433"/>
        <item m="1" x="1429"/>
        <item m="1" x="2434"/>
        <item m="1" x="3448"/>
        <item m="1" x="4465"/>
        <item m="1" x="5458"/>
        <item m="1" x="6466"/>
        <item m="1" x="7475"/>
        <item m="1" x="555"/>
        <item m="1" x="1552"/>
        <item m="1" x="2559"/>
        <item m="1" x="3571"/>
        <item m="1" x="4583"/>
        <item m="1" x="5579"/>
        <item m="1" x="6587"/>
        <item m="1" x="7598"/>
        <item m="1" x="674"/>
        <item m="1" x="1676"/>
        <item m="1" x="2679"/>
        <item m="1" x="3692"/>
        <item m="1" x="4699"/>
        <item m="1" x="5700"/>
        <item m="1" x="6712"/>
        <item m="1" x="7720"/>
        <item m="1" x="792"/>
        <item m="1" x="1791"/>
        <item m="1" x="2801"/>
        <item m="1" x="3816"/>
        <item m="1" x="4820"/>
        <item m="1" x="5819"/>
        <item m="1" x="6834"/>
        <item m="1" x="7842"/>
        <item m="1" x="914"/>
        <item m="1" x="1912"/>
        <item m="1" x="2922"/>
        <item m="1" x="3944"/>
        <item m="1" x="4941"/>
        <item m="1" x="5942"/>
        <item m="1" x="6953"/>
        <item m="1" x="7964"/>
        <item m="1" x="1036"/>
        <item sd="0" m="1" x="4761"/>
        <item sd="0" m="1" x="5760"/>
        <item sd="0" m="1" x="6770"/>
        <item sd="0" m="1" x="7780"/>
        <item sd="0" m="1" x="854"/>
        <item sd="0" m="1" x="1851"/>
        <item sd="0" m="1" x="2859"/>
        <item sd="0" m="1" x="3877"/>
        <item sd="0" m="1" x="4883"/>
        <item sd="0" m="1" x="5881"/>
        <item sd="0" m="1" x="6893"/>
        <item sd="0" m="1" x="7900"/>
        <item sd="0" m="1" x="979"/>
        <item sd="0" m="1" x="1974"/>
        <item m="1" x="2982"/>
        <item m="1" x="4004"/>
        <item m="1" x="5005"/>
        <item m="1" x="6003"/>
        <item m="1" x="7013"/>
        <item m="1" x="97"/>
        <item m="1" x="1102"/>
        <item m="1" x="2097"/>
        <item m="1" x="3106"/>
        <item m="1" x="4126"/>
        <item sd="0" m="1" x="5125"/>
        <item sd="0" m="1" x="6126"/>
        <item sd="0" m="1" x="7138"/>
        <item sd="0" m="1" x="218"/>
        <item sd="0" m="1" x="1223"/>
        <item sd="0" m="1" x="2217"/>
        <item sd="0" m="1" x="3228"/>
        <item sd="0" m="1" x="4245"/>
        <item sd="0" m="1" x="5246"/>
        <item sd="0" m="1" x="6248"/>
        <item sd="0" m="1" x="7261"/>
        <item sd="0" m="1" x="340"/>
        <item sd="0" m="1" x="1341"/>
        <item sd="0" m="1" x="2338"/>
        <item sd="0" m="1" x="3352"/>
        <item sd="0" m="1" x="4369"/>
        <item sd="0" m="1" x="5368"/>
        <item sd="0" m="1" x="6371"/>
        <item sd="0" m="1" x="7382"/>
        <item sd="0" m="1" x="462"/>
        <item sd="0" m="1" x="1462"/>
        <item sd="0" m="1" x="2462"/>
        <item sd="0" m="1" x="3477"/>
        <item sd="0" m="1" x="4493"/>
        <item sd="0" m="1" x="5491"/>
        <item sd="0" m="1" x="6493"/>
        <item sd="0" m="1" x="7504"/>
        <item sd="0" m="1" x="583"/>
        <item sd="0" m="1" x="1586"/>
        <item sd="0" m="1" x="2585"/>
        <item sd="0" m="1" x="3599"/>
        <item sd="0" m="1" x="4608"/>
        <item sd="0" m="1" x="5612"/>
        <item m="1" x="6616"/>
        <item m="1" x="7628"/>
        <item m="1" x="701"/>
        <item m="1" x="1708"/>
        <item m="1" x="2706"/>
        <item m="1" x="3723"/>
        <item m="1" x="4728"/>
        <item m="1" x="5731"/>
        <item m="1" x="6741"/>
        <item m="1" x="7749"/>
        <item sd="0" m="1" x="821"/>
        <item sd="0" m="1" x="1823"/>
        <item sd="0" m="1" x="2828"/>
        <item sd="0" m="1" x="3846"/>
        <item sd="0" m="1" x="4850"/>
        <item sd="0" m="1" x="5852"/>
        <item m="1" x="6863"/>
        <item m="1" x="7870"/>
        <item m="1" x="943"/>
        <item m="1" x="1945"/>
        <item m="1" x="2951"/>
        <item m="1" x="3972"/>
        <item m="1" x="4969"/>
        <item m="1" x="5973"/>
        <item m="1" x="6982"/>
        <item m="1" x="7994"/>
        <item m="1" x="1065"/>
        <item m="1" x="2068"/>
        <item m="1" x="3073"/>
        <item m="1" x="4096"/>
        <item m="1" x="5089"/>
        <item m="1" x="6097"/>
        <item m="1" x="7106"/>
        <item m="1" x="189"/>
        <item m="1" x="1187"/>
        <item m="1" x="2189"/>
        <item m="1" x="3195"/>
        <item m="1" x="4215"/>
        <item m="1" x="5209"/>
        <item m="1" x="6219"/>
        <item m="1" x="7229"/>
        <item m="1" x="308"/>
        <item m="1" x="1305"/>
        <item m="1" x="2306"/>
        <item m="1" x="3319"/>
        <item m="1" x="4336"/>
        <item m="1" x="5333"/>
        <item m="1" x="6338"/>
        <item m="1" x="7351"/>
        <item m="1" x="429"/>
        <item m="1" x="1426"/>
        <item m="1" x="2430"/>
        <item m="1" x="3444"/>
        <item m="1" x="4461"/>
        <item m="1" x="5454"/>
        <item m="1" x="6460"/>
        <item m="1" x="7471"/>
        <item m="1" x="550"/>
        <item m="1" x="1549"/>
        <item m="1" x="2554"/>
        <item m="1" x="3567"/>
        <item m="1" x="4579"/>
        <item m="1" x="5576"/>
        <item m="1" x="6582"/>
        <item m="1" x="7594"/>
        <item m="1" x="2363"/>
        <item m="1" x="3379"/>
        <item m="1" x="4398"/>
        <item m="1" x="5392"/>
        <item m="1" x="7406"/>
        <item sd="0" m="1" x="488"/>
        <item sd="0" m="1" x="1485"/>
        <item sd="0" m="1" x="2488"/>
        <item sd="0" m="1" x="3501"/>
        <item sd="0" m="1" x="4520"/>
        <item sd="0" m="1" x="5514"/>
        <item m="1" x="6518"/>
        <item m="1" x="7530"/>
        <item sd="0" m="1" x="611"/>
        <item sd="0" m="1" x="1610"/>
        <item sd="0" m="1" x="2612"/>
        <item sd="0" m="1" x="3623"/>
        <item sd="0" m="1" x="4637"/>
        <item sd="0" m="1" x="5636"/>
        <item m="1" x="6644"/>
        <item m="1" x="7654"/>
        <item sd="0" m="1" x="729"/>
        <item sd="0" m="1" x="1732"/>
        <item sd="0" m="1" x="2732"/>
        <item sd="0" m="1" x="3748"/>
        <item sd="0" m="1" x="4758"/>
        <item sd="0" m="1" x="5755"/>
        <item m="1" x="6766"/>
        <item m="1" x="7775"/>
        <item sd="0" m="1" x="851"/>
        <item sd="0" m="1" x="1847"/>
        <item sd="0" m="1" x="2856"/>
        <item sd="0" m="1" x="3872"/>
        <item sd="0" m="1" x="4880"/>
        <item m="1" x="5876"/>
        <item m="1" x="6889"/>
        <item m="1" x="7895"/>
        <item m="1" x="975"/>
        <item m="1" x="1970"/>
        <item m="1" x="2979"/>
        <item m="1" x="3999"/>
        <item m="1" x="5002"/>
        <item m="1" x="5998"/>
        <item m="1" x="7010"/>
        <item m="1" x="92"/>
        <item m="1" x="1099"/>
        <item m="1" x="3103"/>
        <item m="1" x="4121"/>
        <item m="1" x="5122"/>
        <item m="1" x="6121"/>
        <item m="1" x="7134"/>
        <item m="1" x="213"/>
        <item m="1" x="1218"/>
        <item m="1" x="2213"/>
        <item m="1" x="3223"/>
        <item m="1" x="4240"/>
        <item m="1" x="5241"/>
        <item m="1" x="6243"/>
        <item m="1" x="7257"/>
        <item m="1" x="335"/>
        <item m="1" x="1337"/>
        <item m="1" x="2334"/>
        <item m="1" x="3348"/>
        <item m="1" x="4364"/>
        <item m="1" x="5364"/>
        <item m="1" x="6366"/>
        <item m="1" x="7378"/>
        <item m="1" x="456"/>
        <item m="1" x="1456"/>
        <item m="1" x="2458"/>
        <item m="1" x="3472"/>
        <item m="1" x="4488"/>
        <item m="1" x="5486"/>
        <item m="1" x="6488"/>
        <item m="1" x="7499"/>
        <item m="1" x="578"/>
        <item m="1" x="1580"/>
        <item m="1" x="2581"/>
        <item m="1" x="3594"/>
        <item m="1" x="4604"/>
        <item m="1" x="5608"/>
        <item m="1" x="6612"/>
        <item m="1" x="7624"/>
        <item m="1" x="696"/>
        <item m="1" x="1703"/>
        <item m="1" x="2703"/>
        <item m="1" x="3718"/>
        <item m="1" x="4724"/>
        <item m="1" x="6737"/>
        <item m="1" x="7745"/>
        <item m="1" x="817"/>
        <item m="1" x="1819"/>
        <item m="1" x="2825"/>
        <item m="1" x="3841"/>
        <item m="1" x="4846"/>
        <item m="1" x="5847"/>
        <item m="1" x="6858"/>
        <item m="1" x="7865"/>
        <item m="1" x="938"/>
        <item m="1" x="1940"/>
        <item m="1" x="2947"/>
        <item m="1" x="3967"/>
        <item m="1" x="4965"/>
        <item m="1" x="5968"/>
        <item m="1" x="6977"/>
        <item m="1" x="7989"/>
        <item m="1" x="1061"/>
        <item m="1" x="2063"/>
        <item m="1" x="3069"/>
        <item m="1" x="4091"/>
        <item m="1" x="5084"/>
        <item m="1" x="6090"/>
        <item m="1" x="7100"/>
        <item m="1" x="184"/>
        <item m="1" x="1182"/>
        <item m="1" x="2183"/>
        <item m="1" x="3190"/>
        <item m="1" x="4209"/>
        <item m="1" x="5205"/>
        <item sd="0" m="1" x="999"/>
        <item sd="0" m="1" x="1995"/>
        <item sd="0" m="1" x="3005"/>
        <item sd="0" m="1" x="4028"/>
        <item sd="0" m="1" x="5026"/>
        <item sd="0" m="1" x="6024"/>
        <item m="1" x="7033"/>
        <item sd="0" m="1" x="120"/>
        <item sd="0" m="1" x="1122"/>
        <item sd="0" m="1" x="2118"/>
        <item sd="0" m="1" x="3127"/>
        <item sd="0" m="1" x="4147"/>
        <item sd="0" m="1" x="5146"/>
        <item sd="0" m="1" x="6147"/>
        <item m="1" x="7160"/>
        <item sd="0" m="1" x="241"/>
        <item sd="0" m="1" x="1242"/>
        <item sd="0" m="1" x="2238"/>
        <item m="1" x="3251"/>
        <item m="1" x="4270"/>
        <item m="1" x="5268"/>
        <item m="1" x="6270"/>
        <item m="1" x="7282"/>
        <item m="1" x="365"/>
        <item m="1" x="1361"/>
        <item m="1" x="2360"/>
        <item m="1" x="3374"/>
        <item sd="0" m="1" x="4394"/>
        <item sd="0" m="1" x="5388"/>
        <item m="1" x="6392"/>
        <item m="1" x="7401"/>
        <item sd="0" m="1" x="485"/>
        <item sd="0" m="1" x="1480"/>
        <item sd="0" m="1" x="2484"/>
        <item sd="0" m="1" x="3496"/>
        <item m="1" x="4517"/>
        <item m="1" x="5510"/>
        <item m="1" x="6515"/>
        <item m="1" x="7525"/>
        <item m="1" x="608"/>
        <item m="1" x="1605"/>
        <item m="1" x="2608"/>
        <item m="1" x="3618"/>
        <item m="1" x="4633"/>
        <item m="1" x="5632"/>
        <item m="1" x="6640"/>
        <item m="1" x="7649"/>
        <item m="1" x="726"/>
        <item m="1" x="1727"/>
        <item m="1" x="2729"/>
        <item m="1" x="3743"/>
        <item m="1" x="4755"/>
        <item m="1" x="5751"/>
        <item m="1" x="6763"/>
        <item m="1" x="7770"/>
        <item m="1" x="847"/>
        <item m="1" x="1842"/>
        <item m="1" x="2852"/>
        <item m="1" x="3867"/>
        <item m="1" x="4875"/>
        <item m="1" x="5872"/>
        <item m="1" x="6885"/>
        <item m="1" x="7890"/>
        <item m="1" x="971"/>
        <item m="1" x="1965"/>
        <item m="1" x="2975"/>
        <item m="1" x="3994"/>
        <item m="1" x="4998"/>
        <item m="1" x="5994"/>
        <item m="1" x="7005"/>
        <item m="1" x="87"/>
        <item m="1" x="1094"/>
        <item m="1" x="2089"/>
        <item m="1" x="3098"/>
        <item m="1" x="4115"/>
        <item m="1" x="5116"/>
        <item m="1" x="6117"/>
        <item m="1" x="7128"/>
        <item m="1" x="208"/>
        <item m="1" x="1213"/>
        <item m="1" x="2209"/>
        <item m="1" x="3219"/>
        <item m="1" x="4236"/>
        <item m="1" x="5237"/>
        <item m="1" x="6240"/>
        <item m="1" x="7253"/>
        <item m="1" x="331"/>
        <item m="1" x="1333"/>
        <item m="1" x="2330"/>
        <item m="1" x="3344"/>
        <item m="1" x="4359"/>
        <item m="1" x="5360"/>
        <item m="1" x="6363"/>
        <item m="1" x="7374"/>
        <item m="1" x="452"/>
        <item m="1" x="1452"/>
        <item m="1" x="2454"/>
        <item m="1" x="3467"/>
        <item m="1" x="4484"/>
        <item m="1" x="5481"/>
        <item m="1" x="6484"/>
        <item m="1" x="7494"/>
        <item m="1" x="574"/>
        <item m="1" x="1575"/>
        <item m="1" x="2576"/>
        <item m="1" x="3589"/>
        <item m="1" x="4599"/>
        <item m="1" x="5603"/>
        <item m="1" x="6607"/>
        <item m="1" x="7618"/>
        <item m="1" x="692"/>
        <item m="1" x="1698"/>
        <item m="1" x="2698"/>
        <item m="1" x="3712"/>
        <item m="1" x="4719"/>
        <item m="1" x="5722"/>
        <item m="1" x="6733"/>
        <item m="1" x="7740"/>
        <item m="1" x="813"/>
        <item m="1" x="1813"/>
        <item m="1" x="2820"/>
        <item m="1" x="3836"/>
        <item m="1" x="7551"/>
        <item m="1" x="634"/>
        <item m="1" x="1632"/>
        <item m="1" x="2634"/>
        <item m="1" x="3645"/>
        <item m="1" x="4658"/>
        <item m="1" x="5656"/>
        <item m="1" x="6665"/>
        <item m="1" x="7676"/>
        <item sd="0" m="1" x="751"/>
        <item sd="0" m="1" x="1752"/>
        <item sd="0" m="1" x="2754"/>
        <item sd="0" m="1" x="3772"/>
        <item sd="0" m="1" x="4781"/>
        <item sd="0" m="1" x="5777"/>
        <item m="1" x="6789"/>
        <item m="1" x="7800"/>
        <item sd="0" m="1" x="874"/>
        <item sd="0" m="1" x="1870"/>
        <item sd="0" m="1" x="2878"/>
        <item sd="0" m="1" x="3900"/>
        <item sd="0" m="1" x="4902"/>
        <item sd="0" m="1" x="5900"/>
        <item m="1" x="6911"/>
        <item m="1" x="7921"/>
        <item sd="0" m="1" x="996"/>
        <item sd="0" m="1" x="1992"/>
        <item sd="0" m="1" x="3000"/>
        <item sd="0" m="1" x="4025"/>
        <item sd="0" m="1" x="5021"/>
        <item sd="0" m="1" x="6020"/>
        <item m="1" x="7028"/>
        <item sd="0" m="1" x="116"/>
        <item sd="0" m="1" x="1118"/>
        <item sd="0" m="1" x="2114"/>
        <item m="1" x="3122"/>
        <item m="1" x="4144"/>
        <item m="1" x="5141"/>
        <item m="1" x="6143"/>
        <item m="1" x="7155"/>
        <item m="1" x="238"/>
        <item m="1" x="1238"/>
        <item m="1" x="2235"/>
        <item m="1" x="3246"/>
        <item m="1" x="4267"/>
        <item m="1" x="5263"/>
        <item m="1" x="6267"/>
        <item m="1" x="7277"/>
        <item m="1" x="361"/>
        <item m="1" x="1357"/>
        <item m="1" x="2357"/>
        <item m="1" x="3369"/>
        <item m="1" x="4390"/>
        <item m="1" x="5383"/>
        <item m="1" x="6389"/>
        <item m="1" x="7397"/>
        <item m="1" x="482"/>
        <item m="1" x="1477"/>
        <item m="1" x="2481"/>
        <item m="1" x="3492"/>
        <item m="1" x="4514"/>
        <item m="1" x="5506"/>
        <item m="1" x="6512"/>
        <item m="1" x="7520"/>
        <item m="1" x="604"/>
        <item m="1" x="1602"/>
        <item m="1" x="2604"/>
        <item m="1" x="3614"/>
        <item m="1" x="4630"/>
        <item m="1" x="5628"/>
        <item m="1" x="6636"/>
        <item m="1" x="7645"/>
        <item m="1" x="722"/>
        <item m="1" x="1724"/>
        <item m="1" x="2725"/>
        <item m="1" x="3739"/>
        <item m="1" x="4751"/>
        <item m="1" x="5747"/>
        <item m="1" x="6760"/>
        <item m="1" x="7766"/>
        <item m="1" x="843"/>
        <item m="1" x="1840"/>
        <item m="1" x="2849"/>
        <item m="1" x="3864"/>
        <item m="1" x="4872"/>
        <item m="1" x="5869"/>
        <item m="1" x="6882"/>
        <item m="1" x="7887"/>
        <item m="1" x="968"/>
        <item m="1" x="1963"/>
        <item m="1" x="2972"/>
        <item m="1" x="3991"/>
        <item m="1" x="4995"/>
        <item m="1" x="5991"/>
        <item m="1" x="7002"/>
        <item m="1" x="83"/>
        <item m="1" x="1090"/>
        <item m="1" x="2086"/>
        <item m="1" x="3093"/>
        <item m="1" x="4112"/>
        <item m="1" x="5111"/>
        <item m="1" x="6113"/>
        <item m="1" x="7124"/>
        <item m="1" x="205"/>
        <item m="1" x="1209"/>
        <item m="1" x="2206"/>
        <item m="1" x="3215"/>
        <item m="1" x="4233"/>
        <item m="1" x="5233"/>
        <item m="1" x="6236"/>
        <item m="1" x="7249"/>
        <item m="1" x="327"/>
        <item m="1" x="1328"/>
        <item m="1" x="2326"/>
        <item m="1" x="3339"/>
        <item m="1" x="4356"/>
        <item m="1" x="5355"/>
        <item m="1" x="6359"/>
        <item m="1" x="7370"/>
        <item m="1" x="449"/>
        <item m="1" x="1447"/>
        <item m="1" x="2450"/>
        <item m="1" x="6171"/>
        <item m="1" x="7184"/>
        <item sd="0" m="1" x="265"/>
        <item sd="0" m="1" x="1262"/>
        <item sd="0" m="1" x="2259"/>
        <item sd="0" m="1" x="3272"/>
        <item sd="0" m="1" x="4294"/>
        <item sd="0" m="1" x="5289"/>
        <item m="1" x="6291"/>
        <item m="1" x="7304"/>
        <item sd="0" m="1" x="387"/>
        <item sd="0" m="1" x="1382"/>
        <item sd="0" m="1" x="2383"/>
        <item sd="0" m="1" x="3399"/>
        <item sd="0" m="1" x="4419"/>
        <item sd="0" m="1" x="5411"/>
        <item m="1" x="6414"/>
        <item m="1" x="7426"/>
        <item sd="0" m="1" x="509"/>
        <item sd="0" m="1" x="1505"/>
        <item sd="0" m="1" x="2509"/>
        <item m="1" x="3521"/>
        <item m="1" x="4540"/>
        <item m="1" x="5531"/>
        <item m="1" x="6536"/>
        <item m="1" x="7549"/>
        <item m="1" x="629"/>
        <item m="1" x="1628"/>
        <item m="1" x="2629"/>
        <item m="1" x="3642"/>
        <item sd="0" m="1" x="4654"/>
        <item sd="0" m="1" x="5653"/>
        <item m="1" x="6660"/>
        <item m="1" x="7673"/>
        <item sd="0" m="1" x="746"/>
        <item m="1" x="1748"/>
        <item m="1" x="2749"/>
        <item m="1" x="3768"/>
        <item m="1" x="4777"/>
        <item m="1" x="5774"/>
        <item m="1" x="6784"/>
        <item m="1" x="7797"/>
        <item m="1" x="869"/>
        <item m="1" x="1867"/>
        <item m="1" x="2873"/>
        <item m="1" x="3897"/>
        <item m="1" x="4898"/>
        <item m="1" x="5897"/>
        <item m="1" x="6906"/>
        <item m="1" x="7918"/>
        <item m="1" x="991"/>
        <item m="1" x="1989"/>
        <item m="1" x="2995"/>
        <item m="1" x="4020"/>
        <item m="1" x="5018"/>
        <item m="1" x="6016"/>
        <item m="1" x="7024"/>
        <item m="1" x="112"/>
        <item m="1" x="1114"/>
        <item m="1" x="2111"/>
        <item m="1" x="3118"/>
        <item m="1" x="4141"/>
        <item m="1" x="5138"/>
        <item m="1" x="6140"/>
        <item m="1" x="7151"/>
        <item m="1" x="235"/>
        <item m="1" x="1234"/>
        <item m="1" x="2232"/>
        <item m="1" x="3241"/>
        <item m="1" x="4262"/>
        <item m="1" x="5260"/>
        <item m="1" x="6263"/>
        <item m="1" x="7273"/>
        <item m="1" x="357"/>
        <item m="1" x="1353"/>
        <item m="1" x="2353"/>
        <item m="1" x="3365"/>
        <item m="1" x="4386"/>
        <item m="1" x="5381"/>
        <item m="1" x="6386"/>
        <item m="1" x="7394"/>
        <item m="1" x="479"/>
        <item m="1" x="1474"/>
        <item m="1" x="2478"/>
        <item m="1" x="3488"/>
        <item m="1" x="4510"/>
        <item m="1" x="5504"/>
        <item m="1" x="6508"/>
        <item m="1" x="7517"/>
        <item m="1" x="601"/>
        <item m="1" x="1599"/>
        <item m="1" x="2601"/>
        <item m="1" x="3611"/>
        <item m="1" x="4627"/>
        <item m="1" x="5626"/>
        <item m="1" x="6632"/>
        <item m="1" x="7642"/>
        <item m="1" x="718"/>
        <item m="1" x="1720"/>
        <item m="1" x="2721"/>
        <item m="1" x="3735"/>
        <item m="1" x="4747"/>
        <item m="1" x="5744"/>
        <item m="1" x="6756"/>
        <item m="1" x="7763"/>
        <item m="1" x="839"/>
        <item m="1" x="1836"/>
        <item m="1" x="2845"/>
        <item m="1" x="3861"/>
        <item m="1" x="4868"/>
        <item m="1" x="5866"/>
        <item m="1" x="6878"/>
        <item m="1" x="7884"/>
        <item m="1" x="963"/>
        <item m="1" x="1959"/>
        <item m="1" x="2968"/>
        <item m="1" x="3987"/>
        <item m="1" x="4990"/>
        <item m="1" x="5987"/>
        <item m="1" x="6997"/>
        <item m="1" x="80"/>
        <item m="1" x="1083"/>
        <item sd="0" m="1" x="3797"/>
        <item m="1" x="4802"/>
        <item m="1" x="5800"/>
        <item m="1" x="6813"/>
        <item m="1" x="7825"/>
        <item m="1" x="895"/>
        <item m="1" x="1891"/>
        <item m="1" x="2901"/>
        <item m="1" x="3925"/>
        <item m="1" x="4923"/>
        <item m="1" x="5922"/>
        <item m="1" x="6933"/>
        <item m="1" x="7947"/>
        <item sd="0" m="1" x="1018"/>
        <item sd="0" m="1" x="2015"/>
        <item sd="0" m="1" x="3024"/>
        <item sd="0" m="1" x="4050"/>
        <item sd="0" m="1" x="5043"/>
        <item sd="0" m="1" x="6044"/>
        <item m="1" x="7054"/>
        <item sd="0" m="1" x="142"/>
        <item sd="0" m="1" x="1141"/>
        <item sd="0" m="1" x="2137"/>
        <item sd="0" m="1" x="3147"/>
        <item sd="0" m="1" x="4168"/>
        <item sd="0" m="1" x="5163"/>
        <item m="1" x="6166"/>
        <item m="1" x="7180"/>
        <item sd="0" m="1" x="261"/>
        <item sd="0" m="1" x="1259"/>
        <item sd="0" m="1" x="2254"/>
        <item sd="0" m="1" x="3269"/>
        <item sd="0" m="1" x="4289"/>
        <item sd="0" m="1" x="5285"/>
        <item m="1" x="6286"/>
        <item m="1" x="7301"/>
        <item m="1" x="383"/>
        <item m="1" x="1379"/>
        <item m="1" x="2378"/>
        <item m="1" x="3396"/>
        <item m="1" x="4414"/>
        <item m="1" x="5407"/>
        <item m="1" x="6409"/>
        <item m="1" x="7422"/>
        <item m="1" x="505"/>
        <item m="1" x="1501"/>
        <item m="1" x="2504"/>
        <item m="1" x="3518"/>
        <item m="1" x="4535"/>
        <item m="1" x="5528"/>
        <item m="1" x="6531"/>
        <item m="1" x="7546"/>
        <item m="1" x="625"/>
        <item m="1" x="1624"/>
        <item m="1" x="2624"/>
        <item m="1" x="3639"/>
        <item m="1" x="4650"/>
        <item m="1" x="5650"/>
        <item m="1" x="6656"/>
        <item m="1" x="7669"/>
        <item m="1" x="743"/>
        <item m="1" x="1745"/>
        <item m="1" x="2745"/>
        <item m="1" x="3765"/>
        <item m="1" x="4773"/>
        <item m="1" x="5771"/>
        <item m="1" x="6780"/>
        <item m="1" x="7794"/>
        <item m="1" x="866"/>
        <item m="1" x="1863"/>
        <item m="1" x="2869"/>
        <item m="1" x="3893"/>
        <item m="1" x="4894"/>
        <item m="1" x="5893"/>
        <item m="1" x="6901"/>
        <item m="1" x="7913"/>
        <item m="1" x="988"/>
        <item m="1" x="1984"/>
        <item m="1" x="2991"/>
        <item m="1" x="4016"/>
        <item m="1" x="5015"/>
        <item m="1" x="6013"/>
        <item m="1" x="7021"/>
        <item m="1" x="109"/>
        <item m="1" x="1112"/>
        <item m="1" x="2108"/>
        <item m="1" x="3115"/>
        <item m="1" x="4138"/>
        <item m="1" x="5135"/>
        <item m="1" x="6137"/>
        <item m="1" x="7147"/>
        <item m="1" x="232"/>
        <item m="1" x="1232"/>
        <item m="1" x="2229"/>
        <item m="1" x="3238"/>
        <item m="1" x="4259"/>
        <item m="1" x="5256"/>
        <item m="1" x="6259"/>
        <item m="1" x="7270"/>
        <item m="1" x="353"/>
        <item m="1" x="1350"/>
        <item m="1" x="2349"/>
        <item m="1" x="3362"/>
        <item m="1" x="4382"/>
        <item m="1" x="5377"/>
        <item m="1" x="6382"/>
        <item m="1" x="7390"/>
        <item m="1" x="475"/>
        <item m="1" x="1470"/>
        <item m="1" x="2473"/>
        <item m="1" x="3485"/>
        <item m="1" x="4506"/>
        <item m="1" x="5500"/>
        <item m="1" x="6504"/>
        <item m="1" x="7513"/>
        <item m="1" x="596"/>
        <item m="1" x="1596"/>
        <item m="1" x="2597"/>
        <item m="1" x="3608"/>
        <item m="1" x="4622"/>
        <item m="1" x="5622"/>
        <item m="1" x="6628"/>
        <item sd="0" m="1" x="2406"/>
        <item sd="0" m="1" x="3425"/>
        <item sd="0" m="1" x="4442"/>
        <item sd="0" m="1" x="5433"/>
        <item m="1" x="6437"/>
        <item m="1" x="7451"/>
        <item sd="0" m="1" x="530"/>
        <item sd="0" m="1" x="1526"/>
        <item sd="0" m="1" x="2532"/>
        <item sd="0" m="1" x="3546"/>
        <item sd="0" m="1" x="4561"/>
        <item sd="0" m="1" x="5554"/>
        <item m="1" x="6562"/>
        <item m="1" x="7574"/>
        <item sd="0" m="1" x="652"/>
        <item sd="0" m="1" x="1652"/>
        <item sd="0" m="1" x="2655"/>
        <item sd="0" m="1" x="3668"/>
        <item sd="0" m="1" x="4678"/>
        <item sd="0" m="1" x="5676"/>
        <item m="1" x="6688"/>
        <item m="1" x="7698"/>
        <item sd="0" m="1" x="771"/>
        <item sd="0" m="1" x="1770"/>
        <item m="1" x="2776"/>
        <item m="1" x="3792"/>
        <item m="1" x="4799"/>
        <item m="1" x="5795"/>
        <item m="1" x="6810"/>
        <item m="1" x="7819"/>
        <item m="1" x="891"/>
        <item m="1" x="1886"/>
        <item m="1" x="2897"/>
        <item m="1" x="3919"/>
        <item sd="0" m="1" x="4919"/>
        <item m="1" x="5917"/>
        <item m="1" x="6930"/>
        <item m="1" x="7941"/>
        <item m="1" x="1014"/>
        <item m="1" x="2010"/>
        <item m="1" x="3021"/>
        <item m="1" x="4044"/>
        <item m="1" x="5040"/>
        <item m="1" x="6039"/>
        <item m="1" x="7051"/>
        <item m="1" x="136"/>
        <item m="1" x="1138"/>
        <item m="1" x="2132"/>
        <item m="1" x="3143"/>
        <item m="1" x="4162"/>
        <item m="1" x="5160"/>
        <item m="1" x="6161"/>
        <item m="1" x="7176"/>
        <item m="1" x="255"/>
        <item m="1" x="1256"/>
        <item m="1" x="2250"/>
        <item m="1" x="3266"/>
        <item m="1" x="4284"/>
        <item m="1" x="5282"/>
        <item m="1" x="6282"/>
        <item m="1" x="7298"/>
        <item m="1" x="378"/>
        <item m="1" x="1376"/>
        <item m="1" x="2373"/>
        <item m="1" x="3392"/>
        <item m="1" x="4409"/>
        <item m="1" x="5403"/>
        <item m="1" x="6405"/>
        <item m="1" x="7419"/>
        <item m="1" x="500"/>
        <item m="1" x="1497"/>
        <item m="1" x="2499"/>
        <item m="1" x="3514"/>
        <item m="1" x="4530"/>
        <item m="1" x="5524"/>
        <item m="1" x="6527"/>
        <item m="1" x="7542"/>
        <item m="1" x="620"/>
        <item m="1" x="1620"/>
        <item m="1" x="2620"/>
        <item m="1" x="3635"/>
        <item m="1" x="4646"/>
        <item m="1" x="5647"/>
        <item m="1" x="6653"/>
        <item m="1" x="7666"/>
        <item m="1" x="739"/>
        <item m="1" x="1742"/>
        <item m="1" x="2741"/>
        <item m="1" x="3762"/>
        <item m="1" x="4769"/>
        <item m="1" x="5768"/>
        <item m="1" x="6777"/>
        <item m="1" x="7791"/>
        <item m="1" x="862"/>
        <item m="1" x="1860"/>
        <item m="1" x="2866"/>
        <item m="1" x="3889"/>
        <item m="1" x="4890"/>
        <item m="1" x="5888"/>
        <item m="1" x="6898"/>
        <item m="1" x="7908"/>
        <item m="1" x="984"/>
        <item m="1" x="1980"/>
        <item m="1" x="2987"/>
        <item m="1" x="4012"/>
        <item m="1" x="5011"/>
        <item m="1" x="6009"/>
        <item m="1" x="7018"/>
        <item m="1" x="105"/>
        <item m="1" x="1108"/>
        <item m="1" x="2104"/>
        <item m="1" x="3111"/>
        <item m="1" x="4134"/>
        <item m="1" x="5130"/>
        <item m="1" x="6133"/>
        <item m="1" x="7144"/>
        <item m="1" x="227"/>
        <item m="1" x="1228"/>
        <item m="1" x="2225"/>
        <item m="1" x="3234"/>
        <item m="1" x="4254"/>
        <item m="1" x="5252"/>
        <item sd="0" m="1" x="1041"/>
        <item sd="0" m="1" x="2041"/>
        <item sd="0" m="1" x="3049"/>
        <item sd="0" m="1" x="4071"/>
        <item m="1" x="5064"/>
        <item m="1" x="6067"/>
        <item m="1" x="7080"/>
        <item m="1" x="163"/>
        <item m="1" x="1161"/>
        <item m="1" x="2160"/>
        <item m="1" x="3171"/>
        <item m="1" x="4191"/>
        <item m="1" x="5186"/>
        <item m="1" x="6192"/>
        <item m="1" x="7206"/>
        <item sd="0" m="1" x="285"/>
        <item sd="0" m="1" x="1282"/>
        <item sd="0" m="1" x="2280"/>
        <item sd="0" m="1" x="3296"/>
        <item sd="0" m="1" x="4314"/>
        <item sd="0" m="1" x="5310"/>
        <item m="1" x="6312"/>
        <item m="1" x="7327"/>
        <item sd="0" m="1" x="405"/>
        <item sd="0" m="1" x="1400"/>
        <item sd="0" m="1" x="2403"/>
        <item sd="0" m="1" x="3418"/>
        <item sd="0" m="1" x="4437"/>
        <item sd="0" m="1" x="5428"/>
        <item m="1" x="6433"/>
        <item m="1" x="7445"/>
        <item sd="0" m="1" x="526"/>
        <item sd="0" m="1" x="1521"/>
        <item sd="0" m="1" x="2528"/>
        <item sd="0" m="1" x="3540"/>
        <item m="1" x="4556"/>
        <item m="1" x="5549"/>
        <item m="1" x="6557"/>
        <item m="1" x="7568"/>
        <item m="1" x="648"/>
        <item m="1" x="1647"/>
        <item m="1" x="2651"/>
        <item m="1" x="3662"/>
        <item m="1" x="4674"/>
        <item m="1" x="5671"/>
        <item m="1" x="6684"/>
        <item m="1" x="7692"/>
        <item m="1" x="767"/>
        <item m="1" x="1765"/>
        <item m="1" x="2772"/>
        <item m="1" x="3786"/>
        <item m="1" x="4795"/>
        <item m="1" x="5790"/>
        <item m="1" x="6805"/>
        <item m="1" x="7814"/>
        <item m="1" x="887"/>
        <item m="1" x="1882"/>
        <item m="1" x="2893"/>
        <item m="1" x="3914"/>
        <item m="1" x="4916"/>
        <item m="1" x="5912"/>
        <item m="1" x="6927"/>
        <item m="1" x="7936"/>
        <item m="1" x="1011"/>
        <item m="1" x="2006"/>
        <item m="1" x="3018"/>
        <item m="1" x="4039"/>
        <item m="1" x="5037"/>
        <item m="1" x="6034"/>
        <item m="1" x="7046"/>
        <item m="1" x="131"/>
        <item m="1" x="1134"/>
        <item m="1" x="2128"/>
        <item m="1" x="3139"/>
        <item m="1" x="4157"/>
        <item m="1" x="5156"/>
        <item m="1" x="6156"/>
        <item m="1" x="7172"/>
        <item m="1" x="251"/>
        <item m="1" x="1253"/>
        <item m="1" x="2247"/>
        <item m="1" x="3263"/>
        <item m="1" x="4280"/>
        <item m="1" x="5279"/>
        <item m="1" x="6278"/>
        <item m="1" x="7294"/>
        <item m="1" x="374"/>
        <item m="1" x="1372"/>
        <item m="1" x="2370"/>
        <item m="1" x="3389"/>
        <item m="1" x="4405"/>
        <item m="1" x="5400"/>
        <item m="1" x="6401"/>
        <item m="1" x="7416"/>
        <item m="1" x="496"/>
        <item m="1" x="1493"/>
        <item m="1" x="2496"/>
        <item m="1" x="3510"/>
        <item m="1" x="4526"/>
        <item m="1" x="5520"/>
        <item m="1" x="6523"/>
        <item m="1" x="7538"/>
        <item m="1" x="616"/>
        <item m="1" x="1616"/>
        <item m="1" x="2617"/>
        <item m="1" x="3631"/>
        <item m="1" x="4642"/>
        <item m="1" x="5643"/>
        <item m="1" x="6649"/>
        <item m="1" x="7662"/>
        <item m="1" x="735"/>
        <item m="1" x="1738"/>
        <item m="1" x="2738"/>
        <item m="1" x="3757"/>
        <item m="1" x="4765"/>
        <item m="1" x="5764"/>
        <item m="1" x="6773"/>
        <item m="1" x="7786"/>
        <item m="1" x="857"/>
        <item m="1" x="1855"/>
        <item m="1" x="2863"/>
        <item m="1" x="3882"/>
        <item m="1" x="7599"/>
        <item sd="0" m="1" x="675"/>
        <item sd="0" m="1" x="1677"/>
        <item sd="0" m="1" x="2680"/>
        <item sd="0" m="1" x="3693"/>
        <item sd="0" m="1" x="4700"/>
        <item sd="0" m="1" x="5701"/>
        <item m="1" x="6713"/>
        <item m="1" x="7721"/>
        <item sd="0" m="1" x="793"/>
        <item sd="0" m="1" x="1792"/>
        <item sd="0" m="1" x="2802"/>
        <item sd="0" m="1" x="3817"/>
        <item sd="0" m="1" x="4821"/>
        <item sd="0" m="1" x="5820"/>
        <item m="1" x="6835"/>
        <item m="1" x="7843"/>
        <item sd="0" m="1" x="915"/>
        <item sd="0" m="1" x="1913"/>
        <item sd="0" m="1" x="2923"/>
        <item sd="0" m="1" x="3945"/>
        <item sd="0" m="1" x="4942"/>
        <item sd="0" m="1" x="5943"/>
        <item m="1" x="6954"/>
        <item m="1" x="7965"/>
        <item sd="0" m="1" x="1037"/>
        <item sd="0" m="1" x="2036"/>
        <item m="1" x="3043"/>
        <item m="1" x="4067"/>
        <item m="1" x="5059"/>
        <item m="1" x="6063"/>
        <item m="1" x="7074"/>
        <item m="1" x="158"/>
        <item m="1" x="1156"/>
        <item m="1" x="2156"/>
        <item m="1" x="3165"/>
        <item m="1" x="4187"/>
        <item m="1" x="5181"/>
        <item m="1" x="6188"/>
        <item m="1" x="7200"/>
        <item m="1" x="280"/>
        <item m="1" x="1277"/>
        <item m="1" x="2275"/>
        <item m="1" x="3290"/>
        <item m="1" x="4309"/>
        <item m="1" x="5305"/>
        <item m="1" x="6308"/>
        <item m="1" x="7320"/>
        <item m="1" x="401"/>
        <item m="1" x="1395"/>
        <item m="1" x="2399"/>
        <item m="1" x="3413"/>
        <item m="1" x="4433"/>
        <item m="1" x="5423"/>
        <item m="1" x="6430"/>
        <item m="1" x="7440"/>
        <item m="1" x="523"/>
        <item m="1" x="1517"/>
        <item m="1" x="2524"/>
        <item m="1" x="3535"/>
        <item m="1" x="4553"/>
        <item m="1" x="5545"/>
        <item m="1" x="6554"/>
        <item m="1" x="7563"/>
        <item m="1" x="645"/>
        <item m="1" x="1642"/>
        <item m="1" x="2648"/>
        <item m="1" x="3657"/>
        <item m="1" x="4670"/>
        <item m="1" x="5667"/>
        <item m="1" x="6680"/>
        <item m="1" x="7687"/>
        <item m="1" x="763"/>
        <item m="1" x="1760"/>
        <item m="1" x="2767"/>
        <item m="1" x="3781"/>
        <item m="1" x="4790"/>
        <item m="1" x="5786"/>
        <item m="1" x="6801"/>
        <item m="1" x="7810"/>
        <item m="1" x="884"/>
        <item m="1" x="1878"/>
        <item m="1" x="2890"/>
        <item m="1" x="3910"/>
        <item m="1" x="4913"/>
        <item m="1" x="5909"/>
        <item m="1" x="6923"/>
        <item m="1" x="7931"/>
        <item m="1" x="1007"/>
        <item m="1" x="2002"/>
        <item m="1" x="3015"/>
        <item m="1" x="4035"/>
        <item m="1" x="5034"/>
        <item m="1" x="6031"/>
        <item m="1" x="7043"/>
        <item m="1" x="127"/>
        <item m="1" x="1130"/>
        <item m="1" x="2124"/>
        <item m="1" x="3135"/>
        <item m="1" x="4153"/>
        <item m="1" x="5152"/>
        <item m="1" x="6153"/>
        <item m="1" x="7168"/>
        <item m="1" x="247"/>
        <item m="1" x="1249"/>
        <item m="1" x="2243"/>
        <item m="1" x="3259"/>
        <item m="1" x="4275"/>
        <item m="1" x="5274"/>
        <item m="1" x="6275"/>
        <item m="1" x="7290"/>
        <item m="1" x="370"/>
        <item m="1" x="1368"/>
        <item m="1" x="2366"/>
        <item m="1" x="3384"/>
        <item m="1" x="4401"/>
        <item m="1" x="5396"/>
        <item m="1" x="6398"/>
        <item m="1" x="7411"/>
        <item m="1" x="492"/>
        <item m="1" x="1489"/>
        <item m="1" x="2491"/>
        <item sd="0" m="1" x="5210"/>
        <item m="1" x="6220"/>
        <item m="1" x="7230"/>
        <item sd="0" m="1" x="309"/>
        <item sd="0" m="1" x="1306"/>
        <item sd="0" m="1" x="2307"/>
        <item sd="0" m="1" x="3320"/>
        <item sd="0" m="1" x="4337"/>
        <item m="1" x="5334"/>
        <item m="1" x="6339"/>
        <item m="1" x="7352"/>
        <item m="1" x="430"/>
        <item m="1" x="1427"/>
        <item m="1" x="2431"/>
        <item m="1" x="3445"/>
        <item m="1" x="4462"/>
        <item m="1" x="5455"/>
        <item m="1" x="6461"/>
        <item m="1" x="7472"/>
        <item sd="0" m="1" x="551"/>
        <item sd="0" m="1" x="1550"/>
        <item sd="0" m="1" x="2555"/>
        <item sd="0" m="1" x="3568"/>
        <item sd="0" m="1" x="4580"/>
        <item sd="0" m="1" x="5577"/>
        <item m="1" x="6583"/>
        <item m="1" x="7595"/>
        <item sd="0" m="1" x="670"/>
        <item sd="0" m="1" x="1673"/>
        <item sd="0" m="1" x="2674"/>
        <item sd="0" m="1" x="3688"/>
        <item sd="0" m="1" x="4695"/>
        <item sd="0" m="1" x="5696"/>
        <item m="1" x="6707"/>
        <item m="1" x="7716"/>
        <item m="1" x="788"/>
        <item m="1" x="1788"/>
        <item m="1" x="2796"/>
        <item m="1" x="3812"/>
        <item m="1" x="4816"/>
        <item m="1" x="5816"/>
        <item m="1" x="6829"/>
        <item m="1" x="7839"/>
        <item m="1" x="910"/>
        <item m="1" x="1909"/>
        <item m="1" x="2917"/>
        <item m="1" x="3941"/>
        <item m="1" x="4937"/>
        <item m="1" x="5938"/>
        <item m="1" x="6948"/>
        <item m="1" x="7961"/>
        <item m="1" x="1032"/>
        <item m="1" x="2032"/>
        <item m="1" x="3038"/>
        <item m="1" x="4063"/>
        <item m="1" x="5055"/>
        <item m="1" x="6060"/>
        <item m="1" x="7069"/>
        <item m="1" x="155"/>
        <item m="1" x="1152"/>
        <item m="1" x="2153"/>
        <item m="1" x="3160"/>
        <item m="1" x="4184"/>
        <item m="1" x="5176"/>
        <item m="1" x="6184"/>
        <item m="1" x="7195"/>
        <item m="1" x="276"/>
        <item m="1" x="1273"/>
        <item m="1" x="2272"/>
        <item m="1" x="3284"/>
        <item m="1" x="4305"/>
        <item m="1" x="5300"/>
        <item m="1" x="6304"/>
        <item m="1" x="7315"/>
        <item m="1" x="397"/>
        <item m="1" x="1391"/>
        <item m="1" x="2395"/>
        <item m="1" x="3408"/>
        <item m="1" x="4429"/>
        <item m="1" x="5419"/>
        <item m="1" x="6426"/>
        <item m="1" x="7436"/>
        <item m="1" x="520"/>
        <item m="1" x="1514"/>
        <item m="1" x="2521"/>
        <item m="1" x="3531"/>
        <item m="1" x="4550"/>
        <item m="1" x="5540"/>
        <item m="1" x="6550"/>
        <item m="1" x="7559"/>
        <item m="1" x="642"/>
        <item m="1" x="1639"/>
        <item m="1" x="2645"/>
        <item m="1" x="3653"/>
        <item m="1" x="4667"/>
        <item m="1" x="5663"/>
        <item m="1" x="6676"/>
        <item m="1" x="7683"/>
        <item m="1" x="758"/>
        <item m="1" x="1757"/>
        <item m="1" x="2762"/>
        <item m="1" x="3777"/>
        <item m="1" x="4786"/>
        <item m="1" x="5782"/>
        <item m="1" x="6797"/>
        <item m="1" x="7806"/>
        <item m="1" x="880"/>
        <item m="1" x="1875"/>
        <item m="1" x="2886"/>
        <item m="1" x="3906"/>
        <item m="1" x="4909"/>
        <item m="1" x="5905"/>
        <item m="1" x="6919"/>
        <item m="1" x="7926"/>
        <item m="1" x="1003"/>
        <item m="1" x="1999"/>
        <item m="1" x="3010"/>
        <item m="1" x="4031"/>
        <item m="1" x="5030"/>
        <item m="1" x="6027"/>
        <item m="1" x="7038"/>
        <item m="1" x="123"/>
        <item sd="0" m="1" x="3842"/>
        <item sd="0" m="1" x="4847"/>
        <item sd="0" m="1" x="5848"/>
        <item m="1" x="6859"/>
        <item m="1" x="7866"/>
        <item sd="0" m="1" x="939"/>
        <item sd="0" m="1" x="1941"/>
        <item sd="0" m="1" x="2948"/>
        <item sd="0" m="1" x="3968"/>
        <item sd="0" m="1" x="4966"/>
        <item sd="0" m="1" x="5969"/>
        <item m="1" x="6978"/>
        <item m="1" x="7990"/>
        <item sd="0" m="1" x="1062"/>
        <item sd="0" m="1" x="2064"/>
        <item sd="0" m="1" x="3070"/>
        <item sd="0" m="1" x="4092"/>
        <item sd="0" m="1" x="5085"/>
        <item sd="0" m="1" x="6091"/>
        <item m="1" x="7101"/>
        <item sd="0" m="1" x="185"/>
        <item sd="0" m="1" x="1183"/>
        <item sd="0" m="1" x="2184"/>
        <item sd="0" m="1" x="3191"/>
        <item sd="0" m="1" x="4210"/>
        <item sd="0" m="1" x="5206"/>
        <item m="1" x="6212"/>
        <item m="1" x="7224"/>
        <item sd="0" m="1" x="303"/>
        <item sd="0" m="1" x="1301"/>
        <item sd="0" m="1" x="2300"/>
        <item m="1" x="3315"/>
        <item m="1" x="4331"/>
        <item m="1" x="5329"/>
        <item m="1" x="6332"/>
        <item m="1" x="7346"/>
        <item m="1" x="424"/>
        <item m="1" x="1421"/>
        <item m="1" x="2424"/>
        <item m="1" x="3440"/>
        <item m="1" x="5450"/>
        <item m="1" x="6454"/>
        <item m="1" x="7467"/>
        <item m="1" x="545"/>
        <item m="1" x="1545"/>
        <item m="1" x="2548"/>
        <item m="1" x="3563"/>
        <item m="1" x="4574"/>
        <item m="1" x="5572"/>
        <item m="1" x="6576"/>
        <item m="1" x="7590"/>
        <item m="1" x="665"/>
        <item m="1" x="1668"/>
        <item m="1" x="2669"/>
        <item m="1" x="3684"/>
        <item m="1" x="4691"/>
        <item m="1" x="5692"/>
        <item m="1" x="6702"/>
        <item m="1" x="7713"/>
        <item m="1" x="783"/>
        <item m="1" x="1785"/>
        <item m="1" x="2791"/>
        <item m="1" x="3809"/>
        <item m="1" x="4812"/>
        <item m="1" x="5813"/>
        <item m="1" x="6824"/>
        <item m="1" x="7836"/>
        <item m="1" x="905"/>
        <item m="1" x="1904"/>
        <item m="1" x="2912"/>
        <item m="1" x="3937"/>
        <item m="1" x="4933"/>
        <item m="1" x="5934"/>
        <item m="1" x="6943"/>
        <item m="1" x="7957"/>
        <item m="1" x="1027"/>
        <item m="1" x="2028"/>
        <item m="1" x="3034"/>
        <item m="1" x="4061"/>
        <item m="1" x="5052"/>
        <item m="1" x="6057"/>
        <item m="1" x="7065"/>
        <item m="1" x="1148"/>
        <item m="1" x="2149"/>
        <item m="1" x="3156"/>
        <item m="1" x="4179"/>
        <item m="1" x="5172"/>
        <item m="1" x="6181"/>
        <item m="1" x="7191"/>
        <item m="1" x="273"/>
        <item m="1" x="1269"/>
        <item m="1" x="2269"/>
        <item m="1" x="3280"/>
        <item m="1" x="4302"/>
        <item m="1" x="5297"/>
        <item m="1" x="6300"/>
        <item m="1" x="7311"/>
        <item m="1" x="393"/>
        <item m="1" x="1387"/>
        <item m="1" x="2391"/>
        <item m="1" x="3404"/>
        <item m="1" x="4425"/>
        <item m="1" x="5416"/>
        <item m="1" x="6422"/>
        <item m="1" x="7432"/>
        <item m="1" x="516"/>
        <item m="1" x="1510"/>
        <item m="1" x="2517"/>
        <item m="1" x="3527"/>
        <item m="1" x="4546"/>
        <item m="1" x="5537"/>
        <item m="1" x="6545"/>
        <item m="1" x="7555"/>
        <item m="1" x="638"/>
        <item m="1" x="1635"/>
        <item m="1" x="2640"/>
        <item m="1" x="3648"/>
        <item m="1" x="4662"/>
        <item m="1" x="5660"/>
        <item m="1" x="6670"/>
        <item sd="0" m="1" x="2455"/>
        <item sd="0" m="1" x="3468"/>
        <item sd="0" m="1" x="4485"/>
        <item sd="0" m="1" x="5482"/>
        <item m="1" x="6485"/>
        <item m="1" x="7495"/>
        <item sd="0" m="1" x="575"/>
        <item sd="0" m="1" x="1576"/>
        <item sd="0" m="1" x="2577"/>
        <item sd="0" m="1" x="3590"/>
        <item sd="0" m="1" x="4600"/>
        <item m="1" x="5604"/>
        <item m="1" x="6608"/>
        <item m="1" x="7619"/>
        <item m="1" x="693"/>
        <item m="1" x="1699"/>
        <item m="1" x="2699"/>
        <item m="1" x="3713"/>
        <item m="1" x="4720"/>
        <item m="1" x="5723"/>
        <item m="1" x="6734"/>
        <item m="1" x="7741"/>
        <item sd="0" m="1" x="814"/>
        <item sd="0" m="1" x="1814"/>
        <item sd="0" m="1" x="2821"/>
        <item sd="0" m="1" x="3837"/>
        <item sd="0" m="1" x="4841"/>
        <item sd="0" m="1" x="5841"/>
        <item m="1" x="6854"/>
        <item m="1" x="7860"/>
        <item sd="0" m="1" x="934"/>
        <item sd="0" m="1" x="1934"/>
        <item sd="0" m="1" x="2942"/>
        <item sd="0" m="1" x="3962"/>
        <item sd="0" m="1" x="4961"/>
        <item m="1" x="5962"/>
        <item m="1" x="6973"/>
        <item m="1" x="7984"/>
        <item m="1" x="1057"/>
        <item m="1" x="2057"/>
        <item m="1" x="3064"/>
        <item m="1" x="4086"/>
        <item m="1" x="5079"/>
        <item m="1" x="6085"/>
        <item m="1" x="7095"/>
        <item m="1" x="179"/>
        <item m="1" x="1178"/>
        <item m="1" x="2176"/>
        <item m="1" x="3186"/>
        <item m="1" x="4204"/>
        <item m="1" x="5201"/>
        <item m="1" x="6206"/>
        <item m="1" x="7220"/>
        <item m="1" x="298"/>
        <item m="1" x="1298"/>
        <item m="1" x="2295"/>
        <item m="1" x="3312"/>
        <item m="1" x="4327"/>
        <item m="1" x="5325"/>
        <item m="1" x="6327"/>
        <item m="1" x="7343"/>
        <item m="1" x="420"/>
        <item m="1" x="1418"/>
        <item m="1" x="2419"/>
        <item m="1" x="3437"/>
        <item m="1" x="4452"/>
        <item m="1" x="5447"/>
        <item m="1" x="6449"/>
        <item m="1" x="7464"/>
        <item m="1" x="541"/>
        <item m="1" x="1541"/>
        <item m="1" x="2543"/>
        <item m="1" x="3559"/>
        <item m="1" x="4569"/>
        <item m="1" x="5567"/>
        <item m="1" x="6571"/>
        <item m="1" x="7585"/>
        <item m="1" x="661"/>
        <item m="1" x="1664"/>
        <item m="1" x="2665"/>
        <item m="1" x="3681"/>
        <item m="1" x="4687"/>
        <item m="1" x="5689"/>
        <item m="1" x="6698"/>
        <item m="1" x="7710"/>
        <item m="1" x="780"/>
        <item m="1" x="1782"/>
        <item m="1" x="2786"/>
        <item m="1" x="3805"/>
        <item m="1" x="4809"/>
        <item m="1" x="5810"/>
        <item m="1" x="6820"/>
        <item m="1" x="7833"/>
        <item m="1" x="902"/>
        <item m="1" x="1901"/>
        <item m="1" x="2908"/>
        <item m="1" x="3933"/>
        <item m="1" x="4929"/>
        <item m="1" x="5930"/>
        <item m="1" x="6939"/>
        <item m="1" x="7953"/>
        <item m="1" x="1024"/>
        <item m="1" x="2024"/>
        <item m="1" x="3030"/>
        <item m="1" x="4057"/>
        <item m="1" x="5048"/>
        <item m="1" x="6053"/>
        <item m="1" x="7060"/>
        <item m="1" x="148"/>
        <item m="1" x="1146"/>
        <item m="1" x="2145"/>
        <item m="1" x="3152"/>
        <item m="1" x="4175"/>
        <item m="1" x="5168"/>
        <item m="1" x="6176"/>
        <item m="1" x="7187"/>
        <item m="1" x="269"/>
        <item m="1" x="1266"/>
        <item m="1" x="2264"/>
        <item m="1" x="3276"/>
        <item m="1" x="4298"/>
        <item m="1" x="5292"/>
        <item m="1" x="84"/>
        <item sd="0" m="1" x="1091"/>
        <item sd="0" m="1" x="2087"/>
        <item sd="0" m="1" x="3094"/>
        <item sd="0" m="1" x="4113"/>
        <item sd="0" m="1" x="5112"/>
        <item sd="0" m="1" x="6114"/>
        <item m="1" x="7125"/>
        <item sd="0" m="1" x="206"/>
        <item sd="0" m="1" x="1210"/>
        <item sd="0" m="1" x="2207"/>
        <item sd="0" m="1" x="3216"/>
        <item sd="0" m="1" x="4234"/>
        <item sd="0" m="1" x="5234"/>
        <item m="1" x="6237"/>
        <item m="1" x="7250"/>
        <item sd="0" m="1" x="328"/>
        <item sd="0" m="1" x="1329"/>
        <item sd="0" m="1" x="2327"/>
        <item sd="0" m="1" x="3340"/>
        <item sd="0" m="1" x="4357"/>
        <item sd="0" m="1" x="5356"/>
        <item m="1" x="6360"/>
        <item m="1" x="7371"/>
        <item sd="0" m="1" x="450"/>
        <item sd="0" m="1" x="1448"/>
        <item sd="0" m="1" x="2451"/>
        <item sd="0" m="1" x="3464"/>
        <item sd="0" m="1" x="4481"/>
        <item sd="0" m="1" x="5476"/>
        <item m="1" x="6480"/>
        <item m="1" x="7490"/>
        <item sd="0" m="1" x="570"/>
        <item sd="0" m="1" x="1570"/>
        <item sd="0" m="1" x="2572"/>
        <item m="1" x="3585"/>
        <item m="1" x="4596"/>
        <item m="1" x="5598"/>
        <item m="1" x="6603"/>
        <item m="1" x="7614"/>
        <item m="1" x="689"/>
        <item m="1" x="1693"/>
        <item m="1" x="2695"/>
        <item m="1" x="3708"/>
        <item m="1" x="4716"/>
        <item m="1" x="5717"/>
        <item m="1" x="6730"/>
        <item m="1" x="7736"/>
        <item m="1" x="809"/>
        <item m="1" x="1808"/>
        <item m="1" x="2817"/>
        <item m="1" x="3832"/>
        <item m="1" x="4837"/>
        <item m="1" x="5836"/>
        <item m="1" x="6851"/>
        <item m="1" x="7857"/>
        <item m="1" x="932"/>
        <item m="1" x="1930"/>
        <item m="1" x="2940"/>
        <item m="1" x="3959"/>
        <item m="1" x="4959"/>
        <item m="1" x="5958"/>
        <item m="1" x="6971"/>
        <item m="1" x="7980"/>
        <item m="1" x="1054"/>
        <item m="1" x="2053"/>
        <item m="1" x="3061"/>
        <item m="1" x="4083"/>
        <item m="1" x="5077"/>
        <item m="1" x="6080"/>
        <item m="1" x="7092"/>
        <item m="1" x="175"/>
        <item m="1" x="1175"/>
        <item m="1" x="2172"/>
        <item m="1" x="3183"/>
        <item m="1" x="4201"/>
        <item m="1" x="5198"/>
        <item m="1" x="6202"/>
        <item m="1" x="7217"/>
        <item m="1" x="294"/>
        <item m="1" x="1294"/>
        <item m="1" x="2291"/>
        <item m="1" x="3309"/>
        <item m="1" x="4324"/>
        <item m="1" x="5322"/>
        <item m="1" x="6323"/>
        <item m="1" x="7340"/>
        <item m="1" x="415"/>
        <item m="1" x="1414"/>
        <item m="1" x="2414"/>
        <item m="1" x="3434"/>
        <item m="1" x="4449"/>
        <item m="1" x="5444"/>
        <item m="1" x="6445"/>
        <item m="1" x="7461"/>
        <item m="1" x="537"/>
        <item m="1" x="1537"/>
        <item m="1" x="2539"/>
        <item m="1" x="3554"/>
        <item m="1" x="4566"/>
        <item m="1" x="5562"/>
        <item m="1" x="6567"/>
        <item m="1" x="7581"/>
        <item m="1" x="657"/>
        <item m="1" x="1660"/>
        <item m="1" x="2661"/>
        <item m="1" x="3677"/>
        <item m="1" x="4684"/>
        <item m="1" x="5685"/>
        <item m="1" x="6694"/>
        <item m="1" x="7706"/>
        <item m="1" x="776"/>
        <item m="1" x="1778"/>
        <item m="1" x="2781"/>
        <item m="1" x="3801"/>
        <item m="1" x="4806"/>
        <item m="1" x="5805"/>
        <item m="1" x="6816"/>
        <item m="1" x="7829"/>
        <item m="1" x="898"/>
        <item m="1" x="1896"/>
        <item m="1" x="2904"/>
        <item m="1" x="6633"/>
        <item m="1" x="7643"/>
        <item sd="0" m="1" x="719"/>
        <item sd="0" m="1" x="1721"/>
        <item sd="0" m="1" x="2722"/>
        <item sd="0" m="1" x="3736"/>
        <item sd="0" m="1" x="4748"/>
        <item sd="0" m="1" x="5745"/>
        <item m="1" x="6757"/>
        <item m="1" x="7764"/>
        <item sd="0" m="1" x="840"/>
        <item sd="0" m="1" x="1837"/>
        <item sd="0" m="1" x="2846"/>
        <item sd="0" m="1" x="3862"/>
        <item sd="0" m="1" x="4869"/>
        <item m="1" x="5867"/>
        <item m="1" x="6879"/>
        <item m="1" x="7885"/>
        <item m="1" x="964"/>
        <item m="1" x="1960"/>
        <item m="1" x="2969"/>
        <item m="1" x="3988"/>
        <item m="1" x="4991"/>
        <item m="1" x="5988"/>
        <item m="1" x="6998"/>
        <item sd="0" m="1" x="81"/>
        <item sd="0" m="1" x="1084"/>
        <item sd="0" m="1" x="2082"/>
        <item sd="0" m="1" x="3089"/>
        <item sd="0" m="1" x="4109"/>
        <item sd="0" m="1" x="5106"/>
        <item sd="0" m="1" x="6110"/>
        <item m="1" x="7120"/>
        <item sd="0" m="1" x="202"/>
        <item sd="0" m="1" x="1204"/>
        <item m="1" x="2202"/>
        <item m="1" x="3211"/>
        <item m="1" x="4229"/>
        <item m="1" x="5228"/>
        <item m="1" x="6233"/>
        <item m="1" x="7245"/>
        <item m="1" x="324"/>
        <item m="1" x="1323"/>
        <item m="1" x="2322"/>
        <item m="1" x="3335"/>
        <item m="1" x="4353"/>
        <item m="1" x="5350"/>
        <item m="1" x="6356"/>
        <item m="1" x="7366"/>
        <item m="1" x="446"/>
        <item m="1" x="1442"/>
        <item m="1" x="2447"/>
        <item m="1" x="3459"/>
        <item m="1" x="4477"/>
        <item m="1" x="5471"/>
        <item m="1" x="6477"/>
        <item m="1" x="7487"/>
        <item m="1" x="567"/>
        <item m="1" x="1566"/>
        <item m="1" x="2570"/>
        <item m="1" x="3582"/>
        <item m="1" x="4594"/>
        <item m="1" x="5594"/>
        <item m="1" x="6601"/>
        <item m="1" x="7611"/>
        <item m="1" x="687"/>
        <item m="1" x="1689"/>
        <item m="1" x="2693"/>
        <item m="1" x="3704"/>
        <item m="1" x="4712"/>
        <item m="1" x="5713"/>
        <item m="1" x="6727"/>
        <item m="1" x="7733"/>
        <item m="1" x="806"/>
        <item m="1" x="1804"/>
        <item m="1" x="2814"/>
        <item m="1" x="3828"/>
        <item m="1" x="4834"/>
        <item m="1" x="5832"/>
        <item m="1" x="6848"/>
        <item m="1" x="7854"/>
        <item m="1" x="929"/>
        <item m="1" x="1926"/>
        <item m="1" x="2937"/>
        <item m="1" x="3955"/>
        <item m="1" x="4955"/>
        <item m="1" x="5954"/>
        <item m="1" x="6966"/>
        <item m="1" x="7976"/>
        <item m="1" x="1051"/>
        <item m="1" x="2049"/>
        <item m="1" x="3058"/>
        <item m="1" x="4079"/>
        <item m="1" x="5074"/>
        <item m="1" x="6076"/>
        <item m="1" x="7089"/>
        <item m="1" x="172"/>
        <item m="1" x="1171"/>
        <item m="1" x="2168"/>
        <item m="1" x="3179"/>
        <item m="1" x="4197"/>
        <item m="1" x="5194"/>
        <item m="1" x="6198"/>
        <item m="1" x="7213"/>
        <item m="1" x="291"/>
        <item m="1" x="1290"/>
        <item m="1" x="2287"/>
        <item m="1" x="3305"/>
        <item m="1" x="4320"/>
        <item m="1" x="5318"/>
        <item m="1" x="6319"/>
        <item m="1" x="7336"/>
        <item m="1" x="412"/>
        <item m="1" x="1409"/>
        <item m="1" x="2410"/>
        <item m="1" x="3430"/>
        <item m="1" x="4445"/>
        <item m="1" x="5439"/>
        <item m="1" x="6440"/>
        <item m="1" x="7456"/>
        <item m="1" x="534"/>
        <item m="1" x="1531"/>
        <item m="1" x="4759"/>
        <item m="1" x="5257"/>
        <item m="1" x="5756"/>
        <item m="1" x="6260"/>
        <item m="1" x="6767"/>
        <item m="1" x="7271"/>
        <item m="1" x="7776"/>
        <item m="1" x="354"/>
        <item m="1" x="852"/>
        <item sd="0" m="1" x="1351"/>
        <item sd="0" m="1" x="1848"/>
        <item sd="0" m="1" x="2350"/>
        <item sd="0" m="1" x="2857"/>
        <item sd="0" m="1" x="3363"/>
        <item sd="0" m="1" x="3873"/>
        <item sd="0" m="1" x="4383"/>
        <item sd="0" m="1" x="4881"/>
        <item sd="0" m="1" x="5378"/>
        <item sd="0" m="1" x="5877"/>
        <item m="1" x="6383"/>
        <item m="1" x="6890"/>
        <item m="1" x="7391"/>
        <item m="1" x="7896"/>
        <item sd="0" m="1" x="476"/>
        <item sd="0" m="1" x="976"/>
        <item sd="0" m="1" x="1471"/>
        <item sd="0" m="1" x="1971"/>
        <item sd="0" m="1" x="2474"/>
        <item sd="0" m="1" x="2980"/>
        <item sd="0" m="1" x="3486"/>
        <item sd="0" m="1" x="4000"/>
        <item sd="0" m="1" x="4507"/>
        <item sd="0" m="1" x="5003"/>
        <item sd="0" m="1" x="5501"/>
        <item sd="0" m="1" x="5999"/>
        <item m="1" x="6505"/>
        <item m="1" x="7011"/>
        <item m="1" x="7514"/>
        <item sd="0" m="1" x="93"/>
        <item sd="0" m="1" x="597"/>
        <item sd="0" m="1" x="1100"/>
        <item sd="0" m="1" x="1597"/>
        <item sd="0" m="1" x="2094"/>
        <item sd="0" m="1" x="2598"/>
        <item sd="0" m="1" x="3104"/>
        <item sd="0" m="1" x="3609"/>
        <item sd="0" m="1" x="4122"/>
        <item sd="0" m="1" x="4623"/>
        <item sd="0" m="1" x="5123"/>
        <item sd="0" m="1" x="5623"/>
        <item sd="0" m="1" x="6122"/>
        <item m="1" x="6629"/>
        <item m="1" x="7135"/>
        <item m="1" x="7638"/>
        <item sd="0" m="1" x="214"/>
        <item sd="0" m="1" x="713"/>
        <item sd="0" m="1" x="1219"/>
        <item sd="0" m="1" x="1716"/>
        <item sd="0" m="1" x="2214"/>
        <item sd="0" m="1" x="2717"/>
        <item sd="0" m="1" x="3224"/>
        <item sd="0" m="1" x="3732"/>
        <item sd="0" m="1" x="4241"/>
        <item sd="0" m="1" x="4742"/>
        <item sd="0" m="1" x="5242"/>
        <item sd="0" m="1" x="5740"/>
        <item m="1" x="6244"/>
        <item m="1" x="6752"/>
        <item m="1" x="7258"/>
        <item m="1" x="7759"/>
        <item m="1" x="336"/>
        <item m="1" x="834"/>
        <item m="1" x="1338"/>
        <item m="1" x="1833"/>
        <item m="1" x="2335"/>
        <item m="1" x="2841"/>
        <item m="1" x="3349"/>
        <item m="1" x="3858"/>
        <item m="1" x="4365"/>
        <item m="1" x="4863"/>
        <item m="1" x="5365"/>
        <item m="1" x="5862"/>
        <item m="1" x="6367"/>
        <item m="1" x="6874"/>
        <item m="1" x="7379"/>
        <item m="1" x="7880"/>
        <item m="1" x="457"/>
        <item m="1" x="958"/>
        <item m="1" x="1457"/>
        <item m="1" x="1955"/>
        <item m="1" x="2459"/>
        <item m="1" x="2964"/>
        <item m="1" x="3473"/>
        <item m="1" x="3984"/>
        <item m="1" x="4489"/>
        <item m="1" x="4984"/>
        <item m="1" x="5487"/>
        <item m="1" x="5984"/>
        <item m="1" x="6489"/>
        <item m="1" x="6993"/>
        <item m="1" x="7500"/>
        <item m="1" x="76"/>
        <item m="1" x="579"/>
        <item m="1" x="1078"/>
        <item m="1" x="1581"/>
        <item m="1" x="2079"/>
        <item m="1" x="2582"/>
        <item m="1" x="3085"/>
        <item m="1" x="3595"/>
        <item m="1" x="4107"/>
        <item m="1" x="4605"/>
        <item m="1" x="5102"/>
        <item m="1" x="5609"/>
        <item m="1" x="6108"/>
        <item m="1" x="6613"/>
        <item m="1" x="7117"/>
        <item m="1" x="7625"/>
        <item m="1" x="199"/>
        <item m="1" x="697"/>
        <item m="1" x="1200"/>
        <item m="1" x="1704"/>
        <item m="1" x="2199"/>
        <item m="1" x="2704"/>
        <item m="1" x="3208"/>
        <item m="1" x="3719"/>
        <item m="1" x="4227"/>
        <item m="1" x="4725"/>
        <item m="1" x="5224"/>
        <item m="1" x="5728"/>
        <item m="1" x="6231"/>
        <item m="1" x="6738"/>
        <item m="1" x="7241"/>
        <item m="1" x="7746"/>
        <item m="1" x="321"/>
        <item m="1" x="818"/>
        <item m="1" x="1319"/>
        <item m="1" x="1820"/>
        <item m="1" x="2320"/>
        <item m="1" x="2826"/>
        <item m="1" x="3332"/>
        <item m="1" x="3843"/>
        <item m="1" x="4350"/>
        <item m="1" x="4848"/>
        <item m="1" x="5346"/>
        <item m="1" x="5849"/>
        <item m="1" x="6353"/>
        <item m="1" x="6860"/>
        <item m="1" x="7362"/>
        <item m="1" x="7867"/>
        <item m="1" x="442"/>
        <item m="1" x="940"/>
        <item m="1" x="1438"/>
        <item m="1" x="1942"/>
        <item m="1" x="2443"/>
        <item m="1" x="2949"/>
        <item m="1" x="3456"/>
        <item m="1" x="3969"/>
        <item m="1" x="4473"/>
        <item m="1" x="4967"/>
        <item m="1" x="5467"/>
        <item m="1" x="5970"/>
        <item m="1" x="6474"/>
        <item m="1" x="6979"/>
        <item m="1" x="7483"/>
        <item m="1" x="7991"/>
        <item m="1" x="563"/>
        <item m="1" x="1063"/>
        <item m="1" x="1562"/>
        <item m="1" x="2065"/>
        <item m="1" x="2567"/>
        <item m="1" x="3071"/>
        <item m="1" x="3579"/>
        <item m="1" x="4093"/>
        <item m="1" x="4591"/>
        <item m="1" x="5086"/>
        <item m="1" x="5589"/>
        <item m="1" x="6092"/>
        <item m="1" x="6597"/>
        <item m="1" x="7102"/>
        <item m="1" x="7607"/>
        <item m="1" x="186"/>
        <item m="1" x="684"/>
        <item m="1" x="1184"/>
        <item m="1" x="1685"/>
        <item m="1" x="2185"/>
        <item m="1" x="2689"/>
        <item m="1" x="3192"/>
        <item m="1" x="3701"/>
        <item m="1" x="4211"/>
        <item m="1" x="4709"/>
        <item m="1" x="5207"/>
        <item m="1" x="5709"/>
        <item m="1" x="6213"/>
        <item m="1" x="6723"/>
        <item m="1" x="7225"/>
        <item m="1" x="7729"/>
        <item m="1" x="304"/>
        <item m="1" x="802"/>
        <item m="1" x="1302"/>
        <item m="1" x="1800"/>
        <item m="1" x="2301"/>
        <item m="1" x="2810"/>
        <item m="1" x="3316"/>
        <item m="1" x="3825"/>
        <item m="1" x="4332"/>
        <item m="1" x="4830"/>
        <item m="1" x="5330"/>
        <item m="1" x="5828"/>
        <item m="1" x="6333"/>
        <item m="1" x="6844"/>
        <item m="1" x="7347"/>
        <item m="1" x="7850"/>
        <item m="1" x="425"/>
        <item m="1" x="925"/>
        <item m="1" x="1422"/>
        <item m="1" x="1921"/>
        <item m="1" x="2425"/>
        <item m="1" x="2932"/>
        <item m="1" x="3441"/>
        <item m="1" x="3952"/>
        <item m="1" x="4457"/>
        <item m="1" x="4950"/>
        <item m="1" x="5451"/>
        <item m="1" x="5950"/>
        <item m="1" x="6455"/>
        <item m="1" x="6962"/>
        <item m="1" x="7468"/>
        <item m="1" x="7972"/>
        <item m="1" x="546"/>
        <item m="1" x="1046"/>
        <item m="1" x="1546"/>
        <item m="1" x="2045"/>
        <item m="1" x="2549"/>
        <item m="1" x="3054"/>
        <item m="1" x="3564"/>
        <item m="1" x="4076"/>
        <item m="1" x="4575"/>
        <item m="1" x="5069"/>
        <item m="1" x="5573"/>
        <item m="1" x="6072"/>
        <item m="1" x="6577"/>
        <item m="1" x="7085"/>
        <item m="1" x="7591"/>
        <item m="1" x="167"/>
        <item sd="0" m="1" x="3375"/>
        <item sd="0" m="1" x="3890"/>
        <item sd="0" m="1" x="4395"/>
        <item sd="0" m="1" x="4891"/>
        <item sd="0" m="1" x="5389"/>
        <item sd="0" m="1" x="5889"/>
        <item m="1" x="6393"/>
        <item m="1" x="6899"/>
        <item m="1" x="7402"/>
        <item m="1" x="7909"/>
        <item sd="0" m="1" x="486"/>
        <item sd="0" m="1" x="985"/>
        <item sd="0" m="1" x="1481"/>
        <item sd="0" m="1" x="1981"/>
        <item sd="0" m="1" x="2485"/>
        <item sd="0" m="1" x="2988"/>
        <item sd="0" m="1" x="3497"/>
        <item sd="0" m="1" x="4013"/>
        <item sd="0" m="1" x="4518"/>
        <item sd="0" m="1" x="5012"/>
        <item sd="0" m="1" x="5511"/>
        <item sd="0" m="1" x="6010"/>
        <item m="1" x="6516"/>
        <item m="1" x="7019"/>
        <item m="1" x="7526"/>
        <item sd="0" m="1" x="106"/>
        <item sd="0" m="1" x="609"/>
        <item sd="0" m="1" x="1109"/>
        <item sd="0" m="1" x="1606"/>
        <item sd="0" m="1" x="2105"/>
        <item sd="0" m="1" x="2609"/>
        <item sd="0" m="1" x="3112"/>
        <item sd="0" m="1" x="3619"/>
        <item sd="0" m="1" x="4135"/>
        <item sd="0" m="1" x="4634"/>
        <item m="1" x="5131"/>
        <item m="1" x="5633"/>
        <item m="1" x="6134"/>
        <item m="1" x="6641"/>
        <item m="1" x="7145"/>
        <item m="1" x="7650"/>
        <item m="1" x="228"/>
        <item m="1" x="727"/>
        <item m="1" x="1229"/>
        <item m="1" x="1728"/>
        <item m="1" x="2226"/>
        <item m="1" x="2730"/>
        <item m="1" x="3235"/>
        <item m="1" x="3744"/>
        <item m="1" x="4255"/>
        <item m="1" x="4756"/>
        <item m="1" x="5253"/>
        <item m="1" x="5752"/>
        <item m="1" x="6255"/>
        <item m="1" x="7267"/>
        <item m="1" x="7771"/>
        <item sd="0" m="1" x="348"/>
        <item sd="0" m="1" x="848"/>
        <item sd="0" m="1" x="1346"/>
        <item sd="0" m="1" x="1843"/>
        <item sd="0" m="1" x="2345"/>
        <item sd="0" m="1" x="2853"/>
        <item sd="0" m="1" x="3358"/>
        <item sd="0" m="1" x="3868"/>
        <item sd="0" m="1" x="4377"/>
        <item sd="0" m="1" x="4876"/>
        <item sd="0" m="1" x="5372"/>
        <item sd="0" m="1" x="5873"/>
        <item m="1" x="6377"/>
        <item m="1" x="6886"/>
        <item m="1" x="7387"/>
        <item m="1" x="7891"/>
        <item m="1" x="470"/>
        <item m="1" x="972"/>
        <item m="1" x="1466"/>
        <item m="1" x="1966"/>
        <item m="1" x="2469"/>
        <item m="1" x="2976"/>
        <item m="1" x="3481"/>
        <item m="1" x="3995"/>
        <item m="1" x="4501"/>
        <item m="1" x="4999"/>
        <item m="1" x="5496"/>
        <item m="1" x="5995"/>
        <item m="1" x="6500"/>
        <item m="1" x="7006"/>
        <item m="1" x="7510"/>
        <item m="1" x="88"/>
        <item m="1" x="591"/>
        <item m="1" x="1095"/>
        <item m="1" x="1593"/>
        <item m="1" x="2090"/>
        <item m="1" x="2593"/>
        <item m="1" x="3099"/>
        <item m="1" x="3605"/>
        <item m="1" x="4116"/>
        <item m="1" x="4617"/>
        <item m="1" x="5117"/>
        <item m="1" x="5618"/>
        <item m="1" x="6118"/>
        <item m="1" x="6624"/>
        <item m="1" x="7129"/>
        <item m="1" x="7635"/>
        <item m="1" x="209"/>
        <item m="1" x="709"/>
        <item m="1" x="1214"/>
        <item m="1" x="1714"/>
        <item m="1" x="2210"/>
        <item m="1" x="2714"/>
        <item m="1" x="3220"/>
        <item m="1" x="3729"/>
        <item m="1" x="4237"/>
        <item m="1" x="4738"/>
        <item m="1" x="5238"/>
        <item m="1" x="5738"/>
        <item m="1" x="6241"/>
        <item m="1" x="6749"/>
        <item m="1" x="7254"/>
        <item m="1" x="7757"/>
        <item m="1" x="332"/>
        <item m="1" x="830"/>
        <item m="1" x="1334"/>
        <item m="1" x="1831"/>
        <item m="1" x="2331"/>
        <item m="1" x="2837"/>
        <item m="1" x="3345"/>
        <item m="1" x="3855"/>
        <item m="1" x="4360"/>
        <item m="1" x="4859"/>
        <item m="1" x="5361"/>
        <item m="1" x="5859"/>
        <item m="1" x="6364"/>
        <item m="1" x="6871"/>
        <item m="1" x="7375"/>
        <item m="1" x="7877"/>
        <item m="1" x="453"/>
        <item m="1" x="952"/>
        <item m="1" x="1453"/>
        <item m="1" x="1952"/>
        <item m="1" x="2959"/>
        <item m="1" x="3469"/>
        <item m="1" x="3980"/>
        <item m="1" x="4486"/>
        <item m="1" x="4979"/>
        <item m="1" x="5483"/>
        <item m="1" x="5981"/>
        <item m="1" x="6486"/>
        <item m="1" x="6989"/>
        <item m="1" x="7496"/>
        <item m="1" x="73"/>
        <item m="1" x="576"/>
        <item m="1" x="1073"/>
        <item m="1" x="1577"/>
        <item m="1" x="2076"/>
        <item m="1" x="2578"/>
        <item m="1" x="3080"/>
        <item m="1" x="3591"/>
        <item m="1" x="4103"/>
        <item m="1" x="4601"/>
        <item m="1" x="5097"/>
        <item m="1" x="5605"/>
        <item m="1" x="6104"/>
        <item m="1" x="6609"/>
        <item m="1" x="7113"/>
        <item m="1" x="7620"/>
        <item m="1" x="196"/>
        <item m="1" x="694"/>
        <item m="1" x="1195"/>
        <item m="1" x="1700"/>
        <item m="1" x="2196"/>
        <item m="1" x="2700"/>
        <item m="1" x="3202"/>
        <item m="1" x="3714"/>
        <item m="1" x="4223"/>
        <item m="1" x="4721"/>
        <item m="1" x="5218"/>
        <item m="1" x="5724"/>
        <item m="1" x="6228"/>
        <item m="1" x="6735"/>
        <item m="1" x="7237"/>
        <item m="1" x="7742"/>
        <item m="1" x="318"/>
        <item m="1" x="815"/>
        <item m="1" x="1314"/>
        <item m="1" x="1815"/>
        <item m="1" x="2317"/>
        <item m="1" x="2822"/>
        <item m="1" x="3327"/>
        <item m="1" x="3838"/>
        <item m="1" x="4346"/>
        <item m="1" x="4842"/>
        <item m="1" x="5341"/>
        <item m="1" x="5842"/>
        <item m="1" x="6348"/>
        <item m="1" x="6855"/>
        <item m="1" x="7358"/>
        <item m="1" x="7861"/>
        <item m="1" x="437"/>
        <item m="1" x="935"/>
        <item m="1" x="1433"/>
        <item m="1" x="1935"/>
        <item m="1" x="2438"/>
        <item m="1" x="2943"/>
        <item m="1" x="3451"/>
        <item m="1" x="3963"/>
        <item m="1" x="4469"/>
        <item m="1" x="4962"/>
        <item m="1" x="5462"/>
        <item m="1" x="5963"/>
        <item m="1" x="6470"/>
        <item m="1" x="6974"/>
        <item m="1" x="7479"/>
        <item m="1" x="7985"/>
        <item m="1" x="559"/>
        <item m="1" x="1058"/>
        <item m="1" x="1557"/>
        <item m="1" x="2058"/>
        <item m="1" x="2563"/>
        <item m="1" x="3065"/>
        <item m="1" x="3574"/>
        <item m="1" x="4087"/>
        <item m="1" x="4587"/>
        <item m="1" x="5080"/>
        <item m="1" x="5583"/>
        <item m="1" x="6591"/>
        <item m="1" x="7096"/>
        <item m="1" x="7603"/>
        <item m="1" x="180"/>
        <item m="1" x="679"/>
        <item m="1" x="1179"/>
        <item m="1" x="1680"/>
        <item m="1" x="2177"/>
        <item m="1" x="2684"/>
        <item m="1" x="3187"/>
        <item m="1" x="3696"/>
        <item m="1" x="4205"/>
        <item m="1" x="4704"/>
        <item m="1" x="5202"/>
        <item m="1" x="5704"/>
        <item m="1" x="6207"/>
        <item m="1" x="6717"/>
        <item m="1" x="1494"/>
        <item m="1" x="1993"/>
        <item m="1" x="2497"/>
        <item m="1" x="3001"/>
        <item m="1" x="3511"/>
        <item m="1" x="4026"/>
        <item m="1" x="4527"/>
        <item m="1" x="5022"/>
        <item m="1" x="5521"/>
        <item m="1" x="6021"/>
        <item m="1" x="6524"/>
        <item m="1" x="7029"/>
        <item m="1" x="7539"/>
        <item m="1" x="117"/>
        <item m="1" x="617"/>
        <item sd="0" m="1" x="1119"/>
        <item sd="0" m="1" x="1617"/>
        <item sd="0" m="1" x="2115"/>
        <item sd="0" m="1" x="2618"/>
        <item sd="0" m="1" x="3123"/>
        <item sd="0" m="1" x="3632"/>
        <item sd="0" m="1" x="4145"/>
        <item sd="0" m="1" x="4643"/>
        <item sd="0" m="1" x="5142"/>
        <item sd="0" m="1" x="5644"/>
        <item sd="0" m="1" x="6144"/>
        <item m="1" x="6650"/>
        <item m="1" x="7156"/>
        <item m="1" x="7663"/>
        <item sd="0" m="1" x="239"/>
        <item sd="0" m="1" x="736"/>
        <item sd="0" m="1" x="1239"/>
        <item sd="0" m="1" x="1739"/>
        <item sd="0" m="1" x="2236"/>
        <item sd="0" m="1" x="2739"/>
        <item sd="0" m="1" x="3247"/>
        <item sd="0" m="1" x="3758"/>
        <item sd="0" m="1" x="4268"/>
        <item sd="0" m="1" x="4766"/>
        <item sd="0" m="1" x="5264"/>
        <item sd="0" m="1" x="5765"/>
        <item m="1" x="6268"/>
        <item m="1" x="6774"/>
        <item m="1" x="7278"/>
        <item m="1" x="7787"/>
        <item sd="0" m="1" x="362"/>
        <item sd="0" m="1" x="858"/>
        <item sd="0" m="1" x="1358"/>
        <item sd="0" m="1" x="1856"/>
        <item sd="0" m="1" x="2358"/>
        <item sd="0" m="1" x="2864"/>
        <item sd="0" m="1" x="3370"/>
        <item sd="0" m="1" x="3883"/>
        <item sd="0" m="1" x="4391"/>
        <item sd="0" m="1" x="4886"/>
        <item sd="0" m="1" x="5384"/>
        <item sd="0" m="1" x="5884"/>
        <item m="1" x="6390"/>
        <item m="1" x="6895"/>
        <item m="1" x="7398"/>
        <item m="1" x="7904"/>
        <item sd="0" m="1" x="483"/>
        <item sd="0" m="1" x="981"/>
        <item sd="0" m="1" x="1478"/>
        <item sd="0" m="1" x="1977"/>
        <item sd="0" m="1" x="2482"/>
        <item sd="0" m="1" x="2985"/>
        <item sd="0" m="1" x="3493"/>
        <item sd="0" m="1" x="4008"/>
        <item sd="0" m="1" x="4515"/>
        <item m="1" x="5008"/>
        <item m="1" x="5507"/>
        <item m="1" x="6006"/>
        <item m="1" x="6513"/>
        <item m="1" x="7015"/>
        <item m="1" x="7521"/>
        <item m="1" x="101"/>
        <item m="1" x="605"/>
        <item m="1" x="1104"/>
        <item m="1" x="1603"/>
        <item m="1" x="2101"/>
        <item m="1" x="2605"/>
        <item m="1" x="3109"/>
        <item m="1" x="3615"/>
        <item m="1" x="4130"/>
        <item m="1" x="4631"/>
        <item m="1" x="5127"/>
        <item m="1" x="5629"/>
        <item m="1" x="6130"/>
        <item m="1" x="6637"/>
        <item m="1" x="7141"/>
        <item m="1" x="7646"/>
        <item m="1" x="223"/>
        <item m="1" x="723"/>
        <item m="1" x="1226"/>
        <item m="1" x="1725"/>
        <item m="1" x="2222"/>
        <item m="1" x="2726"/>
        <item m="1" x="3232"/>
        <item m="1" x="3740"/>
        <item m="1" x="4250"/>
        <item m="1" x="4752"/>
        <item m="1" x="5250"/>
        <item m="1" x="5748"/>
        <item m="1" x="6252"/>
        <item m="1" x="6761"/>
        <item m="1" x="7265"/>
        <item m="1" x="7767"/>
        <item m="1" x="345"/>
        <item m="1" x="844"/>
        <item m="1" x="1344"/>
        <item m="1" x="1841"/>
        <item m="1" x="2343"/>
        <item m="1" x="2850"/>
        <item m="1" x="3356"/>
        <item m="1" x="3865"/>
        <item m="1" x="4374"/>
        <item m="1" x="4873"/>
        <item m="1" x="5371"/>
        <item m="1" x="5870"/>
        <item m="1" x="6375"/>
        <item m="1" x="6883"/>
        <item m="1" x="7385"/>
        <item m="1" x="7888"/>
        <item m="1" x="467"/>
        <item m="1" x="969"/>
        <item m="1" x="1465"/>
        <item m="1" x="1964"/>
        <item m="1" x="2467"/>
        <item m="1" x="2973"/>
        <item m="1" x="3480"/>
        <item m="1" x="3992"/>
        <item m="1" x="4498"/>
        <item m="1" x="4996"/>
        <item m="1" x="5495"/>
        <item m="1" x="5992"/>
        <item m="1" x="6497"/>
        <item m="1" x="7003"/>
        <item m="1" x="7507"/>
        <item m="1" x="85"/>
        <item m="1" x="587"/>
        <item m="1" x="1092"/>
        <item m="1" x="1590"/>
        <item m="1" x="2088"/>
        <item m="1" x="2590"/>
        <item m="1" x="3095"/>
        <item m="1" x="3603"/>
        <item m="1" x="4114"/>
        <item m="1" x="4613"/>
        <item m="1" x="5113"/>
        <item m="1" x="5616"/>
        <item m="1" x="6115"/>
        <item m="1" x="6620"/>
        <item m="1" x="7126"/>
        <item m="1" x="7632"/>
        <item m="1" x="207"/>
        <item m="1" x="705"/>
        <item m="1" x="1211"/>
        <item m="1" x="1712"/>
        <item m="1" x="2208"/>
        <item m="1" x="2711"/>
        <item m="1" x="3217"/>
        <item m="1" x="3727"/>
        <item m="1" x="4235"/>
        <item m="1" x="4734"/>
        <item m="1" x="5235"/>
        <item m="1" x="5736"/>
        <item m="1" x="6238"/>
        <item m="1" x="6745"/>
        <item m="1" x="7251"/>
        <item m="1" x="7754"/>
        <item m="1" x="329"/>
        <item m="1" x="826"/>
        <item m="1" x="1330"/>
        <item m="1" x="1827"/>
        <item m="1" x="2328"/>
        <item m="1" x="2833"/>
        <item m="1" x="3341"/>
        <item m="1" x="3851"/>
        <item m="1" x="4358"/>
        <item m="1" x="4855"/>
        <item m="1" x="5357"/>
        <item m="1" x="5857"/>
        <item m="1" x="6361"/>
        <item m="1" x="6867"/>
        <item m="1" x="7372"/>
        <item m="1" x="7875"/>
        <item m="1" x="451"/>
        <item m="1" x="948"/>
        <item m="1" x="1449"/>
        <item m="1" x="1950"/>
        <item m="1" x="2452"/>
        <item m="1" x="2956"/>
        <item m="1" x="3465"/>
        <item m="1" x="3977"/>
        <item m="1" x="4482"/>
        <item m="1" x="4975"/>
        <item m="1" x="5477"/>
        <item m="1" x="5978"/>
        <item m="1" x="6481"/>
        <item m="1" x="6985"/>
        <item m="1" x="7491"/>
        <item m="1" x="7998"/>
        <item m="1" x="571"/>
        <item m="1" x="1069"/>
        <item m="1" x="1571"/>
        <item m="1" x="2072"/>
        <item m="1" x="2573"/>
        <item m="1" x="3077"/>
        <item m="1" x="3586"/>
        <item m="1" x="4100"/>
        <item m="1" x="4597"/>
        <item m="1" x="5093"/>
        <item m="1" x="5599"/>
        <item m="1" x="6101"/>
        <item m="1" x="6604"/>
        <item m="1" x="7109"/>
        <item m="1" x="7615"/>
        <item m="1" x="193"/>
        <item m="1" x="690"/>
        <item m="1" x="1191"/>
        <item m="1" x="1694"/>
        <item m="1" x="2193"/>
        <item m="1" x="2696"/>
        <item m="1" x="3199"/>
        <item m="1" x="3709"/>
        <item m="1" x="4219"/>
        <item m="1" x="4717"/>
        <item m="1" x="5214"/>
        <item m="1" x="5718"/>
        <item m="1" x="6224"/>
        <item m="1" x="6731"/>
        <item m="1" x="7233"/>
        <item m="1" x="7737"/>
        <item m="1" x="314"/>
        <item m="1" x="810"/>
        <item m="1" x="1309"/>
        <item m="1" x="1809"/>
        <item m="1" x="2312"/>
        <item m="1" x="2818"/>
        <item m="1" x="3324"/>
        <item m="1" x="3833"/>
        <item m="1" x="4341"/>
        <item m="1" x="4838"/>
        <item sd="0" m="1" x="128"/>
        <item sd="0" m="1" x="630"/>
        <item sd="0" m="1" x="1131"/>
        <item sd="0" m="1" x="1629"/>
        <item sd="0" m="1" x="2125"/>
        <item sd="0" m="1" x="2630"/>
        <item sd="0" m="1" x="3136"/>
        <item sd="0" m="1" x="3643"/>
        <item sd="0" m="1" x="4154"/>
        <item sd="0" m="1" x="4655"/>
        <item sd="0" m="1" x="5153"/>
        <item sd="0" m="1" x="5654"/>
        <item sd="0" m="1" x="6154"/>
        <item m="1" x="6661"/>
        <item m="1" x="7169"/>
        <item m="1" x="7674"/>
        <item sd="0" m="1" x="248"/>
        <item sd="0" m="1" x="747"/>
        <item sd="0" m="1" x="1250"/>
        <item sd="0" m="1" x="1749"/>
        <item sd="0" m="1" x="2244"/>
        <item sd="0" m="1" x="2750"/>
        <item sd="0" m="1" x="3260"/>
        <item sd="0" m="1" x="3769"/>
        <item sd="0" m="1" x="4276"/>
        <item sd="0" m="1" x="4778"/>
        <item sd="0" m="1" x="5275"/>
        <item sd="0" m="1" x="5775"/>
        <item m="1" x="6276"/>
        <item m="1" x="6785"/>
        <item m="1" x="7291"/>
        <item m="1" x="7798"/>
        <item sd="0" m="1" x="371"/>
        <item sd="0" m="1" x="870"/>
        <item sd="0" m="1" x="1369"/>
        <item sd="0" m="1" x="1868"/>
        <item sd="0" m="1" x="2367"/>
        <item sd="0" m="1" x="2874"/>
        <item sd="0" m="1" x="3385"/>
        <item sd="0" m="1" x="3898"/>
        <item sd="0" m="1" x="4402"/>
        <item sd="0" m="1" x="4899"/>
        <item m="1" x="5397"/>
        <item m="1" x="5898"/>
        <item m="1" x="6399"/>
        <item m="1" x="6907"/>
        <item m="1" x="7412"/>
        <item m="1" x="7919"/>
        <item m="1" x="493"/>
        <item m="1" x="992"/>
        <item m="1" x="1490"/>
        <item m="1" x="1990"/>
        <item m="1" x="2492"/>
        <item m="1" x="2996"/>
        <item m="1" x="3505"/>
        <item m="1" x="4021"/>
        <item m="1" x="4522"/>
        <item m="1" x="5019"/>
        <item m="1" x="5517"/>
        <item m="1" x="6017"/>
        <item m="1" x="6521"/>
        <item m="1" x="7025"/>
        <item m="1" x="7534"/>
        <item sd="0" m="1" x="113"/>
        <item sd="0" m="1" x="613"/>
        <item sd="0" m="1" x="1115"/>
        <item sd="0" m="1" x="1613"/>
        <item sd="0" m="1" x="2112"/>
        <item sd="0" m="1" x="2614"/>
        <item sd="0" m="1" x="3119"/>
        <item m="1" x="3627"/>
        <item m="1" x="4142"/>
        <item m="1" x="4639"/>
        <item m="1" x="5139"/>
        <item m="1" x="5640"/>
        <item m="1" x="6141"/>
        <item m="1" x="6647"/>
        <item m="1" x="7152"/>
        <item m="1" x="7658"/>
        <item m="1" x="236"/>
        <item m="1" x="732"/>
        <item m="1" x="1235"/>
        <item m="1" x="1735"/>
        <item m="1" x="2233"/>
        <item m="1" x="2735"/>
        <item m="1" x="3242"/>
        <item m="1" x="3753"/>
        <item m="1" x="4263"/>
        <item m="1" x="4762"/>
        <item m="1" x="5261"/>
        <item m="1" x="5761"/>
        <item m="1" x="6264"/>
        <item m="1" x="6771"/>
        <item m="1" x="7274"/>
        <item m="1" x="7781"/>
        <item m="1" x="358"/>
        <item m="1" x="855"/>
        <item m="1" x="1354"/>
        <item m="1" x="1852"/>
        <item m="1" x="2354"/>
        <item m="1" x="2860"/>
        <item m="1" x="3366"/>
        <item m="1" x="3878"/>
        <item m="1" x="4387"/>
        <item m="1" x="4884"/>
        <item m="1" x="5382"/>
        <item m="1" x="5882"/>
        <item m="1" x="6387"/>
        <item m="1" x="6894"/>
        <item m="1" x="7395"/>
        <item m="1" x="7901"/>
        <item m="1" x="480"/>
        <item m="1" x="980"/>
        <item m="1" x="1475"/>
        <item m="1" x="1975"/>
        <item m="1" x="2479"/>
        <item m="1" x="2983"/>
        <item m="1" x="3489"/>
        <item m="1" x="4005"/>
        <item m="1" x="4511"/>
        <item m="1" x="5006"/>
        <item m="1" x="5505"/>
        <item m="1" x="6004"/>
        <item m="1" x="6509"/>
        <item m="1" x="7014"/>
        <item m="1" x="7518"/>
        <item m="1" x="98"/>
        <item m="1" x="602"/>
        <item m="1" x="1103"/>
        <item m="1" x="1600"/>
        <item m="1" x="2098"/>
        <item m="1" x="2602"/>
        <item m="1" x="3107"/>
        <item m="1" x="3612"/>
        <item m="1" x="4127"/>
        <item m="1" x="4628"/>
        <item m="1" x="5126"/>
        <item m="1" x="5627"/>
        <item m="1" x="6127"/>
        <item m="1" x="6634"/>
        <item m="1" x="7139"/>
        <item m="1" x="7644"/>
        <item m="1" x="219"/>
        <item m="1" x="720"/>
        <item m="1" x="1224"/>
        <item m="1" x="1722"/>
        <item m="1" x="2218"/>
        <item m="1" x="2723"/>
        <item m="1" x="3229"/>
        <item m="1" x="3737"/>
        <item m="1" x="4246"/>
        <item m="1" x="4749"/>
        <item m="1" x="5247"/>
        <item m="1" x="5746"/>
        <item m="1" x="6249"/>
        <item m="1" x="6758"/>
        <item m="1" x="7262"/>
        <item m="1" x="7765"/>
        <item m="1" x="341"/>
        <item m="1" x="841"/>
        <item m="1" x="1342"/>
        <item m="1" x="1838"/>
        <item m="1" x="2339"/>
        <item m="1" x="2847"/>
        <item m="1" x="3353"/>
        <item m="1" x="3863"/>
        <item m="1" x="4370"/>
        <item m="1" x="4870"/>
        <item m="1" x="5369"/>
        <item m="1" x="5868"/>
        <item m="1" x="6372"/>
        <item m="1" x="6880"/>
        <item m="1" x="7383"/>
        <item m="1" x="7886"/>
        <item m="1" x="463"/>
        <item m="1" x="965"/>
        <item m="1" x="1463"/>
        <item m="1" x="1961"/>
        <item m="1" x="2463"/>
        <item m="1" x="2970"/>
        <item m="1" x="3478"/>
        <item m="1" x="3989"/>
        <item m="1" x="4494"/>
        <item m="1" x="4992"/>
        <item m="1" x="5492"/>
        <item m="1" x="5989"/>
        <item m="1" x="6494"/>
        <item m="1" x="6999"/>
        <item m="1" x="7505"/>
        <item m="1" x="82"/>
        <item m="1" x="584"/>
        <item m="1" x="1085"/>
        <item m="1" x="1587"/>
        <item m="1" x="2083"/>
        <item m="1" x="2586"/>
        <item m="1" x="3090"/>
        <item m="1" x="3600"/>
        <item m="1" x="4110"/>
        <item m="1" x="4609"/>
        <item m="1" x="5107"/>
        <item m="1" x="5613"/>
        <item m="1" x="6111"/>
        <item m="1" x="6617"/>
        <item m="1" x="7121"/>
        <item m="1" x="7629"/>
        <item m="1" x="203"/>
        <item m="1" x="702"/>
        <item m="1" x="1205"/>
        <item m="1" x="1709"/>
        <item m="1" x="2203"/>
        <item m="1" x="2707"/>
        <item m="1" x="3212"/>
        <item m="1" x="3724"/>
        <item m="1" x="4230"/>
        <item m="1" x="4729"/>
        <item m="1" x="5229"/>
        <item m="1" x="5732"/>
        <item m="1" x="6234"/>
        <item m="1" x="6742"/>
        <item m="1" x="7246"/>
        <item m="1" x="7750"/>
        <item m="1" x="325"/>
        <item m="1" x="822"/>
        <item m="1" x="1324"/>
        <item m="1" x="1824"/>
        <item m="1" x="2323"/>
        <item m="1" x="2829"/>
        <item m="1" x="3336"/>
        <item m="1" x="3847"/>
        <item m="1" x="4354"/>
        <item m="1" x="4851"/>
        <item m="1" x="5351"/>
        <item m="1" x="5853"/>
        <item m="1" x="6357"/>
        <item m="1" x="6864"/>
        <item m="1" x="7367"/>
        <item m="1" x="7871"/>
        <item m="1" x="447"/>
        <item m="1" x="944"/>
        <item m="1" x="1443"/>
        <item m="1" x="1946"/>
        <item m="1" x="2448"/>
        <item m="1" x="2952"/>
        <item m="1" x="3460"/>
        <item m="1" x="6167"/>
        <item m="1" x="6677"/>
        <item m="1" x="7181"/>
        <item m="1" x="7684"/>
        <item m="1" x="262"/>
        <item m="1" x="759"/>
        <item m="1" x="1260"/>
        <item m="1" x="1758"/>
        <item m="1" x="2255"/>
        <item m="1" x="2763"/>
        <item m="1" x="3270"/>
        <item m="1" x="3778"/>
        <item m="1" x="4290"/>
        <item m="1" x="4787"/>
        <item m="1" x="5286"/>
        <item m="1" x="5783"/>
        <item m="1" x="6287"/>
        <item m="1" x="6798"/>
        <item m="1" x="7302"/>
        <item m="1" x="7807"/>
        <item m="1" x="384"/>
        <item m="1" x="881"/>
        <item m="1" x="1380"/>
        <item m="1" x="1876"/>
        <item m="1" x="2379"/>
        <item m="1" x="2887"/>
        <item m="1" x="3397"/>
        <item m="1" x="3907"/>
        <item m="1" x="4415"/>
        <item m="1" x="4910"/>
        <item m="1" x="5408"/>
        <item m="1" x="5906"/>
        <item m="1" x="6410"/>
        <item m="1" x="6920"/>
        <item m="1" x="7423"/>
        <item m="1" x="7927"/>
        <item m="1" x="506"/>
        <item m="1" x="1004"/>
        <item m="1" x="1502"/>
        <item m="1" x="2000"/>
        <item m="1" x="2505"/>
        <item m="1" x="3011"/>
        <item m="1" x="3519"/>
        <item m="1" x="4032"/>
        <item m="1" x="4536"/>
        <item m="1" x="5031"/>
        <item m="1" x="5529"/>
        <item m="1" x="6028"/>
        <item m="1" x="6532"/>
        <item m="1" x="7039"/>
        <item m="1" x="7547"/>
        <item m="1" x="124"/>
        <item m="1" x="626"/>
        <item m="1" x="1126"/>
        <item m="1" x="1625"/>
        <item m="1" x="2121"/>
        <item m="1" x="2625"/>
        <item m="1" x="3131"/>
        <item m="1" x="3640"/>
        <item m="1" x="4150"/>
        <item m="1" x="4651"/>
        <item m="1" x="5149"/>
        <item m="1" x="5651"/>
        <item m="1" x="6150"/>
        <item m="1" x="6657"/>
        <item m="1" x="7164"/>
        <item m="1" x="7670"/>
        <item m="1" x="243"/>
        <item m="1" x="744"/>
        <item m="1" x="1245"/>
        <item m="1" x="1746"/>
        <item m="1" x="2241"/>
        <item m="1" x="2746"/>
        <item m="1" x="3255"/>
        <item m="1" x="3766"/>
        <item m="1" x="4272"/>
        <item m="1" x="4774"/>
        <item m="1" x="5271"/>
        <item m="1" x="5772"/>
        <item m="1" x="6272"/>
        <item m="1" x="6781"/>
        <item m="1" x="7286"/>
        <item m="1" x="7795"/>
        <item m="1" x="367"/>
        <item m="1" x="867"/>
        <item m="1" x="1365"/>
        <item m="1" x="1864"/>
        <item m="1" x="2364"/>
        <item m="1" x="2870"/>
        <item m="1" x="3380"/>
        <item m="1" x="3894"/>
        <item m="1" x="4399"/>
        <item m="1" x="4895"/>
        <item m="1" x="5393"/>
        <item m="1" x="5894"/>
        <item m="1" x="6395"/>
        <item m="1" x="6902"/>
        <item m="1" x="7407"/>
        <item m="1" x="7914"/>
        <item m="1" x="489"/>
        <item m="1" x="989"/>
        <item m="1" x="1486"/>
        <item m="1" x="1985"/>
        <item m="1" x="2489"/>
        <item m="1" x="2992"/>
        <item m="1" x="3502"/>
        <item m="1" x="4017"/>
        <item m="1" x="4521"/>
        <item m="1" x="5016"/>
        <item m="1" x="5515"/>
        <item m="1" x="6014"/>
        <item m="1" x="6519"/>
        <item m="1" x="7022"/>
        <item m="1" x="7531"/>
        <item m="1" x="110"/>
        <item m="1" x="612"/>
        <item m="1" x="1113"/>
        <item m="1" x="1611"/>
        <item m="1" x="2109"/>
        <item m="1" x="2613"/>
        <item m="1" x="3116"/>
        <item m="1" x="3624"/>
        <item m="1" x="4139"/>
        <item m="1" x="4638"/>
        <item m="1" x="5136"/>
        <item m="1" x="5637"/>
        <item m="1" x="6138"/>
        <item m="1" x="6645"/>
        <item m="1" x="7148"/>
        <item m="1" x="7655"/>
        <item m="1" x="233"/>
        <item m="1" x="730"/>
        <item m="1" x="1233"/>
        <item m="1" x="1733"/>
        <item m="1" x="2230"/>
        <item m="1" x="2733"/>
        <item m="1" x="3239"/>
        <item m="1" x="3749"/>
        <item m="1" x="4260"/>
        <item m="1" x="4760"/>
        <item m="1" x="5258"/>
        <item m="1" x="5757"/>
        <item m="1" x="6261"/>
        <item m="1" x="6768"/>
        <item m="1" x="7272"/>
        <item m="1" x="7777"/>
        <item m="1" x="355"/>
        <item m="1" x="853"/>
        <item m="1" x="1352"/>
        <item m="1" x="1849"/>
        <item m="1" x="2351"/>
        <item m="1" x="2858"/>
        <item m="1" x="3364"/>
        <item m="1" x="3874"/>
        <item m="1" x="4384"/>
        <item m="1" x="4882"/>
        <item m="1" x="5379"/>
        <item m="1" x="5878"/>
        <item m="1" x="6384"/>
        <item m="1" x="6891"/>
        <item m="1" x="7392"/>
        <item m="1" x="7897"/>
        <item m="1" x="477"/>
        <item m="1" x="977"/>
        <item m="1" x="1472"/>
        <item m="1" x="1972"/>
        <item m="1" x="2475"/>
        <item m="1" x="2981"/>
        <item m="1" x="3487"/>
        <item m="1" x="4001"/>
        <item m="1" x="4508"/>
        <item m="1" x="5004"/>
        <item m="1" x="5502"/>
        <item m="1" x="6000"/>
        <item m="1" x="6506"/>
        <item m="1" x="7012"/>
        <item m="1" x="7515"/>
        <item m="1" x="94"/>
        <item m="1" x="598"/>
        <item m="1" x="1101"/>
        <item m="1" x="1598"/>
        <item m="1" x="2095"/>
        <item m="1" x="2599"/>
        <item m="1" x="3105"/>
        <item m="1" x="3610"/>
        <item m="1" x="4123"/>
        <item m="1" x="4624"/>
        <item m="1" x="5124"/>
        <item m="1" x="5624"/>
        <item m="1" x="6123"/>
        <item m="1" x="6630"/>
        <item m="1" x="7136"/>
        <item m="1" x="7639"/>
        <item m="1" x="215"/>
        <item m="1" x="714"/>
        <item m="1" x="1220"/>
        <item m="1" x="1717"/>
        <item m="1" x="2215"/>
        <item m="1" x="2718"/>
        <item m="1" x="3225"/>
        <item m="1" x="3733"/>
        <item m="1" x="4242"/>
        <item m="1" x="4743"/>
        <item m="1" x="5243"/>
        <item m="1" x="5741"/>
        <item m="1" x="6245"/>
        <item m="1" x="6753"/>
        <item m="1" x="7259"/>
        <item m="1" x="7760"/>
        <item m="1" x="337"/>
        <item m="1" x="835"/>
        <item m="1" x="1339"/>
        <item m="1" x="1834"/>
        <item m="1" x="2336"/>
        <item m="1" x="2842"/>
        <item m="1" x="3350"/>
        <item m="1" x="3859"/>
        <item m="1" x="4366"/>
        <item m="1" x="4864"/>
        <item m="1" x="5366"/>
        <item m="1" x="5863"/>
        <item m="1" x="6368"/>
        <item m="1" x="6875"/>
        <item m="1" x="7380"/>
        <item m="1" x="7881"/>
        <item m="1" x="458"/>
        <item m="1" x="959"/>
        <item m="1" x="1458"/>
        <item m="1" x="1956"/>
        <item m="1" x="2460"/>
        <item m="1" x="2965"/>
        <item m="1" x="3474"/>
        <item m="1" x="3985"/>
        <item m="1" x="4490"/>
        <item m="1" x="4985"/>
        <item m="1" x="5488"/>
        <item m="1" x="5985"/>
        <item m="1" x="6490"/>
        <item m="1" x="6994"/>
        <item m="1" x="7501"/>
        <item m="1" x="77"/>
        <item m="1" x="580"/>
        <item m="1" x="1079"/>
        <item m="1" x="1582"/>
        <item m="1" x="4800"/>
        <item m="1" x="5298"/>
        <item m="1" x="5796"/>
        <item m="1" x="6301"/>
        <item m="1" x="6811"/>
        <item m="1" x="7312"/>
        <item m="1" x="7820"/>
        <item m="1" x="394"/>
        <item m="1" x="892"/>
        <item m="1" x="1388"/>
        <item m="1" x="1887"/>
        <item m="1" x="2392"/>
        <item m="1" x="2898"/>
        <item m="1" x="3405"/>
        <item m="1" x="3920"/>
        <item m="1" x="4426"/>
        <item m="1" x="4920"/>
        <item m="1" x="5417"/>
        <item m="1" x="5918"/>
        <item m="1" x="6423"/>
        <item m="1" x="6931"/>
        <item m="1" x="7433"/>
        <item m="1" x="7942"/>
        <item m="1" x="517"/>
        <item m="1" x="1015"/>
        <item m="1" x="1511"/>
        <item m="1" x="2011"/>
        <item m="1" x="2518"/>
        <item m="1" x="3022"/>
        <item m="1" x="3528"/>
        <item m="1" x="4045"/>
        <item m="1" x="4547"/>
        <item m="1" x="5041"/>
        <item m="1" x="5538"/>
        <item m="1" x="6040"/>
        <item m="1" x="6546"/>
        <item m="1" x="7052"/>
        <item m="1" x="7556"/>
        <item m="1" x="137"/>
        <item m="1" x="639"/>
        <item m="1" x="1139"/>
        <item m="1" x="1636"/>
        <item m="1" x="2133"/>
        <item m="1" x="2641"/>
        <item m="1" x="3144"/>
        <item m="1" x="3649"/>
        <item m="1" x="4163"/>
        <item m="1" x="4663"/>
        <item m="1" x="5161"/>
        <item m="1" x="5661"/>
        <item m="1" x="6162"/>
        <item m="1" x="6671"/>
        <item m="1" x="7177"/>
        <item m="1" x="7679"/>
        <item m="1" x="256"/>
        <item m="1" x="754"/>
        <item m="1" x="1257"/>
        <item m="1" x="1754"/>
        <item m="1" x="2251"/>
        <item m="1" x="2758"/>
        <item m="1" x="3267"/>
        <item m="1" x="3774"/>
        <item m="1" x="4285"/>
        <item m="1" x="4783"/>
        <item m="1" x="5283"/>
        <item m="1" x="5780"/>
        <item m="1" x="6283"/>
        <item m="1" x="6793"/>
        <item m="1" x="7299"/>
        <item m="1" x="7803"/>
        <item m="1" x="379"/>
        <item m="1" x="877"/>
        <item m="1" x="1377"/>
        <item m="1" x="1872"/>
        <item m="1" x="2374"/>
        <item m="1" x="2882"/>
        <item m="1" x="3393"/>
        <item m="1" x="3902"/>
        <item m="1" x="4410"/>
        <item m="1" x="4906"/>
        <item m="1" x="5404"/>
        <item m="1" x="5903"/>
        <item m="1" x="6406"/>
        <item m="1" x="6915"/>
        <item m="1" x="7420"/>
        <item m="1" x="7923"/>
        <item m="1" x="501"/>
        <item m="1" x="1000"/>
        <item m="1" x="1498"/>
        <item m="1" x="1996"/>
        <item m="1" x="2500"/>
        <item m="1" x="3006"/>
        <item m="1" x="3515"/>
        <item m="1" x="4029"/>
        <item m="1" x="4531"/>
        <item m="1" x="5027"/>
        <item m="1" x="5525"/>
        <item m="1" x="6025"/>
        <item m="1" x="6528"/>
        <item m="1" x="7034"/>
        <item m="1" x="7543"/>
        <item m="1" x="121"/>
        <item m="1" x="621"/>
        <item m="1" x="1123"/>
        <item m="1" x="1621"/>
        <item m="1" x="2119"/>
        <item m="1" x="2621"/>
        <item m="1" x="3128"/>
        <item m="1" x="3636"/>
        <item m="1" x="4148"/>
        <item m="1" x="4647"/>
        <item m="1" x="5147"/>
        <item m="1" x="5648"/>
        <item m="1" x="6148"/>
        <item m="1" x="6654"/>
        <item m="1" x="7161"/>
        <item m="1" x="7667"/>
        <item m="1" x="242"/>
        <item m="1" x="740"/>
        <item m="1" x="1243"/>
        <item m="1" x="1743"/>
        <item m="1" x="2239"/>
        <item m="1" x="2742"/>
        <item m="1" x="3252"/>
        <item m="1" x="3763"/>
        <item m="1" x="4271"/>
        <item m="1" x="4770"/>
        <item m="1" x="5269"/>
        <item m="1" x="5769"/>
        <item m="1" x="6271"/>
        <item m="1" x="6778"/>
        <item m="1" x="7283"/>
        <item m="1" x="7792"/>
        <item m="1" x="366"/>
        <item m="1" x="863"/>
        <item m="1" x="1362"/>
        <item m="1" x="1861"/>
        <item m="1" x="2361"/>
        <item m="1" x="2867"/>
        <item m="1" x="3376"/>
        <item m="1" x="3891"/>
        <item m="1" x="4396"/>
        <item m="1" x="4892"/>
        <item m="1" x="5390"/>
        <item m="1" x="5890"/>
        <item m="1" x="6394"/>
        <item m="1" x="6900"/>
        <item m="1" x="7403"/>
        <item m="1" x="7910"/>
        <item m="1" x="487"/>
        <item m="1" x="986"/>
        <item m="1" x="1482"/>
        <item m="1" x="1982"/>
        <item m="1" x="2486"/>
        <item m="1" x="2989"/>
        <item m="1" x="3498"/>
        <item m="1" x="4014"/>
        <item m="1" x="4519"/>
        <item m="1" x="5013"/>
        <item m="1" x="5512"/>
        <item m="1" x="6011"/>
        <item m="1" x="6517"/>
        <item m="1" x="7020"/>
        <item m="1" x="7527"/>
        <item m="1" x="107"/>
        <item m="1" x="610"/>
        <item m="1" x="1110"/>
        <item m="1" x="1607"/>
        <item m="1" x="2106"/>
        <item m="1" x="2610"/>
        <item m="1" x="3113"/>
        <item m="1" x="3620"/>
        <item m="1" x="4136"/>
        <item m="1" x="4635"/>
        <item m="1" x="5132"/>
        <item m="1" x="5634"/>
        <item m="1" x="6135"/>
        <item m="1" x="6642"/>
        <item m="1" x="7146"/>
        <item m="1" x="7651"/>
        <item m="1" x="229"/>
        <item m="1" x="728"/>
        <item m="1" x="1230"/>
        <item m="1" x="1729"/>
        <item m="1" x="2227"/>
        <item m="1" x="2731"/>
        <item m="1" x="3236"/>
        <item m="1" x="3745"/>
        <item m="1" x="4256"/>
        <item m="1" x="4757"/>
        <item m="1" x="5254"/>
        <item m="1" x="5753"/>
        <item m="1" x="6256"/>
        <item m="1" x="6764"/>
        <item m="1" x="7268"/>
        <item m="1" x="7772"/>
        <item m="1" x="349"/>
        <item m="1" x="849"/>
        <item m="1" x="1347"/>
        <item m="1" x="1844"/>
        <item m="1" x="2346"/>
        <item m="1" x="2854"/>
        <item m="1" x="3359"/>
        <item m="1" x="3869"/>
        <item m="1" x="4378"/>
        <item m="1" x="4877"/>
        <item m="1" x="5373"/>
        <item m="1" x="5874"/>
        <item m="1" x="6378"/>
        <item m="1" x="6887"/>
        <item m="1" x="7388"/>
        <item m="1" x="7892"/>
        <item m="1" x="471"/>
        <item m="1" x="973"/>
        <item m="1" x="1467"/>
        <item m="1" x="1967"/>
        <item m="1" x="2470"/>
        <item m="1" x="2977"/>
        <item m="1" x="3482"/>
        <item m="1" x="3996"/>
        <item m="1" x="4502"/>
        <item m="1" x="5000"/>
        <item m="1" x="5497"/>
        <item m="1" x="5996"/>
        <item m="1" x="6501"/>
        <item m="1" x="7007"/>
        <item m="1" x="7511"/>
        <item m="1" x="89"/>
        <item m="1" x="592"/>
        <item m="1" x="1096"/>
        <item m="1" x="1594"/>
        <item m="1" x="2091"/>
        <item m="1" x="2594"/>
        <item m="1" x="3100"/>
        <item m="1" x="3606"/>
        <item m="1" x="4117"/>
        <item m="1" x="4618"/>
        <item m="1" x="5118"/>
        <item m="1" x="5619"/>
        <item m="1" x="6119"/>
        <item m="1" x="6625"/>
        <item m="1" x="7130"/>
        <item m="1" x="7636"/>
        <item m="1" x="210"/>
        <item m="1" x="2909"/>
        <item m="1" x="3419"/>
        <item m="1" x="3934"/>
        <item m="1" x="4438"/>
        <item m="1" x="4930"/>
        <item m="1" x="5429"/>
        <item m="1" x="5931"/>
        <item m="1" x="6434"/>
        <item m="1" x="6940"/>
        <item m="1" x="7446"/>
        <item m="1" x="7954"/>
        <item m="1" x="527"/>
        <item m="1" x="1025"/>
        <item m="1" x="1522"/>
        <item m="1" x="2025"/>
        <item m="1" x="2529"/>
        <item m="1" x="3031"/>
        <item m="1" x="3541"/>
        <item m="1" x="4058"/>
        <item m="1" x="4557"/>
        <item m="1" x="5049"/>
        <item m="1" x="5550"/>
        <item m="1" x="6054"/>
        <item m="1" x="6558"/>
        <item m="1" x="7061"/>
        <item m="1" x="7569"/>
        <item m="1" x="149"/>
        <item m="1" x="649"/>
        <item m="1" x="1648"/>
        <item m="1" x="2146"/>
        <item m="1" x="2652"/>
        <item m="1" x="3153"/>
        <item m="1" x="3663"/>
        <item m="1" x="4176"/>
        <item m="1" x="4675"/>
        <item m="1" x="5169"/>
        <item m="1" x="5672"/>
        <item m="1" x="6177"/>
        <item m="1" x="6685"/>
        <item m="1" x="7188"/>
        <item m="1" x="7693"/>
        <item m="1" x="270"/>
        <item m="1" x="768"/>
        <item m="1" x="1267"/>
        <item m="1" x="1766"/>
        <item m="1" x="2265"/>
        <item m="1" x="2773"/>
        <item m="1" x="3277"/>
        <item m="1" x="3787"/>
        <item m="1" x="4299"/>
        <item m="1" x="4796"/>
        <item m="1" x="5293"/>
        <item m="1" x="5791"/>
        <item m="1" x="6295"/>
        <item m="1" x="6806"/>
        <item m="1" x="7306"/>
        <item m="1" x="7815"/>
        <item m="1" x="390"/>
        <item m="1" x="888"/>
        <item m="1" x="1385"/>
        <item m="1" x="1883"/>
        <item m="1" x="2387"/>
        <item m="1" x="2894"/>
        <item m="1" x="3401"/>
        <item m="1" x="3915"/>
        <item m="1" x="4422"/>
        <item m="1" x="4917"/>
        <item m="1" x="5413"/>
        <item m="1" x="5913"/>
        <item m="1" x="6418"/>
        <item m="1" x="6928"/>
        <item m="1" x="7429"/>
        <item m="1" x="7937"/>
        <item m="1" x="514"/>
        <item m="1" x="1012"/>
        <item m="1" x="1508"/>
        <item m="1" x="2007"/>
        <item m="1" x="2513"/>
        <item m="1" x="3019"/>
        <item m="1" x="3524"/>
        <item m="1" x="4040"/>
        <item m="1" x="4543"/>
        <item m="1" x="5038"/>
        <item m="1" x="5534"/>
        <item m="1" x="6035"/>
        <item m="1" x="6541"/>
        <item m="1" x="7047"/>
        <item m="1" x="7552"/>
        <item m="1" x="132"/>
        <item m="1" x="635"/>
        <item m="1" x="1135"/>
        <item m="1" x="1633"/>
        <item m="1" x="2129"/>
        <item m="1" x="2635"/>
        <item m="1" x="3140"/>
        <item m="1" x="3646"/>
        <item m="1" x="4158"/>
        <item m="1" x="4659"/>
        <item m="1" x="5157"/>
        <item m="1" x="5657"/>
        <item m="1" x="6157"/>
        <item m="1" x="6666"/>
        <item m="1" x="7173"/>
        <item m="1" x="7677"/>
        <item m="1" x="252"/>
        <item m="1" x="752"/>
        <item m="1" x="1254"/>
        <item m="1" x="1753"/>
        <item m="1" x="2248"/>
        <item m="1" x="2755"/>
        <item m="1" x="3264"/>
        <item m="1" x="3773"/>
        <item m="1" x="4281"/>
        <item m="1" x="5280"/>
        <item m="1" x="5778"/>
        <item m="1" x="6279"/>
        <item m="1" x="6790"/>
        <item m="1" x="7295"/>
        <item m="1" x="7801"/>
        <item m="1" x="375"/>
        <item m="1" x="875"/>
        <item m="1" x="1373"/>
        <item m="1" x="1871"/>
        <item m="1" x="2371"/>
        <item m="1" x="2879"/>
        <item m="1" x="3390"/>
        <item m="1" x="3901"/>
        <item m="1" x="4406"/>
        <item m="1" x="4903"/>
        <item m="1" x="5401"/>
        <item m="1" x="5901"/>
        <item m="1" x="6402"/>
        <item m="1" x="6912"/>
        <item m="1" x="7417"/>
        <item m="1" x="7922"/>
        <item m="1" x="497"/>
        <item m="1" x="997"/>
        <item m="1" x="1495"/>
        <item m="1" x="1994"/>
        <item m="1" x="2498"/>
        <item m="1" x="3002"/>
        <item m="1" x="3512"/>
        <item m="1" x="4027"/>
        <item m="1" x="4528"/>
        <item m="1" x="5023"/>
        <item m="1" x="5522"/>
        <item m="1" x="6022"/>
        <item m="1" x="6525"/>
        <item m="1" x="7030"/>
        <item m="1" x="7540"/>
        <item m="1" x="118"/>
        <item m="1" x="618"/>
        <item m="1" x="1120"/>
        <item m="1" x="1618"/>
        <item m="1" x="2116"/>
        <item m="1" x="2619"/>
        <item m="1" x="3124"/>
        <item m="1" x="3633"/>
        <item m="1" x="4146"/>
        <item m="1" x="4644"/>
        <item m="1" x="5143"/>
        <item m="1" x="5645"/>
        <item m="1" x="6145"/>
        <item m="1" x="6651"/>
        <item m="1" x="7157"/>
        <item m="1" x="7664"/>
        <item m="1" x="240"/>
        <item m="1" x="737"/>
        <item m="1" x="1240"/>
        <item m="1" x="1740"/>
        <item m="1" x="2237"/>
        <item m="1" x="2740"/>
        <item m="1" x="3248"/>
        <item m="1" x="3759"/>
        <item m="1" x="4269"/>
        <item m="1" x="4767"/>
        <item m="1" x="5265"/>
        <item m="1" x="5766"/>
        <item m="1" x="6269"/>
        <item m="1" x="6775"/>
        <item m="1" x="7279"/>
        <item m="1" x="7788"/>
        <item m="1" x="363"/>
        <item m="1" x="859"/>
        <item m="1" x="1359"/>
        <item m="1" x="1857"/>
        <item m="1" x="2359"/>
        <item m="1" x="2865"/>
        <item m="1" x="3371"/>
        <item m="1" x="3884"/>
        <item m="1" x="4392"/>
        <item m="1" x="4887"/>
        <item m="1" x="5385"/>
        <item m="1" x="5885"/>
        <item m="1" x="6391"/>
        <item m="1" x="6896"/>
        <item m="1" x="7399"/>
        <item m="1" x="7905"/>
        <item m="1" x="484"/>
        <item m="1" x="982"/>
        <item m="1" x="1479"/>
        <item m="1" x="1978"/>
        <item m="1" x="2483"/>
        <item m="1" x="2986"/>
        <item m="1" x="3494"/>
        <item m="1" x="4009"/>
        <item m="1" x="4516"/>
        <item m="1" x="5009"/>
        <item m="1" x="5508"/>
        <item m="1" x="6007"/>
        <item m="1" x="6514"/>
        <item m="1" x="7016"/>
        <item m="1" x="7522"/>
        <item m="1" x="102"/>
        <item m="1" x="606"/>
        <item m="1" x="1105"/>
        <item m="1" x="1604"/>
        <item m="1" x="2102"/>
        <item m="1" x="2606"/>
        <item m="1" x="3110"/>
        <item m="1" x="3616"/>
        <item m="1" x="4131"/>
        <item m="1" x="4632"/>
        <item m="1" x="5128"/>
        <item m="1" x="5630"/>
        <item m="1" x="6131"/>
        <item m="1" x="6638"/>
        <item m="1" x="7142"/>
        <item m="1" x="7647"/>
        <item m="1" x="224"/>
        <item m="1" x="724"/>
        <item m="1" x="1227"/>
        <item m="1" x="1726"/>
        <item m="1" x="2223"/>
        <item m="1" x="2727"/>
        <item m="1" x="3233"/>
        <item m="1" x="3741"/>
        <item m="1" x="4251"/>
        <item m="1" x="4753"/>
        <item m="1" x="5251"/>
        <item m="1" x="5749"/>
        <item m="1" x="6253"/>
        <item m="1" x="1538"/>
        <item m="1" x="2037"/>
        <item m="1" x="2540"/>
        <item m="1" x="3044"/>
        <item m="1" x="3555"/>
        <item m="1" x="4068"/>
        <item m="1" x="4567"/>
        <item m="1" x="5060"/>
        <item m="1" x="5563"/>
        <item m="1" x="6064"/>
        <item m="1" x="6568"/>
        <item m="1" x="7075"/>
        <item m="1" x="7582"/>
        <item m="1" x="159"/>
        <item m="1" x="658"/>
        <item m="1" x="1157"/>
        <item m="1" x="1661"/>
        <item m="1" x="2157"/>
        <item m="1" x="2662"/>
        <item m="1" x="3166"/>
        <item m="1" x="3678"/>
        <item m="1" x="4188"/>
        <item m="1" x="4685"/>
        <item m="1" x="5182"/>
        <item m="1" x="5686"/>
        <item m="1" x="6189"/>
        <item m="1" x="6695"/>
        <item m="1" x="7201"/>
        <item m="1" x="7707"/>
        <item m="1" x="281"/>
        <item m="1" x="777"/>
        <item m="1" x="1278"/>
        <item m="1" x="1779"/>
        <item m="1" x="2276"/>
        <item m="1" x="2782"/>
        <item m="1" x="3291"/>
        <item m="1" x="3802"/>
        <item m="1" x="4310"/>
        <item m="1" x="4807"/>
        <item m="1" x="5306"/>
        <item m="1" x="5806"/>
        <item m="1" x="6309"/>
        <item m="1" x="6817"/>
        <item m="1" x="7321"/>
        <item m="1" x="7830"/>
        <item m="1" x="402"/>
        <item m="1" x="899"/>
        <item m="1" x="1396"/>
        <item m="1" x="1897"/>
        <item m="1" x="2400"/>
        <item m="1" x="2905"/>
        <item m="1" x="3414"/>
        <item m="1" x="3929"/>
        <item m="1" x="4434"/>
        <item m="1" x="4926"/>
        <item m="1" x="5424"/>
        <item m="1" x="5926"/>
        <item m="1" x="6431"/>
        <item m="1" x="6936"/>
        <item m="1" x="7441"/>
        <item m="1" x="7950"/>
        <item m="1" x="524"/>
        <item m="1" x="1021"/>
        <item m="1" x="1518"/>
        <item m="1" x="2020"/>
        <item m="1" x="2525"/>
        <item m="1" x="3026"/>
        <item m="1" x="3536"/>
        <item m="1" x="4053"/>
        <item m="1" x="4554"/>
        <item m="1" x="5046"/>
        <item m="1" x="5546"/>
        <item m="1" x="6049"/>
        <item m="1" x="6555"/>
        <item m="1" x="7057"/>
        <item m="1" x="7564"/>
        <item m="1" x="145"/>
        <item m="1" x="646"/>
        <item m="1" x="1143"/>
        <item m="1" x="1643"/>
        <item m="1" x="2141"/>
        <item m="1" x="2649"/>
        <item m="1" x="3149"/>
        <item m="1" x="3658"/>
        <item m="1" x="4172"/>
        <item m="1" x="4671"/>
        <item m="1" x="5166"/>
        <item m="1" x="5668"/>
        <item m="1" x="6172"/>
        <item m="1" x="6681"/>
        <item m="1" x="7185"/>
        <item m="1" x="7688"/>
        <item m="1" x="266"/>
        <item m="1" x="764"/>
        <item m="1" x="1263"/>
        <item m="1" x="1761"/>
        <item m="1" x="2260"/>
        <item m="1" x="2768"/>
        <item m="1" x="3273"/>
        <item m="1" x="3782"/>
        <item m="1" x="4295"/>
        <item m="1" x="4791"/>
        <item m="1" x="5290"/>
        <item m="1" x="5787"/>
        <item m="1" x="6292"/>
        <item m="1" x="6802"/>
        <item m="1" x="7305"/>
        <item m="1" x="7811"/>
        <item m="1" x="388"/>
        <item m="1" x="885"/>
        <item m="1" x="1383"/>
        <item m="1" x="1879"/>
        <item m="1" x="2384"/>
        <item m="1" x="2891"/>
        <item m="1" x="3400"/>
        <item m="1" x="3911"/>
        <item m="1" x="4420"/>
        <item m="1" x="4914"/>
        <item m="1" x="5412"/>
        <item m="1" x="5910"/>
        <item m="1" x="6415"/>
        <item m="1" x="6924"/>
        <item m="1" x="7427"/>
        <item m="1" x="7932"/>
        <item m="1" x="510"/>
        <item m="1" x="1008"/>
        <item m="1" x="1506"/>
        <item m="1" x="2003"/>
        <item m="1" x="2510"/>
        <item m="1" x="3016"/>
        <item m="1" x="3522"/>
        <item m="1" x="4036"/>
        <item m="1" x="4541"/>
        <item m="1" x="5035"/>
        <item m="1" x="5532"/>
        <item m="1" x="6032"/>
        <item m="1" x="6537"/>
        <item m="1" x="7044"/>
        <item m="1" x="7550"/>
        <item m="1" x="129"/>
        <item m="1" x="631"/>
        <item m="1" x="1132"/>
        <item m="1" x="1630"/>
        <item m="1" x="2126"/>
        <item m="1" x="2631"/>
        <item m="1" x="3137"/>
        <item m="1" x="3644"/>
        <item m="1" x="4155"/>
        <item m="1" x="4656"/>
        <item m="1" x="5154"/>
        <item m="1" x="5655"/>
        <item m="1" x="6155"/>
        <item m="1" x="6662"/>
        <item m="1" x="7170"/>
        <item m="1" x="7675"/>
        <item m="1" x="249"/>
        <item m="1" x="748"/>
        <item m="1" x="1251"/>
        <item m="1" x="1750"/>
        <item m="1" x="2245"/>
        <item m="1" x="2751"/>
        <item m="1" x="3261"/>
        <item m="1" x="3770"/>
        <item m="1" x="4277"/>
        <item m="1" x="4779"/>
        <item m="1" x="5276"/>
        <item m="1" x="5776"/>
        <item m="1" x="6277"/>
        <item m="1" x="6786"/>
        <item m="1" x="7292"/>
        <item m="1" x="7799"/>
        <item m="1" x="372"/>
        <item m="1" x="871"/>
        <item m="1" x="1370"/>
        <item m="1" x="1869"/>
        <item m="1" x="2368"/>
        <item m="1" x="2875"/>
        <item m="1" x="3386"/>
        <item m="1" x="3899"/>
        <item m="1" x="4403"/>
        <item m="1" x="4900"/>
        <item m="1" x="5398"/>
        <item m="1" x="5899"/>
        <item m="1" x="6400"/>
        <item m="1" x="6908"/>
        <item m="1" x="7413"/>
        <item m="1" x="7920"/>
        <item m="1" x="494"/>
        <item m="1" x="993"/>
        <item m="1" x="1491"/>
        <item m="1" x="1991"/>
        <item m="1" x="2493"/>
        <item m="1" x="2997"/>
        <item m="1" x="3506"/>
        <item m="1" x="4022"/>
        <item m="1" x="4523"/>
        <item m="1" x="5020"/>
        <item m="1" x="5518"/>
        <item m="1" x="6018"/>
        <item m="1" x="6522"/>
        <item m="1" x="7026"/>
        <item m="1" x="7535"/>
        <item m="1" x="114"/>
        <item m="1" x="614"/>
        <item m="1" x="1116"/>
        <item m="1" x="1614"/>
        <item m="1" x="2113"/>
        <item m="1" x="2615"/>
        <item m="1" x="3120"/>
        <item m="1" x="3628"/>
        <item m="1" x="4143"/>
        <item m="1" x="4640"/>
        <item m="1" x="5140"/>
        <item m="1" x="5641"/>
        <item m="1" x="6142"/>
        <item m="1" x="6648"/>
        <item m="1" x="7153"/>
        <item m="1" x="7659"/>
        <item m="1" x="237"/>
        <item m="1" x="733"/>
        <item m="1" x="1236"/>
        <item m="1" x="1736"/>
        <item m="1" x="2234"/>
        <item m="1" x="2736"/>
        <item m="1" x="3243"/>
        <item m="1" x="3754"/>
        <item m="1" x="4264"/>
        <item m="1" x="4763"/>
        <item m="1" x="5262"/>
        <item m="1" x="5762"/>
        <item m="1" x="6265"/>
        <item m="1" x="6772"/>
        <item m="1" x="7275"/>
        <item m="1" x="7782"/>
        <item m="1" x="359"/>
        <item m="1" x="856"/>
        <item m="1" x="1355"/>
        <item m="1" x="1853"/>
        <item m="1" x="2355"/>
        <item m="1" x="2861"/>
        <item m="1" x="3367"/>
        <item m="1" x="3879"/>
        <item m="1" x="4388"/>
        <item m="1" x="4885"/>
        <item m="1" x="7596"/>
        <item m="1" x="173"/>
        <item m="1" x="671"/>
        <item m="1" x="1172"/>
        <item m="1" x="1674"/>
        <item m="1" x="2169"/>
        <item m="1" x="2675"/>
        <item m="1" x="3180"/>
        <item m="1" x="3689"/>
        <item m="1" x="4198"/>
        <item m="1" x="4696"/>
        <item m="1" x="5195"/>
        <item m="1" x="5697"/>
        <item m="1" x="6199"/>
        <item m="1" x="6708"/>
        <item m="1" x="7214"/>
        <item m="1" x="7717"/>
        <item m="1" x="292"/>
        <item m="1" x="789"/>
        <item m="1" x="1291"/>
        <item m="1" x="1789"/>
        <item m="1" x="2288"/>
        <item m="1" x="2797"/>
        <item m="1" x="3306"/>
        <item m="1" x="3813"/>
        <item m="1" x="4321"/>
        <item m="1" x="4817"/>
        <item m="1" x="5319"/>
        <item m="1" x="5817"/>
        <item m="1" x="6320"/>
        <item m="1" x="6830"/>
        <item m="1" x="7337"/>
        <item m="1" x="7840"/>
        <item m="1" x="413"/>
        <item m="1" x="911"/>
        <item m="1" x="1410"/>
        <item m="1" x="1910"/>
        <item m="1" x="2411"/>
        <item m="1" x="2918"/>
        <item m="1" x="3431"/>
        <item m="1" x="3942"/>
        <item m="1" x="4446"/>
        <item m="1" x="4938"/>
        <item m="1" x="5440"/>
        <item m="1" x="5939"/>
        <item m="1" x="6441"/>
        <item m="1" x="6949"/>
        <item m="1" x="7457"/>
        <item m="1" x="7962"/>
        <item m="1" x="535"/>
        <item m="1" x="1033"/>
        <item m="1" x="1532"/>
        <item m="1" x="2033"/>
        <item m="1" x="2535"/>
        <item m="1" x="3039"/>
        <item m="1" x="3550"/>
        <item m="1" x="4064"/>
        <item m="1" x="4563"/>
        <item m="1" x="5056"/>
        <item m="1" x="5558"/>
        <item m="1" x="6061"/>
        <item m="1" x="6564"/>
        <item m="1" x="7070"/>
        <item m="1" x="7578"/>
        <item m="1" x="156"/>
        <item m="1" x="655"/>
        <item m="1" x="1153"/>
        <item m="1" x="1656"/>
        <item m="1" x="2154"/>
        <item m="1" x="2658"/>
        <item m="1" x="3161"/>
        <item m="1" x="3674"/>
        <item m="1" x="4185"/>
        <item m="1" x="4681"/>
        <item m="1" x="5177"/>
        <item m="1" x="5681"/>
        <item m="1" x="6185"/>
        <item m="1" x="6690"/>
        <item m="1" x="7196"/>
        <item m="1" x="7703"/>
        <item m="1" x="277"/>
        <item m="1" x="774"/>
        <item m="1" x="1274"/>
        <item m="1" x="1774"/>
        <item m="1" x="2273"/>
        <item m="1" x="2778"/>
        <item m="1" x="3285"/>
        <item m="1" x="3798"/>
        <item m="1" x="4306"/>
        <item m="1" x="4803"/>
        <item m="1" x="5301"/>
        <item m="1" x="5801"/>
        <item m="1" x="6305"/>
        <item m="1" x="6814"/>
        <item m="1" x="7316"/>
        <item m="1" x="7826"/>
        <item m="1" x="398"/>
        <item m="1" x="896"/>
        <item m="1" x="1392"/>
        <item m="1" x="1892"/>
        <item m="1" x="2396"/>
        <item m="1" x="2902"/>
        <item m="1" x="3409"/>
        <item m="1" x="3926"/>
        <item m="1" x="4430"/>
        <item m="1" x="4924"/>
        <item m="1" x="5420"/>
        <item m="1" x="5923"/>
        <item m="1" x="6427"/>
        <item m="1" x="6934"/>
        <item m="1" x="7437"/>
        <item m="1" x="7948"/>
        <item m="1" x="521"/>
        <item m="1" x="1019"/>
        <item m="1" x="1515"/>
        <item m="1" x="2016"/>
        <item m="1" x="2522"/>
        <item m="1" x="3025"/>
        <item m="1" x="3532"/>
        <item m="1" x="4051"/>
        <item m="1" x="4551"/>
        <item m="1" x="5044"/>
        <item m="1" x="5541"/>
        <item m="1" x="6045"/>
        <item m="1" x="6551"/>
        <item m="1" x="7055"/>
        <item m="1" x="7560"/>
        <item m="1" x="143"/>
        <item m="1" x="643"/>
        <item m="1" x="1142"/>
        <item m="1" x="1640"/>
        <item m="1" x="2138"/>
        <item m="1" x="2646"/>
        <item m="1" x="3148"/>
        <item m="1" x="3654"/>
        <item m="1" x="4169"/>
        <item m="1" x="4668"/>
        <item m="1" x="5164"/>
        <item m="1" x="5664"/>
        <item m="1" x="6168"/>
        <item m="1" x="6678"/>
        <item m="1" x="7182"/>
        <item m="1" x="7685"/>
        <item m="1" x="263"/>
        <item m="1" x="760"/>
        <item m="1" x="1261"/>
        <item m="1" x="1759"/>
        <item m="1" x="2256"/>
        <item m="1" x="2764"/>
        <item m="1" x="3271"/>
        <item m="1" x="3779"/>
        <item m="1" x="4291"/>
        <item m="1" x="4788"/>
        <item m="1" x="5287"/>
        <item m="1" x="5784"/>
        <item m="1" x="6288"/>
        <item m="1" x="6799"/>
        <item m="1" x="7303"/>
        <item m="1" x="7808"/>
        <item m="1" x="385"/>
        <item m="1" x="882"/>
        <item m="1" x="1381"/>
        <item m="1" x="1877"/>
        <item m="1" x="2380"/>
        <item m="1" x="2888"/>
        <item m="1" x="3398"/>
        <item m="1" x="3908"/>
        <item m="1" x="4416"/>
        <item m="1" x="4911"/>
        <item m="1" x="5409"/>
        <item m="1" x="5907"/>
        <item m="1" x="6411"/>
        <item m="1" x="6921"/>
        <item m="1" x="7424"/>
        <item m="1" x="7928"/>
        <item m="1" x="507"/>
        <item m="1" x="1005"/>
        <item m="1" x="1503"/>
        <item m="1" x="2001"/>
        <item m="1" x="2506"/>
        <item m="1" x="3012"/>
        <item m="1" x="3520"/>
        <item m="1" x="4033"/>
        <item m="1" x="4537"/>
        <item m="1" x="5032"/>
        <item m="1" x="5530"/>
        <item m="1" x="6029"/>
        <item m="1" x="6533"/>
        <item m="1" x="7040"/>
        <item m="1" x="7548"/>
        <item m="1" x="125"/>
        <item m="1" x="627"/>
        <item m="1" x="1127"/>
        <item m="1" x="1626"/>
        <item m="1" x="2122"/>
        <item m="1" x="2626"/>
        <item m="1" x="3132"/>
        <item m="1" x="3641"/>
        <item m="1" x="4151"/>
        <item m="1" x="4652"/>
        <item m="1" x="5150"/>
        <item m="1" x="5652"/>
        <item m="1" x="6151"/>
        <item m="1" x="6658"/>
        <item m="1" x="7165"/>
        <item m="1" x="7671"/>
        <item m="1" x="244"/>
        <item m="1" x="745"/>
        <item m="1" x="1246"/>
        <item m="1" x="1747"/>
        <item m="1" x="2242"/>
        <item m="1" x="2747"/>
        <item m="1" x="3256"/>
        <item m="1" x="3767"/>
        <item m="1" x="4273"/>
        <item m="1" x="4775"/>
        <item m="1" x="5272"/>
        <item m="1" x="5773"/>
        <item m="1" x="6273"/>
        <item m="1" x="6782"/>
        <item m="1" x="7287"/>
        <item m="1" x="7796"/>
        <item m="1" x="368"/>
        <item m="1" x="868"/>
        <item m="1" x="1366"/>
        <item m="1" x="1865"/>
        <item m="1" x="2365"/>
        <item m="1" x="2871"/>
        <item m="1" x="3381"/>
        <item m="1" x="3895"/>
        <item m="1" x="4400"/>
        <item m="1" x="4896"/>
        <item m="1" x="5394"/>
        <item m="1" x="5895"/>
        <item m="1" x="6396"/>
        <item m="1" x="6903"/>
        <item m="1" x="7408"/>
        <item m="1" x="7915"/>
        <item m="1" x="490"/>
        <item m="1" x="990"/>
        <item m="1" x="1487"/>
        <item m="1" x="1986"/>
        <item m="1" x="2490"/>
        <item m="1" x="2993"/>
        <item m="1" x="5710"/>
        <item m="1" x="6214"/>
        <item m="1" x="6724"/>
        <item m="1" x="7226"/>
        <item m="1" x="7730"/>
        <item m="1" x="305"/>
        <item m="1" x="803"/>
        <item m="1" x="1303"/>
        <item m="1" x="1801"/>
        <item m="1" x="2302"/>
        <item m="1" x="2811"/>
        <item m="1" x="3317"/>
        <item m="1" x="3826"/>
        <item m="1" x="4333"/>
        <item m="1" x="4831"/>
        <item m="1" x="5331"/>
        <item m="1" x="5829"/>
        <item m="1" x="6334"/>
        <item m="1" x="6845"/>
        <item m="1" x="7348"/>
        <item m="1" x="7851"/>
        <item m="1" x="426"/>
        <item m="1" x="926"/>
        <item m="1" x="1423"/>
        <item m="1" x="1922"/>
        <item m="1" x="2426"/>
        <item m="1" x="2933"/>
        <item m="1" x="3442"/>
        <item m="1" x="3953"/>
        <item m="1" x="4458"/>
        <item m="1" x="4951"/>
        <item m="1" x="5452"/>
        <item m="1" x="5951"/>
        <item m="1" x="6456"/>
        <item m="1" x="6963"/>
        <item m="1" x="7469"/>
        <item m="1" x="7973"/>
        <item m="1" x="547"/>
        <item m="1" x="1047"/>
        <item m="1" x="1547"/>
        <item m="1" x="2046"/>
        <item m="1" x="2550"/>
        <item m="1" x="3055"/>
        <item m="1" x="3565"/>
        <item m="1" x="4077"/>
        <item m="1" x="4576"/>
        <item m="1" x="5070"/>
        <item m="1" x="5574"/>
        <item m="1" x="6073"/>
        <item m="1" x="6578"/>
        <item m="1" x="7086"/>
        <item m="1" x="7592"/>
        <item m="1" x="168"/>
        <item m="1" x="666"/>
        <item m="1" x="1166"/>
        <item m="1" x="1669"/>
        <item m="1" x="2163"/>
        <item m="1" x="2670"/>
        <item m="1" x="3175"/>
        <item m="1" x="3685"/>
        <item m="1" x="4195"/>
        <item m="1" x="4692"/>
        <item m="1" x="5190"/>
        <item m="1" x="5693"/>
        <item m="1" x="6195"/>
        <item m="1" x="6703"/>
        <item m="1" x="7210"/>
        <item m="1" x="7714"/>
        <item m="1" x="288"/>
        <item m="1" x="784"/>
        <item m="1" x="1286"/>
        <item m="1" x="1786"/>
        <item m="1" x="2284"/>
        <item m="1" x="2792"/>
        <item m="1" x="3302"/>
        <item m="1" x="3810"/>
        <item m="1" x="4318"/>
        <item m="1" x="4813"/>
        <item m="1" x="5314"/>
        <item m="1" x="5814"/>
        <item m="1" x="6316"/>
        <item m="1" x="6825"/>
        <item m="1" x="7332"/>
        <item m="1" x="7837"/>
        <item m="1" x="409"/>
        <item m="1" x="906"/>
        <item m="1" x="1405"/>
        <item m="1" x="1905"/>
        <item m="1" x="2407"/>
        <item m="1" x="2913"/>
        <item m="1" x="3426"/>
        <item m="1" x="3938"/>
        <item m="1" x="4443"/>
        <item m="1" x="4934"/>
        <item m="1" x="5434"/>
        <item m="1" x="5935"/>
        <item m="1" x="6438"/>
        <item m="1" x="6944"/>
        <item m="1" x="7452"/>
        <item m="1" x="7958"/>
        <item m="1" x="531"/>
        <item m="1" x="1028"/>
        <item m="1" x="1527"/>
        <item m="1" x="2029"/>
        <item m="1" x="2533"/>
        <item m="1" x="3035"/>
        <item m="1" x="3547"/>
        <item m="1" x="4062"/>
        <item m="1" x="4562"/>
        <item m="1" x="5053"/>
        <item m="1" x="5555"/>
        <item m="1" x="6058"/>
        <item m="1" x="6563"/>
        <item m="1" x="7066"/>
        <item m="1" x="7575"/>
        <item m="1" x="153"/>
        <item m="1" x="653"/>
        <item m="1" x="1149"/>
        <item m="1" x="1653"/>
        <item m="1" x="2150"/>
        <item m="1" x="2656"/>
        <item m="1" x="3157"/>
        <item m="1" x="3669"/>
        <item m="1" x="4180"/>
        <item m="1" x="4679"/>
        <item m="1" x="5173"/>
        <item m="1" x="5677"/>
        <item m="1" x="6182"/>
        <item m="1" x="6689"/>
        <item m="1" x="7192"/>
        <item m="1" x="7699"/>
        <item m="1" x="274"/>
        <item m="1" x="772"/>
        <item m="1" x="1270"/>
        <item m="1" x="1771"/>
        <item m="1" x="2270"/>
        <item m="1" x="2777"/>
        <item m="1" x="3281"/>
        <item m="1" x="3793"/>
        <item m="1" x="4303"/>
        <item m="1" x="4801"/>
        <item m="1" x="5299"/>
        <item m="1" x="5797"/>
        <item m="1" x="6302"/>
        <item m="1" x="6812"/>
        <item m="1" x="7313"/>
        <item m="1" x="7821"/>
        <item m="1" x="395"/>
        <item m="1" x="893"/>
        <item m="1" x="1389"/>
        <item m="1" x="1888"/>
        <item m="1" x="2393"/>
        <item m="1" x="2899"/>
        <item m="1" x="3406"/>
        <item m="1" x="3921"/>
        <item m="1" x="4427"/>
        <item m="1" x="4921"/>
        <item m="1" x="5418"/>
        <item m="1" x="5919"/>
        <item m="1" x="6424"/>
        <item m="1" x="6932"/>
        <item m="1" x="7434"/>
        <item m="1" x="7943"/>
        <item m="1" x="518"/>
        <item m="1" x="1016"/>
        <item m="1" x="1512"/>
        <item m="1" x="2012"/>
        <item m="1" x="2519"/>
        <item m="1" x="3023"/>
        <item m="1" x="3529"/>
        <item m="1" x="4046"/>
        <item m="1" x="4548"/>
        <item m="1" x="5042"/>
        <item m="1" x="5539"/>
        <item m="1" x="6041"/>
        <item m="1" x="6547"/>
        <item m="1" x="7053"/>
        <item m="1" x="7557"/>
        <item m="1" x="138"/>
        <item m="1" x="640"/>
        <item m="1" x="1140"/>
        <item m="1" x="1637"/>
        <item m="1" x="2134"/>
        <item m="1" x="2642"/>
        <item m="1" x="3145"/>
        <item m="1" x="3650"/>
        <item m="1" x="4164"/>
        <item m="1" x="4664"/>
        <item m="1" x="5162"/>
        <item m="1" x="5662"/>
        <item m="1" x="6163"/>
        <item m="1" x="6672"/>
        <item m="1" x="7178"/>
        <item m="1" x="7680"/>
        <item m="1" x="257"/>
        <item m="1" x="755"/>
        <item m="1" x="1258"/>
        <item m="1" x="1755"/>
        <item m="1" x="2252"/>
        <item m="1" x="2759"/>
        <item m="1" x="3268"/>
        <item m="1" x="3775"/>
        <item m="1" x="4286"/>
        <item m="1" x="4784"/>
        <item m="1" x="5284"/>
        <item m="1" x="5781"/>
        <item m="1" x="6284"/>
        <item m="1" x="6794"/>
        <item m="1" x="7300"/>
        <item m="1" x="7804"/>
        <item m="1" x="380"/>
        <item m="1" x="878"/>
        <item m="1" x="1378"/>
        <item m="1" x="1873"/>
        <item m="1" x="2375"/>
        <item m="1" x="2883"/>
        <item m="1" x="3394"/>
        <item m="1" x="3903"/>
        <item m="1" x="4411"/>
        <item m="1" x="4907"/>
        <item m="1" x="5405"/>
        <item m="1" x="5904"/>
        <item m="1" x="6407"/>
        <item m="1" x="6916"/>
        <item m="1" x="7421"/>
        <item m="1" x="7924"/>
        <item m="1" x="502"/>
        <item m="1" x="1001"/>
        <item m="1" x="1499"/>
        <item m="1" x="1997"/>
        <item m="1" x="2501"/>
        <item m="1" x="3007"/>
        <item m="1" x="3516"/>
        <item m="1" x="4030"/>
        <item m="1" x="4532"/>
        <item m="1" x="5028"/>
        <item m="1" x="5526"/>
        <item m="1" x="6026"/>
        <item m="1" x="6529"/>
        <item m="1" x="7035"/>
        <item m="1" x="7544"/>
        <item m="1" x="122"/>
        <item m="1" x="622"/>
        <item m="1" x="1124"/>
        <item m="1" x="1622"/>
        <item m="1" x="4347"/>
        <item m="1" x="4843"/>
        <item m="1" x="5342"/>
        <item m="1" x="5843"/>
        <item m="1" x="6349"/>
        <item m="1" x="6856"/>
        <item m="1" x="7359"/>
        <item m="1" x="7862"/>
        <item m="1" x="438"/>
        <item m="1" x="936"/>
        <item m="1" x="1434"/>
        <item m="1" x="1936"/>
        <item m="1" x="2439"/>
        <item m="1" x="2944"/>
        <item m="1" x="3452"/>
        <item m="1" x="3964"/>
        <item m="1" x="4470"/>
        <item m="1" x="4963"/>
        <item m="1" x="5463"/>
        <item m="1" x="5964"/>
        <item m="1" x="6471"/>
        <item m="1" x="6975"/>
        <item m="1" x="7480"/>
        <item m="1" x="7986"/>
        <item m="1" x="560"/>
        <item m="1" x="1059"/>
        <item m="1" x="1558"/>
        <item m="1" x="2059"/>
        <item m="1" x="2564"/>
        <item m="1" x="3066"/>
        <item m="1" x="3575"/>
        <item m="1" x="4088"/>
        <item m="1" x="4588"/>
        <item m="1" x="5081"/>
        <item m="1" x="5584"/>
        <item m="1" x="6086"/>
        <item m="1" x="6592"/>
        <item m="1" x="7097"/>
        <item m="1" x="7604"/>
        <item m="1" x="181"/>
        <item m="1" x="680"/>
        <item m="1" x="1180"/>
        <item m="1" x="1681"/>
        <item m="1" x="2178"/>
        <item m="1" x="2685"/>
        <item m="1" x="3188"/>
        <item m="1" x="3697"/>
        <item m="1" x="4206"/>
        <item m="1" x="4705"/>
        <item m="1" x="5203"/>
        <item m="1" x="5705"/>
        <item m="1" x="6208"/>
        <item m="1" x="6718"/>
        <item m="1" x="7221"/>
        <item m="1" x="7725"/>
        <item m="1" x="299"/>
        <item m="1" x="797"/>
        <item m="1" x="1299"/>
        <item m="1" x="1796"/>
        <item m="1" x="2296"/>
        <item m="1" x="2806"/>
        <item m="1" x="3313"/>
        <item m="1" x="3821"/>
        <item m="1" x="4328"/>
        <item m="1" x="4826"/>
        <item m="1" x="5326"/>
        <item m="1" x="5823"/>
        <item m="1" x="6328"/>
        <item m="1" x="6839"/>
        <item m="1" x="7344"/>
        <item m="1" x="7847"/>
        <item m="1" x="421"/>
        <item m="1" x="920"/>
        <item m="1" x="1419"/>
        <item m="1" x="1917"/>
        <item m="1" x="2420"/>
        <item m="1" x="2928"/>
        <item m="1" x="3438"/>
        <item m="1" x="3948"/>
        <item m="1" x="4453"/>
        <item m="1" x="4946"/>
        <item m="1" x="5448"/>
        <item m="1" x="5946"/>
        <item m="1" x="6450"/>
        <item m="1" x="6958"/>
        <item m="1" x="7465"/>
        <item m="1" x="7969"/>
        <item m="1" x="542"/>
        <item m="1" x="1042"/>
        <item m="1" x="1542"/>
        <item m="1" x="2042"/>
        <item m="1" x="2544"/>
        <item m="1" x="3050"/>
        <item m="1" x="3560"/>
        <item m="1" x="4072"/>
        <item m="1" x="4570"/>
        <item m="1" x="5065"/>
        <item m="1" x="5568"/>
        <item m="1" x="6068"/>
        <item m="1" x="6572"/>
        <item m="1" x="7081"/>
        <item m="1" x="7586"/>
        <item m="1" x="164"/>
        <item m="1" x="662"/>
        <item m="1" x="1162"/>
        <item m="1" x="1665"/>
        <item m="1" x="2161"/>
        <item m="1" x="2666"/>
        <item m="1" x="3172"/>
        <item m="1" x="3682"/>
        <item m="1" x="4192"/>
        <item m="1" x="4688"/>
        <item m="1" x="5187"/>
        <item m="1" x="5690"/>
        <item m="1" x="6193"/>
        <item m="1" x="6699"/>
        <item m="1" x="7207"/>
        <item m="1" x="7711"/>
        <item m="1" x="286"/>
        <item m="1" x="781"/>
        <item m="1" x="1283"/>
        <item m="1" x="1783"/>
        <item m="1" x="2281"/>
        <item m="1" x="2787"/>
        <item m="1" x="3297"/>
        <item m="1" x="3806"/>
        <item m="1" x="4315"/>
        <item m="1" x="5311"/>
        <item m="1" x="5811"/>
        <item m="1" x="6313"/>
        <item m="1" x="6821"/>
        <item m="1" x="7328"/>
        <item m="1" x="7834"/>
        <item m="1" x="406"/>
        <item m="1" x="903"/>
        <item m="1" x="1401"/>
        <item m="1" x="1902"/>
        <item m="1" x="2404"/>
        <item m="1" x="2910"/>
        <item m="1" x="3420"/>
        <item m="1" x="3935"/>
        <item m="1" x="4439"/>
        <item m="1" x="4931"/>
        <item m="1" x="5430"/>
        <item m="1" x="5932"/>
        <item m="1" x="6435"/>
        <item m="1" x="6941"/>
        <item m="1" x="7447"/>
        <item m="1" x="7955"/>
        <item m="1" x="528"/>
        <item m="1" x="1026"/>
        <item m="1" x="1523"/>
        <item m="1" x="2026"/>
        <item m="1" x="2530"/>
        <item m="1" x="3032"/>
        <item m="1" x="3542"/>
        <item m="1" x="4059"/>
        <item m="1" x="4558"/>
        <item m="1" x="5050"/>
        <item m="1" x="5551"/>
        <item m="1" x="6055"/>
        <item m="1" x="6559"/>
        <item m="1" x="7062"/>
        <item m="1" x="7570"/>
        <item m="1" x="150"/>
        <item m="1" x="650"/>
        <item m="1" x="1147"/>
        <item m="1" x="1649"/>
        <item m="1" x="2147"/>
        <item m="1" x="2653"/>
        <item m="1" x="3154"/>
        <item m="1" x="3664"/>
        <item m="1" x="4177"/>
        <item m="1" x="4676"/>
        <item m="1" x="5170"/>
        <item m="1" x="5673"/>
        <item m="1" x="6178"/>
        <item m="1" x="6686"/>
        <item m="1" x="7189"/>
        <item m="1" x="7694"/>
        <item m="1" x="271"/>
        <item m="1" x="769"/>
        <item m="1" x="1268"/>
        <item m="1" x="1767"/>
        <item m="1" x="2266"/>
        <item m="1" x="2774"/>
        <item m="1" x="3278"/>
        <item m="1" x="3788"/>
        <item m="1" x="4300"/>
        <item m="1" x="4797"/>
        <item m="1" x="5294"/>
        <item m="1" x="5792"/>
        <item m="1" x="6296"/>
        <item m="1" x="6807"/>
        <item m="1" x="7307"/>
        <item m="1" x="7816"/>
        <item m="1" x="391"/>
        <item m="1" x="889"/>
        <item m="1" x="1386"/>
        <item m="1" x="1884"/>
        <item m="1" x="2388"/>
        <item m="1" x="2895"/>
        <item m="1" x="3402"/>
        <item m="1" x="3916"/>
        <item m="1" x="4423"/>
        <item m="1" x="4918"/>
        <item m="1" x="5414"/>
        <item m="1" x="5914"/>
        <item m="1" x="6419"/>
        <item m="1" x="6929"/>
        <item m="1" x="7430"/>
        <item m="1" x="7938"/>
        <item m="1" x="1013"/>
        <item m="1" x="1509"/>
        <item m="1" x="2008"/>
        <item m="1" x="2514"/>
        <item m="1" x="3020"/>
        <item m="1" x="3525"/>
        <item m="1" x="4041"/>
        <item m="1" x="4544"/>
        <item m="1" x="5039"/>
        <item m="1" x="5535"/>
        <item m="1" x="6036"/>
        <item m="1" x="6542"/>
        <item m="1" x="7048"/>
        <item m="1" x="7553"/>
        <item m="1" x="133"/>
        <item m="1" x="636"/>
        <item m="1" x="1136"/>
        <item m="1" x="1634"/>
        <item m="1" x="2130"/>
        <item m="1" x="2636"/>
        <item m="1" x="3141"/>
        <item m="1" x="3647"/>
        <item m="1" x="4159"/>
        <item m="1" x="4660"/>
        <item m="1" x="5158"/>
        <item m="1" x="5658"/>
        <item m="1" x="6158"/>
        <item m="1" x="6667"/>
        <item m="1" x="7174"/>
        <item m="1" x="7678"/>
        <item m="1" x="2453"/>
        <item m="1" x="2957"/>
        <item m="1" x="3978"/>
        <item m="1" x="4483"/>
        <item m="1" x="4976"/>
        <item m="1" x="5478"/>
        <item m="1" x="5979"/>
        <item m="1" x="6482"/>
        <item m="1" x="6986"/>
        <item m="1" x="7492"/>
        <item m="1" x="7999"/>
        <item m="1" x="572"/>
        <item m="1" x="1070"/>
        <item m="1" x="1572"/>
        <item m="1" x="2073"/>
        <item m="1" x="2574"/>
        <item m="1" x="3078"/>
        <item m="1" x="3587"/>
        <item m="1" x="4101"/>
        <item m="1" x="4598"/>
        <item m="1" x="5094"/>
        <item m="1" x="5600"/>
        <item m="1" x="6102"/>
        <item m="1" x="6605"/>
        <item m="1" x="7110"/>
        <item m="1" x="7616"/>
        <item m="1" x="194"/>
        <item m="1" x="691"/>
        <item m="1" x="1192"/>
        <item m="1" x="1695"/>
        <item m="1" x="2194"/>
        <item m="1" x="2697"/>
        <item m="1" x="3200"/>
        <item m="1" x="3710"/>
        <item m="1" x="4220"/>
        <item m="1" x="4718"/>
        <item m="1" x="5215"/>
        <item m="1" x="5719"/>
        <item m="1" x="6225"/>
        <item m="1" x="6732"/>
        <item m="1" x="7234"/>
        <item m="1" x="7738"/>
        <item m="1" x="315"/>
        <item m="1" x="811"/>
        <item m="1" x="1310"/>
        <item m="1" x="1810"/>
        <item m="1" x="2313"/>
        <item m="1" x="2819"/>
        <item m="1" x="3325"/>
        <item m="1" x="3834"/>
        <item m="1" x="4342"/>
        <item m="1" x="4839"/>
        <item m="1" x="5337"/>
        <item m="1" x="5837"/>
        <item m="1" x="6343"/>
        <item m="1" x="6852"/>
        <item m="1" x="7355"/>
        <item m="1" x="7858"/>
        <item m="1" x="434"/>
        <item m="1" x="933"/>
        <item m="1" x="1430"/>
        <item m="1" x="1931"/>
        <item m="1" x="2435"/>
        <item m="1" x="2941"/>
        <item m="1" x="3449"/>
        <item m="1" x="3960"/>
        <item m="1" x="4466"/>
        <item m="1" x="4960"/>
        <item m="1" x="5459"/>
        <item m="1" x="5959"/>
        <item m="1" x="6467"/>
        <item m="1" x="6972"/>
        <item m="1" x="7476"/>
        <item m="1" x="7981"/>
        <item m="1" x="556"/>
        <item m="1" x="1055"/>
        <item m="1" x="1553"/>
        <item m="1" x="2054"/>
        <item m="1" x="2560"/>
        <item m="1" x="3062"/>
        <item m="1" x="3572"/>
        <item m="1" x="4084"/>
        <item m="1" x="4584"/>
        <item m="1" x="5078"/>
        <item m="1" x="5580"/>
        <item m="1" x="6081"/>
        <item m="1" x="6588"/>
        <item m="1" x="7093"/>
        <item m="1" x="7600"/>
        <item m="1" x="176"/>
        <item m="1" x="676"/>
        <item m="1" x="1176"/>
        <item m="1" x="1678"/>
        <item m="1" x="2173"/>
        <item m="1" x="2681"/>
        <item m="1" x="3184"/>
        <item m="1" x="3694"/>
        <item m="1" x="4202"/>
        <item m="1" x="4701"/>
        <item m="1" x="5199"/>
        <item m="1" x="5702"/>
        <item m="1" x="6203"/>
        <item m="1" x="6714"/>
        <item m="1" x="7218"/>
        <item m="1" x="7722"/>
        <item m="1" x="295"/>
        <item m="1" x="794"/>
        <item m="1" x="1295"/>
        <item m="1" x="1793"/>
        <item m="1" x="2292"/>
        <item m="1" x="2803"/>
        <item m="1" x="3310"/>
        <item m="1" x="3818"/>
        <item m="1" x="4325"/>
        <item m="1" x="4822"/>
        <item m="1" x="5323"/>
        <item m="1" x="5821"/>
        <item m="1" x="6324"/>
        <item m="1" x="6836"/>
        <item m="1" x="7341"/>
        <item m="1" x="7844"/>
        <item m="1" x="416"/>
        <item m="1" x="916"/>
        <item m="1" x="1415"/>
        <item m="1" x="1914"/>
        <item m="1" x="2415"/>
        <item m="1" x="2924"/>
        <item m="1" x="3435"/>
        <item m="1" x="3946"/>
        <item m="1" x="4450"/>
        <item m="1" x="4943"/>
        <item m="1" x="5445"/>
        <item m="1" x="5944"/>
        <item m="1" x="6446"/>
        <item m="1" x="6955"/>
        <item m="1" x="7462"/>
        <item m="1" x="7966"/>
        <item m="1" x="538"/>
        <item m="1" x="1038"/>
        <item m="1" x="1539"/>
        <item m="1" x="2038"/>
        <item m="1" x="2541"/>
        <item m="1" x="3045"/>
        <item m="1" x="3556"/>
        <item m="1" x="4069"/>
        <item m="1" x="4568"/>
        <item m="1" x="5061"/>
        <item m="1" x="5564"/>
        <item m="1" x="6065"/>
        <item m="1" x="6569"/>
        <item m="1" x="7076"/>
        <item m="1" x="7583"/>
        <item m="1" x="160"/>
        <item m="1" x="659"/>
        <item m="1" x="1158"/>
        <item m="1" x="1662"/>
        <item m="1" x="2158"/>
        <item m="1" x="2663"/>
        <item m="1" x="3167"/>
        <item m="1" x="3679"/>
        <item m="1" x="4189"/>
        <item m="1" x="4686"/>
        <item m="1" x="5183"/>
        <item m="1" x="5687"/>
        <item m="1" x="6190"/>
        <item m="1" x="6696"/>
        <item m="1" x="7202"/>
        <item m="1" x="7708"/>
        <item m="1" x="282"/>
        <item m="1" x="778"/>
        <item m="1" x="1279"/>
        <item m="1" x="1780"/>
        <item m="1" x="2277"/>
        <item m="1" x="2783"/>
        <item m="1" x="3292"/>
        <item m="1" x="3803"/>
        <item m="1" x="4311"/>
        <item m="1" x="4808"/>
        <item m="1" x="5307"/>
        <item m="1" x="5807"/>
        <item m="1" x="6310"/>
        <item m="1" x="6818"/>
        <item m="1" x="7322"/>
        <item m="1" x="7831"/>
        <item m="1" x="403"/>
        <item m="1" x="900"/>
        <item m="1" x="1397"/>
        <item m="1" x="1898"/>
        <item m="1" x="2401"/>
        <item m="1" x="2906"/>
        <item m="1" x="3415"/>
        <item m="1" x="3930"/>
        <item m="1" x="4435"/>
        <item m="1" x="4927"/>
        <item m="1" x="5425"/>
        <item m="1" x="5927"/>
        <item m="1" x="6432"/>
        <item m="1" x="6937"/>
        <item m="1" x="7442"/>
        <item m="1" x="7951"/>
        <item m="1" x="525"/>
        <item m="1" x="1022"/>
        <item m="1" x="1519"/>
        <item m="1" x="2021"/>
        <item m="1" x="2526"/>
        <item m="1" x="3027"/>
        <item m="1" x="3537"/>
        <item m="1" x="4054"/>
        <item m="1" x="4555"/>
        <item m="1" x="5047"/>
        <item m="1" x="5547"/>
        <item m="1" x="6050"/>
        <item m="1" x="6556"/>
        <item m="1" x="7058"/>
        <item m="1" x="7565"/>
        <item m="1" x="146"/>
        <item m="1" x="647"/>
        <item m="1" x="1144"/>
        <item m="1" x="1644"/>
        <item m="1" x="2142"/>
        <item m="1" x="2650"/>
        <item m="1" x="3150"/>
        <item m="1" x="3659"/>
        <item m="1" x="4173"/>
        <item m="1" x="4672"/>
        <item m="1" x="5167"/>
        <item m="1" x="5669"/>
        <item m="1" x="6173"/>
        <item m="1" x="6682"/>
        <item m="1" x="7186"/>
        <item m="1" x="7689"/>
        <item m="1" x="267"/>
        <item m="1" x="765"/>
        <item m="1" x="1264"/>
        <item m="1" x="1762"/>
        <item m="1" x="2261"/>
        <item m="1" x="2769"/>
        <item m="1" x="3274"/>
        <item m="1" x="3783"/>
        <item m="1" x="4296"/>
        <item m="1" x="4792"/>
        <item m="1" x="5291"/>
        <item m="1" x="5788"/>
        <item m="1" x="1086"/>
        <item m="1" x="1588"/>
        <item m="1" x="2084"/>
        <item m="1" x="2587"/>
        <item m="1" x="3091"/>
        <item m="1" x="3601"/>
        <item m="1" x="4111"/>
        <item m="1" x="4610"/>
        <item m="1" x="5108"/>
        <item m="1" x="5614"/>
        <item m="1" x="6112"/>
        <item m="1" x="6618"/>
        <item m="1" x="7122"/>
        <item m="1" x="7630"/>
        <item m="1" x="204"/>
        <item m="1" x="703"/>
        <item m="1" x="1206"/>
        <item m="1" x="1710"/>
        <item m="1" x="2204"/>
        <item m="1" x="2708"/>
        <item m="1" x="3213"/>
        <item m="1" x="3725"/>
        <item m="1" x="4231"/>
        <item m="1" x="4730"/>
        <item m="1" x="5230"/>
        <item m="1" x="5733"/>
        <item m="1" x="6235"/>
        <item m="1" x="6743"/>
        <item m="1" x="7247"/>
        <item m="1" x="7751"/>
        <item m="1" x="326"/>
        <item m="1" x="823"/>
        <item m="1" x="1325"/>
        <item m="1" x="1825"/>
        <item m="1" x="2324"/>
        <item m="1" x="2830"/>
        <item m="1" x="3337"/>
        <item m="1" x="3848"/>
        <item m="1" x="4355"/>
        <item m="1" x="4852"/>
        <item m="1" x="5352"/>
        <item m="1" x="5854"/>
        <item m="1" x="6358"/>
        <item m="1" x="6865"/>
        <item m="1" x="7368"/>
        <item m="1" x="7872"/>
        <item m="1" x="448"/>
        <item m="1" x="945"/>
        <item m="1" x="1444"/>
        <item m="1" x="1947"/>
        <item m="1" x="2449"/>
        <item m="1" x="2953"/>
        <item m="1" x="3461"/>
        <item m="1" x="3973"/>
        <item m="1" x="4478"/>
        <item m="1" x="4970"/>
        <item m="1" x="5472"/>
        <item m="1" x="5974"/>
        <item m="1" x="6478"/>
        <item m="1" x="6983"/>
        <item m="1" x="7488"/>
        <item m="1" x="7995"/>
        <item m="1" x="568"/>
        <item m="1" x="1066"/>
        <item m="1" x="1567"/>
        <item m="1" x="2069"/>
        <item m="1" x="2571"/>
        <item m="1" x="3074"/>
        <item m="1" x="3583"/>
        <item m="1" x="4097"/>
        <item m="1" x="4595"/>
        <item m="1" x="5090"/>
        <item m="1" x="5595"/>
        <item m="1" x="6098"/>
        <item m="1" x="6602"/>
        <item m="1" x="7107"/>
        <item m="1" x="7612"/>
        <item m="1" x="190"/>
        <item m="1" x="688"/>
        <item m="1" x="1188"/>
        <item m="1" x="1690"/>
        <item m="1" x="2190"/>
        <item m="1" x="2694"/>
        <item m="1" x="3196"/>
        <item m="1" x="3705"/>
        <item m="1" x="4216"/>
        <item m="1" x="4713"/>
        <item m="1" x="5211"/>
        <item m="1" x="5714"/>
        <item m="1" x="6221"/>
        <item m="1" x="6728"/>
        <item m="1" x="7231"/>
        <item m="1" x="7734"/>
        <item m="1" x="310"/>
        <item m="1" x="807"/>
        <item m="1" x="1307"/>
        <item m="1" x="1805"/>
        <item m="1" x="2308"/>
        <item m="1" x="2815"/>
        <item m="1" x="3321"/>
        <item m="1" x="3829"/>
        <item m="1" x="4338"/>
        <item m="1" x="4835"/>
        <item m="1" x="5335"/>
        <item m="1" x="5833"/>
        <item m="1" x="6340"/>
        <item m="1" x="6849"/>
        <item m="1" x="7353"/>
        <item m="1" x="7855"/>
        <item m="1" x="431"/>
        <item m="1" x="930"/>
        <item m="1" x="1428"/>
        <item m="1" x="1927"/>
        <item m="1" x="2432"/>
        <item m="1" x="2938"/>
        <item m="1" x="3446"/>
        <item m="1" x="3956"/>
        <item m="1" x="4463"/>
        <item m="1" x="4956"/>
        <item m="1" x="5456"/>
        <item m="1" x="5955"/>
        <item m="1" x="6462"/>
        <item m="1" x="6967"/>
        <item m="1" x="7473"/>
        <item m="1" x="7977"/>
        <item m="1" x="552"/>
        <item m="1" x="1052"/>
        <item m="1" x="1551"/>
        <item m="1" x="2050"/>
        <item m="1" x="2556"/>
        <item m="1" x="3059"/>
        <item m="1" x="3569"/>
        <item m="1" x="4080"/>
        <item m="1" x="4581"/>
        <item m="1" x="5075"/>
        <item m="1" x="5578"/>
        <item m="1" x="6077"/>
        <item m="1" x="6584"/>
        <item m="1" x="7090"/>
        <item m="1" x="7597"/>
        <item m="1" x="174"/>
        <item m="1" x="672"/>
        <item m="1" x="1173"/>
        <item m="1" x="1675"/>
        <item m="1" x="2170"/>
        <item m="1" x="2676"/>
        <item m="1" x="3181"/>
        <item m="1" x="3690"/>
        <item m="1" x="4199"/>
        <item m="1" x="4697"/>
        <item m="1" x="5196"/>
        <item m="1" x="5698"/>
        <item m="1" x="6200"/>
        <item m="1" x="6709"/>
        <item m="1" x="7215"/>
        <item m="1" x="7718"/>
        <item m="1" x="293"/>
        <item m="1" x="790"/>
        <item m="1" x="1292"/>
        <item m="1" x="1790"/>
        <item m="1" x="2289"/>
        <item m="1" x="2798"/>
        <item m="1" x="3307"/>
        <item m="1" x="3814"/>
        <item m="1" x="4322"/>
        <item m="1" x="4818"/>
        <item m="1" x="5320"/>
        <item m="1" x="5818"/>
        <item m="1" x="6321"/>
        <item m="1" x="6831"/>
        <item m="1" x="7338"/>
        <item m="1" x="7841"/>
        <item m="1" x="414"/>
        <item m="1" x="912"/>
        <item m="1" x="1411"/>
        <item m="1" x="1911"/>
        <item m="1" x="2412"/>
        <item m="1" x="2919"/>
        <item m="1" x="3432"/>
        <item m="1" x="3943"/>
        <item m="1" x="4447"/>
        <item m="1" x="4939"/>
        <item m="1" x="5441"/>
        <item m="1" x="5940"/>
        <item m="1" x="6442"/>
        <item m="1" x="6950"/>
        <item m="1" x="7458"/>
        <item m="1" x="7963"/>
        <item m="1" x="536"/>
        <item m="1" x="1034"/>
        <item m="1" x="1533"/>
        <item m="1" x="2034"/>
        <item m="1" x="2536"/>
        <item m="1" x="3040"/>
        <item m="1" x="3551"/>
        <item m="1" x="4065"/>
        <item m="1" x="4564"/>
        <item m="1" x="5057"/>
        <item m="1" x="5559"/>
        <item m="1" x="6062"/>
        <item m="1" x="6565"/>
        <item m="1" x="7071"/>
        <item m="1" x="7579"/>
        <item m="1" x="157"/>
        <item m="1" x="656"/>
        <item m="1" x="1154"/>
        <item m="1" x="1657"/>
        <item m="1" x="2155"/>
        <item m="1" x="2659"/>
        <item m="1" x="3162"/>
        <item m="1" x="3675"/>
        <item m="1" x="4186"/>
        <item m="1" x="4682"/>
        <item m="1" x="5178"/>
        <item m="1" x="5682"/>
        <item m="1" x="6186"/>
        <item m="1" x="6691"/>
        <item m="1" x="7197"/>
        <item m="1" x="7704"/>
        <item m="1" x="278"/>
        <item m="1" x="775"/>
        <item m="1" x="1275"/>
        <item m="1" x="1775"/>
        <item m="1" x="2274"/>
        <item m="1" x="2779"/>
        <item m="1" x="3286"/>
        <item m="1" x="3799"/>
        <item m="1" x="4307"/>
        <item m="1" x="4804"/>
        <item m="1" x="5302"/>
        <item m="1" x="5802"/>
        <item m="1" x="6306"/>
        <item m="1" x="6815"/>
        <item m="1" x="7317"/>
        <item m="1" x="7827"/>
        <item m="1" x="399"/>
        <item m="1" x="897"/>
        <item m="1" x="1393"/>
        <item m="1" x="1893"/>
        <item m="1" x="2397"/>
        <item m="1" x="2903"/>
        <item m="1" x="3410"/>
        <item m="1" x="3927"/>
        <item m="1" x="4431"/>
        <item m="1" x="7137"/>
        <item m="1" x="7640"/>
        <item m="1" x="216"/>
        <item m="1" x="715"/>
        <item m="1" x="1221"/>
        <item m="1" x="1718"/>
        <item m="1" x="2216"/>
        <item m="1" x="2719"/>
        <item m="1" x="3226"/>
        <item m="1" x="3734"/>
        <item m="1" x="4243"/>
        <item m="1" x="4744"/>
        <item m="1" x="5244"/>
        <item m="1" x="5742"/>
        <item m="1" x="6246"/>
        <item m="1" x="6754"/>
        <item m="1" x="7260"/>
        <item m="1" x="7761"/>
        <item m="1" x="338"/>
        <item m="1" x="836"/>
        <item m="1" x="1340"/>
        <item m="1" x="1835"/>
        <item m="1" x="2337"/>
        <item m="1" x="2843"/>
        <item m="1" x="3351"/>
        <item m="1" x="3860"/>
        <item m="1" x="4367"/>
        <item m="1" x="4865"/>
        <item m="1" x="5367"/>
        <item m="1" x="5864"/>
        <item m="1" x="6369"/>
        <item m="1" x="6876"/>
        <item m="1" x="7381"/>
        <item m="1" x="7882"/>
        <item m="1" x="459"/>
        <item m="1" x="960"/>
        <item m="1" x="1459"/>
        <item m="1" x="1957"/>
        <item m="1" x="2461"/>
        <item m="1" x="2966"/>
        <item m="1" x="3475"/>
        <item m="1" x="3986"/>
        <item m="1" x="4491"/>
        <item m="1" x="4986"/>
        <item m="1" x="5489"/>
        <item m="1" x="5986"/>
        <item m="1" x="6491"/>
        <item m="1" x="6995"/>
        <item m="1" x="7502"/>
        <item m="1" x="78"/>
        <item m="1" x="581"/>
        <item m="1" x="1080"/>
        <item m="1" x="1583"/>
        <item m="1" x="2080"/>
        <item m="1" x="2583"/>
        <item m="1" x="3086"/>
        <item m="1" x="3596"/>
        <item m="1" x="4108"/>
        <item m="1" x="4606"/>
        <item m="1" x="5103"/>
        <item m="1" x="5610"/>
        <item m="1" x="6109"/>
        <item m="1" x="6614"/>
        <item m="1" x="7118"/>
        <item m="1" x="7626"/>
        <item m="1" x="200"/>
        <item m="1" x="698"/>
        <item m="1" x="1201"/>
        <item m="1" x="1705"/>
        <item m="1" x="2200"/>
        <item m="1" x="2705"/>
        <item m="1" x="3209"/>
        <item m="1" x="3720"/>
        <item m="1" x="4228"/>
        <item m="1" x="4726"/>
        <item m="1" x="5225"/>
        <item m="1" x="5729"/>
        <item m="1" x="6232"/>
        <item m="1" x="6739"/>
        <item m="1" x="7242"/>
        <item m="1" x="7747"/>
        <item m="1" x="322"/>
        <item m="1" x="819"/>
        <item m="1" x="1320"/>
        <item m="1" x="1821"/>
        <item m="1" x="2321"/>
        <item m="1" x="2827"/>
        <item m="1" x="3333"/>
        <item m="1" x="3844"/>
        <item m="1" x="4351"/>
        <item m="1" x="4849"/>
        <item m="1" x="5347"/>
        <item m="1" x="5850"/>
        <item m="1" x="6354"/>
        <item m="1" x="6861"/>
        <item m="1" x="7363"/>
        <item m="1" x="7868"/>
        <item m="1" x="443"/>
        <item m="1" x="941"/>
        <item m="1" x="1439"/>
        <item m="1" x="1943"/>
        <item m="1" x="2444"/>
        <item m="1" x="2950"/>
        <item m="1" x="3457"/>
        <item m="1" x="3970"/>
        <item m="1" x="4474"/>
        <item m="1" x="4968"/>
        <item m="1" x="5468"/>
        <item m="1" x="5971"/>
        <item m="1" x="6475"/>
        <item m="1" x="6980"/>
        <item m="1" x="7484"/>
        <item m="1" x="7992"/>
        <item m="1" x="564"/>
        <item m="1" x="1064"/>
        <item m="1" x="1563"/>
        <item m="1" x="2066"/>
        <item m="1" x="2568"/>
        <item m="1" x="3072"/>
        <item m="1" x="3580"/>
        <item m="1" x="4094"/>
        <item m="1" x="4592"/>
        <item m="1" x="5087"/>
        <item m="1" x="5590"/>
        <item m="1" x="6093"/>
        <item m="1" x="6598"/>
        <item m="1" x="7103"/>
        <item m="1" x="7608"/>
        <item m="1" x="187"/>
        <item m="1" x="685"/>
        <item m="1" x="1185"/>
        <item m="1" x="1686"/>
        <item m="1" x="2186"/>
        <item m="1" x="2690"/>
        <item m="1" x="3193"/>
        <item m="1" x="3702"/>
        <item m="1" x="4212"/>
        <item m="1" x="4710"/>
        <item m="1" x="5208"/>
        <item m="1" x="5711"/>
        <item m="1" x="6215"/>
        <item m="1" x="6725"/>
        <item m="1" x="7227"/>
        <item m="1" x="7731"/>
        <item m="1" x="306"/>
        <item m="1" x="804"/>
        <item m="1" x="1304"/>
        <item m="1" x="1802"/>
        <item m="1" x="2303"/>
        <item m="1" x="2812"/>
        <item m="1" x="3318"/>
        <item m="1" x="3827"/>
        <item m="1" x="4334"/>
        <item m="1" x="4832"/>
        <item m="1" x="5332"/>
        <item m="1" x="5830"/>
        <item m="1" x="6335"/>
        <item m="1" x="6846"/>
        <item m="1" x="7349"/>
        <item m="1" x="7852"/>
        <item m="1" x="427"/>
        <item m="1" x="927"/>
        <item m="1" x="1424"/>
        <item m="1" x="1923"/>
        <item m="1" x="2427"/>
        <item m="1" x="2934"/>
        <item m="1" x="3443"/>
        <item m="1" x="3954"/>
        <item m="1" x="4459"/>
        <item m="1" x="4952"/>
        <item m="1" x="5453"/>
        <item m="1" x="5952"/>
        <item m="1" x="6457"/>
        <item m="1" x="6964"/>
        <item m="1" x="7470"/>
        <item m="1" x="7974"/>
        <item m="1" x="548"/>
        <item m="1" x="1048"/>
        <item m="1" x="1548"/>
        <item m="1" x="2047"/>
        <item m="1" x="2551"/>
        <item m="1" x="3056"/>
        <item m="1" x="3566"/>
        <item m="1" x="4078"/>
        <item m="1" x="4577"/>
        <item m="1" x="5071"/>
        <item m="1" x="5575"/>
        <item m="1" x="6074"/>
        <item m="1" x="6579"/>
        <item m="1" x="7087"/>
        <item m="1" x="7593"/>
        <item m="1" x="169"/>
        <item m="1" x="667"/>
        <item m="1" x="1167"/>
        <item m="1" x="1670"/>
        <item m="1" x="2164"/>
        <item m="1" x="2671"/>
        <item m="1" x="3176"/>
        <item m="1" x="3686"/>
        <item m="1" x="4196"/>
        <item m="1" x="4693"/>
        <item m="1" x="5191"/>
        <item m="1" x="5694"/>
        <item m="1" x="6196"/>
        <item m="1" x="6704"/>
        <item m="1" x="7211"/>
        <item m="1" x="7715"/>
        <item m="1" x="289"/>
        <item m="1" x="785"/>
        <item m="1" x="1287"/>
        <item m="1" x="1787"/>
        <item m="1" x="2285"/>
        <item m="1" x="2793"/>
        <item m="1" x="3303"/>
        <item m="1" x="3811"/>
        <item m="1" x="4319"/>
        <item m="1" x="4814"/>
        <item m="1" x="5315"/>
        <item m="1" x="5815"/>
        <item m="1" x="6317"/>
        <item m="1" x="6826"/>
        <item m="1" x="7333"/>
        <item m="1" x="7838"/>
        <item m="1" x="410"/>
        <item m="1" x="907"/>
        <item m="1" x="1406"/>
        <item m="1" x="1906"/>
        <item m="1" x="2408"/>
        <item m="1" x="2914"/>
        <item m="1" x="3427"/>
        <item m="1" x="3939"/>
        <item m="1" x="4444"/>
        <item m="1" x="4935"/>
        <item m="1" x="5435"/>
        <item m="1" x="5936"/>
        <item m="1" x="6439"/>
        <item m="1" x="6945"/>
        <item m="1" x="7453"/>
        <item m="1" x="7959"/>
        <item m="1" x="532"/>
        <item m="1" x="1029"/>
        <item m="1" x="1528"/>
        <item m="1" x="2030"/>
        <item m="1" x="2534"/>
        <item m="1" x="5754"/>
        <item m="1" x="6257"/>
        <item m="1" x="6765"/>
        <item m="1" x="7269"/>
        <item m="1" x="7773"/>
        <item m="1" x="350"/>
        <item m="1" x="850"/>
        <item m="1" x="1348"/>
        <item m="1" x="1845"/>
        <item m="1" x="2347"/>
        <item m="1" x="2855"/>
        <item m="1" x="3360"/>
        <item m="1" x="3870"/>
        <item m="1" x="4379"/>
        <item m="1" x="4878"/>
        <item m="1" x="5374"/>
        <item m="1" x="5875"/>
        <item m="1" x="6379"/>
        <item m="1" x="6888"/>
        <item m="1" x="7389"/>
        <item m="1" x="7893"/>
        <item m="1" x="472"/>
        <item m="1" x="974"/>
        <item m="1" x="1468"/>
        <item m="1" x="1968"/>
        <item m="1" x="2471"/>
        <item m="1" x="2978"/>
        <item m="1" x="3483"/>
        <item m="1" x="3997"/>
        <item m="1" x="4503"/>
        <item m="1" x="5001"/>
        <item m="1" x="5498"/>
        <item m="1" x="5997"/>
        <item m="1" x="6502"/>
        <item m="1" x="7008"/>
        <item m="1" x="7512"/>
        <item m="1" x="90"/>
        <item m="1" x="593"/>
        <item m="1" x="1097"/>
        <item m="1" x="1595"/>
        <item m="1" x="2092"/>
        <item m="1" x="2595"/>
        <item m="1" x="3101"/>
        <item m="1" x="3607"/>
        <item m="1" x="4118"/>
        <item m="1" x="4619"/>
        <item m="1" x="5119"/>
        <item m="1" x="5620"/>
        <item m="1" x="6120"/>
        <item m="1" x="6626"/>
        <item m="1" x="7131"/>
        <item m="1" x="7637"/>
        <item m="1" x="211"/>
        <item m="1" x="710"/>
        <item m="1" x="1215"/>
        <item m="1" x="1715"/>
        <item m="1" x="2211"/>
        <item m="1" x="2715"/>
        <item m="1" x="3221"/>
        <item m="1" x="3730"/>
        <item m="1" x="4238"/>
        <item m="1" x="4739"/>
        <item m="1" x="5239"/>
        <item m="1" x="5739"/>
        <item m="1" x="6242"/>
        <item m="1" x="6750"/>
        <item m="1" x="7255"/>
        <item m="1" x="7758"/>
        <item m="1" x="333"/>
        <item m="1" x="831"/>
        <item m="1" x="1335"/>
        <item m="1" x="1832"/>
        <item m="1" x="2332"/>
        <item m="1" x="2838"/>
        <item m="1" x="3346"/>
        <item m="1" x="3856"/>
        <item m="1" x="4361"/>
        <item m="1" x="4860"/>
        <item m="1" x="5362"/>
        <item m="1" x="5860"/>
        <item m="1" x="6365"/>
        <item m="1" x="6872"/>
        <item m="1" x="7376"/>
        <item m="1" x="7878"/>
        <item m="1" x="454"/>
        <item m="1" x="953"/>
        <item m="1" x="1454"/>
        <item m="1" x="1953"/>
        <item m="1" x="2456"/>
        <item m="1" x="2960"/>
        <item m="1" x="3470"/>
        <item m="1" x="3981"/>
        <item m="1" x="4487"/>
        <item m="1" x="4980"/>
        <item m="1" x="5484"/>
        <item m="1" x="5982"/>
        <item m="1" x="6487"/>
        <item m="1" x="6990"/>
        <item m="1" x="7497"/>
        <item m="1" x="74"/>
        <item m="1" x="577"/>
        <item m="1" x="1074"/>
        <item m="1" x="1578"/>
        <item m="1" x="2077"/>
        <item m="1" x="2579"/>
        <item m="1" x="3081"/>
        <item m="1" x="3592"/>
        <item m="1" x="4104"/>
        <item m="1" x="4602"/>
        <item m="1" x="5098"/>
        <item m="1" x="5606"/>
        <item m="1" x="6105"/>
        <item m="1" x="6610"/>
        <item m="1" x="7114"/>
        <item m="1" x="7621"/>
        <item m="1" x="197"/>
        <item m="1" x="695"/>
        <item m="1" x="1196"/>
        <item m="1" x="1701"/>
        <item m="1" x="2197"/>
        <item m="1" x="2701"/>
        <item m="1" x="3203"/>
        <item m="1" x="3715"/>
        <item m="1" x="4224"/>
        <item m="1" x="4722"/>
        <item m="1" x="5219"/>
        <item m="1" x="5725"/>
        <item m="1" x="6229"/>
        <item m="1" x="6736"/>
        <item m="1" x="7238"/>
        <item m="1" x="7743"/>
        <item m="1" x="319"/>
        <item m="1" x="816"/>
        <item m="1" x="1315"/>
        <item m="1" x="1816"/>
        <item m="1" x="2318"/>
        <item m="1" x="2823"/>
        <item m="1" x="3328"/>
        <item m="1" x="3839"/>
        <item m="1" x="4348"/>
        <item m="1" x="4844"/>
        <item m="1" x="5343"/>
        <item m="1" x="5844"/>
        <item m="1" x="6350"/>
        <item m="1" x="6857"/>
        <item m="1" x="7360"/>
        <item m="1" x="7863"/>
        <item m="1" x="439"/>
        <item m="1" x="937"/>
        <item m="1" x="1435"/>
        <item m="1" x="1937"/>
        <item m="1" x="2440"/>
        <item m="1" x="2945"/>
        <item m="1" x="3453"/>
        <item m="1" x="3965"/>
        <item m="1" x="4471"/>
        <item m="1" x="4964"/>
        <item m="1" x="5464"/>
        <item m="1" x="5965"/>
        <item m="1" x="6472"/>
        <item m="1" x="6976"/>
        <item m="1" x="7481"/>
        <item m="1" x="7987"/>
        <item m="1" x="561"/>
        <item m="1" x="1060"/>
        <item m="1" x="1559"/>
        <item m="1" x="2060"/>
        <item m="1" x="2565"/>
        <item m="1" x="3067"/>
        <item m="1" x="3576"/>
        <item m="1" x="4089"/>
        <item m="1" x="4589"/>
        <item m="1" x="5082"/>
        <item m="1" x="5585"/>
        <item m="1" x="6087"/>
        <item m="1" x="6593"/>
        <item m="1" x="7098"/>
        <item m="1" x="7605"/>
        <item m="1" x="182"/>
        <item m="1" x="681"/>
        <item m="1" x="1181"/>
        <item m="1" x="1682"/>
        <item m="1" x="2179"/>
        <item m="1" x="2686"/>
        <item m="1" x="3189"/>
        <item m="1" x="3698"/>
        <item m="1" x="4207"/>
        <item m="1" x="4706"/>
        <item m="1" x="5204"/>
        <item m="1" x="5706"/>
        <item m="1" x="6209"/>
        <item m="1" x="6719"/>
        <item m="1" x="7222"/>
        <item m="1" x="7726"/>
        <item m="1" x="300"/>
        <item m="1" x="798"/>
        <item m="1" x="1300"/>
        <item m="1" x="1797"/>
        <item m="1" x="2297"/>
        <item m="1" x="2807"/>
        <item m="1" x="3314"/>
        <item m="1" x="3822"/>
        <item m="1" x="4329"/>
        <item m="1" x="4827"/>
        <item m="1" x="5327"/>
        <item m="1" x="5824"/>
        <item m="1" x="6329"/>
        <item m="1" x="6840"/>
        <item m="1" x="7345"/>
        <item m="1" x="7848"/>
        <item m="1" x="422"/>
        <item m="1" x="921"/>
        <item m="1" x="1420"/>
        <item m="1" x="1918"/>
        <item m="1" x="2421"/>
        <item m="1" x="2929"/>
        <item m="1" x="3439"/>
        <item m="1" x="3949"/>
        <item m="1" x="4454"/>
        <item m="1" x="4947"/>
        <item m="1" x="5449"/>
        <item m="1" x="5947"/>
        <item m="1" x="6451"/>
        <item m="1" x="6959"/>
        <item m="1" x="7466"/>
        <item m="1" x="7970"/>
        <item m="1" x="543"/>
        <item m="1" x="1043"/>
        <item m="1" x="1543"/>
        <item m="1" x="2043"/>
        <item m="1" x="2545"/>
        <item m="1" x="3051"/>
        <item m="1" x="3561"/>
        <item m="1" x="4073"/>
        <item m="1" x="4571"/>
        <item m="1" x="5066"/>
        <item m="1" x="5569"/>
        <item m="1" x="6069"/>
        <item m="1" x="6573"/>
        <item m="1" x="7082"/>
        <item m="1" x="7587"/>
        <item m="1" x="165"/>
        <item m="1" x="663"/>
        <item m="1" x="1163"/>
        <item m="1" x="3885"/>
        <item m="1" x="4393"/>
        <item m="1" x="4888"/>
        <item m="1" x="5386"/>
        <item m="1" x="5886"/>
        <item m="1" x="2494"/>
        <item m="1" x="2998"/>
        <item m="1" x="3507"/>
        <item m="1" x="4023"/>
        <item m="1" x="628"/>
        <item m="1" x="1128"/>
        <item m="1" x="1627"/>
        <item m="1" x="2123"/>
        <item m="1" x="2627"/>
        <item m="1" x="6925"/>
        <item m="1" x="7179"/>
        <item m="1" x="7428"/>
        <item m="1" x="7681"/>
        <item m="1" x="7933"/>
        <item m="1" x="258"/>
        <item m="1" x="511"/>
        <item m="1" x="756"/>
        <item m="1" x="1009"/>
        <item m="1" x="5295"/>
        <item m="1" x="5542"/>
        <item m="1" x="5793"/>
        <item m="1" x="6046"/>
        <item m="1" x="6297"/>
        <item m="1" x="6552"/>
        <item m="1" x="6808"/>
        <item m="1" x="7056"/>
        <item m="1" x="7308"/>
        <item m="1" x="3670"/>
        <item m="1" x="3931"/>
        <item m="1" x="4181"/>
        <item m="1" x="4436"/>
        <item m="1" x="4680"/>
        <item m="1" x="4928"/>
        <item m="1" x="5174"/>
        <item m="1" x="5426"/>
        <item m="1" x="5678"/>
        <item m="1" x="2035"/>
        <item m="1" x="2282"/>
        <item m="1" x="2537"/>
        <item m="1" x="2788"/>
        <item m="1" x="3041"/>
        <item m="1" x="3298"/>
        <item m="1" x="3552"/>
        <item m="1" x="3807"/>
        <item m="1" x="4066"/>
        <item m="1" x="170"/>
        <item m="1" x="417"/>
        <item m="1" x="668"/>
        <item m="1" x="917"/>
        <item m="1" x="1168"/>
        <item m="1" x="1416"/>
        <item m="1" x="1671"/>
        <item m="1" x="1915"/>
        <item m="1" x="2165"/>
        <item m="1" x="2416"/>
        <item m="1" x="6463"/>
        <item m="1" x="6720"/>
        <item m="1" x="6968"/>
        <item m="1" x="7223"/>
        <item m="1" x="7474"/>
        <item m="1" x="7727"/>
        <item m="1" x="7978"/>
        <item m="1" x="301"/>
        <item m="1" x="553"/>
        <item m="1" x="799"/>
        <item m="1" x="4840"/>
        <item m="1" x="5088"/>
        <item m="1" x="5338"/>
        <item m="1" x="5591"/>
        <item m="1" x="5838"/>
        <item m="1" x="6094"/>
        <item m="1" x="6344"/>
        <item m="1" x="6599"/>
        <item m="1" x="6853"/>
        <item m="1" x="7104"/>
        <item m="1" x="3204"/>
        <item m="1" x="3462"/>
        <item m="1" x="3716"/>
        <item m="1" x="3974"/>
        <item m="1" x="4225"/>
        <item m="1" x="4479"/>
        <item m="1" x="4723"/>
        <item m="1" x="4971"/>
        <item m="1" x="5220"/>
        <item m="1" x="5473"/>
        <item m="1" x="1584"/>
        <item m="1" x="1828"/>
        <item m="1" x="2081"/>
        <item m="1" x="2329"/>
        <item m="1" x="2584"/>
        <item m="1" x="2834"/>
        <item m="1" x="3087"/>
        <item m="1" x="3342"/>
        <item m="1" x="3597"/>
        <item m="1" x="3852"/>
      </items>
    </pivotField>
    <pivotField axis="axisRow" showAll="0" sortType="ascending" defaultSubtotal="0">
      <items count="8000">
        <item sd="0" m="1" x="6428"/>
        <item sd="0" m="1" x="2149"/>
        <item sd="0" m="1" x="198"/>
        <item sd="0" m="1" x="2986"/>
        <item sd="0" m="1" x="4939"/>
        <item sd="0" m="1" x="2150"/>
        <item sd="0" m="1" x="199"/>
        <item sd="0" m="1" x="6429"/>
        <item sd="0" m="1" x="2151"/>
        <item sd="0" m="1" x="200"/>
        <item sd="0" m="1" x="2987"/>
        <item sd="0" m="1" x="2152"/>
        <item sd="0" m="1" x="2988"/>
        <item sd="0" m="1" x="2153"/>
        <item sd="0" m="1" x="201"/>
        <item sd="0" m="1" x="2989"/>
        <item sd="0" m="1" x="6430"/>
        <item sd="0" m="1" x="202"/>
        <item sd="0" m="1" x="2990"/>
        <item sd="0" m="1" x="2154"/>
        <item sd="0" m="1" x="2155"/>
        <item sd="0" m="1" x="203"/>
        <item sd="0" m="1" x="4489"/>
        <item sd="0" m="1" x="1275"/>
        <item sd="0" m="1" x="2794"/>
        <item sd="0" m="1" x="495"/>
        <item sd="0" m="1" x="4490"/>
        <item sd="0" m="1" x="789"/>
        <item sd="0" m="1" x="1276"/>
        <item sd="0" m="1" x="2795"/>
        <item sd="0" m="1" x="790"/>
        <item sd="0" m="1" x="5358"/>
        <item sd="0" m="1" x="496"/>
        <item sd="0" m="1" x="4491"/>
        <item sd="0" m="1" x="791"/>
        <item sd="0" m="1" x="5359"/>
        <item sd="0" m="1" x="1277"/>
        <item sd="0" m="1" x="2796"/>
        <item sd="0" m="1" x="4492"/>
        <item sd="0" m="1" x="792"/>
        <item sd="0" m="1" x="5360"/>
        <item sd="0" m="1" x="1278"/>
        <item sd="0" m="1" x="2797"/>
        <item sd="0" m="1" x="793"/>
        <item sd="0" m="1" x="268"/>
        <item sd="0" m="1" x="3474"/>
        <item sd="0" m="1" x="2591"/>
        <item sd="0" m="1" x="269"/>
        <item sd="0" m="1" x="3475"/>
        <item sd="0" m="1" x="2592"/>
        <item sd="0" m="1" x="270"/>
        <item sd="0" m="1" x="2593"/>
        <item sd="0" m="1" x="271"/>
        <item sd="0" m="1" x="3476"/>
        <item sd="0" m="1" x="2594"/>
        <item sd="0" m="1" x="272"/>
        <item sd="0" m="1" x="2595"/>
        <item sd="0" m="1" x="273"/>
        <item sd="0" m="1" x="3477"/>
        <item sd="0" m="1" x="2596"/>
        <item sd="0" m="1" x="274"/>
        <item sd="0" m="1" x="3478"/>
        <item sd="0" m="1" x="2597"/>
        <item sd="0" m="1" x="3479"/>
        <item sd="0" m="1" x="275"/>
        <item sd="0" m="1" x="3480"/>
        <item sd="0" m="1" x="276"/>
        <item sd="0" m="1" x="3481"/>
        <item sd="0" m="1" x="2598"/>
        <item sd="0" m="1" x="2599"/>
        <item sd="0" m="1" x="277"/>
        <item sd="0" m="1" x="2600"/>
        <item sd="0" m="1" x="278"/>
        <item sd="0" m="1" x="3482"/>
        <item sd="0" m="1" x="2601"/>
        <item sd="0" m="1" x="3483"/>
        <item sd="0" m="1" x="2602"/>
        <item sd="0" m="1" x="279"/>
        <item sd="0" m="1" x="3484"/>
        <item sd="0" m="1" x="280"/>
        <item sd="0" m="1" x="3485"/>
        <item sd="0" m="1" x="2603"/>
        <item sd="0" m="1" x="3486"/>
        <item sd="0" m="1" x="2604"/>
        <item sd="0" m="1" x="4990"/>
        <item sd="0" m="1" x="5815"/>
        <item sd="0" m="1" x="1587"/>
        <item sd="0" m="1" x="3257"/>
        <item sd="0" m="1" x="4991"/>
        <item sd="0" m="1" x="1588"/>
        <item sd="0" m="1" x="3258"/>
        <item sd="0" m="1" x="1023"/>
        <item sd="0" m="1" x="5816"/>
        <item sd="0" m="1" x="1024"/>
        <item sd="0" m="1" x="5817"/>
        <item sd="0" m="1" x="4992"/>
        <item sd="0" m="1" x="1025"/>
        <item sd="0" m="1" x="1589"/>
        <item sd="0" m="1" x="4993"/>
        <item sd="0" m="1" x="7227"/>
        <item sd="0" m="1" x="7635"/>
        <item sd="0" m="1" x="7919"/>
        <item sd="0" m="1" x="3207"/>
        <item sd="0" m="1" x="4166"/>
        <item sd="0" m="1" x="5103"/>
        <item sd="0" m="1" x="494"/>
        <item sd="0" m="1" x="3778"/>
        <item sd="0" m="1" x="4734"/>
        <item sd="0" m="1" x="5633"/>
        <item sd="0" m="1" x="6419"/>
        <item sd="0" m="1" x="1392"/>
        <item sd="0" m="1" x="5701"/>
        <item sd="0" m="1" x="6480"/>
        <item sd="0" m="1" x="7079"/>
        <item sd="0" m="1" x="7536"/>
        <item sd="0" m="1" x="2972"/>
        <item sd="0" m="1" x="2605"/>
        <item sd="0" m="1" x="3526"/>
        <item sd="0" m="1" x="4480"/>
        <item sd="0" m="1" x="4549"/>
        <item sd="0" m="1" x="5468"/>
        <item sd="0" m="1" x="6312"/>
        <item sd="0" m="1" x="1026"/>
        <item sd="0" m="1" x="1603"/>
        <item sd="0" m="1" x="2348"/>
        <item sd="0" m="1" x="3259"/>
        <item sd="0" m="1" x="2404"/>
        <item sd="0" m="1" x="6662"/>
        <item sd="0" m="1" x="7211"/>
        <item sd="0" m="1" x="2330"/>
        <item sd="0" m="1" x="3191"/>
        <item sd="0" m="1" x="1976"/>
        <item sd="0" m="1" x="2798"/>
        <item sd="0" m="1" x="3757"/>
        <item sd="0" m="1" x="4703"/>
        <item sd="0" m="1" x="3814"/>
        <item sd="0" m="1" x="4766"/>
        <item sd="0" m="1" x="5681"/>
        <item sd="0" m="1" x="6464"/>
        <item sd="0" m="1" x="1153"/>
        <item sd="0" m="1" x="1776"/>
        <item sd="0" m="1" x="2569"/>
        <item sd="0" m="1" x="2637"/>
        <item sd="0" m="1" x="3573"/>
        <item sd="0" m="1" x="4526"/>
        <item sd="0" m="1" x="4581"/>
        <item sd="0" m="1" x="360"/>
        <item sd="0" m="1" x="602"/>
        <item sd="0" m="1" x="1007"/>
        <item sd="0" m="1" x="1590"/>
        <item sd="0" m="1" x="6018"/>
        <item sd="0" m="1" x="1066"/>
        <item sd="0" m="1" x="1626"/>
        <item sd="0" m="1" x="2388"/>
        <item sd="0" m="1" x="3286"/>
        <item sd="0" m="1" x="7269"/>
        <item sd="0" m="1" x="2468"/>
        <item sd="0" m="1" x="3349"/>
        <item sd="0" m="1" x="4324"/>
        <item sd="0" m="1" x="189"/>
        <item sd="0" m="1" x="295"/>
        <item sd="0" m="1" x="513"/>
        <item sd="0" m="1" x="884"/>
        <item sd="0" m="1" x="3981"/>
        <item sd="0" m="1" x="4903"/>
        <item sd="0" m="1" x="5781"/>
        <item sd="0" m="1" x="558"/>
        <item sd="0" m="1" x="924"/>
        <item sd="0" m="1" x="1459"/>
        <item sd="0" m="1" x="2181"/>
        <item sd="0" m="1" x="5859"/>
        <item sd="0" m="1" x="6578"/>
        <item sd="0" m="1" x="7146"/>
        <item sd="0" m="1" x="1538"/>
        <item sd="0" m="1" x="2252"/>
        <item sd="0" m="1" x="3118"/>
        <item sd="0" m="1" x="4088"/>
        <item sd="0" m="1" x="166"/>
        <item sd="0" m="1" x="249"/>
        <item sd="0" m="1" x="2773"/>
        <item sd="0" m="1" x="3714"/>
        <item sd="0" m="1" x="4646"/>
        <item sd="0" m="1" x="5551"/>
        <item sd="0" m="1" x="484"/>
        <item sd="0" m="1" x="820"/>
        <item sd="0" m="1" x="4704"/>
        <item sd="0" m="1" x="7969"/>
        <item sd="0" m="1" x="5334"/>
        <item sd="0" m="1" x="6169"/>
        <item sd="0" m="1" x="588"/>
        <item sd="0" m="1" x="955"/>
        <item sd="0" m="1" x="1489"/>
        <item sd="0" m="1" x="2206"/>
        <item sd="0" m="1" x="6616"/>
        <item sd="0" m="1" x="7174"/>
        <item sd="0" m="1" x="1573"/>
        <item sd="0" m="1" x="2287"/>
        <item sd="0" m="1" x="3154"/>
        <item sd="0" m="1" x="4115"/>
        <item sd="0" m="1" x="7643"/>
        <item sd="0" m="1" x="7920"/>
        <item sd="0" m="1" x="3217"/>
        <item sd="0" m="1" x="4167"/>
        <item sd="0" m="1" x="5104"/>
        <item sd="0" m="1" x="5973"/>
        <item sd="0" m="1" x="497"/>
        <item sd="0" m="1" x="847"/>
        <item sd="0" m="1" x="1320"/>
        <item sd="0" m="1" x="4746"/>
        <item sd="0" m="1" x="5642"/>
        <item sd="0" m="1" x="6431"/>
        <item sd="0" m="1" x="7023"/>
        <item sd="0" m="1" x="1398"/>
        <item sd="0" m="1" x="2085"/>
        <item sd="0" m="1" x="2901"/>
        <item sd="0" m="1" x="6491"/>
        <item sd="0" m="1" x="7085"/>
        <item sd="0" m="1" x="7554"/>
        <item sd="0" m="1" x="7860"/>
        <item sd="0" m="1" x="2978"/>
        <item sd="0" m="1" x="3923"/>
        <item sd="0" m="1" x="4867"/>
        <item sd="0" m="1" x="426"/>
        <item sd="0" m="1" x="3541"/>
        <item sd="0" m="1" x="4493"/>
        <item sd="0" m="1" x="5425"/>
        <item sd="0" m="1" x="6239"/>
        <item sd="0" m="1" x="1250"/>
        <item sd="0" m="1" x="5476"/>
        <item sd="0" m="1" x="6948"/>
        <item sd="0" m="1" x="7436"/>
        <item sd="0" m="1" x="2748"/>
        <item sd="0" m="1" x="2355"/>
        <item sd="0" m="1" x="3260"/>
        <item sd="0" m="1" x="4238"/>
        <item sd="0" m="1" x="4284"/>
        <item sd="0" m="1" x="5241"/>
        <item sd="0" m="1" x="6103"/>
        <item sd="0" m="1" x="905"/>
        <item sd="0" m="1" x="1428"/>
        <item sd="0" m="1" x="2156"/>
        <item sd="0" m="1" x="3029"/>
        <item sd="0" m="1" x="2207"/>
        <item sd="0" m="1" x="3087"/>
        <item sd="0" m="1" x="4054"/>
        <item sd="0" m="1" x="5004"/>
        <item sd="0" m="1" x="6240"/>
        <item sd="0" m="1" x="6882"/>
        <item sd="0" m="1" x="7375"/>
        <item sd="0" m="1" x="1883"/>
        <item sd="0" m="1" x="2679"/>
        <item sd="0" m="1" x="3600"/>
        <item sd="0" m="1" x="204"/>
        <item sd="0" m="1" x="336"/>
        <item sd="0" m="1" x="3229"/>
        <item sd="0" m="1" x="4189"/>
        <item sd="0" m="1" x="5119"/>
        <item sd="0" m="1" x="630"/>
        <item sd="0" m="1" x="1035"/>
        <item sd="0" m="1" x="5172"/>
        <item sd="0" m="1" x="6046"/>
        <item sd="0" m="1" x="6717"/>
        <item sd="0" m="1" x="1661"/>
        <item sd="0" m="1" x="2414"/>
        <item sd="0" m="1" x="176"/>
        <item sd="0" m="1" x="1415"/>
        <item sd="0" m="1" x="2120"/>
        <item sd="0" m="1" x="2991"/>
        <item sd="0" m="1" x="3935"/>
        <item sd="0" m="1" x="539"/>
        <item sd="0" m="1" x="3030"/>
        <item sd="0" m="1" x="3996"/>
        <item sd="0" m="1" x="4940"/>
        <item sd="0" m="1" x="5830"/>
        <item sd="0" m="1" x="1490"/>
        <item sd="0" m="1" x="1372"/>
        <item sd="0" m="1" x="2025"/>
        <item sd="0" m="1" x="2861"/>
        <item sd="0" m="1" x="3815"/>
        <item sd="0" m="1" x="7067"/>
        <item sd="0" m="1" x="7521"/>
        <item sd="0" m="1" x="2960"/>
        <item sd="0" m="1" x="3891"/>
        <item sd="0" m="1" x="4835"/>
        <item sd="0" m="1" x="5727"/>
        <item sd="0" m="1" x="7888"/>
        <item sd="0" m="1" x="4891"/>
        <item sd="0" m="1" x="5769"/>
        <item sd="0" m="1" x="6522"/>
        <item sd="0" m="1" x="759"/>
        <item sd="0" m="1" x="1208"/>
        <item sd="0" m="1" x="1835"/>
        <item sd="0" m="1" x="6291"/>
        <item sd="0" m="1" x="6908"/>
        <item sd="0" m="1" x="7404"/>
        <item sd="0" m="1" x="1922"/>
        <item sd="0" m="1" x="2711"/>
        <item sd="0" m="1" x="3633"/>
        <item sd="0" m="1" x="7461"/>
        <item sd="0" m="1" x="7796"/>
        <item sd="0" m="1" x="3693"/>
        <item sd="0" m="1" x="4628"/>
        <item sd="0" m="1" x="5533"/>
        <item sd="0" m="1" x="654"/>
        <item sd="0" m="1" x="1067"/>
        <item sd="0" m="1" x="5211"/>
        <item sd="0" m="1" x="6072"/>
        <item sd="0" m="1" x="6749"/>
        <item sd="0" m="1" x="1718"/>
        <item sd="0" m="1" x="2469"/>
        <item sd="0" m="1" x="6811"/>
        <item sd="0" m="1" x="5728"/>
        <item sd="0" m="1" x="1154"/>
        <item sd="0" m="1" x="1777"/>
        <item sd="0" m="1" x="2570"/>
        <item sd="0" m="1" x="6867"/>
        <item sd="0" m="1" x="2638"/>
        <item sd="0" m="1" x="3574"/>
        <item sd="0" m="1" x="4527"/>
        <item sd="0" m="1" x="7772"/>
        <item sd="0" m="1" x="4582"/>
        <item sd="0" m="1" x="5508"/>
        <item sd="0" m="1" x="361"/>
        <item sd="0" m="1" x="603"/>
        <item sd="0" m="1" x="1008"/>
        <item sd="0" m="1" x="1591"/>
        <item sd="0" m="1" x="6019"/>
        <item sd="0" m="1" x="6701"/>
        <item sd="0" m="1" x="1068"/>
        <item sd="0" m="1" x="1627"/>
        <item sd="0" m="1" x="2389"/>
        <item sd="0" m="1" x="3287"/>
        <item sd="0" m="1" x="7270"/>
        <item sd="0" m="1" x="7680"/>
        <item sd="0" m="1" x="2470"/>
        <item sd="0" m="1" x="3350"/>
        <item sd="0" m="1" x="4325"/>
        <item sd="0" m="1" x="5267"/>
        <item sd="0" m="1" x="296"/>
        <item sd="0" m="1" x="514"/>
        <item sd="0" m="1" x="885"/>
        <item sd="0" m="1" x="3982"/>
        <item sd="0" m="1" x="4904"/>
        <item sd="0" m="1" x="5782"/>
        <item sd="0" m="1" x="6531"/>
        <item sd="0" m="1" x="925"/>
        <item sd="0" m="1" x="1460"/>
        <item sd="0" m="1" x="2182"/>
        <item sd="0" m="1" x="5860"/>
        <item sd="0" m="1" x="6579"/>
        <item sd="0" m="1" x="7147"/>
        <item sd="0" m="1" x="7589"/>
        <item sd="0" m="1" x="2253"/>
        <item sd="0" m="1" x="3119"/>
        <item sd="0" m="1" x="4089"/>
        <item sd="0" m="1" x="250"/>
        <item sd="0" m="1" x="2774"/>
        <item sd="0" m="1" x="3715"/>
        <item sd="0" m="1" x="4647"/>
        <item sd="0" m="1" x="5552"/>
        <item sd="0" m="1" x="821"/>
        <item sd="0" m="1" x="4705"/>
        <item sd="0" m="1" x="5616"/>
        <item sd="0" m="1" x="6396"/>
        <item sd="0" m="1" x="6996"/>
        <item sd="0" m="1" x="2026"/>
        <item sd="0" m="1" x="1750"/>
        <item sd="0" m="1" x="2535"/>
        <item sd="0" m="1" x="3445"/>
        <item sd="0" m="1" x="4404"/>
        <item sd="0" m="1" x="3508"/>
        <item sd="0" m="1" x="4462"/>
        <item sd="0" m="1" x="5396"/>
        <item sd="0" m="1" x="7644"/>
        <item sd="0" m="1" x="7921"/>
        <item sd="0" m="1" x="95"/>
        <item sd="0" m="1" x="4168"/>
        <item sd="0" m="1" x="5105"/>
        <item sd="0" m="1" x="5974"/>
        <item sd="0" m="1" x="760"/>
        <item sd="0" m="1" x="1209"/>
        <item sd="0" m="1" x="1836"/>
        <item sd="0" m="1" x="6292"/>
        <item sd="0" m="1" x="6909"/>
        <item sd="0" m="1" x="1923"/>
        <item sd="0" m="1" x="2712"/>
        <item sd="0" m="1" x="3634"/>
        <item sd="0" m="1" x="7462"/>
        <item sd="0" m="1" x="7797"/>
        <item sd="0" m="1" x="3694"/>
        <item sd="0" m="1" x="4629"/>
        <item sd="0" m="1" x="5534"/>
        <item sd="0" m="1" x="383"/>
        <item sd="0" m="1" x="655"/>
        <item sd="0" m="1" x="1069"/>
        <item sd="0" m="1" x="5212"/>
        <item sd="0" m="1" x="6073"/>
        <item sd="0" m="1" x="6750"/>
        <item sd="0" m="1" x="1127"/>
        <item sd="0" m="1" x="1719"/>
        <item sd="0" m="1" x="2471"/>
        <item sd="0" m="1" x="6812"/>
        <item sd="0" m="1" x="7340"/>
        <item sd="0" m="1" x="7720"/>
        <item sd="0" m="1" x="2528"/>
        <item sd="0" m="1" x="3430"/>
        <item sd="0" m="1" x="4387"/>
        <item sd="0" m="1" x="329"/>
        <item sd="0" m="1" x="559"/>
        <item sd="0" m="1" x="3065"/>
        <item sd="0" m="1" x="4020"/>
        <item sd="0" m="1" x="4970"/>
        <item sd="0" m="1" x="5861"/>
        <item sd="0" m="1" x="997"/>
        <item sd="0" m="1" x="1539"/>
        <item sd="0" m="1" x="5038"/>
        <item sd="0" m="1" x="5921"/>
        <item sd="0" m="1" x="6663"/>
        <item sd="0" m="1" x="7212"/>
        <item sd="0" m="1" x="2331"/>
        <item sd="0" m="1" x="3192"/>
        <item sd="0" m="1" x="1977"/>
        <item sd="0" m="1" x="2799"/>
        <item sd="0" m="1" x="3758"/>
        <item sd="0" m="1" x="4706"/>
        <item sd="0" m="1" x="3816"/>
        <item sd="0" m="1" x="4767"/>
        <item sd="0" m="1" x="5682"/>
        <item sd="0" m="1" x="6465"/>
        <item sd="0" m="1" x="1155"/>
        <item sd="0" m="1" x="1778"/>
        <item sd="0" m="1" x="2571"/>
        <item sd="0" m="1" x="2639"/>
        <item sd="0" m="1" x="3575"/>
        <item sd="0" m="1" x="4528"/>
        <item sd="0" m="1" x="5862"/>
        <item sd="0" m="1" x="6580"/>
        <item sd="0" m="1" x="7148"/>
        <item sd="0" m="1" x="1540"/>
        <item sd="0" m="1" x="2254"/>
        <item sd="0" m="1" x="3120"/>
        <item sd="0" m="1" x="4090"/>
        <item sd="0" m="1" x="167"/>
        <item sd="0" m="1" x="251"/>
        <item sd="0" m="1" x="2775"/>
        <item sd="0" m="1" x="3716"/>
        <item sd="0" m="1" x="4648"/>
        <item sd="0" m="1" x="5553"/>
        <item sd="0" m="1" x="485"/>
        <item sd="0" m="1" x="822"/>
        <item sd="0" m="1" x="4707"/>
        <item sd="0" m="1" x="5617"/>
        <item sd="0" m="1" x="6397"/>
        <item sd="0" m="1" x="6997"/>
        <item sd="0" m="1" x="1373"/>
        <item sd="0" m="1" x="2027"/>
        <item sd="0" m="1" x="158"/>
        <item sd="0" m="1" x="1751"/>
        <item sd="0" m="1" x="2536"/>
        <item sd="0" m="1" x="3446"/>
        <item sd="0" m="1" x="4405"/>
        <item sd="0" m="1" x="417"/>
        <item sd="0" m="1" x="3509"/>
        <item sd="0" m="1" x="4463"/>
        <item sd="0" m="1" x="5397"/>
        <item sd="0" m="1" x="1210"/>
        <item sd="0" m="1" x="1662"/>
        <item sd="0" m="1" x="2415"/>
        <item sd="0" m="1" x="3311"/>
        <item sd="0" m="1" x="7307"/>
        <item sd="0" m="1" x="3391"/>
        <item sd="0" m="1" x="4357"/>
        <item sd="0" m="1" x="5286"/>
        <item sd="0" m="1" x="7970"/>
        <item sd="0" m="1" x="5335"/>
        <item sd="0" m="1" x="6170"/>
        <item sd="0" m="1" x="589"/>
        <item sd="0" m="1" x="956"/>
        <item sd="0" m="1" x="1491"/>
        <item sd="0" m="1" x="2208"/>
        <item sd="0" m="1" x="6617"/>
        <item sd="0" m="1" x="7175"/>
        <item sd="0" m="1" x="1574"/>
        <item sd="0" m="1" x="2288"/>
        <item sd="0" m="1" x="3155"/>
        <item sd="0" m="1" x="4116"/>
        <item sd="0" m="1" x="7645"/>
        <item sd="0" m="1" x="7922"/>
        <item sd="0" m="1" x="3218"/>
        <item sd="0" m="1" x="4169"/>
        <item sd="0" m="1" x="5106"/>
        <item sd="0" m="1" x="5975"/>
        <item sd="0" m="1" x="498"/>
        <item sd="0" m="1" x="848"/>
        <item sd="0" m="1" x="1321"/>
        <item sd="0" m="1" x="4747"/>
        <item sd="0" m="1" x="5643"/>
        <item sd="0" m="1" x="6432"/>
        <item sd="0" m="1" x="7024"/>
        <item sd="0" m="1" x="1399"/>
        <item sd="0" m="1" x="2086"/>
        <item sd="0" m="1" x="2902"/>
        <item sd="0" m="1" x="6492"/>
        <item sd="0" m="1" x="906"/>
        <item sd="0" m="1" x="1429"/>
        <item sd="0" m="1" x="2157"/>
        <item sd="0" m="1" x="3031"/>
        <item sd="0" m="1" x="2209"/>
        <item sd="0" m="1" x="3088"/>
        <item sd="0" m="1" x="4055"/>
        <item sd="0" m="1" x="5005"/>
        <item sd="0" m="1" x="4117"/>
        <item sd="0" m="1" x="5061"/>
        <item sd="0" m="1" x="451"/>
        <item sd="0" m="1" x="794"/>
        <item sd="0" m="1" x="1279"/>
        <item sd="0" m="1" x="1957"/>
        <item sd="0" m="1" x="5596"/>
        <item sd="0" m="1" x="6363"/>
        <item sd="0" m="1" x="1322"/>
        <item sd="0" m="1" x="1999"/>
        <item sd="0" m="1" x="2828"/>
        <item sd="0" m="1" x="3788"/>
        <item sd="0" m="1" x="7025"/>
        <item sd="0" m="1" x="7486"/>
        <item sd="0" m="1" x="2903"/>
        <item sd="0" m="1" x="3860"/>
        <item sd="0" m="1" x="4797"/>
        <item sd="0" m="1" x="228"/>
        <item sd="0" m="1" x="391"/>
        <item sd="0" m="1" x="686"/>
        <item sd="0" m="1" x="4435"/>
        <item sd="0" m="1" x="5361"/>
        <item sd="0" m="1" x="6184"/>
        <item sd="0" m="1" x="725"/>
        <item sd="0" m="1" x="1182"/>
        <item sd="0" m="1" x="1802"/>
        <item sd="0" m="1" x="6241"/>
        <item sd="0" m="1" x="6883"/>
        <item sd="0" m="1" x="7376"/>
        <item sd="0" m="1" x="1884"/>
        <item sd="0" m="1" x="2680"/>
        <item sd="0" m="1" x="3601"/>
        <item sd="0" m="1" x="205"/>
        <item sd="0" m="1" x="337"/>
        <item sd="0" m="1" x="3230"/>
        <item sd="0" m="1" x="4190"/>
        <item sd="0" m="1" x="5120"/>
        <item sd="0" m="1" x="631"/>
        <item sd="0" m="1" x="1036"/>
        <item sd="0" m="1" x="5173"/>
        <item sd="0" m="1" x="6047"/>
        <item sd="0" m="1" x="6718"/>
        <item sd="0" m="1" x="1663"/>
        <item sd="0" m="1" x="2416"/>
        <item sd="0" m="1" x="177"/>
        <item sd="0" m="1" x="1416"/>
        <item sd="0" m="1" x="2121"/>
        <item sd="0" m="1" x="2992"/>
        <item sd="0" m="1" x="3936"/>
        <item sd="0" m="1" x="540"/>
        <item sd="0" m="1" x="3032"/>
        <item sd="0" m="1" x="3997"/>
        <item sd="0" m="1" x="4941"/>
        <item sd="0" m="1" x="7463"/>
        <item sd="0" m="1" x="7798"/>
        <item sd="0" m="1" x="3695"/>
        <item sd="0" m="1" x="4630"/>
        <item sd="0" m="1" x="5535"/>
        <item sd="0" m="1" x="656"/>
        <item sd="0" m="1" x="1070"/>
        <item sd="0" m="1" x="5213"/>
        <item sd="0" m="1" x="6074"/>
        <item sd="0" m="1" x="6751"/>
        <item sd="0" m="1" x="1720"/>
        <item sd="0" m="1" x="2472"/>
        <item sd="0" m="1" x="6813"/>
        <item sd="0" m="1" x="7341"/>
        <item sd="0" m="1" x="7721"/>
        <item sd="0" m="1" x="3431"/>
        <item sd="0" m="1" x="4388"/>
        <item sd="0" m="1" x="560"/>
        <item sd="0" m="1" x="3066"/>
        <item sd="0" m="1" x="4021"/>
        <item sd="0" m="1" x="4971"/>
        <item sd="0" m="1" x="5863"/>
        <item sd="0" m="1" x="1541"/>
        <item sd="0" m="1" x="5039"/>
        <item sd="0" m="1" x="5922"/>
        <item sd="0" m="1" x="6664"/>
        <item sd="0" m="1" x="7213"/>
        <item sd="0" m="1" x="3193"/>
        <item sd="0" m="1" x="1978"/>
        <item sd="0" m="1" x="2800"/>
        <item sd="0" m="1" x="3759"/>
        <item sd="0" m="1" x="4708"/>
        <item sd="0" m="1" x="3817"/>
        <item sd="0" m="1" x="4768"/>
        <item sd="0" m="1" x="5683"/>
        <item sd="0" m="1" x="6466"/>
        <item sd="0" m="1" x="5729"/>
        <item sd="0" m="1" x="1156"/>
        <item sd="0" m="1" x="1779"/>
        <item sd="0" m="1" x="2572"/>
        <item sd="0" m="1" x="6868"/>
        <item sd="0" m="1" x="2640"/>
        <item sd="0" m="1" x="3576"/>
        <item sd="0" m="1" x="4529"/>
        <item sd="0" m="1" x="7773"/>
        <item sd="0" m="1" x="4583"/>
        <item sd="0" m="1" x="5509"/>
        <item sd="0" m="1" x="362"/>
        <item sd="0" m="1" x="604"/>
        <item sd="0" m="1" x="1009"/>
        <item sd="0" m="1" x="1592"/>
        <item sd="0" m="1" x="6020"/>
        <item sd="0" m="1" x="6702"/>
        <item sd="0" m="1" x="1071"/>
        <item sd="0" m="1" x="1628"/>
        <item sd="0" m="1" x="2390"/>
        <item sd="0" m="1" x="3288"/>
        <item sd="0" m="1" x="6398"/>
        <item sd="0" m="1" x="6998"/>
        <item sd="0" m="1" x="2028"/>
        <item sd="0" m="1" x="1752"/>
        <item sd="0" m="1" x="2537"/>
        <item sd="0" m="1" x="3447"/>
        <item sd="0" m="1" x="3510"/>
        <item sd="0" m="1" x="4464"/>
        <item sd="0" m="1" x="5398"/>
        <item sd="0" m="1" x="761"/>
        <item sd="0" m="1" x="1211"/>
        <item sd="0" m="1" x="1837"/>
        <item sd="0" m="1" x="6293"/>
        <item sd="0" m="1" x="6910"/>
        <item sd="0" m="1" x="1924"/>
        <item sd="0" m="1" x="2713"/>
        <item sd="0" m="1" x="3635"/>
        <item sd="0" m="1" x="7464"/>
        <item sd="0" m="1" x="7799"/>
        <item sd="0" m="1" x="3696"/>
        <item sd="0" m="1" x="4631"/>
        <item sd="0" m="1" x="5536"/>
        <item sd="0" m="1" x="384"/>
        <item sd="0" m="1" x="657"/>
        <item sd="0" m="1" x="1072"/>
        <item sd="0" m="1" x="5214"/>
        <item sd="0" m="1" x="6075"/>
        <item sd="0" m="1" x="6752"/>
        <item sd="0" m="1" x="1128"/>
        <item sd="0" m="1" x="1721"/>
        <item sd="0" m="1" x="2473"/>
        <item sd="0" m="1" x="6814"/>
        <item sd="0" m="1" x="7342"/>
        <item sd="0" m="1" x="7722"/>
        <item sd="0" m="1" x="2529"/>
        <item sd="0" m="1" x="3432"/>
        <item sd="0" m="1" x="4389"/>
        <item sd="0" m="1" x="330"/>
        <item sd="0" m="1" x="561"/>
        <item sd="0" m="1" x="3067"/>
        <item sd="0" m="1" x="4022"/>
        <item sd="0" m="1" x="4972"/>
        <item sd="0" m="1" x="5864"/>
        <item sd="0" m="1" x="998"/>
        <item sd="0" m="1" x="1542"/>
        <item sd="0" m="1" x="5040"/>
        <item sd="0" m="1" x="5923"/>
        <item sd="0" m="1" x="6665"/>
        <item sd="0" m="1" x="7214"/>
        <item sd="0" m="1" x="2332"/>
        <item sd="0" m="1" x="3194"/>
        <item sd="0" m="1" x="1979"/>
        <item sd="0" m="1" x="2801"/>
        <item sd="0" m="1" x="3760"/>
        <item sd="0" m="1" x="4709"/>
        <item sd="0" m="1" x="3818"/>
        <item sd="0" m="1" x="4769"/>
        <item sd="0" m="1" x="5684"/>
        <item sd="0" m="1" x="7271"/>
        <item sd="0" m="1" x="2474"/>
        <item sd="0" m="1" x="3351"/>
        <item sd="0" m="1" x="4326"/>
        <item sd="0" m="1" x="190"/>
        <item sd="0" m="1" x="297"/>
        <item sd="0" m="1" x="515"/>
        <item sd="0" m="1" x="886"/>
        <item sd="0" m="1" x="4905"/>
        <item sd="0" m="1" x="5783"/>
        <item sd="0" m="1" x="562"/>
        <item sd="0" m="1" x="926"/>
        <item sd="0" m="1" x="1461"/>
        <item sd="0" m="1" x="2183"/>
        <item sd="0" m="1" x="5865"/>
        <item sd="0" m="1" x="6581"/>
        <item sd="0" m="1" x="7149"/>
        <item sd="0" m="1" x="1543"/>
        <item sd="0" m="1" x="2255"/>
        <item sd="0" m="1" x="3121"/>
        <item sd="0" m="1" x="4091"/>
        <item sd="0" m="1" x="168"/>
        <item sd="0" m="1" x="252"/>
        <item sd="0" m="1" x="2776"/>
        <item sd="0" m="1" x="3717"/>
        <item sd="0" m="1" x="4649"/>
        <item sd="0" m="1" x="5554"/>
        <item sd="0" m="1" x="486"/>
        <item sd="0" m="1" x="823"/>
        <item sd="0" m="1" x="4710"/>
        <item sd="0" m="1" x="5618"/>
        <item sd="0" m="1" x="6399"/>
        <item sd="0" m="1" x="6999"/>
        <item sd="0" m="1" x="1374"/>
        <item sd="0" m="1" x="2029"/>
        <item sd="0" m="1" x="159"/>
        <item sd="0" m="1" x="1753"/>
        <item sd="0" m="1" x="2538"/>
        <item sd="0" m="1" x="3448"/>
        <item sd="0" m="1" x="418"/>
        <item sd="0" m="1" x="3511"/>
        <item sd="0" m="1" x="4465"/>
        <item sd="0" m="1" x="5399"/>
        <item sd="0" m="1" x="1212"/>
        <item sd="0" m="1" x="1664"/>
        <item sd="0" m="1" x="2417"/>
        <item sd="0" m="1" x="3312"/>
        <item sd="0" m="1" x="7308"/>
        <item sd="0" m="1" x="3392"/>
        <item sd="0" m="1" x="4358"/>
        <item sd="0" m="1" x="5287"/>
        <item sd="0" m="1" x="7971"/>
        <item sd="0" m="1" x="5336"/>
        <item sd="0" m="1" x="6171"/>
        <item sd="0" m="1" x="590"/>
        <item sd="0" m="1" x="957"/>
        <item sd="0" m="1" x="1492"/>
        <item sd="0" m="1" x="2210"/>
        <item sd="0" m="1" x="6618"/>
        <item sd="0" m="1" x="7176"/>
        <item sd="0" m="1" x="1575"/>
        <item sd="0" m="1" x="2289"/>
        <item sd="0" m="1" x="3156"/>
        <item sd="0" m="1" x="4118"/>
        <item sd="0" m="1" x="6949"/>
        <item sd="0" m="1" x="7437"/>
        <item sd="0" m="1" x="2749"/>
        <item sd="0" m="1" x="2356"/>
        <item sd="0" m="1" x="3261"/>
        <item sd="0" m="1" x="4239"/>
        <item sd="0" m="1" x="4285"/>
        <item sd="0" m="1" x="5242"/>
        <item sd="0" m="1" x="6104"/>
        <item sd="0" m="1" x="907"/>
        <item sd="0" m="1" x="1430"/>
        <item sd="0" m="1" x="2158"/>
        <item sd="0" m="1" x="3033"/>
        <item sd="0" m="1" x="2211"/>
        <item sd="0" m="1" x="3089"/>
        <item sd="0" m="1" x="4056"/>
        <item sd="0" m="1" x="5006"/>
        <item sd="0" m="1" x="4119"/>
        <item sd="0" m="1" x="5062"/>
        <item sd="0" m="1" x="452"/>
        <item sd="0" m="1" x="795"/>
        <item sd="0" m="1" x="1280"/>
        <item sd="0" m="1" x="1958"/>
        <item sd="0" m="1" x="5597"/>
        <item sd="0" m="1" x="6364"/>
        <item sd="0" m="1" x="1323"/>
        <item sd="0" m="1" x="2000"/>
        <item sd="0" m="1" x="2829"/>
        <item sd="0" m="1" x="3789"/>
        <item sd="0" m="1" x="7026"/>
        <item sd="0" m="1" x="7487"/>
        <item sd="0" m="1" x="2904"/>
        <item sd="0" m="1" x="3861"/>
        <item sd="0" m="1" x="4798"/>
        <item sd="0" m="1" x="229"/>
        <item sd="0" m="1" x="392"/>
        <item sd="0" m="1" x="687"/>
        <item sd="0" m="1" x="4436"/>
        <item sd="0" m="1" x="5362"/>
        <item sd="0" m="1" x="6185"/>
        <item sd="0" m="1" x="726"/>
        <item sd="0" m="1" x="1183"/>
        <item sd="0" m="1" x="1803"/>
        <item sd="0" m="1" x="6242"/>
        <item sd="0" m="1" x="6884"/>
        <item sd="0" m="1" x="7377"/>
        <item sd="0" m="1" x="1885"/>
        <item sd="0" m="1" x="2681"/>
        <item sd="0" m="1" x="3602"/>
        <item sd="0" m="1" x="206"/>
        <item sd="0" m="1" x="338"/>
        <item sd="0" m="1" x="3231"/>
        <item sd="0" m="1" x="4191"/>
        <item sd="0" m="1" x="5121"/>
        <item sd="0" m="1" x="632"/>
        <item sd="0" m="1" x="1037"/>
        <item sd="0" m="1" x="5174"/>
        <item sd="0" m="1" x="7889"/>
        <item sd="0" m="1" x="4892"/>
        <item sd="0" m="1" x="5770"/>
        <item sd="0" m="1" x="6523"/>
        <item sd="0" m="1" x="762"/>
        <item sd="0" m="1" x="1213"/>
        <item sd="0" m="1" x="1838"/>
        <item sd="0" m="1" x="6294"/>
        <item sd="0" m="1" x="6911"/>
        <item sd="0" m="1" x="7405"/>
        <item sd="0" m="1" x="1925"/>
        <item sd="0" m="1" x="2714"/>
        <item sd="0" m="1" x="3636"/>
        <item sd="0" m="1" x="7465"/>
        <item sd="0" m="1" x="7800"/>
        <item sd="0" m="1" x="3697"/>
        <item sd="0" m="1" x="4632"/>
        <item sd="0" m="1" x="5537"/>
        <item sd="0" m="1" x="658"/>
        <item sd="0" m="1" x="1073"/>
        <item sd="0" m="1" x="5215"/>
        <item sd="0" m="1" x="6076"/>
        <item sd="0" m="1" x="6753"/>
        <item sd="0" m="1" x="1722"/>
        <item sd="0" m="1" x="2475"/>
        <item sd="0" m="1" x="6815"/>
        <item sd="0" m="1" x="7343"/>
        <item sd="0" m="1" x="7723"/>
        <item sd="0" m="1" x="3433"/>
        <item sd="0" m="1" x="4390"/>
        <item sd="0" m="1" x="563"/>
        <item sd="0" m="1" x="3068"/>
        <item sd="0" m="1" x="4023"/>
        <item sd="0" m="1" x="4973"/>
        <item sd="0" m="1" x="5866"/>
        <item sd="0" m="1" x="1544"/>
        <item sd="0" m="1" x="5041"/>
        <item sd="0" m="1" x="5924"/>
        <item sd="0" m="1" x="6666"/>
        <item sd="0" m="1" x="7215"/>
        <item sd="0" m="1" x="3195"/>
        <item sd="0" m="1" x="1980"/>
        <item sd="0" m="1" x="2802"/>
        <item sd="0" m="1" x="3761"/>
        <item sd="0" m="1" x="4711"/>
        <item sd="0" m="1" x="3819"/>
        <item sd="0" m="1" x="4770"/>
        <item sd="0" m="1" x="5685"/>
        <item sd="0" m="1" x="6467"/>
        <item sd="0" m="1" x="5730"/>
        <item sd="0" m="1" x="1157"/>
        <item sd="0" m="1" x="1780"/>
        <item sd="0" m="1" x="2573"/>
        <item sd="0" m="1" x="6869"/>
        <item sd="0" m="1" x="2641"/>
        <item sd="0" m="1" x="3577"/>
        <item sd="0" m="1" x="4530"/>
        <item sd="0" m="1" x="6582"/>
        <item sd="0" m="1" x="7150"/>
        <item sd="0" m="1" x="7590"/>
        <item sd="0" m="1" x="2256"/>
        <item sd="0" m="1" x="3122"/>
        <item sd="0" m="1" x="4092"/>
        <item sd="0" m="1" x="253"/>
        <item sd="0" m="1" x="2777"/>
        <item sd="0" m="1" x="3718"/>
        <item sd="0" m="1" x="4650"/>
        <item sd="0" m="1" x="5555"/>
        <item sd="0" m="1" x="824"/>
        <item sd="0" m="1" x="4712"/>
        <item sd="0" m="1" x="5619"/>
        <item sd="0" m="1" x="6400"/>
        <item sd="0" m="1" x="7000"/>
        <item sd="0" m="1" x="2030"/>
        <item sd="0" m="1" x="1754"/>
        <item sd="0" m="1" x="2539"/>
        <item sd="0" m="1" x="3449"/>
        <item sd="0" m="1" x="3512"/>
        <item sd="0" m="1" x="4466"/>
        <item sd="0" m="1" x="5400"/>
        <item sd="0" m="1" x="1665"/>
        <item sd="0" m="1" x="2418"/>
        <item sd="0" m="1" x="3313"/>
        <item sd="0" m="1" x="7309"/>
        <item sd="0" m="1" x="7697"/>
        <item sd="0" m="1" x="3393"/>
        <item sd="0" m="1" x="4359"/>
        <item sd="0" m="1" x="5288"/>
        <item sd="0" m="1" x="7972"/>
        <item sd="0" m="1" x="114"/>
        <item sd="0" m="1" x="5337"/>
        <item sd="0" m="1" x="6172"/>
        <item sd="0" m="1" x="6840"/>
        <item sd="0" m="1" x="958"/>
        <item sd="0" m="1" x="1493"/>
        <item sd="0" m="1" x="2212"/>
        <item sd="0" m="1" x="6619"/>
        <item sd="0" m="1" x="7177"/>
        <item sd="0" m="1" x="7604"/>
        <item sd="0" m="1" x="2290"/>
        <item sd="0" m="1" x="3157"/>
        <item sd="0" m="1" x="4120"/>
        <item sd="0" m="1" x="7646"/>
        <item sd="0" m="1" x="7923"/>
        <item sd="0" m="1" x="96"/>
        <item sd="0" m="1" x="4170"/>
        <item sd="0" m="1" x="5107"/>
        <item sd="0" m="1" x="5976"/>
        <item sd="0" m="1" x="763"/>
        <item sd="0" m="1" x="1214"/>
        <item sd="0" m="1" x="1839"/>
        <item sd="0" m="1" x="6295"/>
        <item sd="0" m="1" x="6912"/>
        <item sd="0" m="1" x="1926"/>
        <item sd="0" m="1" x="2715"/>
        <item sd="0" m="1" x="3637"/>
        <item sd="0" m="1" x="6667"/>
        <item sd="0" m="1" x="7216"/>
        <item sd="0" m="1" x="2333"/>
        <item sd="0" m="1" x="3196"/>
        <item sd="0" m="1" x="1981"/>
        <item sd="0" m="1" x="2803"/>
        <item sd="0" m="1" x="3762"/>
        <item sd="0" m="1" x="4713"/>
        <item sd="0" m="1" x="3820"/>
        <item sd="0" m="1" x="4771"/>
        <item sd="0" m="1" x="5686"/>
        <item sd="0" m="1" x="6468"/>
        <item sd="0" m="1" x="1158"/>
        <item sd="0" m="1" x="1781"/>
        <item sd="0" m="1" x="2574"/>
        <item sd="0" m="1" x="2642"/>
        <item sd="0" m="1" x="3578"/>
        <item sd="0" m="1" x="4531"/>
        <item sd="0" m="1" x="4584"/>
        <item sd="0" m="1" x="363"/>
        <item sd="0" m="1" x="605"/>
        <item sd="0" m="1" x="1010"/>
        <item sd="0" m="1" x="1593"/>
        <item sd="0" m="1" x="6021"/>
        <item sd="0" m="1" x="1074"/>
        <item sd="0" m="1" x="1629"/>
        <item sd="0" m="1" x="2391"/>
        <item sd="0" m="1" x="3289"/>
        <item sd="0" m="1" x="7272"/>
        <item sd="0" m="1" x="2476"/>
        <item sd="0" m="1" x="3352"/>
        <item sd="0" m="1" x="4327"/>
        <item sd="0" m="1" x="191"/>
        <item sd="0" m="1" x="298"/>
        <item sd="0" m="1" x="516"/>
        <item sd="0" m="1" x="887"/>
        <item sd="0" m="1" x="4906"/>
        <item sd="0" m="1" x="5784"/>
        <item sd="0" m="1" x="564"/>
        <item sd="0" m="1" x="927"/>
        <item sd="0" m="1" x="1462"/>
        <item sd="0" m="1" x="2184"/>
        <item sd="0" m="1" x="5867"/>
        <item sd="0" m="1" x="6583"/>
        <item sd="0" m="1" x="7151"/>
        <item sd="0" m="1" x="1545"/>
        <item sd="0" m="1" x="2257"/>
        <item sd="0" m="1" x="3123"/>
        <item sd="0" m="1" x="4093"/>
        <item sd="0" m="1" x="169"/>
        <item sd="0" m="1" x="254"/>
        <item sd="0" m="1" x="2778"/>
        <item sd="0" m="1" x="3719"/>
        <item sd="0" m="1" x="4651"/>
        <item sd="0" m="1" x="5556"/>
        <item sd="0" m="1" x="487"/>
        <item sd="0" m="1" x="825"/>
        <item sd="0" m="1" x="4714"/>
        <item sd="0" m="1" x="7973"/>
        <item sd="0" m="1" x="5338"/>
        <item sd="0" m="1" x="6173"/>
        <item sd="0" m="1" x="591"/>
        <item sd="0" m="1" x="959"/>
        <item sd="0" m="1" x="1494"/>
        <item sd="0" m="1" x="2213"/>
        <item sd="0" m="1" x="6620"/>
        <item sd="0" m="1" x="7178"/>
        <item sd="0" m="1" x="1576"/>
        <item sd="0" m="1" x="2291"/>
        <item sd="0" m="1" x="3158"/>
        <item sd="0" m="1" x="4121"/>
        <item sd="0" m="1" x="7647"/>
        <item sd="0" m="1" x="7924"/>
        <item sd="0" m="1" x="3219"/>
        <item sd="0" m="1" x="4171"/>
        <item sd="0" m="1" x="5108"/>
        <item sd="0" m="1" x="5977"/>
        <item sd="0" m="1" x="499"/>
        <item sd="0" m="1" x="849"/>
        <item sd="0" m="1" x="1324"/>
        <item sd="0" m="1" x="4748"/>
        <item sd="0" m="1" x="5644"/>
        <item sd="0" m="1" x="6433"/>
        <item sd="0" m="1" x="7027"/>
        <item sd="0" m="1" x="1400"/>
        <item sd="0" m="1" x="2087"/>
        <item sd="0" m="1" x="2905"/>
        <item sd="0" m="1" x="6493"/>
        <item sd="0" m="1" x="7086"/>
        <item sd="0" m="1" x="7555"/>
        <item sd="0" m="1" x="7861"/>
        <item sd="0" m="1" x="2979"/>
        <item sd="0" m="1" x="3924"/>
        <item sd="0" m="1" x="4868"/>
        <item sd="0" m="1" x="427"/>
        <item sd="0" m="1" x="3542"/>
        <item sd="0" m="1" x="4494"/>
        <item sd="0" m="1" x="5426"/>
        <item sd="0" m="1" x="6243"/>
        <item sd="0" m="1" x="1251"/>
        <item sd="0" m="1" x="5477"/>
        <item sd="0" m="1" x="6950"/>
        <item sd="0" m="1" x="7438"/>
        <item sd="0" m="1" x="2750"/>
        <item sd="0" m="1" x="2357"/>
        <item sd="0" m="1" x="3262"/>
        <item sd="0" m="1" x="4240"/>
        <item sd="0" m="1" x="4286"/>
        <item sd="0" m="1" x="5243"/>
        <item sd="0" m="1" x="6105"/>
        <item sd="0" m="1" x="908"/>
        <item sd="0" m="1" x="1431"/>
        <item sd="0" m="1" x="2159"/>
        <item sd="0" m="1" x="3034"/>
        <item sd="0" m="1" x="2214"/>
        <item sd="0" m="1" x="3090"/>
        <item sd="0" m="1" x="4057"/>
        <item sd="0" m="1" x="5007"/>
        <item sd="0" m="1" x="6244"/>
        <item sd="0" m="1" x="6885"/>
        <item sd="0" m="1" x="7378"/>
        <item sd="0" m="1" x="1886"/>
        <item sd="0" m="1" x="2682"/>
        <item sd="0" m="1" x="3603"/>
        <item sd="0" m="1" x="207"/>
        <item sd="0" m="1" x="339"/>
        <item sd="0" m="1" x="3232"/>
        <item sd="0" m="1" x="4192"/>
        <item sd="0" m="1" x="5122"/>
        <item sd="0" m="1" x="633"/>
        <item sd="0" m="1" x="1038"/>
        <item sd="0" m="1" x="5175"/>
        <item sd="0" m="1" x="6048"/>
        <item sd="0" m="1" x="6719"/>
        <item sd="0" m="1" x="1666"/>
        <item sd="0" m="1" x="2419"/>
        <item sd="0" m="1" x="178"/>
        <item sd="0" m="1" x="1417"/>
        <item sd="0" m="1" x="2122"/>
        <item sd="0" m="1" x="2993"/>
        <item sd="0" m="1" x="3937"/>
        <item sd="0" m="1" x="541"/>
        <item sd="0" m="1" x="3035"/>
        <item sd="0" m="1" x="3998"/>
        <item sd="0" m="1" x="4942"/>
        <item sd="0" m="1" x="5831"/>
        <item sd="0" m="1" x="1495"/>
        <item sd="0" m="1" x="1375"/>
        <item sd="0" m="1" x="2031"/>
        <item sd="0" m="1" x="2862"/>
        <item sd="0" m="1" x="3821"/>
        <item sd="0" m="1" x="7068"/>
        <item sd="0" m="1" x="7522"/>
        <item sd="0" m="1" x="2961"/>
        <item sd="0" m="1" x="3892"/>
        <item sd="0" m="1" x="4836"/>
        <item sd="0" m="1" x="5731"/>
        <item sd="0" m="1" x="7890"/>
        <item sd="0" m="1" x="4893"/>
        <item sd="0" m="1" x="5771"/>
        <item sd="0" m="1" x="6524"/>
        <item sd="0" m="1" x="764"/>
        <item sd="0" m="1" x="1215"/>
        <item sd="0" m="1" x="1840"/>
        <item sd="0" m="1" x="6296"/>
        <item sd="0" m="1" x="6913"/>
        <item sd="0" m="1" x="7406"/>
        <item sd="0" m="1" x="1927"/>
        <item sd="0" m="1" x="2716"/>
        <item sd="0" m="1" x="3638"/>
        <item sd="0" m="1" x="7466"/>
        <item sd="0" m="1" x="7801"/>
        <item sd="0" m="1" x="3698"/>
        <item sd="0" m="1" x="4633"/>
        <item sd="0" m="1" x="5538"/>
        <item sd="0" m="1" x="659"/>
        <item sd="0" m="1" x="1075"/>
        <item sd="0" m="1" x="5216"/>
        <item sd="0" m="1" x="6077"/>
        <item sd="0" m="1" x="6754"/>
        <item sd="0" m="1" x="1723"/>
        <item sd="0" m="1" x="2477"/>
        <item sd="0" m="1" x="6816"/>
        <item sd="0" m="1" x="5732"/>
        <item sd="0" m="1" x="1159"/>
        <item sd="0" m="1" x="1782"/>
        <item sd="0" m="1" x="2575"/>
        <item sd="0" m="1" x="6870"/>
        <item sd="0" m="1" x="2643"/>
        <item sd="0" m="1" x="3579"/>
        <item sd="0" m="1" x="4532"/>
        <item sd="0" m="1" x="7774"/>
        <item sd="0" m="1" x="4585"/>
        <item sd="0" m="1" x="5510"/>
        <item sd="0" m="1" x="364"/>
        <item sd="0" m="1" x="606"/>
        <item sd="0" m="1" x="1011"/>
        <item sd="0" m="1" x="1594"/>
        <item sd="0" m="1" x="6022"/>
        <item sd="0" m="1" x="6703"/>
        <item sd="0" m="1" x="1076"/>
        <item sd="0" m="1" x="1630"/>
        <item sd="0" m="1" x="2392"/>
        <item sd="0" m="1" x="3290"/>
        <item sd="0" m="1" x="7273"/>
        <item sd="0" m="1" x="7681"/>
        <item sd="0" m="1" x="2478"/>
        <item sd="0" m="1" x="3353"/>
        <item sd="0" m="1" x="4328"/>
        <item sd="0" m="1" x="5268"/>
        <item sd="0" m="1" x="299"/>
        <item sd="0" m="1" x="517"/>
        <item sd="0" m="1" x="888"/>
        <item sd="0" m="1" x="4907"/>
        <item sd="0" m="1" x="5785"/>
        <item sd="0" m="1" x="6532"/>
        <item sd="0" m="1" x="928"/>
        <item sd="0" m="1" x="1463"/>
        <item sd="0" m="1" x="2185"/>
        <item sd="0" m="1" x="5868"/>
        <item sd="0" m="1" x="6584"/>
        <item sd="0" m="1" x="7152"/>
        <item sd="0" m="1" x="7591"/>
        <item sd="0" m="1" x="2258"/>
        <item sd="0" m="1" x="3124"/>
        <item sd="0" m="1" x="4094"/>
        <item sd="0" m="1" x="255"/>
        <item sd="0" m="1" x="2779"/>
        <item sd="0" m="1" x="3720"/>
        <item sd="0" m="1" x="4652"/>
        <item sd="0" m="1" x="5557"/>
        <item sd="0" m="1" x="826"/>
        <item sd="0" m="1" x="4715"/>
        <item sd="0" m="1" x="5620"/>
        <item sd="0" m="1" x="6401"/>
        <item sd="0" m="1" x="7001"/>
        <item sd="0" m="1" x="2032"/>
        <item sd="0" m="1" x="1755"/>
        <item sd="0" m="1" x="2540"/>
        <item sd="0" m="1" x="3450"/>
        <item sd="0" m="1" x="3513"/>
        <item sd="0" m="1" x="4467"/>
        <item sd="0" m="1" x="5401"/>
        <item sd="0" m="1" x="7467"/>
        <item sd="0" m="1" x="7802"/>
        <item sd="0" m="1" x="3699"/>
        <item sd="0" m="1" x="4634"/>
        <item sd="0" m="1" x="5539"/>
        <item sd="0" m="1" x="385"/>
        <item sd="0" m="1" x="660"/>
        <item sd="0" m="1" x="1077"/>
        <item sd="0" m="1" x="5217"/>
        <item sd="0" m="1" x="6078"/>
        <item sd="0" m="1" x="6755"/>
        <item sd="0" m="1" x="1129"/>
        <item sd="0" m="1" x="1724"/>
        <item sd="0" m="1" x="2479"/>
        <item sd="0" m="1" x="6817"/>
        <item sd="0" m="1" x="7344"/>
        <item sd="0" m="1" x="7724"/>
        <item sd="0" m="1" x="2530"/>
        <item sd="0" m="1" x="3434"/>
        <item sd="0" m="1" x="4391"/>
        <item sd="0" m="1" x="331"/>
        <item sd="0" m="1" x="565"/>
        <item sd="0" m="1" x="3069"/>
        <item sd="0" m="1" x="4024"/>
        <item sd="0" m="1" x="4974"/>
        <item sd="0" m="1" x="5869"/>
        <item sd="0" m="1" x="999"/>
        <item sd="0" m="1" x="1546"/>
        <item sd="0" m="1" x="5042"/>
        <item sd="0" m="1" x="5925"/>
        <item sd="0" m="1" x="6668"/>
        <item sd="0" m="1" x="7217"/>
        <item sd="0" m="1" x="2334"/>
        <item sd="0" m="1" x="3197"/>
        <item sd="0" m="1" x="1982"/>
        <item sd="0" m="1" x="2804"/>
        <item sd="0" m="1" x="3763"/>
        <item sd="0" m="1" x="4716"/>
        <item sd="0" m="1" x="3822"/>
        <item sd="0" m="1" x="4772"/>
        <item sd="0" m="1" x="5687"/>
        <item sd="0" m="1" x="6469"/>
        <item sd="0" m="1" x="1160"/>
        <item sd="0" m="1" x="1783"/>
        <item sd="0" m="1" x="2576"/>
        <item sd="0" m="1" x="2644"/>
        <item sd="0" m="1" x="3580"/>
        <item sd="0" m="1" x="4533"/>
        <item sd="0" m="1" x="4586"/>
        <item sd="0" m="1" x="365"/>
        <item sd="0" m="1" x="607"/>
        <item sd="0" m="1" x="1012"/>
        <item sd="0" m="1" x="1595"/>
        <item sd="0" m="1" x="6023"/>
        <item sd="0" m="1" x="1078"/>
        <item sd="0" m="1" x="1631"/>
        <item sd="0" m="1" x="2393"/>
        <item sd="0" m="1" x="3291"/>
        <item sd="0" m="1" x="5621"/>
        <item sd="0" m="1" x="6402"/>
        <item sd="0" m="1" x="7002"/>
        <item sd="0" m="1" x="1376"/>
        <item sd="0" m="1" x="2033"/>
        <item sd="0" m="1" x="160"/>
        <item sd="0" m="1" x="1756"/>
        <item sd="0" m="1" x="2541"/>
        <item sd="0" m="1" x="3451"/>
        <item sd="0" m="1" x="419"/>
        <item sd="0" m="1" x="3514"/>
        <item sd="0" m="1" x="4468"/>
        <item sd="0" m="1" x="5402"/>
        <item sd="0" m="1" x="1216"/>
        <item sd="0" m="1" x="1667"/>
        <item sd="0" m="1" x="2420"/>
        <item sd="0" m="1" x="3314"/>
        <item sd="0" m="1" x="7310"/>
        <item sd="0" m="1" x="3394"/>
        <item sd="0" m="1" x="4360"/>
        <item sd="0" m="1" x="5289"/>
        <item sd="0" m="1" x="7974"/>
        <item sd="0" m="1" x="5339"/>
        <item sd="0" m="1" x="6174"/>
        <item sd="0" m="1" x="592"/>
        <item sd="0" m="1" x="960"/>
        <item sd="0" m="1" x="1496"/>
        <item sd="0" m="1" x="2215"/>
        <item sd="0" m="1" x="6621"/>
        <item sd="0" m="1" x="7179"/>
        <item sd="0" m="1" x="1577"/>
        <item sd="0" m="1" x="2292"/>
        <item sd="0" m="1" x="3159"/>
        <item sd="0" m="1" x="4122"/>
        <item sd="0" m="1" x="7648"/>
        <item sd="0" m="1" x="7925"/>
        <item sd="0" m="1" x="3220"/>
        <item sd="0" m="1" x="4172"/>
        <item sd="0" m="1" x="5109"/>
        <item sd="0" m="1" x="5978"/>
        <item sd="0" m="1" x="500"/>
        <item sd="0" m="1" x="850"/>
        <item sd="0" m="1" x="1325"/>
        <item sd="0" m="1" x="4749"/>
        <item sd="0" m="1" x="5645"/>
        <item sd="0" m="1" x="6434"/>
        <item sd="0" m="1" x="7028"/>
        <item sd="0" m="1" x="1401"/>
        <item sd="0" m="1" x="2088"/>
        <item sd="0" m="1" x="2906"/>
        <item sd="0" m="1" x="6494"/>
        <item sd="0" m="1" x="7087"/>
        <item sd="0" m="1" x="7556"/>
        <item sd="0" m="1" x="7862"/>
        <item sd="0" m="1" x="2980"/>
        <item sd="0" m="1" x="3925"/>
        <item sd="0" m="1" x="4869"/>
        <item sd="0" m="1" x="428"/>
        <item sd="0" m="1" x="3543"/>
        <item sd="0" m="1" x="4495"/>
        <item sd="0" m="1" x="5427"/>
        <item sd="0" m="1" x="6245"/>
        <item sd="0" m="1" x="1252"/>
        <item sd="0" m="1" x="5478"/>
        <item sd="0" m="1" x="4123"/>
        <item sd="0" m="1" x="5063"/>
        <item sd="0" m="1" x="453"/>
        <item sd="0" m="1" x="796"/>
        <item sd="0" m="1" x="1281"/>
        <item sd="0" m="1" x="1959"/>
        <item sd="0" m="1" x="5598"/>
        <item sd="0" m="1" x="6365"/>
        <item sd="0" m="1" x="1326"/>
        <item sd="0" m="1" x="2001"/>
        <item sd="0" m="1" x="2830"/>
        <item sd="0" m="1" x="3790"/>
        <item sd="0" m="1" x="7029"/>
        <item sd="0" m="1" x="7488"/>
        <item sd="0" m="1" x="2907"/>
        <item sd="0" m="1" x="3862"/>
        <item sd="0" m="1" x="4799"/>
        <item sd="0" m="1" x="230"/>
        <item sd="0" m="1" x="393"/>
        <item sd="0" m="1" x="688"/>
        <item sd="0" m="1" x="4437"/>
        <item sd="0" m="1" x="5363"/>
        <item sd="0" m="1" x="6186"/>
        <item sd="0" m="1" x="727"/>
        <item sd="0" m="1" x="1184"/>
        <item sd="0" m="1" x="1804"/>
        <item sd="0" m="1" x="6246"/>
        <item sd="0" m="1" x="6886"/>
        <item sd="0" m="1" x="7379"/>
        <item sd="0" m="1" x="1887"/>
        <item sd="0" m="1" x="2683"/>
        <item sd="0" m="1" x="3604"/>
        <item sd="0" m="1" x="208"/>
        <item sd="0" m="1" x="340"/>
        <item sd="0" m="1" x="3233"/>
        <item sd="0" m="1" x="4193"/>
        <item sd="0" m="1" x="5123"/>
        <item sd="0" m="1" x="634"/>
        <item sd="0" m="1" x="1039"/>
        <item sd="0" m="1" x="5176"/>
        <item sd="0" m="1" x="6049"/>
        <item sd="0" m="1" x="6720"/>
        <item sd="0" m="1" x="1668"/>
        <item sd="0" m="1" x="2421"/>
        <item sd="0" m="1" x="179"/>
        <item sd="0" m="1" x="1418"/>
        <item sd="0" m="1" x="2123"/>
        <item sd="0" m="1" x="2994"/>
        <item sd="0" m="1" x="3938"/>
        <item sd="0" m="1" x="542"/>
        <item sd="0" m="1" x="3036"/>
        <item sd="0" m="1" x="3999"/>
        <item sd="0" m="1" x="4943"/>
        <item sd="0" m="1" x="5832"/>
        <item sd="0" m="1" x="1497"/>
        <item sd="0" m="1" x="1377"/>
        <item sd="0" m="1" x="2034"/>
        <item sd="0" m="1" x="2863"/>
        <item sd="0" m="1" x="3823"/>
        <item sd="0" m="1" x="7069"/>
        <item sd="0" m="1" x="7523"/>
        <item sd="0" m="1" x="2962"/>
        <item sd="0" m="1" x="3893"/>
        <item sd="0" m="1" x="4837"/>
        <item sd="0" m="1" x="5733"/>
        <item sd="0" m="1" x="7345"/>
        <item sd="0" m="1" x="7725"/>
        <item sd="0" m="1" x="3435"/>
        <item sd="0" m="1" x="4392"/>
        <item sd="0" m="1" x="566"/>
        <item sd="0" m="1" x="3070"/>
        <item sd="0" m="1" x="4025"/>
        <item sd="0" m="1" x="4975"/>
        <item sd="0" m="1" x="5870"/>
        <item sd="0" m="1" x="1547"/>
        <item sd="0" m="1" x="5043"/>
        <item sd="0" m="1" x="5926"/>
        <item sd="0" m="1" x="6669"/>
        <item sd="0" m="1" x="7218"/>
        <item sd="0" m="1" x="3198"/>
        <item sd="0" m="1" x="1983"/>
        <item sd="0" m="1" x="2805"/>
        <item sd="0" m="1" x="3764"/>
        <item sd="0" m="1" x="4717"/>
        <item sd="0" m="1" x="3824"/>
        <item sd="0" m="1" x="4773"/>
        <item sd="0" m="1" x="5688"/>
        <item sd="0" m="1" x="6470"/>
        <item sd="0" m="1" x="5734"/>
        <item sd="0" m="1" x="1161"/>
        <item sd="0" m="1" x="1784"/>
        <item sd="0" m="1" x="2577"/>
        <item sd="0" m="1" x="6871"/>
        <item sd="0" m="1" x="2645"/>
        <item sd="0" m="1" x="3581"/>
        <item sd="0" m="1" x="4534"/>
        <item sd="0" m="1" x="7775"/>
        <item sd="0" m="1" x="4587"/>
        <item sd="0" m="1" x="5511"/>
        <item sd="0" m="1" x="366"/>
        <item sd="0" m="1" x="608"/>
        <item sd="0" m="1" x="1013"/>
        <item sd="0" m="1" x="1596"/>
        <item sd="0" m="1" x="6024"/>
        <item sd="0" m="1" x="6704"/>
        <item sd="0" m="1" x="1079"/>
        <item sd="0" m="1" x="1632"/>
        <item sd="0" m="1" x="2394"/>
        <item sd="0" m="1" x="3292"/>
        <item sd="0" m="1" x="7274"/>
        <item sd="0" m="1" x="7682"/>
        <item sd="0" m="1" x="2480"/>
        <item sd="0" m="1" x="3354"/>
        <item sd="0" m="1" x="4329"/>
        <item sd="0" m="1" x="5269"/>
        <item sd="0" m="1" x="300"/>
        <item sd="0" m="1" x="518"/>
        <item sd="0" m="1" x="889"/>
        <item sd="0" m="1" x="4908"/>
        <item sd="0" m="1" x="5786"/>
        <item sd="0" m="1" x="6533"/>
        <item sd="0" m="1" x="929"/>
        <item sd="0" m="1" x="1464"/>
        <item sd="0" m="1" x="2186"/>
        <item sd="0" m="1" x="5871"/>
        <item sd="0" m="1" x="1669"/>
        <item sd="0" m="1" x="2422"/>
        <item sd="0" m="1" x="3315"/>
        <item sd="0" m="1" x="7311"/>
        <item sd="0" m="1" x="7698"/>
        <item sd="0" m="1" x="3395"/>
        <item sd="0" m="1" x="4361"/>
        <item sd="0" m="1" x="5290"/>
        <item sd="0" m="1" x="7975"/>
        <item sd="0" m="1" x="115"/>
        <item sd="0" m="1" x="5340"/>
        <item sd="0" m="1" x="6175"/>
        <item sd="0" m="1" x="6841"/>
        <item sd="0" m="1" x="961"/>
        <item sd="0" m="1" x="1498"/>
        <item sd="0" m="1" x="2216"/>
        <item sd="0" m="1" x="6622"/>
        <item sd="0" m="1" x="7180"/>
        <item sd="0" m="1" x="7605"/>
        <item sd="0" m="1" x="2293"/>
        <item sd="0" m="1" x="3160"/>
        <item sd="0" m="1" x="4124"/>
        <item sd="0" m="1" x="7649"/>
        <item sd="0" m="1" x="7926"/>
        <item sd="0" m="1" x="97"/>
        <item sd="0" m="1" x="4173"/>
        <item sd="0" m="1" x="5110"/>
        <item sd="0" m="1" x="5979"/>
        <item sd="0" m="1" x="765"/>
        <item sd="0" m="1" x="1217"/>
        <item sd="0" m="1" x="1841"/>
        <item sd="0" m="1" x="6297"/>
        <item sd="0" m="1" x="6914"/>
        <item sd="0" m="1" x="1928"/>
        <item sd="0" m="1" x="2717"/>
        <item sd="0" m="1" x="3639"/>
        <item sd="0" m="1" x="7468"/>
        <item sd="0" m="1" x="7803"/>
        <item sd="0" m="1" x="3700"/>
        <item sd="0" m="1" x="4635"/>
        <item sd="0" m="1" x="5540"/>
        <item sd="0" m="1" x="386"/>
        <item sd="0" m="1" x="661"/>
        <item sd="0" m="1" x="1080"/>
        <item sd="0" m="1" x="5218"/>
        <item sd="0" m="1" x="6079"/>
        <item sd="0" m="1" x="6756"/>
        <item sd="0" m="1" x="1130"/>
        <item sd="0" m="1" x="1725"/>
        <item sd="0" m="1" x="2481"/>
        <item sd="0" m="1" x="6818"/>
        <item sd="0" m="1" x="7346"/>
        <item sd="0" m="1" x="7726"/>
        <item sd="0" m="1" x="2531"/>
        <item sd="0" m="1" x="3436"/>
        <item sd="0" m="1" x="4393"/>
        <item sd="0" m="1" x="332"/>
        <item sd="0" m="1" x="567"/>
        <item sd="0" m="1" x="3071"/>
        <item sd="0" m="1" x="4026"/>
        <item sd="0" m="1" x="4976"/>
        <item sd="0" m="1" x="5872"/>
        <item sd="0" m="1" x="1000"/>
        <item sd="0" m="1" x="1548"/>
        <item sd="0" m="1" x="5044"/>
        <item sd="0" m="1" x="5927"/>
        <item sd="0" m="1" x="4588"/>
        <item sd="0" m="1" x="367"/>
        <item sd="0" m="1" x="609"/>
        <item sd="0" m="1" x="1014"/>
        <item sd="0" m="1" x="1597"/>
        <item sd="0" m="1" x="6025"/>
        <item sd="0" m="1" x="1081"/>
        <item sd="0" m="1" x="1633"/>
        <item sd="0" m="1" x="2395"/>
        <item sd="0" m="1" x="3293"/>
        <item sd="0" m="1" x="7275"/>
        <item sd="0" m="1" x="2482"/>
        <item sd="0" m="1" x="3355"/>
        <item sd="0" m="1" x="4330"/>
        <item sd="0" m="1" x="192"/>
        <item sd="0" m="1" x="301"/>
        <item sd="0" m="1" x="519"/>
        <item sd="0" m="1" x="890"/>
        <item sd="0" m="1" x="4909"/>
        <item sd="0" m="1" x="5787"/>
        <item sd="0" m="1" x="568"/>
        <item sd="0" m="1" x="930"/>
        <item sd="0" m="1" x="1465"/>
        <item sd="0" m="1" x="2187"/>
        <item sd="0" m="1" x="5873"/>
        <item sd="0" m="1" x="6585"/>
        <item sd="0" m="1" x="7153"/>
        <item sd="0" m="1" x="1549"/>
        <item sd="0" m="1" x="2259"/>
        <item sd="0" m="1" x="3125"/>
        <item sd="0" m="1" x="4095"/>
        <item sd="0" m="1" x="170"/>
        <item sd="0" m="1" x="256"/>
        <item sd="0" m="1" x="2780"/>
        <item sd="0" m="1" x="3721"/>
        <item sd="0" m="1" x="4653"/>
        <item sd="0" m="1" x="5558"/>
        <item sd="0" m="1" x="488"/>
        <item sd="0" m="1" x="827"/>
        <item sd="0" m="1" x="4718"/>
        <item sd="0" m="1" x="5622"/>
        <item sd="0" m="1" x="6403"/>
        <item sd="0" m="1" x="7003"/>
        <item sd="0" m="1" x="1378"/>
        <item sd="0" m="1" x="2035"/>
        <item sd="0" m="1" x="161"/>
        <item sd="0" m="1" x="1757"/>
        <item sd="0" m="1" x="2542"/>
        <item sd="0" m="1" x="3452"/>
        <item sd="0" m="1" x="420"/>
        <item sd="0" m="1" x="3515"/>
        <item sd="0" m="1" x="4469"/>
        <item sd="0" m="1" x="5403"/>
        <item sd="0" m="1" x="1218"/>
        <item sd="0" m="1" x="1670"/>
        <item sd="0" m="1" x="2423"/>
        <item sd="0" m="1" x="3316"/>
        <item sd="0" m="1" x="7312"/>
        <item sd="0" m="1" x="3396"/>
        <item sd="0" m="1" x="4362"/>
        <item sd="0" m="1" x="5291"/>
        <item sd="0" m="1" x="7088"/>
        <item sd="0" m="1" x="7557"/>
        <item sd="0" m="1" x="7863"/>
        <item sd="0" m="1" x="2981"/>
        <item sd="0" m="1" x="3926"/>
        <item sd="0" m="1" x="4870"/>
        <item sd="0" m="1" x="429"/>
        <item sd="0" m="1" x="3544"/>
        <item sd="0" m="1" x="4496"/>
        <item sd="0" m="1" x="5428"/>
        <item sd="0" m="1" x="6247"/>
        <item sd="0" m="1" x="1253"/>
        <item sd="0" m="1" x="5479"/>
        <item sd="0" m="1" x="6951"/>
        <item sd="0" m="1" x="7439"/>
        <item sd="0" m="1" x="2751"/>
        <item sd="0" m="1" x="2358"/>
        <item sd="0" m="1" x="3263"/>
        <item sd="0" m="1" x="4241"/>
        <item sd="0" m="1" x="4287"/>
        <item sd="0" m="1" x="5244"/>
        <item sd="0" m="1" x="6106"/>
        <item sd="0" m="1" x="909"/>
        <item sd="0" m="1" x="1432"/>
        <item sd="0" m="1" x="2160"/>
        <item sd="0" m="1" x="3037"/>
        <item sd="0" m="1" x="2217"/>
        <item sd="0" m="1" x="3091"/>
        <item sd="0" m="1" x="4058"/>
        <item sd="0" m="1" x="5008"/>
        <item sd="0" m="1" x="4125"/>
        <item sd="0" m="1" x="5064"/>
        <item sd="0" m="1" x="454"/>
        <item sd="0" m="1" x="797"/>
        <item sd="0" m="1" x="1282"/>
        <item sd="0" m="1" x="1960"/>
        <item sd="0" m="1" x="5599"/>
        <item sd="0" m="1" x="6366"/>
        <item sd="0" m="1" x="1327"/>
        <item sd="0" m="1" x="2002"/>
        <item sd="0" m="1" x="2831"/>
        <item sd="0" m="1" x="3791"/>
        <item sd="0" m="1" x="7030"/>
        <item sd="0" m="1" x="7489"/>
        <item sd="0" m="1" x="2908"/>
        <item sd="0" m="1" x="3863"/>
        <item sd="0" m="1" x="4800"/>
        <item sd="0" m="1" x="231"/>
        <item sd="0" m="1" x="394"/>
        <item sd="0" m="1" x="689"/>
        <item sd="0" m="1" x="4438"/>
        <item sd="0" m="1" x="5364"/>
        <item sd="0" m="1" x="6187"/>
        <item sd="0" m="1" x="728"/>
        <item sd="0" m="1" x="1185"/>
        <item sd="0" m="1" x="1805"/>
        <item sd="0" m="1" x="5833"/>
        <item sd="0" m="1" x="1499"/>
        <item sd="0" m="1" x="1379"/>
        <item sd="0" m="1" x="2036"/>
        <item sd="0" m="1" x="2864"/>
        <item sd="0" m="1" x="3825"/>
        <item sd="0" m="1" x="7070"/>
        <item sd="0" m="1" x="7524"/>
        <item sd="0" m="1" x="2963"/>
        <item sd="0" m="1" x="3894"/>
        <item sd="0" m="1" x="4838"/>
        <item sd="0" m="1" x="5735"/>
        <item sd="0" m="1" x="7891"/>
        <item sd="0" m="1" x="4894"/>
        <item sd="0" m="1" x="5772"/>
        <item sd="0" m="1" x="6525"/>
        <item sd="0" m="1" x="766"/>
        <item sd="0" m="1" x="1219"/>
        <item sd="0" m="1" x="1842"/>
        <item sd="0" m="1" x="6298"/>
        <item sd="0" m="1" x="6915"/>
        <item sd="0" m="1" x="7407"/>
        <item sd="0" m="1" x="1929"/>
        <item sd="0" m="1" x="2718"/>
        <item sd="0" m="1" x="3640"/>
        <item sd="0" m="1" x="7469"/>
        <item sd="0" m="1" x="7804"/>
        <item sd="0" m="1" x="3701"/>
        <item sd="0" m="1" x="4636"/>
        <item sd="0" m="1" x="5541"/>
        <item sd="0" m="1" x="662"/>
        <item sd="0" m="1" x="1082"/>
        <item sd="0" m="1" x="5219"/>
        <item sd="0" m="1" x="6080"/>
        <item sd="0" m="1" x="6757"/>
        <item sd="0" m="1" x="1726"/>
        <item sd="0" m="1" x="2483"/>
        <item sd="0" m="1" x="6819"/>
        <item sd="0" m="1" x="7347"/>
        <item sd="0" m="1" x="7727"/>
        <item sd="0" m="1" x="3437"/>
        <item sd="0" m="1" x="4394"/>
        <item sd="0" m="1" x="569"/>
        <item sd="0" m="1" x="3072"/>
        <item sd="0" m="1" x="4027"/>
        <item sd="0" m="1" x="4977"/>
        <item sd="0" m="1" x="5874"/>
        <item sd="0" m="1" x="1550"/>
        <item sd="0" m="1" x="5045"/>
        <item sd="0" m="1" x="5928"/>
        <item sd="0" m="1" x="6670"/>
        <item sd="0" m="1" x="7219"/>
        <item sd="0" m="1" x="3199"/>
        <item sd="0" m="1" x="1984"/>
        <item sd="0" m="1" x="2806"/>
        <item sd="0" m="1" x="3765"/>
        <item sd="0" m="1" x="4719"/>
        <item sd="0" m="1" x="3826"/>
        <item sd="0" m="1" x="4774"/>
        <item sd="0" m="1" x="5689"/>
        <item sd="0" m="1" x="6471"/>
        <item sd="0" m="1" x="7276"/>
        <item sd="0" m="1" x="7683"/>
        <item sd="0" m="1" x="2484"/>
        <item sd="0" m="1" x="3356"/>
        <item sd="0" m="1" x="4331"/>
        <item sd="0" m="1" x="5270"/>
        <item sd="0" m="1" x="302"/>
        <item sd="0" m="1" x="520"/>
        <item sd="0" m="1" x="891"/>
        <item sd="0" m="1" x="4910"/>
        <item sd="0" m="1" x="5788"/>
        <item sd="0" m="1" x="6534"/>
        <item sd="0" m="1" x="931"/>
        <item sd="0" m="1" x="1466"/>
        <item sd="0" m="1" x="2188"/>
        <item sd="0" m="1" x="5875"/>
        <item sd="0" m="1" x="6586"/>
        <item sd="0" m="1" x="7154"/>
        <item sd="0" m="1" x="7592"/>
        <item sd="0" m="1" x="2260"/>
        <item sd="0" m="1" x="3126"/>
        <item sd="0" m="1" x="4096"/>
        <item sd="0" m="1" x="257"/>
        <item sd="0" m="1" x="2781"/>
        <item sd="0" m="1" x="3722"/>
        <item sd="0" m="1" x="4654"/>
        <item sd="0" m="1" x="5559"/>
        <item sd="0" m="1" x="828"/>
        <item sd="0" m="1" x="4720"/>
        <item sd="0" m="1" x="5623"/>
        <item sd="0" m="1" x="6404"/>
        <item sd="0" m="1" x="7004"/>
        <item sd="0" m="1" x="2037"/>
        <item sd="0" m="1" x="1758"/>
        <item sd="0" m="1" x="2543"/>
        <item sd="0" m="1" x="3453"/>
        <item sd="0" m="1" x="3516"/>
        <item sd="0" m="1" x="4470"/>
        <item sd="0" m="1" x="5404"/>
        <item sd="0" m="1" x="1671"/>
        <item sd="0" m="1" x="2424"/>
        <item sd="0" m="1" x="3317"/>
        <item sd="0" m="1" x="7313"/>
        <item sd="0" m="1" x="7699"/>
        <item sd="0" m="1" x="3397"/>
        <item sd="0" m="1" x="4363"/>
        <item sd="0" m="1" x="5292"/>
        <item sd="0" m="1" x="7976"/>
        <item sd="0" m="1" x="116"/>
        <item sd="0" m="1" x="5341"/>
        <item sd="0" m="1" x="6176"/>
        <item sd="0" m="1" x="6842"/>
        <item sd="0" m="1" x="767"/>
        <item sd="0" m="1" x="1220"/>
        <item sd="0" m="1" x="1843"/>
        <item sd="0" m="1" x="6299"/>
        <item sd="0" m="1" x="6916"/>
        <item sd="0" m="1" x="1930"/>
        <item sd="0" m="1" x="2719"/>
        <item sd="0" m="1" x="3641"/>
        <item sd="0" m="1" x="6671"/>
        <item sd="0" m="1" x="7220"/>
        <item sd="0" m="1" x="2335"/>
        <item sd="0" m="1" x="3200"/>
        <item sd="0" m="1" x="1985"/>
        <item sd="0" m="1" x="2807"/>
        <item sd="0" m="1" x="3766"/>
        <item sd="0" m="1" x="4721"/>
        <item sd="0" m="1" x="3827"/>
        <item sd="0" m="1" x="4775"/>
        <item sd="0" m="1" x="5690"/>
        <item sd="0" m="1" x="6472"/>
        <item sd="0" m="1" x="1162"/>
        <item sd="0" m="1" x="1785"/>
        <item sd="0" m="1" x="2578"/>
        <item sd="0" m="1" x="2646"/>
        <item sd="0" m="1" x="3582"/>
        <item sd="0" m="1" x="4535"/>
        <item sd="0" m="1" x="4589"/>
        <item sd="0" m="1" x="368"/>
        <item sd="0" m="1" x="610"/>
        <item sd="0" m="1" x="1015"/>
        <item sd="0" m="1" x="1598"/>
        <item sd="0" m="1" x="6026"/>
        <item sd="0" m="1" x="1083"/>
        <item sd="0" m="1" x="1634"/>
        <item sd="0" m="1" x="2396"/>
        <item sd="0" m="1" x="3294"/>
        <item sd="0" m="1" x="7277"/>
        <item sd="0" m="1" x="2485"/>
        <item sd="0" m="1" x="3357"/>
        <item sd="0" m="1" x="4332"/>
        <item sd="0" m="1" x="193"/>
        <item sd="0" m="1" x="303"/>
        <item sd="0" m="1" x="521"/>
        <item sd="0" m="1" x="892"/>
        <item sd="0" m="1" x="4911"/>
        <item sd="0" m="1" x="5789"/>
        <item sd="0" m="1" x="570"/>
        <item sd="0" m="1" x="932"/>
        <item sd="0" m="1" x="1467"/>
        <item sd="0" m="1" x="2189"/>
        <item sd="0" m="1" x="5876"/>
        <item sd="0" m="1" x="6587"/>
        <item sd="0" m="1" x="7155"/>
        <item sd="0" m="1" x="1551"/>
        <item sd="0" m="1" x="2261"/>
        <item sd="0" m="1" x="3127"/>
        <item sd="0" m="1" x="4097"/>
        <item sd="0" m="1" x="171"/>
        <item sd="0" m="1" x="258"/>
        <item sd="0" m="1" x="2782"/>
        <item sd="0" m="1" x="3723"/>
        <item sd="0" m="1" x="4655"/>
        <item sd="0" m="1" x="5560"/>
        <item sd="0" m="1" x="489"/>
        <item sd="0" m="1" x="829"/>
        <item sd="0" m="1" x="4722"/>
        <item sd="0" m="1" x="7977"/>
        <item sd="0" m="1" x="5342"/>
        <item sd="0" m="1" x="6177"/>
        <item sd="0" m="1" x="593"/>
        <item sd="0" m="1" x="962"/>
        <item sd="0" m="1" x="1500"/>
        <item sd="0" m="1" x="2218"/>
        <item sd="0" m="1" x="6623"/>
        <item sd="0" m="1" x="7181"/>
        <item sd="0" m="1" x="1578"/>
        <item sd="0" m="1" x="2294"/>
        <item sd="0" m="1" x="3161"/>
        <item sd="0" m="1" x="4126"/>
        <item sd="0" m="1" x="7650"/>
        <item sd="0" m="1" x="7927"/>
        <item sd="0" m="1" x="3221"/>
        <item sd="0" m="1" x="4174"/>
        <item sd="0" m="1" x="5111"/>
        <item sd="0" m="1" x="5980"/>
        <item sd="0" m="1" x="501"/>
        <item sd="0" m="1" x="851"/>
        <item sd="0" m="1" x="1328"/>
        <item sd="0" m="1" x="4750"/>
        <item sd="0" m="1" x="5646"/>
        <item sd="0" m="1" x="6435"/>
        <item sd="0" m="1" x="7031"/>
        <item sd="0" m="1" x="1402"/>
        <item sd="0" m="1" x="2089"/>
        <item sd="0" m="1" x="2909"/>
        <item sd="0" m="1" x="6495"/>
        <item sd="0" m="1" x="7089"/>
        <item sd="0" m="1" x="7558"/>
        <item sd="0" m="1" x="7864"/>
        <item sd="0" m="1" x="2982"/>
        <item sd="0" m="1" x="3927"/>
        <item sd="0" m="1" x="4871"/>
        <item sd="0" m="1" x="430"/>
        <item sd="0" m="1" x="3545"/>
        <item sd="0" m="1" x="4497"/>
        <item sd="0" m="1" x="5429"/>
        <item sd="0" m="1" x="6248"/>
        <item sd="0" m="1" x="1254"/>
        <item sd="0" m="1" x="5480"/>
        <item sd="0" m="1" x="6952"/>
        <item sd="0" m="1" x="7440"/>
        <item sd="0" m="1" x="2752"/>
        <item sd="0" m="1" x="2359"/>
        <item sd="0" m="1" x="3264"/>
        <item sd="0" m="1" x="4242"/>
        <item sd="0" m="1" x="4288"/>
        <item sd="0" m="1" x="5245"/>
        <item sd="0" m="1" x="6107"/>
        <item sd="0" m="1" x="910"/>
        <item sd="0" m="1" x="1433"/>
        <item sd="0" m="1" x="2161"/>
        <item sd="0" m="1" x="3038"/>
        <item sd="0" m="1" x="2219"/>
        <item sd="0" m="1" x="3092"/>
        <item sd="0" m="1" x="4059"/>
        <item sd="0" m="1" x="5009"/>
        <item sd="0" m="1" x="6249"/>
        <item sd="0" m="1" x="6887"/>
        <item sd="0" m="1" x="7380"/>
        <item sd="0" m="1" x="1888"/>
        <item sd="0" m="1" x="2684"/>
        <item sd="0" m="1" x="3605"/>
        <item sd="0" m="1" x="209"/>
        <item sd="0" m="1" x="341"/>
        <item sd="0" m="1" x="3234"/>
        <item sd="0" m="1" x="4194"/>
        <item sd="0" m="1" x="5124"/>
        <item sd="0" m="1" x="635"/>
        <item sd="0" m="1" x="1040"/>
        <item sd="0" m="1" x="5177"/>
        <item sd="0" m="1" x="6050"/>
        <item sd="0" m="1" x="6721"/>
        <item sd="0" m="1" x="1672"/>
        <item sd="0" m="1" x="2425"/>
        <item sd="0" m="1" x="180"/>
        <item sd="0" m="1" x="1419"/>
        <item sd="0" m="1" x="2124"/>
        <item sd="0" m="1" x="2995"/>
        <item sd="0" m="1" x="3939"/>
        <item sd="0" m="1" x="543"/>
        <item sd="0" m="1" x="3039"/>
        <item sd="0" m="1" x="4000"/>
        <item sd="0" m="1" x="4944"/>
        <item sd="0" m="1" x="5834"/>
        <item sd="0" m="1" x="1501"/>
        <item sd="0" m="1" x="1380"/>
        <item sd="0" m="1" x="2038"/>
        <item sd="0" m="1" x="2865"/>
        <item sd="0" m="1" x="3828"/>
        <item sd="0" m="1" x="7071"/>
        <item sd="0" m="1" x="7525"/>
        <item sd="0" m="1" x="2964"/>
        <item sd="0" m="1" x="3895"/>
        <item sd="0" m="1" x="4839"/>
        <item sd="0" m="1" x="5736"/>
        <item sd="0" m="1" x="7892"/>
        <item sd="0" m="1" x="4895"/>
        <item sd="0" m="1" x="5773"/>
        <item sd="0" m="1" x="6526"/>
        <item sd="0" m="1" x="768"/>
        <item sd="0" m="1" x="1221"/>
        <item sd="0" m="1" x="1844"/>
        <item sd="0" m="1" x="6300"/>
        <item sd="0" m="1" x="6917"/>
        <item sd="0" m="1" x="7408"/>
        <item sd="0" m="1" x="1931"/>
        <item sd="0" m="1" x="2720"/>
        <item sd="0" m="1" x="3642"/>
        <item sd="0" m="1" x="7470"/>
        <item sd="0" m="1" x="7805"/>
        <item sd="0" m="1" x="3702"/>
        <item sd="0" m="1" x="4637"/>
        <item sd="0" m="1" x="5542"/>
        <item sd="0" m="1" x="663"/>
        <item sd="0" m="1" x="1084"/>
        <item sd="0" m="1" x="5220"/>
        <item sd="0" m="1" x="6081"/>
        <item sd="0" m="1" x="6758"/>
        <item sd="0" m="1" x="1727"/>
        <item sd="0" m="1" x="2486"/>
        <item sd="0" m="1" x="6820"/>
        <item sd="0" m="1" x="5737"/>
        <item sd="0" m="1" x="1163"/>
        <item sd="0" m="1" x="1786"/>
        <item sd="0" m="1" x="2579"/>
        <item sd="0" m="1" x="6872"/>
        <item sd="0" m="1" x="2647"/>
        <item sd="0" m="1" x="3583"/>
        <item sd="0" m="1" x="4536"/>
        <item sd="0" m="1" x="7776"/>
        <item sd="0" m="1" x="4590"/>
        <item sd="0" m="1" x="5512"/>
        <item sd="0" m="1" x="369"/>
        <item sd="0" m="1" x="611"/>
        <item sd="0" m="1" x="1016"/>
        <item sd="0" m="1" x="1599"/>
        <item sd="0" m="1" x="6027"/>
        <item sd="0" m="1" x="6705"/>
        <item sd="0" m="1" x="1085"/>
        <item sd="0" m="1" x="1635"/>
        <item sd="0" m="1" x="2397"/>
        <item sd="0" m="1" x="3295"/>
        <item sd="0" m="1" x="7278"/>
        <item sd="0" m="1" x="7684"/>
        <item sd="0" m="1" x="2487"/>
        <item sd="0" m="1" x="3358"/>
        <item sd="0" m="1" x="4333"/>
        <item sd="0" m="1" x="5271"/>
        <item sd="0" m="1" x="304"/>
        <item sd="0" m="1" x="522"/>
        <item sd="0" m="1" x="893"/>
        <item sd="0" m="1" x="4912"/>
        <item sd="0" m="1" x="5790"/>
        <item sd="0" m="1" x="6535"/>
        <item sd="0" m="1" x="933"/>
        <item sd="0" m="1" x="1468"/>
        <item sd="0" m="1" x="2190"/>
        <item sd="0" m="1" x="5877"/>
        <item sd="0" m="1" x="6588"/>
        <item sd="0" m="1" x="7156"/>
        <item sd="0" m="1" x="7593"/>
        <item sd="0" m="1" x="2262"/>
        <item sd="0" m="1" x="3128"/>
        <item sd="0" m="1" x="4098"/>
        <item sd="0" m="1" x="259"/>
        <item sd="0" m="1" x="2783"/>
        <item sd="0" m="1" x="3724"/>
        <item sd="0" m="1" x="4656"/>
        <item sd="0" m="1" x="5561"/>
        <item sd="0" m="1" x="830"/>
        <item sd="0" m="1" x="4723"/>
        <item sd="0" m="1" x="5624"/>
        <item sd="0" m="1" x="6405"/>
        <item sd="0" m="1" x="7005"/>
        <item sd="0" m="1" x="2039"/>
        <item sd="0" m="1" x="1759"/>
        <item sd="0" m="1" x="2544"/>
        <item sd="0" m="1" x="3454"/>
        <item sd="0" m="1" x="3517"/>
        <item sd="0" m="1" x="4471"/>
        <item sd="0" m="1" x="5405"/>
        <item sd="0" m="1" x="7651"/>
        <item sd="0" m="1" x="7928"/>
        <item sd="0" m="1" x="98"/>
        <item sd="0" m="1" x="4175"/>
        <item sd="0" m="1" x="5112"/>
        <item sd="0" m="1" x="5981"/>
        <item sd="0" m="1" x="769"/>
        <item sd="0" m="1" x="1222"/>
        <item sd="0" m="1" x="1845"/>
        <item sd="0" m="1" x="6301"/>
        <item sd="0" m="1" x="6918"/>
        <item sd="0" m="1" x="1932"/>
        <item sd="0" m="1" x="2721"/>
        <item sd="0" m="1" x="3643"/>
        <item sd="0" m="1" x="7471"/>
        <item sd="0" m="1" x="7806"/>
        <item sd="0" m="1" x="3703"/>
        <item sd="0" m="1" x="4638"/>
        <item sd="0" m="1" x="5543"/>
        <item sd="0" m="1" x="387"/>
        <item sd="0" m="1" x="664"/>
        <item sd="0" m="1" x="1086"/>
        <item sd="0" m="1" x="5221"/>
        <item sd="0" m="1" x="6082"/>
        <item sd="0" m="1" x="6759"/>
        <item sd="0" m="1" x="1131"/>
        <item sd="0" m="1" x="1728"/>
        <item sd="0" m="1" x="2488"/>
        <item sd="0" m="1" x="6821"/>
        <item sd="0" m="1" x="7348"/>
        <item sd="0" m="1" x="7728"/>
        <item sd="0" m="1" x="2532"/>
        <item sd="0" m="1" x="3438"/>
        <item sd="0" m="1" x="4395"/>
        <item sd="0" m="1" x="333"/>
        <item sd="0" m="1" x="571"/>
        <item sd="0" m="1" x="3073"/>
        <item sd="0" m="1" x="4028"/>
        <item sd="0" m="1" x="4978"/>
        <item sd="0" m="1" x="5878"/>
        <item sd="0" m="1" x="1001"/>
        <item sd="0" m="1" x="1552"/>
        <item sd="0" m="1" x="5046"/>
        <item sd="0" m="1" x="5929"/>
        <item sd="0" m="1" x="6672"/>
        <item sd="0" m="1" x="7221"/>
        <item sd="0" m="1" x="2336"/>
        <item sd="0" m="1" x="3201"/>
        <item sd="0" m="1" x="1986"/>
        <item sd="0" m="1" x="2808"/>
        <item sd="0" m="1" x="3767"/>
        <item sd="0" m="1" x="4724"/>
        <item sd="0" m="1" x="3829"/>
        <item sd="0" m="1" x="4776"/>
        <item sd="0" m="1" x="5691"/>
        <item sd="0" m="1" x="6473"/>
        <item sd="0" m="1" x="1164"/>
        <item sd="0" m="1" x="1787"/>
        <item sd="0" m="1" x="2580"/>
        <item sd="0" m="1" x="2648"/>
        <item sd="0" m="1" x="3584"/>
        <item sd="0" m="1" x="4537"/>
        <item sd="0" m="1" x="5879"/>
        <item sd="0" m="1" x="6589"/>
        <item sd="0" m="1" x="7157"/>
        <item sd="0" m="1" x="1553"/>
        <item sd="0" m="1" x="2263"/>
        <item sd="0" m="1" x="3129"/>
        <item sd="0" m="1" x="4099"/>
        <item sd="0" m="1" x="172"/>
        <item sd="0" m="1" x="260"/>
        <item sd="0" m="1" x="2784"/>
        <item sd="0" m="1" x="3725"/>
        <item sd="0" m="1" x="4657"/>
        <item sd="0" m="1" x="5562"/>
        <item sd="0" m="1" x="490"/>
        <item sd="0" m="1" x="831"/>
        <item sd="0" m="1" x="4725"/>
        <item sd="0" m="1" x="5625"/>
        <item sd="0" m="1" x="6406"/>
        <item sd="0" m="1" x="7006"/>
        <item sd="0" m="1" x="1381"/>
        <item sd="0" m="1" x="2040"/>
        <item sd="0" m="1" x="162"/>
        <item sd="0" m="1" x="1760"/>
        <item sd="0" m="1" x="2545"/>
        <item sd="0" m="1" x="3455"/>
        <item sd="0" m="1" x="421"/>
        <item sd="0" m="1" x="3518"/>
        <item sd="0" m="1" x="4472"/>
        <item sd="0" m="1" x="5406"/>
        <item sd="0" m="1" x="1223"/>
        <item sd="0" m="1" x="1673"/>
        <item sd="0" m="1" x="2426"/>
        <item sd="0" m="1" x="3318"/>
        <item sd="0" m="1" x="7314"/>
        <item sd="0" m="1" x="3398"/>
        <item sd="0" m="1" x="4364"/>
        <item sd="0" m="1" x="5293"/>
        <item sd="0" m="1" x="7978"/>
        <item sd="0" m="1" x="5343"/>
        <item sd="0" m="1" x="6178"/>
        <item sd="0" m="1" x="594"/>
        <item sd="0" m="1" x="963"/>
        <item sd="0" m="1" x="1502"/>
        <item sd="0" m="1" x="2220"/>
        <item sd="0" m="1" x="6624"/>
        <item sd="0" m="1" x="7182"/>
        <item sd="0" m="1" x="1579"/>
        <item sd="0" m="1" x="2295"/>
        <item sd="0" m="1" x="3162"/>
        <item sd="0" m="1" x="4127"/>
        <item sd="0" m="1" x="7652"/>
        <item sd="0" m="1" x="7929"/>
        <item sd="0" m="1" x="3222"/>
        <item sd="0" m="1" x="4176"/>
        <item sd="0" m="1" x="5113"/>
        <item sd="0" m="1" x="5982"/>
        <item sd="0" m="1" x="502"/>
        <item sd="0" m="1" x="852"/>
        <item sd="0" m="1" x="1329"/>
        <item sd="0" m="1" x="4751"/>
        <item sd="0" m="1" x="5647"/>
        <item sd="0" m="1" x="6436"/>
        <item sd="0" m="1" x="7032"/>
        <item sd="0" m="1" x="1403"/>
        <item sd="0" m="1" x="2090"/>
        <item sd="0" m="1" x="2910"/>
        <item sd="0" m="1" x="6496"/>
        <item sd="0" m="1" x="911"/>
        <item sd="0" m="1" x="1434"/>
        <item sd="0" m="1" x="2162"/>
        <item sd="0" m="1" x="3040"/>
        <item sd="0" m="1" x="2221"/>
        <item sd="0" m="1" x="3093"/>
        <item sd="0" m="1" x="4060"/>
        <item sd="0" m="1" x="5010"/>
        <item sd="0" m="1" x="4128"/>
        <item sd="0" m="1" x="5065"/>
        <item sd="0" m="1" x="455"/>
        <item sd="0" m="1" x="798"/>
        <item sd="0" m="1" x="1283"/>
        <item sd="0" m="1" x="1961"/>
        <item sd="0" m="1" x="5600"/>
        <item sd="0" m="1" x="6367"/>
        <item sd="0" m="1" x="1330"/>
        <item sd="0" m="1" x="2003"/>
        <item sd="0" m="1" x="2832"/>
        <item sd="0" m="1" x="3792"/>
        <item sd="0" m="1" x="7033"/>
        <item sd="0" m="1" x="7490"/>
        <item sd="0" m="1" x="2911"/>
        <item sd="0" m="1" x="3864"/>
        <item sd="0" m="1" x="4801"/>
        <item sd="0" m="1" x="232"/>
        <item sd="0" m="1" x="395"/>
        <item sd="0" m="1" x="690"/>
        <item sd="0" m="1" x="4439"/>
        <item sd="0" m="1" x="5365"/>
        <item sd="0" m="1" x="6188"/>
        <item sd="0" m="1" x="729"/>
        <item sd="0" m="1" x="1186"/>
        <item sd="0" m="1" x="1806"/>
        <item sd="0" m="1" x="6250"/>
        <item sd="0" m="1" x="6888"/>
        <item sd="0" m="1" x="7381"/>
        <item sd="0" m="1" x="1889"/>
        <item sd="0" m="1" x="2685"/>
        <item sd="0" m="1" x="3606"/>
        <item sd="0" m="1" x="210"/>
        <item sd="0" m="1" x="342"/>
        <item sd="0" m="1" x="3235"/>
        <item sd="0" m="1" x="4195"/>
        <item sd="0" m="1" x="5125"/>
        <item sd="0" m="1" x="636"/>
        <item sd="0" m="1" x="1041"/>
        <item sd="0" m="1" x="5178"/>
        <item sd="0" m="1" x="6051"/>
        <item sd="0" m="1" x="6722"/>
        <item sd="0" m="1" x="1674"/>
        <item sd="0" m="1" x="2427"/>
        <item sd="0" m="1" x="181"/>
        <item sd="0" m="1" x="1420"/>
        <item sd="0" m="1" x="2125"/>
        <item sd="0" m="1" x="2996"/>
        <item sd="0" m="1" x="3940"/>
        <item sd="0" m="1" x="544"/>
        <item sd="0" m="1" x="3041"/>
        <item sd="0" m="1" x="4001"/>
        <item sd="0" m="1" x="4945"/>
        <item sd="0" m="1" x="7472"/>
        <item sd="0" m="1" x="7807"/>
        <item sd="0" m="1" x="3704"/>
        <item sd="0" m="1" x="4639"/>
        <item sd="0" m="1" x="5544"/>
        <item sd="0" m="1" x="665"/>
        <item sd="0" m="1" x="1087"/>
        <item sd="0" m="1" x="5222"/>
        <item sd="0" m="1" x="6083"/>
        <item sd="0" m="1" x="6760"/>
        <item sd="0" m="1" x="1729"/>
        <item sd="0" m="1" x="2489"/>
        <item sd="0" m="1" x="6822"/>
        <item sd="0" m="1" x="7349"/>
        <item sd="0" m="1" x="7729"/>
        <item sd="0" m="1" x="3439"/>
        <item sd="0" m="1" x="4396"/>
        <item sd="0" m="1" x="572"/>
        <item sd="0" m="1" x="3074"/>
        <item sd="0" m="1" x="4029"/>
        <item sd="0" m="1" x="4979"/>
        <item sd="0" m="1" x="5880"/>
        <item sd="0" m="1" x="1554"/>
        <item sd="0" m="1" x="5047"/>
        <item sd="0" m="1" x="5930"/>
        <item sd="0" m="1" x="6673"/>
        <item sd="0" m="1" x="7222"/>
        <item sd="0" m="1" x="3202"/>
        <item sd="0" m="1" x="1987"/>
        <item sd="0" m="1" x="2809"/>
        <item sd="0" m="1" x="3768"/>
        <item sd="0" m="1" x="4726"/>
        <item sd="0" m="1" x="3830"/>
        <item sd="0" m="1" x="4777"/>
        <item sd="0" m="1" x="5692"/>
        <item sd="0" m="1" x="6474"/>
        <item sd="0" m="1" x="5738"/>
        <item sd="0" m="1" x="1165"/>
        <item sd="0" m="1" x="1788"/>
        <item sd="0" m="1" x="2581"/>
        <item sd="0" m="1" x="6873"/>
        <item sd="0" m="1" x="2649"/>
        <item sd="0" m="1" x="3585"/>
        <item sd="0" m="1" x="4538"/>
        <item sd="0" m="1" x="7777"/>
        <item sd="0" m="1" x="4591"/>
        <item sd="0" m="1" x="5513"/>
        <item sd="0" m="1" x="370"/>
        <item sd="0" m="1" x="612"/>
        <item sd="0" m="1" x="1017"/>
        <item sd="0" m="1" x="1600"/>
        <item sd="0" m="1" x="6028"/>
        <item sd="0" m="1" x="6706"/>
        <item sd="0" m="1" x="1088"/>
        <item sd="0" m="1" x="1636"/>
        <item sd="0" m="1" x="2398"/>
        <item sd="0" m="1" x="3296"/>
        <item sd="0" m="1" x="6407"/>
        <item sd="0" m="1" x="7007"/>
        <item sd="0" m="1" x="2041"/>
        <item sd="0" m="1" x="1761"/>
        <item sd="0" m="1" x="2546"/>
        <item sd="0" m="1" x="3456"/>
        <item sd="0" m="1" x="3519"/>
        <item sd="0" m="1" x="4473"/>
        <item sd="0" m="1" x="5407"/>
        <item sd="0" m="1" x="1675"/>
        <item sd="0" m="1" x="2428"/>
        <item sd="0" m="1" x="3319"/>
        <item sd="0" m="1" x="7315"/>
        <item sd="0" m="1" x="7700"/>
        <item sd="0" m="1" x="3399"/>
        <item sd="0" m="1" x="4365"/>
        <item sd="0" m="1" x="5294"/>
        <item sd="0" m="1" x="7979"/>
        <item sd="0" m="1" x="117"/>
        <item sd="0" m="1" x="5344"/>
        <item sd="0" m="1" x="6179"/>
        <item sd="0" m="1" x="6843"/>
        <item sd="0" m="1" x="964"/>
        <item sd="0" m="1" x="1503"/>
        <item sd="0" m="1" x="2222"/>
        <item sd="0" m="1" x="6625"/>
        <item sd="0" m="1" x="7183"/>
        <item sd="0" m="1" x="7606"/>
        <item sd="0" m="1" x="2296"/>
        <item sd="0" m="1" x="3163"/>
        <item sd="0" m="1" x="4129"/>
        <item sd="0" m="1" x="7653"/>
        <item sd="0" m="1" x="7930"/>
        <item sd="0" m="1" x="99"/>
        <item sd="0" m="1" x="4177"/>
        <item sd="0" m="1" x="5114"/>
        <item sd="0" m="1" x="5983"/>
        <item sd="0" m="1" x="770"/>
        <item sd="0" m="1" x="1224"/>
        <item sd="0" m="1" x="1846"/>
        <item sd="0" m="1" x="6302"/>
        <item sd="0" m="1" x="6919"/>
        <item sd="0" m="1" x="1933"/>
        <item sd="0" m="1" x="2722"/>
        <item sd="0" m="1" x="3644"/>
        <item sd="0" m="1" x="7473"/>
        <item sd="0" m="1" x="7808"/>
        <item sd="0" m="1" x="3705"/>
        <item sd="0" m="1" x="4640"/>
        <item sd="0" m="1" x="5545"/>
        <item sd="0" m="1" x="388"/>
        <item sd="0" m="1" x="666"/>
        <item sd="0" m="1" x="1089"/>
        <item sd="0" m="1" x="5223"/>
        <item sd="0" m="1" x="6084"/>
        <item sd="0" m="1" x="6761"/>
        <item sd="0" m="1" x="1132"/>
        <item sd="0" m="1" x="1730"/>
        <item sd="0" m="1" x="2490"/>
        <item sd="0" m="1" x="6475"/>
        <item sd="0" m="1" x="1166"/>
        <item sd="0" m="1" x="1789"/>
        <item sd="0" m="1" x="2582"/>
        <item sd="0" m="1" x="2650"/>
        <item sd="0" m="1" x="3586"/>
        <item sd="0" m="1" x="4539"/>
        <item sd="0" m="1" x="4592"/>
        <item sd="0" m="1" x="371"/>
        <item sd="0" m="1" x="613"/>
        <item sd="0" m="1" x="1018"/>
        <item sd="0" m="1" x="1601"/>
        <item sd="0" m="1" x="6029"/>
        <item sd="0" m="1" x="1090"/>
        <item sd="0" m="1" x="1637"/>
        <item sd="0" m="1" x="2399"/>
        <item sd="0" m="1" x="3297"/>
        <item sd="0" m="1" x="7279"/>
        <item sd="0" m="1" x="2491"/>
        <item sd="0" m="1" x="3359"/>
        <item sd="0" m="1" x="4334"/>
        <item sd="0" m="1" x="194"/>
        <item sd="0" m="1" x="305"/>
        <item sd="0" m="1" x="523"/>
        <item sd="0" m="1" x="894"/>
        <item sd="0" m="1" x="4913"/>
        <item sd="0" m="1" x="5791"/>
        <item sd="0" m="1" x="573"/>
        <item sd="0" m="1" x="934"/>
        <item sd="0" m="1" x="1469"/>
        <item sd="0" m="1" x="2191"/>
        <item sd="0" m="1" x="5881"/>
        <item sd="0" m="1" x="6590"/>
        <item sd="0" m="1" x="7158"/>
        <item sd="0" m="1" x="1555"/>
        <item sd="0" m="1" x="2264"/>
        <item sd="0" m="1" x="3130"/>
        <item sd="0" m="1" x="4100"/>
        <item sd="0" m="1" x="173"/>
        <item sd="0" m="1" x="261"/>
        <item sd="0" m="1" x="2785"/>
        <item sd="0" m="1" x="3726"/>
        <item sd="0" m="1" x="4658"/>
        <item sd="0" m="1" x="5563"/>
        <item sd="0" m="1" x="491"/>
        <item sd="0" m="1" x="832"/>
        <item sd="0" m="1" x="4727"/>
        <item sd="0" m="1" x="5626"/>
        <item sd="0" m="1" x="6408"/>
        <item sd="0" m="1" x="7008"/>
        <item sd="0" m="1" x="1382"/>
        <item sd="0" m="1" x="2042"/>
        <item sd="0" m="1" x="163"/>
        <item sd="0" m="1" x="1762"/>
        <item sd="0" m="1" x="2547"/>
        <item sd="0" m="1" x="3457"/>
        <item sd="0" m="1" x="422"/>
        <item sd="0" m="1" x="3520"/>
        <item sd="0" m="1" x="4474"/>
        <item sd="0" m="1" x="7654"/>
        <item sd="0" m="1" x="7931"/>
        <item sd="0" m="1" x="3223"/>
        <item sd="0" m="1" x="4178"/>
        <item sd="0" m="1" x="5115"/>
        <item sd="0" m="1" x="5984"/>
        <item sd="0" m="1" x="503"/>
        <item sd="0" m="1" x="853"/>
        <item sd="0" m="1" x="1331"/>
        <item sd="0" m="1" x="4752"/>
        <item sd="0" m="1" x="5648"/>
        <item sd="0" m="1" x="6437"/>
        <item sd="0" m="1" x="7034"/>
        <item sd="0" m="1" x="1404"/>
        <item sd="0" m="1" x="2091"/>
        <item sd="0" m="1" x="2912"/>
        <item sd="0" m="1" x="6497"/>
        <item sd="0" m="1" x="7090"/>
        <item sd="0" m="1" x="7559"/>
        <item sd="0" m="1" x="7865"/>
        <item sd="0" m="1" x="2983"/>
        <item sd="0" m="1" x="3928"/>
        <item sd="0" m="1" x="4872"/>
        <item sd="0" m="1" x="431"/>
        <item sd="0" m="1" x="3546"/>
        <item sd="0" m="1" x="4498"/>
        <item sd="0" m="1" x="5430"/>
        <item sd="0" m="1" x="6251"/>
        <item sd="0" m="1" x="1255"/>
        <item sd="0" m="1" x="5481"/>
        <item sd="0" m="1" x="6953"/>
        <item sd="0" m="1" x="7441"/>
        <item sd="0" m="1" x="2753"/>
        <item sd="0" m="1" x="2360"/>
        <item sd="0" m="1" x="3265"/>
        <item sd="0" m="1" x="4243"/>
        <item sd="0" m="1" x="4289"/>
        <item sd="0" m="1" x="5246"/>
        <item sd="0" m="1" x="6108"/>
        <item sd="0" m="1" x="912"/>
        <item sd="0" m="1" x="1435"/>
        <item sd="0" m="1" x="2163"/>
        <item sd="0" m="1" x="3042"/>
        <item sd="0" m="1" x="2223"/>
        <item sd="0" m="1" x="3094"/>
        <item sd="0" m="1" x="4061"/>
        <item sd="0" m="1" x="5011"/>
        <item sd="0" m="1" x="4130"/>
        <item sd="0" m="1" x="5066"/>
        <item sd="0" m="1" x="456"/>
        <item sd="0" m="1" x="799"/>
        <item sd="0" m="1" x="1284"/>
        <item sd="0" m="1" x="1962"/>
        <item sd="0" m="1" x="5601"/>
        <item sd="0" m="1" x="6368"/>
        <item sd="0" m="1" x="1332"/>
        <item sd="0" m="1" x="2004"/>
        <item sd="0" m="1" x="2833"/>
        <item sd="0" m="1" x="3793"/>
        <item sd="0" m="1" x="6052"/>
        <item sd="0" m="1" x="6723"/>
        <item sd="0" m="1" x="1676"/>
        <item sd="0" m="1" x="2429"/>
        <item sd="0" m="1" x="182"/>
        <item sd="0" m="1" x="1421"/>
        <item sd="0" m="1" x="2126"/>
        <item sd="0" m="1" x="2997"/>
        <item sd="0" m="1" x="3941"/>
        <item sd="0" m="1" x="545"/>
        <item sd="0" m="1" x="3043"/>
        <item sd="0" m="1" x="4002"/>
        <item sd="0" m="1" x="4946"/>
        <item sd="0" m="1" x="5835"/>
        <item sd="0" m="1" x="1504"/>
        <item sd="0" m="1" x="1383"/>
        <item sd="0" m="1" x="2043"/>
        <item sd="0" m="1" x="2866"/>
        <item sd="0" m="1" x="3831"/>
        <item sd="0" m="1" x="7072"/>
        <item sd="0" m="1" x="7526"/>
        <item sd="0" m="1" x="2965"/>
        <item sd="0" m="1" x="3896"/>
        <item sd="0" m="1" x="4840"/>
        <item sd="0" m="1" x="5739"/>
        <item sd="0" m="1" x="7893"/>
        <item sd="0" m="1" x="4896"/>
        <item sd="0" m="1" x="5774"/>
        <item sd="0" m="1" x="6527"/>
        <item sd="0" m="1" x="771"/>
        <item sd="0" m="1" x="1225"/>
        <item sd="0" m="1" x="1847"/>
        <item sd="0" m="1" x="6303"/>
        <item sd="0" m="1" x="6920"/>
        <item sd="0" m="1" x="7409"/>
        <item sd="0" m="1" x="1934"/>
        <item sd="0" m="1" x="2723"/>
        <item sd="0" m="1" x="3645"/>
        <item sd="0" m="1" x="7474"/>
        <item sd="0" m="1" x="7809"/>
        <item sd="0" m="1" x="3706"/>
        <item sd="0" m="1" x="4641"/>
        <item sd="0" m="1" x="5546"/>
        <item sd="0" m="1" x="667"/>
        <item sd="0" m="1" x="1091"/>
        <item sd="0" m="1" x="5224"/>
        <item sd="0" m="1" x="6085"/>
        <item sd="0" m="1" x="6762"/>
        <item sd="0" m="1" x="1731"/>
        <item sd="0" m="1" x="2492"/>
        <item sd="0" m="1" x="6823"/>
        <item sd="0" m="1" x="7350"/>
        <item sd="0" m="1" x="7730"/>
        <item sd="0" m="1" x="3440"/>
        <item sd="0" m="1" x="4397"/>
        <item sd="0" m="1" x="574"/>
        <item sd="0" m="1" x="3075"/>
        <item sd="0" m="1" x="4030"/>
        <item sd="0" m="1" x="4980"/>
        <item sd="0" m="1" x="5882"/>
        <item sd="0" m="1" x="1556"/>
        <item sd="0" m="1" x="5048"/>
        <item sd="0" m="1" x="5931"/>
        <item sd="0" m="1" x="6674"/>
        <item sd="0" m="1" x="7778"/>
        <item sd="0" m="1" x="4593"/>
        <item sd="0" m="1" x="5514"/>
        <item sd="0" m="1" x="372"/>
        <item sd="0" m="1" x="614"/>
        <item sd="0" m="1" x="1019"/>
        <item sd="0" m="1" x="1602"/>
        <item sd="0" m="1" x="6030"/>
        <item sd="0" m="1" x="6707"/>
        <item sd="0" m="1" x="1092"/>
        <item sd="0" m="1" x="1638"/>
        <item sd="0" m="1" x="2400"/>
        <item sd="0" m="1" x="3298"/>
        <item sd="0" m="1" x="7280"/>
        <item sd="0" m="1" x="7685"/>
        <item sd="0" m="1" x="2493"/>
        <item sd="0" m="1" x="3360"/>
        <item sd="0" m="1" x="4335"/>
        <item sd="0" m="1" x="5272"/>
        <item sd="0" m="1" x="306"/>
        <item sd="0" m="1" x="524"/>
        <item sd="0" m="1" x="895"/>
        <item sd="0" m="1" x="4914"/>
        <item sd="0" m="1" x="5792"/>
        <item sd="0" m="1" x="6536"/>
        <item sd="0" m="1" x="935"/>
        <item sd="0" m="1" x="1470"/>
        <item sd="0" m="1" x="2192"/>
        <item sd="0" m="1" x="5883"/>
        <item sd="0" m="1" x="6591"/>
        <item sd="0" m="1" x="7159"/>
        <item sd="0" m="1" x="7594"/>
        <item sd="0" m="1" x="2265"/>
        <item sd="0" m="1" x="3131"/>
        <item sd="0" m="1" x="4101"/>
        <item sd="0" m="1" x="262"/>
        <item sd="0" m="1" x="2786"/>
        <item sd="0" m="1" x="3727"/>
        <item sd="0" m="1" x="4659"/>
        <item sd="0" m="1" x="5564"/>
        <item sd="0" m="1" x="833"/>
        <item sd="0" m="1" x="4728"/>
        <item sd="0" m="1" x="5627"/>
        <item sd="0" m="1" x="6409"/>
        <item sd="0" m="1" x="7009"/>
        <item sd="0" m="1" x="2044"/>
        <item sd="0" m="1" x="1763"/>
        <item sd="0" m="1" x="2548"/>
        <item sd="0" m="1" x="3458"/>
        <item sd="0" m="1" x="3521"/>
        <item sd="0" m="1" x="4475"/>
        <item sd="0" m="1" x="5408"/>
        <item sd="0" m="1" x="1677"/>
        <item sd="0" m="1" x="2430"/>
        <item sd="0" m="1" x="3320"/>
        <item sd="0" m="1" x="7316"/>
        <item sd="0" m="1" x="7701"/>
        <item sd="0" m="1" x="3400"/>
        <item sd="0" m="1" x="4366"/>
        <item sd="0" m="1" x="5295"/>
        <item sd="0" m="1" x="6824"/>
        <item sd="0" m="1" x="7351"/>
        <item sd="0" m="1" x="7731"/>
        <item sd="0" m="1" x="2533"/>
        <item sd="0" m="1" x="3441"/>
        <item sd="0" m="1" x="334"/>
        <item sd="0" m="1" x="3076"/>
        <item sd="0" m="1" x="4031"/>
        <item sd="0" m="1" x="4981"/>
        <item sd="0" m="1" x="1002"/>
        <item sd="0" m="1" x="5049"/>
        <item sd="0" m="1" x="5932"/>
        <item sd="0" m="1" x="6675"/>
        <item sd="0" m="1" x="2337"/>
        <item sd="0" m="1" x="1305"/>
        <item sd="0" m="1" x="1988"/>
        <item sd="0" m="1" x="2810"/>
        <item sd="0" m="1" x="3769"/>
        <item sd="0" m="1" x="2867"/>
        <item sd="0" m="1" x="3832"/>
        <item sd="0" m="1" x="4778"/>
        <item sd="0" m="1" x="5693"/>
        <item sd="0" m="1" x="4841"/>
        <item sd="0" m="1" x="712"/>
        <item sd="0" m="1" x="1167"/>
        <item sd="0" m="1" x="1790"/>
        <item sd="0" m="1" x="2583"/>
        <item sd="0" m="1" x="6224"/>
        <item sd="0" m="1" x="1848"/>
        <item sd="0" m="1" x="2651"/>
        <item sd="0" m="1" x="3587"/>
        <item sd="0" m="1" x="4540"/>
        <item sd="0" m="1" x="7410"/>
        <item sd="0" m="1" x="3646"/>
        <item sd="0" m="1" x="4594"/>
        <item sd="0" m="1" x="373"/>
        <item sd="0" m="1" x="615"/>
        <item sd="0" m="1" x="1020"/>
        <item sd="0" m="1" x="5165"/>
        <item sd="0" m="1" x="6031"/>
        <item sd="0" m="1" x="1093"/>
        <item sd="0" m="1" x="1639"/>
        <item sd="0" m="1" x="2401"/>
        <item sd="0" m="1" x="6763"/>
        <item sd="0" m="1" x="7281"/>
        <item sd="0" m="1" x="2494"/>
        <item sd="0" m="1" x="3361"/>
        <item sd="0" m="1" x="4336"/>
        <item sd="0" m="1" x="195"/>
        <item sd="0" m="1" x="307"/>
        <item sd="0" m="1" x="525"/>
        <item sd="0" m="1" x="3983"/>
        <item sd="0" m="1" x="4915"/>
        <item sd="0" m="1" x="5793"/>
        <item sd="0" m="1" x="575"/>
        <item sd="0" m="1" x="936"/>
        <item sd="0" m="1" x="1471"/>
        <item sd="0" m="1" x="5409"/>
        <item sd="0" m="1" x="1111"/>
        <item sd="0" m="1" x="1678"/>
        <item sd="0" m="1" x="2431"/>
        <item sd="0" m="1" x="3321"/>
        <item sd="0" m="1" x="6785"/>
        <item sd="0" m="1" x="7317"/>
        <item sd="0" m="1" x="2521"/>
        <item sd="0" m="1" x="3401"/>
        <item sd="0" m="1" x="4367"/>
        <item sd="0" m="1" x="5296"/>
        <item sd="0" m="1" x="7752"/>
        <item sd="0" m="1" x="7980"/>
        <item sd="0" m="1" x="4422"/>
        <item sd="0" m="1" x="5345"/>
        <item sd="0" m="1" x="6180"/>
        <item sd="0" m="1" x="595"/>
        <item sd="0" m="1" x="965"/>
        <item sd="0" m="1" x="1505"/>
        <item sd="0" m="1" x="5905"/>
        <item sd="0" m="1" x="6626"/>
        <item sd="0" m="1" x="7184"/>
        <item sd="0" m="1" x="1580"/>
        <item sd="0" m="1" x="2297"/>
        <item sd="0" m="1" x="3164"/>
        <item sd="0" m="1" x="7237"/>
        <item sd="0" m="1" x="7655"/>
        <item sd="0" m="1" x="7932"/>
        <item sd="0" m="1" x="3224"/>
        <item sd="0" m="1" x="4179"/>
        <item sd="0" m="1" x="5116"/>
        <item sd="0" m="1" x="504"/>
        <item sd="0" m="1" x="854"/>
        <item sd="0" m="1" x="4753"/>
        <item sd="0" m="1" x="5649"/>
        <item sd="0" m="1" x="6438"/>
        <item sd="0" m="1" x="1405"/>
        <item sd="0" m="1" x="2092"/>
        <item sd="0" m="1" x="6498"/>
        <item sd="0" m="1" x="7091"/>
        <item sd="0" m="1" x="7560"/>
        <item sd="0" m="1" x="2984"/>
        <item sd="0" m="1" x="3929"/>
        <item sd="0" m="1" x="432"/>
        <item sd="0" m="1" x="2614"/>
        <item sd="0" m="1" x="3547"/>
        <item sd="0" m="1" x="4499"/>
        <item sd="0" m="1" x="5431"/>
        <item sd="0" m="1" x="1256"/>
        <item sd="0" m="1" x="4559"/>
        <item sd="0" m="1" x="5482"/>
        <item sd="0" m="1" x="6317"/>
        <item sd="0" m="1" x="6954"/>
        <item sd="0" m="1" x="2754"/>
        <item sd="0" m="1" x="1612"/>
        <item sd="0" m="1" x="2361"/>
        <item sd="0" m="1" x="3266"/>
        <item sd="0" m="1" x="4244"/>
        <item sd="0" m="1" x="3322"/>
        <item sd="0" m="1" x="4290"/>
        <item sd="0" m="1" x="5247"/>
        <item sd="0" m="1" x="6109"/>
        <item sd="0" m="1" x="7035"/>
        <item sd="0" m="1" x="7491"/>
        <item sd="0" m="1" x="2093"/>
        <item sd="0" m="1" x="2913"/>
        <item sd="0" m="1" x="3865"/>
        <item sd="0" m="1" x="4802"/>
        <item sd="0" m="1" x="233"/>
        <item sd="0" m="1" x="396"/>
        <item sd="0" m="1" x="691"/>
        <item sd="0" m="1" x="3498"/>
        <item sd="0" m="1" x="4440"/>
        <item sd="0" m="1" x="5366"/>
        <item sd="0" m="1" x="6189"/>
        <item sd="0" m="1" x="730"/>
        <item sd="0" m="1" x="1187"/>
        <item sd="0" m="1" x="1807"/>
        <item sd="0" m="1" x="5432"/>
        <item sd="0" m="1" x="6252"/>
        <item sd="0" m="1" x="6889"/>
        <item sd="0" m="1" x="7382"/>
        <item sd="0" m="1" x="1890"/>
        <item sd="0" m="1" x="2686"/>
        <item sd="0" m="1" x="3607"/>
        <item sd="0" m="1" x="211"/>
        <item sd="0" m="1" x="2342"/>
        <item sd="0" m="1" x="3236"/>
        <item sd="0" m="1" x="4196"/>
        <item sd="0" m="1" x="5126"/>
        <item sd="0" m="1" x="637"/>
        <item sd="0" m="1" x="4245"/>
        <item sd="0" m="1" x="5179"/>
        <item sd="0" m="1" x="6053"/>
        <item sd="0" m="1" x="6724"/>
        <item sd="0" m="1" x="1679"/>
        <item sd="0" m="1" x="1422"/>
        <item sd="0" m="1" x="2127"/>
        <item sd="0" m="1" x="2998"/>
        <item sd="0" m="1" x="3044"/>
        <item sd="0" m="1" x="4003"/>
        <item sd="0" m="1" x="4947"/>
        <item sd="0" m="1" x="877"/>
        <item sd="0" m="1" x="1384"/>
        <item sd="0" m="1" x="2045"/>
        <item sd="0" m="1" x="2868"/>
        <item sd="0" m="1" x="7073"/>
        <item sd="0" m="1" x="7527"/>
        <item sd="0" m="1" x="2113"/>
        <item sd="0" m="1" x="2966"/>
        <item sd="0" m="1" x="3897"/>
        <item sd="0" m="1" x="4842"/>
        <item sd="0" m="1" x="7894"/>
        <item sd="0" m="1" x="3975"/>
        <item sd="0" m="1" x="4897"/>
        <item sd="0" m="1" x="5775"/>
        <item sd="0" m="1" x="6528"/>
        <item sd="0" m="1" x="772"/>
        <item sd="0" m="1" x="1226"/>
        <item sd="0" m="1" x="1849"/>
        <item sd="0" m="1" x="5460"/>
        <item sd="0" m="1" x="6304"/>
        <item sd="0" m="1" x="6921"/>
        <item sd="0" m="1" x="7411"/>
        <item sd="0" m="1" x="1935"/>
        <item sd="0" m="1" x="2724"/>
        <item sd="0" m="1" x="3647"/>
        <item sd="0" m="1" x="6979"/>
        <item sd="0" m="1" x="1306"/>
        <item sd="0" m="1" x="1989"/>
        <item sd="0" m="1" x="2811"/>
        <item sd="0" m="1" x="3770"/>
        <item sd="0" m="1" x="2869"/>
        <item sd="0" m="1" x="3833"/>
        <item sd="0" m="1" x="4779"/>
        <item sd="0" m="1" x="5694"/>
        <item sd="0" m="1" x="4843"/>
        <item sd="0" m="1" x="5740"/>
        <item sd="0" m="1" x="713"/>
        <item sd="0" m="1" x="1168"/>
        <item sd="0" m="1" x="1791"/>
        <item sd="0" m="1" x="2584"/>
        <item sd="0" m="1" x="6225"/>
        <item sd="0" m="1" x="6874"/>
        <item sd="0" m="1" x="1850"/>
        <item sd="0" m="1" x="2652"/>
        <item sd="0" m="1" x="3588"/>
        <item sd="0" m="1" x="4541"/>
        <item sd="0" m="1" x="7412"/>
        <item sd="0" m="1" x="7779"/>
        <item sd="0" m="1" x="3648"/>
        <item sd="0" m="1" x="4595"/>
        <item sd="0" m="1" x="5515"/>
        <item sd="0" m="1" x="374"/>
        <item sd="0" m="1" x="616"/>
        <item sd="0" m="1" x="1021"/>
        <item sd="0" m="1" x="5166"/>
        <item sd="0" m="1" x="6032"/>
        <item sd="0" m="1" x="6708"/>
        <item sd="0" m="1" x="1094"/>
        <item sd="0" m="1" x="1640"/>
        <item sd="0" m="1" x="2402"/>
        <item sd="0" m="1" x="6764"/>
        <item sd="0" m="1" x="7282"/>
        <item sd="0" m="1" x="7686"/>
        <item sd="0" m="1" x="2495"/>
        <item sd="0" m="1" x="3362"/>
        <item sd="0" m="1" x="4337"/>
        <item sd="0" m="1" x="308"/>
        <item sd="0" m="1" x="526"/>
        <item sd="0" m="1" x="3984"/>
        <item sd="0" m="1" x="4916"/>
        <item sd="0" m="1" x="5794"/>
        <item sd="0" m="1" x="937"/>
        <item sd="0" m="1" x="1472"/>
        <item sd="0" m="1" x="5884"/>
        <item sd="0" m="1" x="6592"/>
        <item sd="0" m="1" x="7160"/>
        <item sd="0" m="1" x="2266"/>
        <item sd="0" m="1" x="3132"/>
        <item sd="0" m="1" x="263"/>
        <item sd="0" m="1" x="1952"/>
        <item sd="0" m="1" x="2787"/>
        <item sd="0" m="1" x="3728"/>
        <item sd="0" m="1" x="4660"/>
        <item sd="0" m="1" x="834"/>
        <item sd="0" m="1" x="3771"/>
        <item sd="0" m="1" x="4729"/>
        <item sd="0" m="1" x="5628"/>
        <item sd="0" m="1" x="7753"/>
        <item sd="0" m="1" x="7981"/>
        <item sd="0" m="1" x="118"/>
        <item sd="0" m="1" x="4423"/>
        <item sd="0" m="1" x="5346"/>
        <item sd="0" m="1" x="6181"/>
        <item sd="0" m="1" x="6844"/>
        <item sd="0" m="1" x="966"/>
        <item sd="0" m="1" x="1506"/>
        <item sd="0" m="1" x="5906"/>
        <item sd="0" m="1" x="6627"/>
        <item sd="0" m="1" x="7185"/>
        <item sd="0" m="1" x="7607"/>
        <item sd="0" m="1" x="2298"/>
        <item sd="0" m="1" x="3165"/>
        <item sd="0" m="1" x="7238"/>
        <item sd="0" m="1" x="7656"/>
        <item sd="0" m="1" x="7933"/>
        <item sd="0" m="1" x="100"/>
        <item sd="0" m="1" x="4180"/>
        <item sd="0" m="1" x="5117"/>
        <item sd="0" m="1" x="443"/>
        <item sd="0" m="1" x="773"/>
        <item sd="0" m="1" x="1227"/>
        <item sd="0" m="1" x="1851"/>
        <item sd="0" m="1" x="5461"/>
        <item sd="0" m="1" x="6305"/>
        <item sd="0" m="1" x="6922"/>
        <item sd="0" m="1" x="1273"/>
        <item sd="0" m="1" x="1936"/>
        <item sd="0" m="1" x="2725"/>
        <item sd="0" m="1" x="3649"/>
        <item sd="0" m="1" x="6980"/>
        <item sd="0" m="1" x="7475"/>
        <item sd="0" m="1" x="7810"/>
        <item sd="0" m="1" x="2771"/>
        <item sd="0" m="1" x="3707"/>
        <item sd="0" m="1" x="4642"/>
        <item sd="0" m="1" x="5547"/>
        <item sd="0" m="1" x="389"/>
        <item sd="0" m="1" x="668"/>
        <item sd="0" m="1" x="4270"/>
        <item sd="0" m="1" x="5225"/>
        <item sd="0" m="1" x="6086"/>
        <item sd="0" m="1" x="6765"/>
        <item sd="0" m="1" x="1133"/>
        <item sd="0" m="1" x="1732"/>
        <item sd="0" m="1" x="6138"/>
        <item sd="0" m="1" x="6825"/>
        <item sd="0" m="1" x="7352"/>
        <item sd="0" m="1" x="7732"/>
        <item sd="0" m="1" x="2534"/>
        <item sd="0" m="1" x="3442"/>
        <item sd="0" m="1" x="335"/>
        <item sd="0" m="1" x="3077"/>
        <item sd="0" m="1" x="4032"/>
        <item sd="0" m="1" x="4982"/>
        <item sd="0" m="1" x="1003"/>
        <item sd="0" m="1" x="5050"/>
        <item sd="0" m="1" x="5933"/>
        <item sd="0" m="1" x="6676"/>
        <item sd="0" m="1" x="2338"/>
        <item sd="0" m="1" x="1307"/>
        <item sd="0" m="1" x="1990"/>
        <item sd="0" m="1" x="2812"/>
        <item sd="0" m="1" x="3772"/>
        <item sd="0" m="1" x="2870"/>
        <item sd="0" m="1" x="3834"/>
        <item sd="0" m="1" x="4780"/>
        <item sd="0" m="1" x="5695"/>
        <item sd="0" m="1" x="6766"/>
        <item sd="0" m="1" x="7283"/>
        <item sd="0" m="1" x="2496"/>
        <item sd="0" m="1" x="3363"/>
        <item sd="0" m="1" x="4338"/>
        <item sd="0" m="1" x="196"/>
        <item sd="0" m="1" x="309"/>
        <item sd="0" m="1" x="527"/>
        <item sd="0" m="1" x="3985"/>
        <item sd="0" m="1" x="4917"/>
        <item sd="0" m="1" x="5795"/>
        <item sd="0" m="1" x="576"/>
        <item sd="0" m="1" x="938"/>
        <item sd="0" m="1" x="1473"/>
        <item sd="0" m="1" x="5885"/>
        <item sd="0" m="1" x="6593"/>
        <item sd="0" m="1" x="7161"/>
        <item sd="0" m="1" x="1557"/>
        <item sd="0" m="1" x="2267"/>
        <item sd="0" m="1" x="3133"/>
        <item sd="0" m="1" x="174"/>
        <item sd="0" m="1" x="264"/>
        <item sd="0" m="1" x="1953"/>
        <item sd="0" m="1" x="2788"/>
        <item sd="0" m="1" x="3729"/>
        <item sd="0" m="1" x="4661"/>
        <item sd="0" m="1" x="492"/>
        <item sd="0" m="1" x="835"/>
        <item sd="0" m="1" x="3773"/>
        <item sd="0" m="1" x="4730"/>
        <item sd="0" m="1" x="5629"/>
        <item sd="0" m="1" x="6410"/>
        <item sd="0" m="1" x="1385"/>
        <item sd="0" m="1" x="2046"/>
        <item sd="0" m="1" x="164"/>
        <item sd="0" m="1" x="1135"/>
        <item sd="0" m="1" x="1764"/>
        <item sd="0" m="1" x="2549"/>
        <item sd="0" m="1" x="3459"/>
        <item sd="0" m="1" x="2585"/>
        <item sd="0" m="1" x="3522"/>
        <item sd="0" m="1" x="4476"/>
        <item sd="0" m="1" x="5410"/>
        <item sd="0" m="1" x="1112"/>
        <item sd="0" m="1" x="1680"/>
        <item sd="0" m="1" x="2432"/>
        <item sd="0" m="1" x="3323"/>
        <item sd="0" m="1" x="6786"/>
        <item sd="0" m="1" x="7318"/>
        <item sd="0" m="1" x="2522"/>
        <item sd="0" m="1" x="3402"/>
        <item sd="0" m="1" x="4368"/>
        <item sd="0" m="1" x="5297"/>
        <item sd="0" m="1" x="7754"/>
        <item sd="0" m="1" x="7982"/>
        <item sd="0" m="1" x="4424"/>
        <item sd="0" m="1" x="5347"/>
        <item sd="0" m="1" x="6182"/>
        <item sd="0" m="1" x="596"/>
        <item sd="0" m="1" x="967"/>
        <item sd="0" m="1" x="1507"/>
        <item sd="0" m="1" x="5907"/>
        <item sd="0" m="1" x="6628"/>
        <item sd="0" m="1" x="7186"/>
        <item sd="0" m="1" x="1581"/>
        <item sd="0" m="1" x="2299"/>
        <item sd="0" m="1" x="3166"/>
        <item sd="0" m="1" x="6955"/>
        <item sd="0" m="1" x="2755"/>
        <item sd="0" m="1" x="1613"/>
        <item sd="0" m="1" x="2362"/>
        <item sd="0" m="1" x="3267"/>
        <item sd="0" m="1" x="4246"/>
        <item sd="0" m="1" x="3324"/>
        <item sd="0" m="1" x="4291"/>
        <item sd="0" m="1" x="5248"/>
        <item sd="0" m="1" x="6110"/>
        <item sd="0" m="1" x="5298"/>
        <item sd="0" m="1" x="913"/>
        <item sd="0" m="1" x="1436"/>
        <item sd="0" m="1" x="2164"/>
        <item sd="0" m="1" x="6566"/>
        <item sd="0" m="1" x="2224"/>
        <item sd="0" m="1" x="3095"/>
        <item sd="0" m="1" x="4062"/>
        <item sd="0" m="1" x="7608"/>
        <item sd="0" m="1" x="4131"/>
        <item sd="0" m="1" x="5067"/>
        <item sd="0" m="1" x="289"/>
        <item sd="0" m="1" x="457"/>
        <item sd="0" m="1" x="800"/>
        <item sd="0" m="1" x="1285"/>
        <item sd="0" m="1" x="5602"/>
        <item sd="0" m="1" x="6369"/>
        <item sd="0" m="1" x="855"/>
        <item sd="0" m="1" x="1333"/>
        <item sd="0" m="1" x="2005"/>
        <item sd="0" m="1" x="2834"/>
        <item sd="0" m="1" x="7036"/>
        <item sd="0" m="1" x="7492"/>
        <item sd="0" m="1" x="2094"/>
        <item sd="0" m="1" x="2914"/>
        <item sd="0" m="1" x="3866"/>
        <item sd="0" m="1" x="4803"/>
        <item sd="0" m="1" x="234"/>
        <item sd="0" m="1" x="397"/>
        <item sd="0" m="1" x="692"/>
        <item sd="0" m="1" x="3499"/>
        <item sd="0" m="1" x="4441"/>
        <item sd="0" m="1" x="5367"/>
        <item sd="0" m="1" x="6190"/>
        <item sd="0" m="1" x="731"/>
        <item sd="0" m="1" x="1188"/>
        <item sd="0" m="1" x="1808"/>
        <item sd="0" m="1" x="5433"/>
        <item sd="0" m="1" x="6253"/>
        <item sd="0" m="1" x="6890"/>
        <item sd="0" m="1" x="7383"/>
        <item sd="0" m="1" x="1891"/>
        <item sd="0" m="1" x="2687"/>
        <item sd="0" m="1" x="3608"/>
        <item sd="0" m="1" x="212"/>
        <item sd="0" m="1" x="2343"/>
        <item sd="0" m="1" x="3237"/>
        <item sd="0" m="1" x="4197"/>
        <item sd="0" m="1" x="5127"/>
        <item sd="0" m="1" x="638"/>
        <item sd="0" m="1" x="4247"/>
        <item sd="0" m="1" x="5180"/>
        <item sd="0" m="1" x="7895"/>
        <item sd="0" m="1" x="3976"/>
        <item sd="0" m="1" x="4898"/>
        <item sd="0" m="1" x="5776"/>
        <item sd="0" m="1" x="6529"/>
        <item sd="0" m="1" x="774"/>
        <item sd="0" m="1" x="1228"/>
        <item sd="0" m="1" x="1852"/>
        <item sd="0" m="1" x="5462"/>
        <item sd="0" m="1" x="6306"/>
        <item sd="0" m="1" x="6923"/>
        <item sd="0" m="1" x="7413"/>
        <item sd="0" m="1" x="1937"/>
        <item sd="0" m="1" x="2726"/>
        <item sd="0" m="1" x="3650"/>
        <item sd="0" m="1" x="6981"/>
        <item sd="0" m="1" x="7476"/>
        <item sd="0" m="1" x="7811"/>
        <item sd="0" m="1" x="3708"/>
        <item sd="0" m="1" x="4643"/>
        <item sd="0" m="1" x="5548"/>
        <item sd="0" m="1" x="669"/>
        <item sd="0" m="1" x="4271"/>
        <item sd="0" m="1" x="5226"/>
        <item sd="0" m="1" x="6087"/>
        <item sd="0" m="1" x="6767"/>
        <item sd="0" m="1" x="1733"/>
        <item sd="0" m="1" x="6139"/>
        <item sd="0" m="1" x="6826"/>
        <item sd="0" m="1" x="7353"/>
        <item sd="0" m="1" x="7733"/>
        <item sd="0" m="1" x="3443"/>
        <item sd="0" m="1" x="3078"/>
        <item sd="0" m="1" x="4033"/>
        <item sd="0" m="1" x="4983"/>
        <item sd="0" m="1" x="5051"/>
        <item sd="0" m="1" x="5934"/>
        <item sd="0" m="1" x="6677"/>
        <item sd="0" m="1" x="1308"/>
        <item sd="0" m="1" x="1991"/>
        <item sd="0" m="1" x="2813"/>
        <item sd="0" m="1" x="3774"/>
        <item sd="0" m="1" x="2871"/>
        <item sd="0" m="1" x="3835"/>
        <item sd="0" m="1" x="4781"/>
        <item sd="0" m="1" x="5696"/>
        <item sd="0" m="1" x="4844"/>
        <item sd="0" m="1" x="5741"/>
        <item sd="0" m="1" x="714"/>
        <item sd="0" m="1" x="1169"/>
        <item sd="0" m="1" x="1792"/>
        <item sd="0" m="1" x="2586"/>
        <item sd="0" m="1" x="6226"/>
        <item sd="0" m="1" x="6875"/>
        <item sd="0" m="1" x="1853"/>
        <item sd="0" m="1" x="2653"/>
        <item sd="0" m="1" x="3589"/>
        <item sd="0" m="1" x="4542"/>
        <item sd="0" m="1" x="6594"/>
        <item sd="0" m="1" x="7162"/>
        <item sd="0" m="1" x="2268"/>
        <item sd="0" m="1" x="3134"/>
        <item sd="0" m="1" x="265"/>
        <item sd="0" m="1" x="1954"/>
        <item sd="0" m="1" x="2789"/>
        <item sd="0" m="1" x="3730"/>
        <item sd="0" m="1" x="4662"/>
        <item sd="0" m="1" x="836"/>
        <item sd="0" m="1" x="3775"/>
        <item sd="0" m="1" x="4731"/>
        <item sd="0" m="1" x="5630"/>
        <item sd="0" m="1" x="6411"/>
        <item sd="0" m="1" x="2047"/>
        <item sd="0" m="1" x="1136"/>
        <item sd="0" m="1" x="1765"/>
        <item sd="0" m="1" x="2550"/>
        <item sd="0" m="1" x="3460"/>
        <item sd="0" m="1" x="2587"/>
        <item sd="0" m="1" x="3523"/>
        <item sd="0" m="1" x="4477"/>
        <item sd="0" m="1" x="5411"/>
        <item sd="0" m="1" x="4543"/>
        <item sd="0" m="1" x="1113"/>
        <item sd="0" m="1" x="1681"/>
        <item sd="0" m="1" x="2433"/>
        <item sd="0" m="1" x="3325"/>
        <item sd="0" m="1" x="6787"/>
        <item sd="0" m="1" x="7319"/>
        <item sd="0" m="1" x="7702"/>
        <item sd="0" m="1" x="2523"/>
        <item sd="0" m="1" x="3403"/>
        <item sd="0" m="1" x="4369"/>
        <item sd="0" m="1" x="5299"/>
        <item sd="0" m="1" x="7755"/>
        <item sd="0" m="1" x="7983"/>
        <item sd="0" m="1" x="119"/>
        <item sd="0" m="1" x="4425"/>
        <item sd="0" m="1" x="5348"/>
        <item sd="0" m="1" x="6183"/>
        <item sd="0" m="1" x="6845"/>
        <item sd="0" m="1" x="444"/>
        <item sd="0" m="1" x="775"/>
        <item sd="0" m="1" x="1229"/>
        <item sd="0" m="1" x="1854"/>
        <item sd="0" m="1" x="5463"/>
        <item sd="0" m="1" x="6307"/>
        <item sd="0" m="1" x="6924"/>
        <item sd="0" m="1" x="1274"/>
        <item sd="0" m="1" x="1938"/>
        <item sd="0" m="1" x="2727"/>
        <item sd="0" m="1" x="3651"/>
        <item sd="0" m="1" x="6982"/>
        <item sd="0" m="1" x="7477"/>
        <item sd="0" m="1" x="7812"/>
        <item sd="0" m="1" x="2772"/>
        <item sd="0" m="1" x="3709"/>
        <item sd="0" m="1" x="4644"/>
        <item sd="0" m="1" x="5549"/>
        <item sd="0" m="1" x="390"/>
        <item sd="0" m="1" x="670"/>
        <item sd="0" m="1" x="4272"/>
        <item sd="0" m="1" x="5227"/>
        <item sd="0" m="1" x="6088"/>
        <item sd="0" m="1" x="6768"/>
        <item sd="0" m="1" x="1134"/>
        <item sd="0" m="1" x="1734"/>
        <item sd="0" m="1" x="6140"/>
        <item sd="0" m="1" x="4845"/>
        <item sd="0" m="1" x="715"/>
        <item sd="0" m="1" x="1170"/>
        <item sd="0" m="1" x="1793"/>
        <item sd="0" m="1" x="2588"/>
        <item sd="0" m="1" x="6227"/>
        <item sd="0" m="1" x="1855"/>
        <item sd="0" m="1" x="2654"/>
        <item sd="0" m="1" x="3590"/>
        <item sd="0" m="1" x="4544"/>
        <item sd="0" m="1" x="7414"/>
        <item sd="0" m="1" x="3652"/>
        <item sd="0" m="1" x="4596"/>
        <item sd="0" m="1" x="375"/>
        <item sd="0" m="1" x="617"/>
        <item sd="0" m="1" x="1022"/>
        <item sd="0" m="1" x="5167"/>
        <item sd="0" m="1" x="6033"/>
        <item sd="0" m="1" x="1095"/>
        <item sd="0" m="1" x="1641"/>
        <item sd="0" m="1" x="2403"/>
        <item sd="0" m="1" x="6769"/>
        <item sd="0" m="1" x="7284"/>
        <item sd="0" m="1" x="2497"/>
        <item sd="0" m="1" x="3364"/>
        <item sd="0" m="1" x="4339"/>
        <item sd="0" m="1" x="197"/>
        <item sd="0" m="1" x="310"/>
        <item sd="0" m="1" x="528"/>
        <item sd="0" m="1" x="3986"/>
        <item sd="0" m="1" x="4918"/>
        <item sd="0" m="1" x="5796"/>
        <item sd="0" m="1" x="577"/>
        <item sd="0" m="1" x="939"/>
        <item sd="0" m="1" x="1474"/>
        <item sd="0" m="1" x="5886"/>
        <item sd="0" m="1" x="6595"/>
        <item sd="0" m="1" x="7163"/>
        <item sd="0" m="1" x="1558"/>
        <item sd="0" m="1" x="2269"/>
        <item sd="0" m="1" x="3135"/>
        <item sd="0" m="1" x="175"/>
        <item sd="0" m="1" x="266"/>
        <item sd="0" m="1" x="1955"/>
        <item sd="0" m="1" x="2790"/>
        <item sd="0" m="1" x="3731"/>
        <item sd="0" m="1" x="4663"/>
        <item sd="0" m="1" x="493"/>
        <item sd="0" m="1" x="837"/>
        <item sd="0" m="1" x="3776"/>
        <item sd="0" m="1" x="4732"/>
        <item sd="0" m="1" x="5631"/>
        <item sd="0" m="1" x="6412"/>
        <item sd="0" m="1" x="1386"/>
        <item sd="0" m="1" x="2048"/>
        <item sd="0" m="1" x="1137"/>
        <item sd="0" m="1" x="1766"/>
        <item sd="0" m="1" x="2551"/>
        <item sd="0" m="1" x="3461"/>
        <item sd="0" m="1" x="2589"/>
        <item sd="0" m="1" x="3524"/>
        <item sd="0" m="1" x="4478"/>
        <item sd="0" m="1" x="7239"/>
        <item sd="0" m="1" x="7657"/>
        <item sd="0" m="1" x="7934"/>
        <item sd="0" m="1" x="3225"/>
        <item sd="0" m="1" x="4181"/>
        <item sd="0" m="1" x="5118"/>
        <item sd="0" m="1" x="505"/>
        <item sd="0" m="1" x="856"/>
        <item sd="0" m="1" x="4754"/>
        <item sd="0" m="1" x="5650"/>
        <item sd="0" m="1" x="6439"/>
        <item sd="0" m="1" x="1406"/>
        <item sd="0" m="1" x="2095"/>
        <item sd="0" m="1" x="6499"/>
        <item sd="0" m="1" x="7092"/>
        <item sd="0" m="1" x="7561"/>
        <item sd="0" m="1" x="2985"/>
        <item sd="0" m="1" x="3930"/>
        <item sd="0" m="1" x="433"/>
        <item sd="0" m="1" x="2615"/>
        <item sd="0" m="1" x="3548"/>
        <item sd="0" m="1" x="4500"/>
        <item sd="0" m="1" x="5434"/>
        <item sd="0" m="1" x="1257"/>
        <item sd="0" m="1" x="4560"/>
        <item sd="0" m="1" x="5483"/>
        <item sd="0" m="1" x="6318"/>
        <item sd="0" m="1" x="6956"/>
        <item sd="0" m="1" x="2756"/>
        <item sd="0" m="1" x="1614"/>
        <item sd="0" m="1" x="2363"/>
        <item sd="0" m="1" x="3268"/>
        <item sd="0" m="1" x="4248"/>
        <item sd="0" m="1" x="3326"/>
        <item sd="0" m="1" x="4292"/>
        <item sd="0" m="1" x="5249"/>
        <item sd="0" m="1" x="6111"/>
        <item sd="0" m="1" x="5300"/>
        <item sd="0" m="1" x="914"/>
        <item sd="0" m="1" x="1437"/>
        <item sd="0" m="1" x="2165"/>
        <item sd="0" m="1" x="6567"/>
        <item sd="0" m="1" x="2225"/>
        <item sd="0" m="1" x="3096"/>
        <item sd="0" m="1" x="4063"/>
        <item sd="0" m="1" x="7609"/>
        <item sd="0" m="1" x="4132"/>
        <item sd="0" m="1" x="5068"/>
        <item sd="0" m="1" x="290"/>
        <item sd="0" m="1" x="458"/>
        <item sd="0" m="1" x="801"/>
        <item sd="0" m="1" x="1286"/>
        <item sd="0" m="1" x="5603"/>
        <item sd="0" m="1" x="6370"/>
        <item sd="0" m="1" x="857"/>
        <item sd="0" m="1" x="1334"/>
        <item sd="0" m="1" x="2006"/>
        <item sd="0" m="1" x="2835"/>
        <item sd="0" m="1" x="6054"/>
        <item sd="0" m="1" x="6725"/>
        <item sd="0" m="1" x="1682"/>
        <item sd="0" m="1" x="1423"/>
        <item sd="0" m="1" x="2128"/>
        <item sd="0" m="1" x="2999"/>
        <item sd="0" m="1" x="3045"/>
        <item sd="0" m="1" x="4004"/>
        <item sd="0" m="1" x="4948"/>
        <item sd="0" m="1" x="878"/>
        <item sd="0" m="1" x="1387"/>
        <item sd="0" m="1" x="2049"/>
        <item sd="0" m="1" x="2872"/>
        <item sd="0" m="1" x="7074"/>
        <item sd="0" m="1" x="7528"/>
        <item sd="0" m="1" x="2114"/>
        <item sd="0" m="1" x="2967"/>
        <item sd="0" m="1" x="3898"/>
        <item sd="0" m="1" x="4846"/>
        <item sd="0" m="1" x="7896"/>
        <item sd="0" m="1" x="3977"/>
        <item sd="0" m="1" x="4899"/>
        <item sd="0" m="1" x="5777"/>
        <item sd="0" m="1" x="6530"/>
        <item sd="0" m="1" x="776"/>
        <item sd="0" m="1" x="1230"/>
        <item sd="0" m="1" x="1856"/>
        <item sd="0" m="1" x="5464"/>
        <item sd="0" m="1" x="6308"/>
        <item sd="0" m="1" x="6925"/>
        <item sd="0" m="1" x="7415"/>
        <item sd="0" m="1" x="1939"/>
        <item sd="0" m="1" x="2728"/>
        <item sd="0" m="1" x="3653"/>
        <item sd="0" m="1" x="6983"/>
        <item sd="0" m="1" x="7478"/>
        <item sd="0" m="1" x="7813"/>
        <item sd="0" m="1" x="3710"/>
        <item sd="0" m="1" x="4645"/>
        <item sd="0" m="1" x="5550"/>
        <item sd="0" m="1" x="671"/>
        <item sd="0" m="1" x="4273"/>
        <item sd="0" m="1" x="5228"/>
        <item sd="0" m="1" x="6089"/>
        <item sd="0" m="1" x="6770"/>
        <item sd="0" m="1" x="1735"/>
        <item sd="0" m="1" x="6141"/>
        <item sd="0" m="1" x="6827"/>
        <item sd="0" m="1" x="7354"/>
        <item sd="0" m="1" x="7734"/>
        <item sd="0" m="1" x="3444"/>
        <item sd="0" m="1" x="3079"/>
        <item sd="0" m="1" x="4034"/>
        <item sd="0" m="1" x="4984"/>
        <item sd="0" m="1" x="5052"/>
        <item sd="0" m="1" x="5935"/>
        <item sd="0" m="1" x="6678"/>
        <item sd="0" m="1" x="7416"/>
        <item sd="0" m="1" x="7780"/>
        <item sd="0" m="1" x="3654"/>
        <item sd="0" m="1" x="4597"/>
        <item sd="0" m="1" x="5516"/>
        <item sd="0" m="1" x="376"/>
        <item sd="0" m="1" x="618"/>
        <item sd="0" m="1" x="7285"/>
        <item sd="0" m="1" x="7687"/>
        <item sd="0" m="1" x="2498"/>
        <item sd="0" m="1" x="3365"/>
        <item sd="0" m="1" x="4340"/>
        <item sd="0" m="1" x="311"/>
        <item sd="0" m="1" x="529"/>
        <item sd="0" m="1" x="3987"/>
        <item sd="0" m="1" x="4919"/>
        <item sd="0" m="1" x="5797"/>
        <item sd="0" m="1" x="940"/>
        <item sd="0" m="1" x="1475"/>
        <item sd="0" m="1" x="5887"/>
        <item sd="0" m="1" x="6596"/>
        <item sd="0" m="1" x="7164"/>
        <item sd="0" m="1" x="2270"/>
        <item sd="0" m="1" x="3136"/>
        <item sd="0" m="1" x="267"/>
        <item sd="0" m="1" x="1956"/>
        <item sd="0" m="1" x="2791"/>
        <item sd="0" m="1" x="3732"/>
        <item sd="0" m="1" x="4664"/>
        <item sd="0" m="1" x="838"/>
        <item sd="0" m="1" x="3777"/>
        <item sd="0" m="1" x="4733"/>
        <item sd="0" m="1" x="5632"/>
        <item sd="0" m="1" x="6413"/>
        <item sd="0" m="1" x="2050"/>
        <item sd="0" m="1" x="1138"/>
        <item sd="0" m="1" x="1767"/>
        <item sd="0" m="1" x="2552"/>
        <item sd="0" m="1" x="3462"/>
        <item sd="0" m="1" x="2590"/>
        <item sd="0" m="1" x="3525"/>
        <item sd="0" m="1" x="4479"/>
        <item sd="0" m="1" x="5412"/>
        <item sd="0" m="1" x="4545"/>
        <item sd="0" m="1" x="1114"/>
        <item sd="0" m="1" x="1683"/>
        <item sd="0" m="1" x="2434"/>
        <item sd="0" m="1" x="3327"/>
        <item sd="0" m="1" x="6788"/>
        <item sd="0" m="1" x="7320"/>
        <item sd="0" m="1" x="7703"/>
        <item sd="0" m="1" x="2524"/>
        <item sd="0" m="1" x="3404"/>
        <item sd="0" m="1" x="4370"/>
        <item sd="0" m="1" x="5301"/>
        <item sd="0" m="1" x="1342"/>
        <item sd="0" m="1" x="5665"/>
        <item sd="0" m="1" x="6448"/>
        <item sd="0" m="1" x="7046"/>
        <item sd="0" m="1" x="1407"/>
        <item sd="0" m="1" x="2105"/>
        <item sd="0" m="1" x="2928"/>
        <item sd="0" m="1" x="7101"/>
        <item sd="0" m="1" x="7566"/>
        <item sd="0" m="1" x="7870"/>
        <item sd="0" m="1" x="3000"/>
        <item sd="0" m="1" x="3942"/>
        <item sd="0" m="1" x="4877"/>
        <item sd="0" m="1" x="434"/>
        <item sd="0" m="1" x="737"/>
        <item sd="0" m="1" x="3556"/>
        <item sd="0" m="1" x="4509"/>
        <item sd="0" m="1" x="5443"/>
        <item sd="0" m="1" x="6260"/>
        <item sd="0" m="1" x="1264"/>
        <item sd="0" m="1" x="1901"/>
        <item sd="0" m="1" x="5491"/>
        <item sd="0" m="1" x="6319"/>
        <item sd="0" m="1" x="6963"/>
        <item sd="0" m="1" x="7448"/>
        <item sd="0" m="1" x="2763"/>
        <item sd="0" m="1" x="3680"/>
        <item sd="0" m="1" x="2371"/>
        <item sd="0" m="1" x="3269"/>
        <item sd="0" m="1" x="4249"/>
        <item sd="0" m="1" x="5181"/>
        <item sd="0" m="1" x="4300"/>
        <item sd="0" m="1" x="5250"/>
        <item sd="0" m="1" x="6121"/>
        <item sd="0" m="1" x="6798"/>
        <item sd="0" m="1" x="1444"/>
        <item sd="0" m="1" x="2166"/>
        <item sd="0" m="1" x="3046"/>
        <item sd="0" m="1" x="3103"/>
        <item sd="0" m="1" x="4073"/>
        <item sd="0" m="1" x="5021"/>
        <item sd="0" m="1" x="5076"/>
        <item sd="0" m="1" x="466"/>
        <item sd="0" m="1" x="802"/>
        <item sd="0" m="1" x="1287"/>
        <item sd="0" m="1" x="1963"/>
        <item sd="0" m="1" x="6378"/>
        <item sd="0" m="1" x="1343"/>
        <item sd="0" m="1" x="2007"/>
        <item sd="0" m="1" x="2843"/>
        <item sd="0" m="1" x="3801"/>
        <item sd="0" m="1" x="6055"/>
        <item sd="0" m="1" x="6733"/>
        <item sd="0" m="1" x="7257"/>
        <item sd="0" m="1" x="1700"/>
        <item sd="0" m="1" x="2442"/>
        <item sd="0" m="1" x="183"/>
        <item sd="0" m="1" x="2129"/>
        <item sd="0" m="1" x="3009"/>
        <item sd="0" m="1" x="3960"/>
        <item sd="0" m="1" x="552"/>
        <item sd="0" m="1" x="4005"/>
        <item sd="0" m="1" x="4955"/>
        <item sd="0" m="1" x="5843"/>
        <item sd="0" m="1" x="1514"/>
        <item sd="0" m="1" x="2060"/>
        <item sd="0" m="1" x="2878"/>
        <item sd="0" m="1" x="3841"/>
        <item sd="0" m="1" x="7537"/>
        <item sd="0" m="1" x="3906"/>
        <item sd="0" m="1" x="4850"/>
        <item sd="0" m="1" x="5745"/>
        <item sd="0" m="1" x="5798"/>
        <item sd="0" m="1" x="6537"/>
        <item sd="0" m="1" x="780"/>
        <item sd="0" m="1" x="1235"/>
        <item sd="0" m="1" x="1861"/>
        <item sd="0" m="1" x="2659"/>
        <item sd="0" m="1" x="6933"/>
        <item sd="0" m="1" x="7421"/>
        <item sd="0" m="1" x="1943"/>
        <item sd="0" m="1" x="2733"/>
        <item sd="0" m="1" x="3659"/>
        <item sd="0" m="1" x="4602"/>
        <item sd="0" m="1" x="7817"/>
        <item sd="0" m="1" x="3733"/>
        <item sd="0" m="1" x="4665"/>
        <item sd="0" m="1" x="5565"/>
        <item sd="0" m="1" x="6343"/>
        <item sd="0" m="1" x="672"/>
        <item sd="0" m="1" x="1100"/>
        <item sd="0" m="1" x="1646"/>
        <item sd="0" m="1" x="5232"/>
        <item sd="0" m="1" x="6094"/>
        <item sd="0" m="1" x="6776"/>
        <item sd="0" m="1" x="7291"/>
        <item sd="0" m="1" x="1736"/>
        <item sd="0" m="1" x="2510"/>
        <item sd="0" m="1" x="3377"/>
        <item sd="0" m="1" x="6831"/>
        <item sd="0" m="1" x="7355"/>
        <item sd="0" m="1" x="7741"/>
        <item sd="0" m="1" x="7961"/>
        <item sd="0" m="1" x="3463"/>
        <item sd="0" m="1" x="4406"/>
        <item sd="0" m="1" x="5327"/>
        <item sd="0" m="1" x="578"/>
        <item sd="0" m="1" x="4044"/>
        <item sd="0" m="1" x="4994"/>
        <item sd="0" m="1" x="5893"/>
        <item sd="0" m="1" x="6601"/>
        <item sd="0" m="1" x="1563"/>
        <item sd="0" m="1" x="5940"/>
        <item sd="0" m="1" x="4603"/>
        <item sd="0" m="1" x="5517"/>
        <item sd="0" m="1" x="623"/>
        <item sd="0" m="1" x="1027"/>
        <item sd="0" m="1" x="1604"/>
        <item sd="0" m="1" x="2349"/>
        <item sd="0" m="1" x="6038"/>
        <item sd="0" m="1" x="6709"/>
        <item sd="0" m="1" x="1647"/>
        <item sd="0" m="1" x="2405"/>
        <item sd="0" m="1" x="3302"/>
        <item sd="0" m="1" x="4277"/>
        <item sd="0" m="1" x="7292"/>
        <item sd="0" m="1" x="7688"/>
        <item sd="0" m="1" x="3378"/>
        <item sd="0" m="1" x="4347"/>
        <item sd="0" m="1" x="5276"/>
        <item sd="0" m="1" x="317"/>
        <item sd="0" m="1" x="530"/>
        <item sd="0" m="1" x="896"/>
        <item sd="0" m="1" x="4930"/>
        <item sd="0" m="1" x="5818"/>
        <item sd="0" m="1" x="6554"/>
        <item sd="0" m="1" x="946"/>
        <item sd="0" m="1" x="1480"/>
        <item sd="0" m="1" x="2197"/>
        <item sd="0" m="1" x="6602"/>
        <item sd="0" m="1" x="7165"/>
        <item sd="0" m="1" x="7595"/>
        <item sd="0" m="1" x="2279"/>
        <item sd="0" m="1" x="3145"/>
        <item sd="0" m="1" x="4106"/>
        <item sd="0" m="1" x="281"/>
        <item sd="0" m="1" x="445"/>
        <item sd="0" m="1" x="3742"/>
        <item sd="0" m="1" x="4679"/>
        <item sd="0" m="1" x="5579"/>
        <item sd="0" m="1" x="839"/>
        <item sd="0" m="1" x="1314"/>
        <item sd="0" m="1" x="5634"/>
        <item sd="0" m="1" x="6420"/>
        <item sd="0" m="1" x="7015"/>
        <item sd="0" m="1" x="2061"/>
        <item sd="0" m="1" x="2879"/>
        <item sd="0" m="1" x="222"/>
        <item sd="0" m="1" x="1768"/>
        <item sd="0" m="1" x="2553"/>
        <item sd="0" m="1" x="3487"/>
        <item sd="0" m="1" x="4416"/>
        <item sd="0" m="1" x="719"/>
        <item sd="0" m="1" x="3527"/>
        <item sd="0" m="1" x="4481"/>
        <item sd="0" m="1" x="5417"/>
        <item sd="0" m="1" x="6232"/>
        <item sd="0" m="1" x="1862"/>
        <item sd="0" m="1" x="1701"/>
        <item sd="0" m="1" x="2443"/>
        <item sd="0" m="1" x="3335"/>
        <item sd="0" m="1" x="4301"/>
        <item sd="0" m="1" x="7330"/>
        <item sd="0" m="1" x="7710"/>
        <item sd="0" m="1" x="3420"/>
        <item sd="0" m="1" x="4377"/>
        <item sd="0" m="1" x="5308"/>
        <item sd="0" m="1" x="6149"/>
        <item sd="0" m="1" x="7567"/>
        <item sd="0" m="1" x="7871"/>
        <item sd="0" m="1" x="3943"/>
        <item sd="0" m="1" x="4878"/>
        <item sd="0" m="1" x="738"/>
        <item sd="0" m="1" x="3557"/>
        <item sd="0" m="1" x="4510"/>
        <item sd="0" m="1" x="5444"/>
        <item sd="0" m="1" x="6261"/>
        <item sd="0" m="1" x="1902"/>
        <item sd="0" m="1" x="5492"/>
        <item sd="0" m="1" x="6320"/>
        <item sd="0" m="1" x="6964"/>
        <item sd="0" m="1" x="7449"/>
        <item sd="0" m="1" x="3681"/>
        <item sd="0" m="1" x="2372"/>
        <item sd="0" m="1" x="3270"/>
        <item sd="0" m="1" x="4250"/>
        <item sd="0" m="1" x="5182"/>
        <item sd="0" m="1" x="4302"/>
        <item sd="0" m="1" x="5251"/>
        <item sd="0" m="1" x="6122"/>
        <item sd="0" m="1" x="6799"/>
        <item sd="0" m="1" x="6150"/>
        <item sd="0" m="1" x="1445"/>
        <item sd="0" m="1" x="2167"/>
        <item sd="0" m="1" x="3047"/>
        <item sd="0" m="1" x="7139"/>
        <item sd="0" m="1" x="3104"/>
        <item sd="0" m="1" x="4074"/>
        <item sd="0" m="1" x="5022"/>
        <item sd="0" m="1" x="7910"/>
        <item sd="0" m="1" x="5077"/>
        <item sd="0" m="1" x="5960"/>
        <item sd="0" m="1" x="467"/>
        <item sd="0" m="1" x="803"/>
        <item sd="0" m="1" x="1288"/>
        <item sd="0" m="1" x="1964"/>
        <item sd="0" m="1" x="6379"/>
        <item sd="0" m="1" x="6988"/>
        <item sd="0" m="1" x="1344"/>
        <item sd="0" m="1" x="2008"/>
        <item sd="0" m="1" x="2844"/>
        <item sd="0" m="1" x="3802"/>
        <item sd="0" m="1" x="7502"/>
        <item sd="0" m="1" x="7840"/>
        <item sd="0" m="1" x="2929"/>
        <item sd="0" m="1" x="3871"/>
        <item sd="0" m="1" x="4815"/>
        <item sd="0" m="1" x="5719"/>
        <item sd="0" m="1" x="398"/>
        <item sd="0" m="1" x="693"/>
        <item sd="0" m="1" x="1139"/>
        <item sd="0" m="1" x="5377"/>
        <item sd="0" m="1" x="6200"/>
        <item sd="0" m="1" x="6855"/>
        <item sd="0" m="1" x="1189"/>
        <item sd="0" m="1" x="1816"/>
        <item sd="0" m="1" x="2623"/>
        <item sd="0" m="1" x="6262"/>
        <item sd="0" m="1" x="2062"/>
        <item sd="0" m="1" x="2880"/>
        <item sd="0" m="1" x="3842"/>
        <item sd="0" m="1" x="7538"/>
        <item sd="0" m="1" x="7853"/>
        <item sd="0" m="1" x="3907"/>
        <item sd="0" m="1" x="4851"/>
        <item sd="0" m="1" x="5746"/>
        <item sd="0" m="1" x="143"/>
        <item sd="0" m="1" x="5799"/>
        <item sd="0" m="1" x="6538"/>
        <item sd="0" m="1" x="7124"/>
        <item sd="0" m="1" x="1236"/>
        <item sd="0" m="1" x="1863"/>
        <item sd="0" m="1" x="2660"/>
        <item sd="0" m="1" x="6934"/>
        <item sd="0" m="1" x="7422"/>
        <item sd="0" m="1" x="7785"/>
        <item sd="0" m="1" x="2734"/>
        <item sd="0" m="1" x="3660"/>
        <item sd="0" m="1" x="4604"/>
        <item sd="0" m="1" x="7818"/>
        <item sd="0" m="1" x="134"/>
        <item sd="0" m="1" x="4666"/>
        <item sd="0" m="1" x="5566"/>
        <item sd="0" m="1" x="6344"/>
        <item sd="0" m="1" x="980"/>
        <item sd="0" m="1" x="1515"/>
        <item sd="0" m="1" x="2232"/>
        <item sd="0" m="1" x="6645"/>
        <item sd="0" m="1" x="7194"/>
        <item sd="0" m="1" x="2313"/>
        <item sd="0" m="1" x="3174"/>
        <item sd="0" m="1" x="4140"/>
        <item sd="0" m="1" x="7665"/>
        <item sd="0" m="1" x="7935"/>
        <item sd="0" m="1" x="4198"/>
        <item sd="0" m="1" x="5128"/>
        <item sd="0" m="1" x="5985"/>
        <item sd="0" m="1" x="506"/>
        <item sd="0" m="1" x="862"/>
        <item sd="0" m="1" x="1345"/>
        <item sd="0" m="1" x="5666"/>
        <item sd="0" m="1" x="6449"/>
        <item sd="0" m="1" x="7047"/>
        <item sd="0" m="1" x="1408"/>
        <item sd="0" m="1" x="2106"/>
        <item sd="0" m="1" x="2930"/>
        <item sd="0" m="1" x="7102"/>
        <item sd="0" m="1" x="7568"/>
        <item sd="0" m="1" x="7872"/>
        <item sd="0" m="1" x="3001"/>
        <item sd="0" m="1" x="3944"/>
        <item sd="0" m="1" x="4879"/>
        <item sd="0" m="1" x="435"/>
        <item sd="0" m="1" x="739"/>
        <item sd="0" m="1" x="3558"/>
        <item sd="0" m="1" x="4511"/>
        <item sd="0" m="1" x="5445"/>
        <item sd="0" m="1" x="6263"/>
        <item sd="0" m="1" x="1265"/>
        <item sd="0" m="1" x="1903"/>
        <item sd="0" m="1" x="5493"/>
        <item sd="0" m="1" x="6321"/>
        <item sd="0" m="1" x="5078"/>
        <item sd="0" m="1" x="468"/>
        <item sd="0" m="1" x="804"/>
        <item sd="0" m="1" x="1289"/>
        <item sd="0" m="1" x="1965"/>
        <item sd="0" m="1" x="6380"/>
        <item sd="0" m="1" x="1346"/>
        <item sd="0" m="1" x="2009"/>
        <item sd="0" m="1" x="2845"/>
        <item sd="0" m="1" x="3803"/>
        <item sd="0" m="1" x="7503"/>
        <item sd="0" m="1" x="2931"/>
        <item sd="0" m="1" x="3872"/>
        <item sd="0" m="1" x="4816"/>
        <item sd="0" m="1" x="240"/>
        <item sd="0" m="1" x="399"/>
        <item sd="0" m="1" x="694"/>
        <item sd="0" m="1" x="1140"/>
        <item sd="0" m="1" x="5378"/>
        <item sd="0" m="1" x="6201"/>
        <item sd="0" m="1" x="740"/>
        <item sd="0" m="1" x="1190"/>
        <item sd="0" m="1" x="1817"/>
        <item sd="0" m="1" x="2624"/>
        <item sd="0" m="1" x="6264"/>
        <item sd="0" m="1" x="6891"/>
        <item sd="0" m="1" x="7387"/>
        <item sd="0" m="1" x="1904"/>
        <item sd="0" m="1" x="2694"/>
        <item sd="0" m="1" x="3616"/>
        <item sd="0" m="1" x="4568"/>
        <item sd="0" m="1" x="213"/>
        <item sd="0" m="1" x="343"/>
        <item sd="0" m="1" x="3240"/>
        <item sd="0" m="1" x="4213"/>
        <item sd="0" m="1" x="5143"/>
        <item sd="0" m="1" x="6000"/>
        <item sd="0" m="1" x="646"/>
        <item sd="0" m="1" x="1049"/>
        <item sd="0" m="1" x="5183"/>
        <item sd="0" m="1" x="6056"/>
        <item sd="0" m="1" x="6734"/>
        <item sd="0" m="1" x="7258"/>
        <item sd="0" m="1" x="1702"/>
        <item sd="0" m="1" x="2444"/>
        <item sd="0" m="1" x="184"/>
        <item sd="0" m="1" x="2130"/>
        <item sd="0" m="1" x="3010"/>
        <item sd="0" m="1" x="3961"/>
        <item sd="0" m="1" x="553"/>
        <item sd="0" m="1" x="4006"/>
        <item sd="0" m="1" x="4956"/>
        <item sd="0" m="1" x="5844"/>
        <item sd="0" m="1" x="1516"/>
        <item sd="0" m="1" x="2063"/>
        <item sd="0" m="1" x="2881"/>
        <item sd="0" m="1" x="3843"/>
        <item sd="0" m="1" x="7539"/>
        <item sd="0" m="1" x="3908"/>
        <item sd="0" m="1" x="4852"/>
        <item sd="0" m="1" x="5747"/>
        <item sd="0" m="1" x="7356"/>
        <item sd="0" m="1" x="7742"/>
        <item sd="0" m="1" x="7962"/>
        <item sd="0" m="1" x="3464"/>
        <item sd="0" m="1" x="4407"/>
        <item sd="0" m="1" x="5328"/>
        <item sd="0" m="1" x="579"/>
        <item sd="0" m="1" x="4045"/>
        <item sd="0" m="1" x="4995"/>
        <item sd="0" m="1" x="5894"/>
        <item sd="0" m="1" x="6603"/>
        <item sd="0" m="1" x="1564"/>
        <item sd="0" m="1" x="5941"/>
        <item sd="0" m="1" x="7228"/>
        <item sd="0" m="1" x="7636"/>
        <item sd="0" m="1" x="3208"/>
        <item sd="0" m="1" x="2819"/>
        <item sd="0" m="1" x="3779"/>
        <item sd="0" m="1" x="4735"/>
        <item sd="0" m="1" x="4787"/>
        <item sd="0" m="1" x="5702"/>
        <item sd="0" m="1" x="6481"/>
        <item sd="0" m="1" x="1174"/>
        <item sd="0" m="1" x="1794"/>
        <item sd="0" m="1" x="2606"/>
        <item sd="0" m="1" x="3528"/>
        <item sd="0" m="1" x="2661"/>
        <item sd="0" m="1" x="3591"/>
        <item sd="0" m="1" x="4550"/>
        <item sd="0" m="1" x="5469"/>
        <item sd="0" m="1" x="4605"/>
        <item sd="0" m="1" x="5518"/>
        <item sd="0" m="1" x="624"/>
        <item sd="0" m="1" x="1028"/>
        <item sd="0" m="1" x="1605"/>
        <item sd="0" m="1" x="2350"/>
        <item sd="0" m="1" x="6039"/>
        <item sd="0" m="1" x="6710"/>
        <item sd="0" m="1" x="1648"/>
        <item sd="0" m="1" x="2406"/>
        <item sd="0" m="1" x="3303"/>
        <item sd="0" m="1" x="4278"/>
        <item sd="0" m="1" x="7293"/>
        <item sd="0" m="1" x="7689"/>
        <item sd="0" m="1" x="3379"/>
        <item sd="0" m="1" x="4348"/>
        <item sd="0" m="1" x="5277"/>
        <item sd="0" m="1" x="318"/>
        <item sd="0" m="1" x="531"/>
        <item sd="0" m="1" x="897"/>
        <item sd="0" m="1" x="4931"/>
        <item sd="0" m="1" x="5819"/>
        <item sd="0" m="1" x="6555"/>
        <item sd="0" m="1" x="947"/>
        <item sd="0" m="1" x="1481"/>
        <item sd="0" m="1" x="2198"/>
        <item sd="0" m="1" x="6233"/>
        <item sd="0" m="1" x="1864"/>
        <item sd="0" m="1" x="1703"/>
        <item sd="0" m="1" x="2445"/>
        <item sd="0" m="1" x="3336"/>
        <item sd="0" m="1" x="4303"/>
        <item sd="0" m="1" x="7331"/>
        <item sd="0" m="1" x="7711"/>
        <item sd="0" m="1" x="3421"/>
        <item sd="0" m="1" x="4378"/>
        <item sd="0" m="1" x="5309"/>
        <item sd="0" m="1" x="6151"/>
        <item sd="0" m="1" x="7993"/>
        <item sd="0" m="1" x="120"/>
        <item sd="0" m="1" x="5368"/>
        <item sd="0" m="1" x="6191"/>
        <item sd="0" m="1" x="6846"/>
        <item sd="0" m="1" x="981"/>
        <item sd="0" m="1" x="1517"/>
        <item sd="0" m="1" x="2233"/>
        <item sd="0" m="1" x="6646"/>
        <item sd="0" m="1" x="7195"/>
        <item sd="0" m="1" x="7617"/>
        <item sd="0" m="1" x="2314"/>
        <item sd="0" m="1" x="3175"/>
        <item sd="0" m="1" x="4141"/>
        <item sd="0" m="1" x="7666"/>
        <item sd="0" m="1" x="7936"/>
        <item sd="0" m="1" x="101"/>
        <item sd="0" m="1" x="4199"/>
        <item sd="0" m="1" x="5129"/>
        <item sd="0" m="1" x="5986"/>
        <item sd="0" m="1" x="863"/>
        <item sd="0" m="1" x="1347"/>
        <item sd="0" m="1" x="5667"/>
        <item sd="0" m="1" x="6450"/>
        <item sd="0" m="1" x="7048"/>
        <item sd="0" m="1" x="2107"/>
        <item sd="0" m="1" x="2932"/>
        <item sd="0" m="1" x="7103"/>
        <item sd="0" m="1" x="7569"/>
        <item sd="0" m="1" x="7873"/>
        <item sd="0" m="1" x="3945"/>
        <item sd="0" m="1" x="4880"/>
        <item sd="0" m="1" x="741"/>
        <item sd="0" m="1" x="3559"/>
        <item sd="0" m="1" x="4512"/>
        <item sd="0" m="1" x="5446"/>
        <item sd="0" m="1" x="6265"/>
        <item sd="0" m="1" x="1905"/>
        <item sd="0" m="1" x="5494"/>
        <item sd="0" m="1" x="6322"/>
        <item sd="0" m="1" x="6965"/>
        <item sd="0" m="1" x="7450"/>
        <item sd="0" m="1" x="3682"/>
        <item sd="0" m="1" x="2373"/>
        <item sd="0" m="1" x="3271"/>
        <item sd="0" m="1" x="4251"/>
        <item sd="0" m="1" x="5184"/>
        <item sd="0" m="1" x="4304"/>
        <item sd="0" m="1" x="5252"/>
        <item sd="0" m="1" x="6123"/>
        <item sd="0" m="1" x="6800"/>
        <item sd="0" m="1" x="7504"/>
        <item sd="0" m="1" x="7841"/>
        <item sd="0" m="1" x="2933"/>
        <item sd="0" m="1" x="3873"/>
        <item sd="0" m="1" x="4817"/>
        <item sd="0" m="1" x="5720"/>
        <item sd="0" m="1" x="400"/>
        <item sd="0" m="1" x="695"/>
        <item sd="0" m="1" x="1141"/>
        <item sd="0" m="1" x="5379"/>
        <item sd="0" m="1" x="6202"/>
        <item sd="0" m="1" x="6856"/>
        <item sd="0" m="1" x="1191"/>
        <item sd="0" m="1" x="1818"/>
        <item sd="0" m="1" x="2625"/>
        <item sd="0" m="1" x="6266"/>
        <item sd="0" m="1" x="6892"/>
        <item sd="0" m="1" x="7388"/>
        <item sd="0" m="1" x="7765"/>
        <item sd="0" m="1" x="2695"/>
        <item sd="0" m="1" x="3617"/>
        <item sd="0" m="1" x="4569"/>
        <item sd="0" m="1" x="344"/>
        <item sd="0" m="1" x="3241"/>
        <item sd="0" m="1" x="4214"/>
        <item sd="0" m="1" x="5144"/>
        <item sd="0" m="1" x="6001"/>
        <item sd="0" m="1" x="1050"/>
        <item sd="0" m="1" x="5185"/>
        <item sd="0" m="1" x="6057"/>
        <item sd="0" m="1" x="6735"/>
        <item sd="0" m="1" x="7259"/>
        <item sd="0" m="1" x="2446"/>
        <item sd="0" m="1" x="982"/>
        <item sd="0" m="1" x="1518"/>
        <item sd="0" m="1" x="2234"/>
        <item sd="0" m="1" x="6647"/>
        <item sd="0" m="1" x="7196"/>
        <item sd="0" m="1" x="2315"/>
        <item sd="0" m="1" x="3176"/>
        <item sd="0" m="1" x="4142"/>
        <item sd="0" m="1" x="7667"/>
        <item sd="0" m="1" x="7937"/>
        <item sd="0" m="1" x="4200"/>
        <item sd="0" m="1" x="5130"/>
        <item sd="0" m="1" x="5987"/>
        <item sd="0" m="1" x="507"/>
        <item sd="0" m="1" x="864"/>
        <item sd="0" m="1" x="1348"/>
        <item sd="0" m="1" x="5668"/>
        <item sd="0" m="1" x="6451"/>
        <item sd="0" m="1" x="7049"/>
        <item sd="0" m="1" x="1409"/>
        <item sd="0" m="1" x="2934"/>
        <item sd="0" m="1" x="7104"/>
        <item sd="0" m="1" x="7570"/>
        <item sd="0" m="1" x="7874"/>
        <item sd="0" m="1" x="3002"/>
        <item sd="0" m="1" x="3946"/>
        <item sd="0" m="1" x="4881"/>
        <item sd="0" m="1" x="436"/>
        <item sd="0" m="1" x="742"/>
        <item sd="0" m="1" x="3560"/>
        <item sd="0" m="1" x="4513"/>
        <item sd="0" m="1" x="5447"/>
        <item sd="0" m="1" x="6267"/>
        <item sd="0" m="1" x="1266"/>
        <item sd="0" m="1" x="1906"/>
        <item sd="0" m="1" x="5495"/>
        <item sd="0" m="1" x="6323"/>
        <item sd="0" m="1" x="5079"/>
        <item sd="0" m="1" x="469"/>
        <item sd="0" m="1" x="805"/>
        <item sd="0" m="1" x="1290"/>
        <item sd="0" m="1" x="1966"/>
        <item sd="0" m="1" x="6381"/>
        <item sd="0" m="1" x="1349"/>
        <item sd="0" m="1" x="2010"/>
        <item sd="0" m="1" x="2846"/>
        <item sd="0" m="1" x="3804"/>
        <item sd="0" m="1" x="7505"/>
        <item sd="0" m="1" x="2935"/>
        <item sd="0" m="1" x="3874"/>
        <item sd="0" m="1" x="4818"/>
        <item sd="0" m="1" x="241"/>
        <item sd="0" m="1" x="401"/>
        <item sd="0" m="1" x="696"/>
        <item sd="0" m="1" x="1142"/>
        <item sd="0" m="1" x="5380"/>
        <item sd="0" m="1" x="6203"/>
        <item sd="0" m="1" x="743"/>
        <item sd="0" m="1" x="1192"/>
        <item sd="0" m="1" x="1819"/>
        <item sd="0" m="1" x="2626"/>
        <item sd="0" m="1" x="6268"/>
        <item sd="0" m="1" x="6893"/>
        <item sd="0" m="1" x="7389"/>
        <item sd="0" m="1" x="1907"/>
        <item sd="0" m="1" x="2696"/>
        <item sd="0" m="1" x="3618"/>
        <item sd="0" m="1" x="4570"/>
        <item sd="0" m="1" x="214"/>
        <item sd="0" m="1" x="345"/>
        <item sd="0" m="1" x="3242"/>
        <item sd="0" m="1" x="4215"/>
        <item sd="0" m="1" x="5145"/>
        <item sd="0" m="1" x="6002"/>
        <item sd="0" m="1" x="647"/>
        <item sd="0" m="1" x="1051"/>
        <item sd="0" m="1" x="5186"/>
        <item sd="0" m="1" x="6058"/>
        <item sd="0" m="1" x="6736"/>
        <item sd="0" m="1" x="7260"/>
        <item sd="0" m="1" x="1704"/>
        <item sd="0" m="1" x="2447"/>
        <item sd="0" m="1" x="185"/>
        <item sd="0" m="1" x="2131"/>
        <item sd="0" m="1" x="3011"/>
        <item sd="0" m="1" x="3962"/>
        <item sd="0" m="1" x="554"/>
        <item sd="0" m="1" x="4007"/>
        <item sd="0" m="1" x="4957"/>
        <item sd="0" m="1" x="5845"/>
        <item sd="0" m="1" x="1519"/>
        <item sd="0" m="1" x="2064"/>
        <item sd="0" m="1" x="2882"/>
        <item sd="0" m="1" x="3844"/>
        <item sd="0" m="1" x="7540"/>
        <item sd="0" m="1" x="3909"/>
        <item sd="0" m="1" x="4853"/>
        <item sd="0" m="1" x="5748"/>
        <item sd="0" m="1" x="7357"/>
        <item sd="0" m="1" x="7743"/>
        <item sd="0" m="1" x="7963"/>
        <item sd="0" m="1" x="3465"/>
        <item sd="0" m="1" x="4408"/>
        <item sd="0" m="1" x="5329"/>
        <item sd="0" m="1" x="580"/>
        <item sd="0" m="1" x="4046"/>
        <item sd="0" m="1" x="4996"/>
        <item sd="0" m="1" x="5895"/>
        <item sd="0" m="1" x="6604"/>
        <item sd="0" m="1" x="1565"/>
        <item sd="0" m="1" x="5942"/>
        <item sd="0" m="1" x="6679"/>
        <item sd="0" m="1" x="7229"/>
        <item sd="0" m="1" x="7637"/>
        <item sd="0" m="1" x="3209"/>
        <item sd="0" m="1" x="2820"/>
        <item sd="0" m="1" x="3780"/>
        <item sd="0" m="1" x="4736"/>
        <item sd="0" m="1" x="4788"/>
        <item sd="0" m="1" x="5703"/>
        <item sd="0" m="1" x="6482"/>
        <item sd="0" m="1" x="1175"/>
        <item sd="0" m="1" x="1795"/>
        <item sd="0" m="1" x="2607"/>
        <item sd="0" m="1" x="3529"/>
        <item sd="0" m="1" x="2662"/>
        <item sd="0" m="1" x="3592"/>
        <item sd="0" m="1" x="4551"/>
        <item sd="0" m="1" x="5470"/>
        <item sd="0" m="1" x="4606"/>
        <item sd="0" m="1" x="5519"/>
        <item sd="0" m="1" x="625"/>
        <item sd="0" m="1" x="1029"/>
        <item sd="0" m="1" x="1606"/>
        <item sd="0" m="1" x="2351"/>
        <item sd="0" m="1" x="6040"/>
        <item sd="0" m="1" x="6711"/>
        <item sd="0" m="1" x="1649"/>
        <item sd="0" m="1" x="2407"/>
        <item sd="0" m="1" x="3304"/>
        <item sd="0" m="1" x="4279"/>
        <item sd="0" m="1" x="7294"/>
        <item sd="0" m="1" x="7690"/>
        <item sd="0" m="1" x="3380"/>
        <item sd="0" m="1" x="4349"/>
        <item sd="0" m="1" x="5278"/>
        <item sd="0" m="1" x="319"/>
        <item sd="0" m="1" x="532"/>
        <item sd="0" m="1" x="898"/>
        <item sd="0" m="1" x="4932"/>
        <item sd="0" m="1" x="5820"/>
        <item sd="0" m="1" x="6556"/>
        <item sd="0" m="1" x="948"/>
        <item sd="0" m="1" x="1482"/>
        <item sd="0" m="1" x="2199"/>
        <item sd="0" m="1" x="6234"/>
        <item sd="0" m="1" x="1865"/>
        <item sd="0" m="1" x="1705"/>
        <item sd="0" m="1" x="2448"/>
        <item sd="0" m="1" x="3337"/>
        <item sd="0" m="1" x="4305"/>
        <item sd="0" m="1" x="7332"/>
        <item sd="0" m="1" x="7712"/>
        <item sd="0" m="1" x="3422"/>
        <item sd="0" m="1" x="4379"/>
        <item sd="0" m="1" x="5310"/>
        <item sd="0" m="1" x="6152"/>
        <item sd="0" m="1" x="7994"/>
        <item sd="0" m="1" x="121"/>
        <item sd="0" m="1" x="5369"/>
        <item sd="0" m="1" x="6192"/>
        <item sd="0" m="1" x="6847"/>
        <item sd="0" m="1" x="983"/>
        <item sd="0" m="1" x="1520"/>
        <item sd="0" m="1" x="2235"/>
        <item sd="0" m="1" x="6648"/>
        <item sd="0" m="1" x="7197"/>
        <item sd="0" m="1" x="7618"/>
        <item sd="0" m="1" x="2316"/>
        <item sd="0" m="1" x="3177"/>
        <item sd="0" m="1" x="4143"/>
        <item sd="0" m="1" x="7668"/>
        <item sd="0" m="1" x="7938"/>
        <item sd="0" m="1" x="102"/>
        <item sd="0" m="1" x="4201"/>
        <item sd="0" m="1" x="5131"/>
        <item sd="0" m="1" x="5988"/>
        <item sd="0" m="1" x="865"/>
        <item sd="0" m="1" x="1350"/>
        <item sd="0" m="1" x="5669"/>
        <item sd="0" m="1" x="6452"/>
        <item sd="0" m="1" x="7050"/>
        <item sd="0" m="1" x="2936"/>
        <item sd="0" m="1" x="7105"/>
        <item sd="0" m="1" x="7571"/>
        <item sd="0" m="1" x="7875"/>
        <item sd="0" m="1" x="3947"/>
        <item sd="0" m="1" x="4882"/>
        <item sd="0" m="1" x="744"/>
        <item sd="0" m="1" x="3561"/>
        <item sd="0" m="1" x="4514"/>
        <item sd="0" m="1" x="5448"/>
        <item sd="0" m="1" x="6269"/>
        <item sd="0" m="1" x="1908"/>
        <item sd="0" m="1" x="5496"/>
        <item sd="0" m="1" x="6324"/>
        <item sd="0" m="1" x="6966"/>
        <item sd="0" m="1" x="7451"/>
        <item sd="0" m="1" x="3683"/>
        <item sd="0" m="1" x="2374"/>
        <item sd="0" m="1" x="3272"/>
        <item sd="0" m="1" x="4252"/>
        <item sd="0" m="1" x="5187"/>
        <item sd="0" m="1" x="4306"/>
        <item sd="0" m="1" x="5253"/>
        <item sd="0" m="1" x="6124"/>
        <item sd="0" m="1" x="6801"/>
        <item sd="0" m="1" x="7506"/>
        <item sd="0" m="1" x="7842"/>
        <item sd="0" m="1" x="2937"/>
        <item sd="0" m="1" x="3875"/>
        <item sd="0" m="1" x="4819"/>
        <item sd="0" m="1" x="5721"/>
        <item sd="0" m="1" x="402"/>
        <item sd="0" m="1" x="697"/>
        <item sd="0" m="1" x="1143"/>
        <item sd="0" m="1" x="5381"/>
        <item sd="0" m="1" x="6204"/>
        <item sd="0" m="1" x="6857"/>
        <item sd="0" m="1" x="1193"/>
        <item sd="0" m="1" x="1820"/>
        <item sd="0" m="1" x="2627"/>
        <item sd="0" m="1" x="6270"/>
        <item sd="0" m="1" x="6894"/>
        <item sd="0" m="1" x="7390"/>
        <item sd="0" m="1" x="7766"/>
        <item sd="0" m="1" x="2697"/>
        <item sd="0" m="1" x="3619"/>
        <item sd="0" m="1" x="4571"/>
        <item sd="0" m="1" x="346"/>
        <item sd="0" m="1" x="3243"/>
        <item sd="0" m="1" x="4216"/>
        <item sd="0" m="1" x="5146"/>
        <item sd="0" m="1" x="6003"/>
        <item sd="0" m="1" x="1052"/>
        <item sd="0" m="1" x="5188"/>
        <item sd="0" m="1" x="6059"/>
        <item sd="0" m="1" x="6737"/>
        <item sd="0" m="1" x="7261"/>
        <item sd="0" m="1" x="2449"/>
        <item sd="0" m="1" x="2132"/>
        <item sd="0" m="1" x="3012"/>
        <item sd="0" m="1" x="3963"/>
        <item sd="0" m="1" x="4008"/>
        <item sd="0" m="1" x="4958"/>
        <item sd="0" m="1" x="5846"/>
        <item sd="0" m="1" x="2065"/>
        <item sd="0" m="1" x="2883"/>
        <item sd="0" m="1" x="3845"/>
        <item sd="0" m="1" x="7541"/>
        <item sd="0" m="1" x="7854"/>
        <item sd="0" m="1" x="3910"/>
        <item sd="0" m="1" x="4854"/>
        <item sd="0" m="1" x="5749"/>
        <item sd="0" m="1" x="144"/>
        <item sd="0" m="1" x="5800"/>
        <item sd="0" m="1" x="6539"/>
        <item sd="0" m="1" x="7125"/>
        <item sd="0" m="1" x="1237"/>
        <item sd="0" m="1" x="1866"/>
        <item sd="0" m="1" x="2663"/>
        <item sd="0" m="1" x="6935"/>
        <item sd="0" m="1" x="7423"/>
        <item sd="0" m="1" x="7786"/>
        <item sd="0" m="1" x="2735"/>
        <item sd="0" m="1" x="3661"/>
        <item sd="0" m="1" x="4607"/>
        <item sd="0" m="1" x="7106"/>
        <item sd="0" m="1" x="7572"/>
        <item sd="0" m="1" x="7876"/>
        <item sd="0" m="1" x="3003"/>
        <item sd="0" m="1" x="3948"/>
        <item sd="0" m="1" x="4883"/>
        <item sd="0" m="1" x="437"/>
        <item sd="0" m="1" x="745"/>
        <item sd="0" m="1" x="3562"/>
        <item sd="0" m="1" x="4515"/>
        <item sd="0" m="1" x="5449"/>
        <item sd="0" m="1" x="6271"/>
        <item sd="0" m="1" x="1267"/>
        <item sd="0" m="1" x="1909"/>
        <item sd="0" m="1" x="5497"/>
        <item sd="0" m="1" x="6325"/>
        <item sd="0" m="1" x="6967"/>
        <item sd="0" m="1" x="7452"/>
        <item sd="0" m="1" x="2764"/>
        <item sd="0" m="1" x="3684"/>
        <item sd="0" m="1" x="2375"/>
        <item sd="0" m="1" x="3273"/>
        <item sd="0" m="1" x="4253"/>
        <item sd="0" m="1" x="5189"/>
        <item sd="0" m="1" x="4307"/>
        <item sd="0" m="1" x="5254"/>
        <item sd="0" m="1" x="6125"/>
        <item sd="0" m="1" x="6802"/>
        <item sd="0" m="1" x="1446"/>
        <item sd="0" m="1" x="2168"/>
        <item sd="0" m="1" x="3048"/>
        <item sd="0" m="1" x="3105"/>
        <item sd="0" m="1" x="4075"/>
        <item sd="0" m="1" x="5023"/>
        <item sd="0" m="1" x="5080"/>
        <item sd="0" m="1" x="470"/>
        <item sd="0" m="1" x="806"/>
        <item sd="0" m="1" x="1291"/>
        <item sd="0" m="1" x="1967"/>
        <item sd="0" m="1" x="6382"/>
        <item sd="0" m="1" x="1351"/>
        <item sd="0" m="1" x="2011"/>
        <item sd="0" m="1" x="2847"/>
        <item sd="0" m="1" x="3805"/>
        <item sd="0" m="1" x="7507"/>
        <item sd="0" m="1" x="2938"/>
        <item sd="0" m="1" x="3876"/>
        <item sd="0" m="1" x="4820"/>
        <item sd="0" m="1" x="242"/>
        <item sd="0" m="1" x="403"/>
        <item sd="0" m="1" x="698"/>
        <item sd="0" m="1" x="1144"/>
        <item sd="0" m="1" x="5382"/>
        <item sd="0" m="1" x="6205"/>
        <item sd="0" m="1" x="746"/>
        <item sd="0" m="1" x="1194"/>
        <item sd="0" m="1" x="1821"/>
        <item sd="0" m="1" x="2628"/>
        <item sd="0" m="1" x="5847"/>
        <item sd="0" m="1" x="1521"/>
        <item sd="0" m="1" x="2066"/>
        <item sd="0" m="1" x="2884"/>
        <item sd="0" m="1" x="3846"/>
        <item sd="0" m="1" x="7542"/>
        <item sd="0" m="1" x="3911"/>
        <item sd="0" m="1" x="4855"/>
        <item sd="0" m="1" x="5750"/>
        <item sd="0" m="1" x="5801"/>
        <item sd="0" m="1" x="6540"/>
        <item sd="0" m="1" x="781"/>
        <item sd="0" m="1" x="1238"/>
        <item sd="0" m="1" x="1867"/>
        <item sd="0" m="1" x="2664"/>
        <item sd="0" m="1" x="6936"/>
        <item sd="0" m="1" x="7424"/>
        <item sd="0" m="1" x="1944"/>
        <item sd="0" m="1" x="2736"/>
        <item sd="0" m="1" x="3662"/>
        <item sd="0" m="1" x="4608"/>
        <item sd="0" m="1" x="7819"/>
        <item sd="0" m="1" x="3734"/>
        <item sd="0" m="1" x="4667"/>
        <item sd="0" m="1" x="5567"/>
        <item sd="0" m="1" x="6345"/>
        <item sd="0" m="1" x="673"/>
        <item sd="0" m="1" x="1101"/>
        <item sd="0" m="1" x="1650"/>
        <item sd="0" m="1" x="5233"/>
        <item sd="0" m="1" x="6095"/>
        <item sd="0" m="1" x="6777"/>
        <item sd="0" m="1" x="7295"/>
        <item sd="0" m="1" x="1737"/>
        <item sd="0" m="1" x="2511"/>
        <item sd="0" m="1" x="3381"/>
        <item sd="0" m="1" x="6832"/>
        <item sd="0" m="1" x="7358"/>
        <item sd="0" m="1" x="7744"/>
        <item sd="0" m="1" x="7964"/>
        <item sd="0" m="1" x="3466"/>
        <item sd="0" m="1" x="4409"/>
        <item sd="0" m="1" x="5330"/>
        <item sd="0" m="1" x="581"/>
        <item sd="0" m="1" x="4047"/>
        <item sd="0" m="1" x="4997"/>
        <item sd="0" m="1" x="5896"/>
        <item sd="0" m="1" x="6605"/>
        <item sd="0" m="1" x="1566"/>
        <item sd="0" m="1" x="5943"/>
        <item sd="0" m="1" x="6680"/>
        <item sd="0" m="1" x="7230"/>
        <item sd="0" m="1" x="7638"/>
        <item sd="0" m="1" x="3210"/>
        <item sd="0" m="1" x="2821"/>
        <item sd="0" m="1" x="3781"/>
        <item sd="0" m="1" x="4737"/>
        <item sd="0" m="1" x="4789"/>
        <item sd="0" m="1" x="5704"/>
        <item sd="0" m="1" x="6483"/>
        <item sd="0" m="1" x="7296"/>
        <item sd="0" m="1" x="7691"/>
        <item sd="0" m="1" x="3382"/>
        <item sd="0" m="1" x="4350"/>
        <item sd="0" m="1" x="5279"/>
        <item sd="0" m="1" x="320"/>
        <item sd="0" m="1" x="533"/>
        <item sd="0" m="1" x="899"/>
        <item sd="0" m="1" x="4933"/>
        <item sd="0" m="1" x="5821"/>
        <item sd="0" m="1" x="6557"/>
        <item sd="0" m="1" x="949"/>
        <item sd="0" m="1" x="1483"/>
        <item sd="0" m="1" x="2200"/>
        <item sd="0" m="1" x="6606"/>
        <item sd="0" m="1" x="7166"/>
        <item sd="0" m="1" x="7596"/>
        <item sd="0" m="1" x="2280"/>
        <item sd="0" m="1" x="3146"/>
        <item sd="0" m="1" x="4107"/>
        <item sd="0" m="1" x="282"/>
        <item sd="0" m="1" x="446"/>
        <item sd="0" m="1" x="3743"/>
        <item sd="0" m="1" x="4680"/>
        <item sd="0" m="1" x="5580"/>
        <item sd="0" m="1" x="840"/>
        <item sd="0" m="1" x="1315"/>
        <item sd="0" m="1" x="5635"/>
        <item sd="0" m="1" x="6421"/>
        <item sd="0" m="1" x="7016"/>
        <item sd="0" m="1" x="2067"/>
        <item sd="0" m="1" x="2885"/>
        <item sd="0" m="1" x="223"/>
        <item sd="0" m="1" x="1769"/>
        <item sd="0" m="1" x="2554"/>
        <item sd="0" m="1" x="3488"/>
        <item sd="0" m="1" x="4417"/>
        <item sd="0" m="1" x="720"/>
        <item sd="0" m="1" x="3530"/>
        <item sd="0" m="1" x="4482"/>
        <item sd="0" m="1" x="5418"/>
        <item sd="0" m="1" x="6235"/>
        <item sd="0" m="1" x="1868"/>
        <item sd="0" m="1" x="1706"/>
        <item sd="0" m="1" x="2450"/>
        <item sd="0" m="1" x="3338"/>
        <item sd="0" m="1" x="4308"/>
        <item sd="0" m="1" x="7333"/>
        <item sd="0" m="1" x="7713"/>
        <item sd="0" m="1" x="3423"/>
        <item sd="0" m="1" x="4380"/>
        <item sd="0" m="1" x="5311"/>
        <item sd="0" m="1" x="6153"/>
        <item sd="0" m="1" x="7995"/>
        <item sd="0" m="1" x="122"/>
        <item sd="0" m="1" x="5370"/>
        <item sd="0" m="1" x="6193"/>
        <item sd="0" m="1" x="6848"/>
        <item sd="0" m="1" x="984"/>
        <item sd="0" m="1" x="1522"/>
        <item sd="0" m="1" x="2236"/>
        <item sd="0" m="1" x="6649"/>
        <item sd="0" m="1" x="7198"/>
        <item sd="0" m="1" x="7619"/>
        <item sd="0" m="1" x="2317"/>
        <item sd="0" m="1" x="3178"/>
        <item sd="0" m="1" x="4144"/>
        <item sd="0" m="1" x="7453"/>
        <item sd="0" m="1" x="3685"/>
        <item sd="0" m="1" x="2376"/>
        <item sd="0" m="1" x="3274"/>
        <item sd="0" m="1" x="4254"/>
        <item sd="0" m="1" x="5190"/>
        <item sd="0" m="1" x="4309"/>
        <item sd="0" m="1" x="5255"/>
        <item sd="0" m="1" x="6126"/>
        <item sd="0" m="1" x="6803"/>
        <item sd="0" m="1" x="6154"/>
        <item sd="0" m="1" x="1447"/>
        <item sd="0" m="1" x="2169"/>
        <item sd="0" m="1" x="3049"/>
        <item sd="0" m="1" x="7140"/>
        <item sd="0" m="1" x="3106"/>
        <item sd="0" m="1" x="4076"/>
        <item sd="0" m="1" x="5024"/>
        <item sd="0" m="1" x="7911"/>
        <item sd="0" m="1" x="5081"/>
        <item sd="0" m="1" x="5961"/>
        <item sd="0" m="1" x="471"/>
        <item sd="0" m="1" x="807"/>
        <item sd="0" m="1" x="1292"/>
        <item sd="0" m="1" x="1968"/>
        <item sd="0" m="1" x="6383"/>
        <item sd="0" m="1" x="6989"/>
        <item sd="0" m="1" x="1352"/>
        <item sd="0" m="1" x="2012"/>
        <item sd="0" m="1" x="2848"/>
        <item sd="0" m="1" x="3806"/>
        <item sd="0" m="1" x="7508"/>
        <item sd="0" m="1" x="7843"/>
        <item sd="0" m="1" x="2939"/>
        <item sd="0" m="1" x="3877"/>
        <item sd="0" m="1" x="4821"/>
        <item sd="0" m="1" x="5722"/>
        <item sd="0" m="1" x="404"/>
        <item sd="0" m="1" x="699"/>
        <item sd="0" m="1" x="1145"/>
        <item sd="0" m="1" x="5383"/>
        <item sd="0" m="1" x="6206"/>
        <item sd="0" m="1" x="6858"/>
        <item sd="0" m="1" x="1195"/>
        <item sd="0" m="1" x="1822"/>
        <item sd="0" m="1" x="2629"/>
        <item sd="0" m="1" x="6272"/>
        <item sd="0" m="1" x="6895"/>
        <item sd="0" m="1" x="7391"/>
        <item sd="0" m="1" x="7767"/>
        <item sd="0" m="1" x="2698"/>
        <item sd="0" m="1" x="3620"/>
        <item sd="0" m="1" x="4572"/>
        <item sd="0" m="1" x="347"/>
        <item sd="0" m="1" x="3244"/>
        <item sd="0" m="1" x="4217"/>
        <item sd="0" m="1" x="5147"/>
        <item sd="0" m="1" x="6004"/>
        <item sd="0" m="1" x="1053"/>
        <item sd="0" m="1" x="5191"/>
        <item sd="0" m="1" x="6060"/>
        <item sd="0" m="1" x="145"/>
        <item sd="0" m="1" x="5802"/>
        <item sd="0" m="1" x="6541"/>
        <item sd="0" m="1" x="7126"/>
        <item sd="0" m="1" x="985"/>
        <item sd="0" m="1" x="1523"/>
        <item sd="0" m="1" x="2237"/>
        <item sd="0" m="1" x="6650"/>
        <item sd="0" m="1" x="7199"/>
        <item sd="0" m="1" x="2318"/>
        <item sd="0" m="1" x="3179"/>
        <item sd="0" m="1" x="4145"/>
        <item sd="0" m="1" x="7669"/>
        <item sd="0" m="1" x="7939"/>
        <item sd="0" m="1" x="4202"/>
        <item sd="0" m="1" x="5132"/>
        <item sd="0" m="1" x="5989"/>
        <item sd="0" m="1" x="508"/>
        <item sd="0" m="1" x="866"/>
        <item sd="0" m="1" x="1353"/>
        <item sd="0" m="1" x="5670"/>
        <item sd="0" m="1" x="6453"/>
        <item sd="0" m="1" x="7051"/>
        <item sd="0" m="1" x="1410"/>
        <item sd="0" m="1" x="2940"/>
        <item sd="0" m="1" x="7107"/>
        <item sd="0" m="1" x="7573"/>
        <item sd="0" m="1" x="7877"/>
        <item sd="0" m="1" x="3004"/>
        <item sd="0" m="1" x="3949"/>
        <item sd="0" m="1" x="4884"/>
        <item sd="0" m="1" x="438"/>
        <item sd="0" m="1" x="747"/>
        <item sd="0" m="1" x="3563"/>
        <item sd="0" m="1" x="4516"/>
        <item sd="0" m="1" x="5450"/>
        <item sd="0" m="1" x="6273"/>
        <item sd="0" m="1" x="1268"/>
        <item sd="0" m="1" x="1910"/>
        <item sd="0" m="1" x="5498"/>
        <item sd="0" m="1" x="6326"/>
        <item sd="0" m="1" x="6968"/>
        <item sd="0" m="1" x="7454"/>
        <item sd="0" m="1" x="2765"/>
        <item sd="0" m="1" x="3686"/>
        <item sd="0" m="1" x="2377"/>
        <item sd="0" m="1" x="3275"/>
        <item sd="0" m="1" x="4255"/>
        <item sd="0" m="1" x="5192"/>
        <item sd="0" m="1" x="4310"/>
        <item sd="0" m="1" x="5256"/>
        <item sd="0" m="1" x="6127"/>
        <item sd="0" m="1" x="6804"/>
        <item sd="0" m="1" x="1448"/>
        <item sd="0" m="1" x="2170"/>
        <item sd="0" m="1" x="3050"/>
        <item sd="0" m="1" x="3107"/>
        <item sd="0" m="1" x="4077"/>
        <item sd="0" m="1" x="5025"/>
        <item sd="0" m="1" x="6274"/>
        <item sd="0" m="1" x="6896"/>
        <item sd="0" m="1" x="7392"/>
        <item sd="0" m="1" x="1911"/>
        <item sd="0" m="1" x="2699"/>
        <item sd="0" m="1" x="3621"/>
        <item sd="0" m="1" x="4573"/>
        <item sd="0" m="1" x="215"/>
        <item sd="0" m="1" x="348"/>
        <item sd="0" m="1" x="3245"/>
        <item sd="0" m="1" x="4218"/>
        <item sd="0" m="1" x="5148"/>
        <item sd="0" m="1" x="6005"/>
        <item sd="0" m="1" x="648"/>
        <item sd="0" m="1" x="1054"/>
        <item sd="0" m="1" x="5193"/>
        <item sd="0" m="1" x="6061"/>
        <item sd="0" m="1" x="6738"/>
        <item sd="0" m="1" x="7262"/>
        <item sd="0" m="1" x="1707"/>
        <item sd="0" m="1" x="2451"/>
        <item sd="0" m="1" x="186"/>
        <item sd="0" m="1" x="2133"/>
        <item sd="0" m="1" x="3013"/>
        <item sd="0" m="1" x="3964"/>
        <item sd="0" m="1" x="555"/>
        <item sd="0" m="1" x="4009"/>
        <item sd="0" m="1" x="4959"/>
        <item sd="0" m="1" x="5848"/>
        <item sd="0" m="1" x="1524"/>
        <item sd="0" m="1" x="2068"/>
        <item sd="0" m="1" x="2886"/>
        <item sd="0" m="1" x="3847"/>
        <item sd="0" m="1" x="7543"/>
        <item sd="0" m="1" x="3912"/>
        <item sd="0" m="1" x="4856"/>
        <item sd="0" m="1" x="5751"/>
        <item sd="0" m="1" x="5803"/>
        <item sd="0" m="1" x="6542"/>
        <item sd="0" m="1" x="782"/>
        <item sd="0" m="1" x="1239"/>
        <item sd="0" m="1" x="1869"/>
        <item sd="0" m="1" x="2665"/>
        <item sd="0" m="1" x="6937"/>
        <item sd="0" m="1" x="7425"/>
        <item sd="0" m="1" x="1945"/>
        <item sd="0" m="1" x="2737"/>
        <item sd="0" m="1" x="3663"/>
        <item sd="0" m="1" x="4609"/>
        <item sd="0" m="1" x="7820"/>
        <item sd="0" m="1" x="3735"/>
        <item sd="0" m="1" x="4668"/>
        <item sd="0" m="1" x="5568"/>
        <item sd="0" m="1" x="6346"/>
        <item sd="0" m="1" x="674"/>
        <item sd="0" m="1" x="1102"/>
        <item sd="0" m="1" x="1651"/>
        <item sd="0" m="1" x="5234"/>
        <item sd="0" m="1" x="6096"/>
        <item sd="0" m="1" x="6778"/>
        <item sd="0" m="1" x="7297"/>
        <item sd="0" m="1" x="1738"/>
        <item sd="0" m="1" x="2512"/>
        <item sd="0" m="1" x="3383"/>
        <item sd="0" m="1" x="6833"/>
        <item sd="0" m="1" x="1176"/>
        <item sd="0" m="1" x="1796"/>
        <item sd="0" m="1" x="2608"/>
        <item sd="0" m="1" x="3531"/>
        <item sd="0" m="1" x="2666"/>
        <item sd="0" m="1" x="3593"/>
        <item sd="0" m="1" x="4552"/>
        <item sd="0" m="1" x="5471"/>
        <item sd="0" m="1" x="4610"/>
        <item sd="0" m="1" x="5520"/>
        <item sd="0" m="1" x="626"/>
        <item sd="0" m="1" x="1030"/>
        <item sd="0" m="1" x="1607"/>
        <item sd="0" m="1" x="2352"/>
        <item sd="0" m="1" x="6041"/>
        <item sd="0" m="1" x="6712"/>
        <item sd="0" m="1" x="1652"/>
        <item sd="0" m="1" x="2408"/>
        <item sd="0" m="1" x="3305"/>
        <item sd="0" m="1" x="4280"/>
        <item sd="0" m="1" x="7298"/>
        <item sd="0" m="1" x="7692"/>
        <item sd="0" m="1" x="3384"/>
        <item sd="0" m="1" x="4351"/>
        <item sd="0" m="1" x="5280"/>
        <item sd="0" m="1" x="321"/>
        <item sd="0" m="1" x="534"/>
        <item sd="0" m="1" x="900"/>
        <item sd="0" m="1" x="4934"/>
        <item sd="0" m="1" x="5822"/>
        <item sd="0" m="1" x="6558"/>
        <item sd="0" m="1" x="950"/>
        <item sd="0" m="1" x="1484"/>
        <item sd="0" m="1" x="2201"/>
        <item sd="0" m="1" x="6607"/>
        <item sd="0" m="1" x="7167"/>
        <item sd="0" m="1" x="7597"/>
        <item sd="0" m="1" x="2281"/>
        <item sd="0" m="1" x="3147"/>
        <item sd="0" m="1" x="4108"/>
        <item sd="0" m="1" x="283"/>
        <item sd="0" m="1" x="447"/>
        <item sd="0" m="1" x="3744"/>
        <item sd="0" m="1" x="4681"/>
        <item sd="0" m="1" x="5581"/>
        <item sd="0" m="1" x="841"/>
        <item sd="0" m="1" x="1316"/>
        <item sd="0" m="1" x="5636"/>
        <item sd="0" m="1" x="6422"/>
        <item sd="0" m="1" x="7017"/>
        <item sd="0" m="1" x="2069"/>
        <item sd="0" m="1" x="2887"/>
        <item sd="0" m="1" x="224"/>
        <item sd="0" m="1" x="1770"/>
        <item sd="0" m="1" x="2555"/>
        <item sd="0" m="1" x="3489"/>
        <item sd="0" m="1" x="4418"/>
        <item sd="0" m="1" x="721"/>
        <item sd="0" m="1" x="3532"/>
        <item sd="0" m="1" x="4483"/>
        <item sd="0" m="1" x="5419"/>
        <item sd="0" m="1" x="7670"/>
        <item sd="0" m="1" x="7940"/>
        <item sd="0" m="1" x="103"/>
        <item sd="0" m="1" x="4203"/>
        <item sd="0" m="1" x="5133"/>
        <item sd="0" m="1" x="5990"/>
        <item sd="0" m="1" x="867"/>
        <item sd="0" m="1" x="1354"/>
        <item sd="0" m="1" x="5671"/>
        <item sd="0" m="1" x="6454"/>
        <item sd="0" m="1" x="7052"/>
        <item sd="0" m="1" x="2941"/>
        <item sd="0" m="1" x="7108"/>
        <item sd="0" m="1" x="7574"/>
        <item sd="0" m="1" x="7878"/>
        <item sd="0" m="1" x="3950"/>
        <item sd="0" m="1" x="4885"/>
        <item sd="0" m="1" x="748"/>
        <item sd="0" m="1" x="3564"/>
        <item sd="0" m="1" x="4517"/>
        <item sd="0" m="1" x="5451"/>
        <item sd="0" m="1" x="6275"/>
        <item sd="0" m="1" x="1912"/>
        <item sd="0" m="1" x="5499"/>
        <item sd="0" m="1" x="6327"/>
        <item sd="0" m="1" x="6969"/>
        <item sd="0" m="1" x="7455"/>
        <item sd="0" m="1" x="3687"/>
        <item sd="0" m="1" x="2378"/>
        <item sd="0" m="1" x="3276"/>
        <item sd="0" m="1" x="4256"/>
        <item sd="0" m="1" x="5194"/>
        <item sd="0" m="1" x="4311"/>
        <item sd="0" m="1" x="5257"/>
        <item sd="0" m="1" x="6128"/>
        <item sd="0" m="1" x="6805"/>
        <item sd="0" m="1" x="6155"/>
        <item sd="0" m="1" x="1449"/>
        <item sd="0" m="1" x="2171"/>
        <item sd="0" m="1" x="3051"/>
        <item sd="0" m="1" x="7141"/>
        <item sd="0" m="1" x="3108"/>
        <item sd="0" m="1" x="4078"/>
        <item sd="0" m="1" x="5026"/>
        <item sd="0" m="1" x="7912"/>
        <item sd="0" m="1" x="5082"/>
        <item sd="0" m="1" x="5962"/>
        <item sd="0" m="1" x="472"/>
        <item sd="0" m="1" x="808"/>
        <item sd="0" m="1" x="1293"/>
        <item sd="0" m="1" x="1969"/>
        <item sd="0" m="1" x="6384"/>
        <item sd="0" m="1" x="6990"/>
        <item sd="0" m="1" x="1355"/>
        <item sd="0" m="1" x="2013"/>
        <item sd="0" m="1" x="2849"/>
        <item sd="0" m="1" x="3807"/>
        <item sd="0" m="1" x="6739"/>
        <item sd="0" m="1" x="7263"/>
        <item sd="0" m="1" x="2452"/>
        <item sd="0" m="1" x="2134"/>
        <item sd="0" m="1" x="3014"/>
        <item sd="0" m="1" x="3965"/>
        <item sd="0" m="1" x="4010"/>
        <item sd="0" m="1" x="4960"/>
        <item sd="0" m="1" x="5849"/>
        <item sd="0" m="1" x="2070"/>
        <item sd="0" m="1" x="2888"/>
        <item sd="0" m="1" x="3848"/>
        <item sd="0" m="1" x="7544"/>
        <item sd="0" m="1" x="7855"/>
        <item sd="0" m="1" x="3913"/>
        <item sd="0" m="1" x="4857"/>
        <item sd="0" m="1" x="5752"/>
        <item sd="0" m="1" x="146"/>
        <item sd="0" m="1" x="5804"/>
        <item sd="0" m="1" x="6543"/>
        <item sd="0" m="1" x="7127"/>
        <item sd="0" m="1" x="1240"/>
        <item sd="0" m="1" x="1870"/>
        <item sd="0" m="1" x="2667"/>
        <item sd="0" m="1" x="6938"/>
        <item sd="0" m="1" x="7426"/>
        <item sd="0" m="1" x="7787"/>
        <item sd="0" m="1" x="2738"/>
        <item sd="0" m="1" x="3664"/>
        <item sd="0" m="1" x="4611"/>
        <item sd="0" m="1" x="7821"/>
        <item sd="0" m="1" x="135"/>
        <item sd="0" m="1" x="4669"/>
        <item sd="0" m="1" x="5569"/>
        <item sd="0" m="1" x="6347"/>
        <item sd="0" m="1" x="986"/>
        <item sd="0" m="1" x="1525"/>
        <item sd="0" m="1" x="2238"/>
        <item sd="0" m="1" x="6651"/>
        <item sd="0" m="1" x="7200"/>
        <item sd="0" m="1" x="2319"/>
        <item sd="0" m="1" x="3180"/>
        <item sd="0" m="1" x="4146"/>
        <item sd="0" m="1" x="7671"/>
        <item sd="0" m="1" x="7941"/>
        <item sd="0" m="1" x="4204"/>
        <item sd="0" m="1" x="5134"/>
        <item sd="0" m="1" x="5991"/>
        <item sd="0" m="1" x="509"/>
        <item sd="0" m="1" x="868"/>
        <item sd="0" m="1" x="1356"/>
        <item sd="0" m="1" x="5672"/>
        <item sd="0" m="1" x="6455"/>
        <item sd="0" m="1" x="7053"/>
        <item sd="0" m="1" x="1411"/>
        <item sd="0" m="1" x="2942"/>
        <item sd="0" m="1" x="6806"/>
        <item sd="0" m="1" x="1450"/>
        <item sd="0" m="1" x="2172"/>
        <item sd="0" m="1" x="3052"/>
        <item sd="0" m="1" x="3109"/>
        <item sd="0" m="1" x="4079"/>
        <item sd="0" m="1" x="5027"/>
        <item sd="0" m="1" x="5083"/>
        <item sd="0" m="1" x="473"/>
        <item sd="0" m="1" x="809"/>
        <item sd="0" m="1" x="1294"/>
        <item sd="0" m="1" x="1970"/>
        <item sd="0" m="1" x="6385"/>
        <item sd="0" m="1" x="1357"/>
        <item sd="0" m="1" x="2014"/>
        <item sd="0" m="1" x="2850"/>
        <item sd="0" m="1" x="3808"/>
        <item sd="0" m="1" x="7509"/>
        <item sd="0" m="1" x="2943"/>
        <item sd="0" m="1" x="3878"/>
        <item sd="0" m="1" x="4822"/>
        <item sd="0" m="1" x="243"/>
        <item sd="0" m="1" x="405"/>
        <item sd="0" m="1" x="700"/>
        <item sd="0" m="1" x="1146"/>
        <item sd="0" m="1" x="5384"/>
        <item sd="0" m="1" x="6207"/>
        <item sd="0" m="1" x="749"/>
        <item sd="0" m="1" x="1196"/>
        <item sd="0" m="1" x="1823"/>
        <item sd="0" m="1" x="2630"/>
        <item sd="0" m="1" x="6276"/>
        <item sd="0" m="1" x="6897"/>
        <item sd="0" m="1" x="7393"/>
        <item sd="0" m="1" x="1913"/>
        <item sd="0" m="1" x="2700"/>
        <item sd="0" m="1" x="3622"/>
        <item sd="0" m="1" x="4574"/>
        <item sd="0" m="1" x="216"/>
        <item sd="0" m="1" x="349"/>
        <item sd="0" m="1" x="3246"/>
        <item sd="0" m="1" x="4219"/>
        <item sd="0" m="1" x="5149"/>
        <item sd="0" m="1" x="6006"/>
        <item sd="0" m="1" x="649"/>
        <item sd="0" m="1" x="1055"/>
        <item sd="0" m="1" x="5195"/>
        <item sd="0" m="1" x="6062"/>
        <item sd="0" m="1" x="6740"/>
        <item sd="0" m="1" x="7264"/>
        <item sd="0" m="1" x="1708"/>
        <item sd="0" m="1" x="2453"/>
        <item sd="0" m="1" x="187"/>
        <item sd="0" m="1" x="2135"/>
        <item sd="0" m="1" x="3015"/>
        <item sd="0" m="1" x="3966"/>
        <item sd="0" m="1" x="556"/>
        <item sd="0" m="1" x="4011"/>
        <item sd="0" m="1" x="4961"/>
        <item sd="0" m="1" x="7822"/>
        <item sd="0" m="1" x="3736"/>
        <item sd="0" m="1" x="4670"/>
        <item sd="0" m="1" x="5570"/>
        <item sd="0" m="1" x="6348"/>
        <item sd="0" m="1" x="675"/>
        <item sd="0" m="1" x="1103"/>
        <item sd="0" m="1" x="1653"/>
        <item sd="0" m="1" x="5235"/>
        <item sd="0" m="1" x="6097"/>
        <item sd="0" m="1" x="6779"/>
        <item sd="0" m="1" x="7299"/>
        <item sd="0" m="1" x="1739"/>
        <item sd="0" m="1" x="2513"/>
        <item sd="0" m="1" x="3385"/>
        <item sd="0" m="1" x="6834"/>
        <item sd="0" m="1" x="7359"/>
        <item sd="0" m="1" x="7745"/>
        <item sd="0" m="1" x="7965"/>
        <item sd="0" m="1" x="3467"/>
        <item sd="0" m="1" x="4410"/>
        <item sd="0" m="1" x="5331"/>
        <item sd="0" m="1" x="582"/>
        <item sd="0" m="1" x="4048"/>
        <item sd="0" m="1" x="4998"/>
        <item sd="0" m="1" x="5897"/>
        <item sd="0" m="1" x="6608"/>
        <item sd="0" m="1" x="1567"/>
        <item sd="0" m="1" x="5944"/>
        <item sd="0" m="1" x="6681"/>
        <item sd="0" m="1" x="7231"/>
        <item sd="0" m="1" x="7639"/>
        <item sd="0" m="1" x="3211"/>
        <item sd="0" m="1" x="2822"/>
        <item sd="0" m="1" x="3782"/>
        <item sd="0" m="1" x="4738"/>
        <item sd="0" m="1" x="4790"/>
        <item sd="0" m="1" x="5705"/>
        <item sd="0" m="1" x="6484"/>
        <item sd="0" m="1" x="1177"/>
        <item sd="0" m="1" x="1797"/>
        <item sd="0" m="1" x="2609"/>
        <item sd="0" m="1" x="3533"/>
        <item sd="0" m="1" x="2668"/>
        <item sd="0" m="1" x="3594"/>
        <item sd="0" m="1" x="4553"/>
        <item sd="0" m="1" x="5472"/>
        <item sd="0" m="1" x="4612"/>
        <item sd="0" m="1" x="5521"/>
        <item sd="0" m="1" x="627"/>
        <item sd="0" m="1" x="1031"/>
        <item sd="0" m="1" x="1608"/>
        <item sd="0" m="1" x="2353"/>
        <item sd="0" m="1" x="6042"/>
        <item sd="0" m="1" x="6713"/>
        <item sd="0" m="1" x="1654"/>
        <item sd="0" m="1" x="2409"/>
        <item sd="0" m="1" x="3306"/>
        <item sd="0" m="1" x="4281"/>
        <item sd="0" m="1" x="6423"/>
        <item sd="0" m="1" x="7018"/>
        <item sd="0" m="1" x="2071"/>
        <item sd="0" m="1" x="2889"/>
        <item sd="0" m="1" x="225"/>
        <item sd="0" m="1" x="1771"/>
        <item sd="0" m="1" x="2556"/>
        <item sd="0" m="1" x="3490"/>
        <item sd="0" m="1" x="4419"/>
        <item sd="0" m="1" x="722"/>
        <item sd="0" m="1" x="3534"/>
        <item sd="0" m="1" x="4484"/>
        <item sd="0" m="1" x="5420"/>
        <item sd="0" m="1" x="6236"/>
        <item sd="0" m="1" x="1871"/>
        <item sd="0" m="1" x="1709"/>
        <item sd="0" m="1" x="2454"/>
        <item sd="0" m="1" x="3339"/>
        <item sd="0" m="1" x="4312"/>
        <item sd="0" m="1" x="7334"/>
        <item sd="0" m="1" x="7714"/>
        <item sd="0" m="1" x="3424"/>
        <item sd="0" m="1" x="4381"/>
        <item sd="0" m="1" x="5312"/>
        <item sd="0" m="1" x="6156"/>
        <item sd="0" m="1" x="7996"/>
        <item sd="0" m="1" x="123"/>
        <item sd="0" m="1" x="5371"/>
        <item sd="0" m="1" x="6194"/>
        <item sd="0" m="1" x="6849"/>
        <item sd="0" m="1" x="987"/>
        <item sd="0" m="1" x="1526"/>
        <item sd="0" m="1" x="2239"/>
        <item sd="0" m="1" x="6652"/>
        <item sd="0" m="1" x="7201"/>
        <item sd="0" m="1" x="7620"/>
        <item sd="0" m="1" x="2320"/>
        <item sd="0" m="1" x="3181"/>
        <item sd="0" m="1" x="4147"/>
        <item sd="0" m="1" x="7672"/>
        <item sd="0" m="1" x="7942"/>
        <item sd="0" m="1" x="104"/>
        <item sd="0" m="1" x="4205"/>
        <item sd="0" m="1" x="5135"/>
        <item sd="0" m="1" x="5992"/>
        <item sd="0" m="1" x="869"/>
        <item sd="0" m="1" x="1358"/>
        <item sd="0" m="1" x="5673"/>
        <item sd="0" m="1" x="6456"/>
        <item sd="0" m="1" x="7054"/>
        <item sd="0" m="1" x="2944"/>
        <item sd="0" m="1" x="7109"/>
        <item sd="0" m="1" x="7575"/>
        <item sd="0" m="1" x="7879"/>
        <item sd="0" m="1" x="3951"/>
        <item sd="0" m="1" x="4886"/>
        <item sd="0" m="1" x="750"/>
        <item sd="0" m="1" x="3565"/>
        <item sd="0" m="1" x="4518"/>
        <item sd="0" m="1" x="5452"/>
        <item sd="0" m="1" x="6277"/>
        <item sd="0" m="1" x="1914"/>
        <item sd="0" m="1" x="5500"/>
        <item sd="0" m="1" x="6328"/>
        <item sd="0" m="1" x="6970"/>
        <item sd="0" m="1" x="7913"/>
        <item sd="0" m="1" x="5084"/>
        <item sd="0" m="1" x="5963"/>
        <item sd="0" m="1" x="474"/>
        <item sd="0" m="1" x="810"/>
        <item sd="0" m="1" x="1295"/>
        <item sd="0" m="1" x="1971"/>
        <item sd="0" m="1" x="6386"/>
        <item sd="0" m="1" x="6991"/>
        <item sd="0" m="1" x="1359"/>
        <item sd="0" m="1" x="2015"/>
        <item sd="0" m="1" x="2851"/>
        <item sd="0" m="1" x="3809"/>
        <item sd="0" m="1" x="7510"/>
        <item sd="0" m="1" x="7844"/>
        <item sd="0" m="1" x="2945"/>
        <item sd="0" m="1" x="3879"/>
        <item sd="0" m="1" x="4823"/>
        <item sd="0" m="1" x="5723"/>
        <item sd="0" m="1" x="406"/>
        <item sd="0" m="1" x="701"/>
        <item sd="0" m="1" x="1147"/>
        <item sd="0" m="1" x="5385"/>
        <item sd="0" m="1" x="6208"/>
        <item sd="0" m="1" x="6859"/>
        <item sd="0" m="1" x="1197"/>
        <item sd="0" m="1" x="1824"/>
        <item sd="0" m="1" x="2631"/>
        <item sd="0" m="1" x="6278"/>
        <item sd="0" m="1" x="6898"/>
        <item sd="0" m="1" x="7394"/>
        <item sd="0" m="1" x="7768"/>
        <item sd="0" m="1" x="2701"/>
        <item sd="0" m="1" x="3623"/>
        <item sd="0" m="1" x="4575"/>
        <item sd="0" m="1" x="350"/>
        <item sd="0" m="1" x="3247"/>
        <item sd="0" m="1" x="4220"/>
        <item sd="0" m="1" x="5150"/>
        <item sd="0" m="1" x="6007"/>
        <item sd="0" m="1" x="1056"/>
        <item sd="0" m="1" x="5196"/>
        <item sd="0" m="1" x="6063"/>
        <item sd="0" m="1" x="6741"/>
        <item sd="0" m="1" x="7265"/>
        <item sd="0" m="1" x="2455"/>
        <item sd="0" m="1" x="2136"/>
        <item sd="0" m="1" x="3016"/>
        <item sd="0" m="1" x="3967"/>
        <item sd="0" m="1" x="4012"/>
        <item sd="0" m="1" x="4962"/>
        <item sd="0" m="1" x="5850"/>
        <item sd="0" m="1" x="2072"/>
        <item sd="0" m="1" x="2890"/>
        <item sd="0" m="1" x="3849"/>
        <item sd="0" m="1" x="7545"/>
        <item sd="0" m="1" x="7856"/>
        <item sd="0" m="1" x="3914"/>
        <item sd="0" m="1" x="4858"/>
        <item sd="0" m="1" x="5753"/>
        <item sd="0" m="1" x="7110"/>
        <item sd="0" m="1" x="7576"/>
        <item sd="0" m="1" x="7880"/>
        <item sd="0" m="1" x="3005"/>
        <item sd="0" m="1" x="3952"/>
        <item sd="0" m="1" x="4887"/>
        <item sd="0" m="1" x="439"/>
        <item sd="0" m="1" x="751"/>
        <item sd="0" m="1" x="3566"/>
        <item sd="0" m="1" x="4519"/>
        <item sd="0" m="1" x="5453"/>
        <item sd="0" m="1" x="6279"/>
        <item sd="0" m="1" x="1269"/>
        <item sd="0" m="1" x="1915"/>
        <item sd="0" m="1" x="5501"/>
        <item sd="0" m="1" x="6329"/>
        <item sd="0" m="1" x="6971"/>
        <item sd="0" m="1" x="7456"/>
        <item sd="0" m="1" x="2766"/>
        <item sd="0" m="1" x="3688"/>
        <item sd="0" m="1" x="2379"/>
        <item sd="0" m="1" x="3277"/>
        <item sd="0" m="1" x="4257"/>
        <item sd="0" m="1" x="5197"/>
        <item sd="0" m="1" x="4313"/>
        <item sd="0" m="1" x="5258"/>
        <item sd="0" m="1" x="6129"/>
        <item sd="0" m="1" x="6807"/>
        <item sd="0" m="1" x="1451"/>
        <item sd="0" m="1" x="2173"/>
        <item sd="0" m="1" x="3053"/>
        <item sd="0" m="1" x="3110"/>
        <item sd="0" m="1" x="4080"/>
        <item sd="0" m="1" x="5028"/>
        <item sd="0" m="1" x="5085"/>
        <item sd="0" m="1" x="475"/>
        <item sd="0" m="1" x="811"/>
        <item sd="0" m="1" x="1296"/>
        <item sd="0" m="1" x="1972"/>
        <item sd="0" m="1" x="6387"/>
        <item sd="0" m="1" x="1360"/>
        <item sd="0" m="1" x="2016"/>
        <item sd="0" m="1" x="2852"/>
        <item sd="0" m="1" x="3810"/>
        <item sd="0" m="1" x="7511"/>
        <item sd="0" m="1" x="2946"/>
        <item sd="0" m="1" x="3880"/>
        <item sd="0" m="1" x="4824"/>
        <item sd="0" m="1" x="244"/>
        <item sd="0" m="1" x="407"/>
        <item sd="0" m="1" x="702"/>
        <item sd="0" m="1" x="1148"/>
        <item sd="0" m="1" x="4452"/>
        <item sd="0" m="1" x="5386"/>
        <item sd="0" m="1" x="6209"/>
        <item sd="0" m="1" x="752"/>
        <item sd="0" m="1" x="1198"/>
        <item sd="0" m="1" x="1825"/>
        <item sd="0" m="1" x="2632"/>
        <item sd="0" m="1" x="5851"/>
        <item sd="0" m="1" x="1527"/>
        <item sd="0" m="1" x="2073"/>
        <item sd="0" m="1" x="2891"/>
        <item sd="0" m="1" x="3850"/>
        <item sd="0" m="1" x="7546"/>
        <item sd="0" m="1" x="3915"/>
        <item sd="0" m="1" x="4859"/>
        <item sd="0" m="1" x="5754"/>
        <item sd="0" m="1" x="5805"/>
        <item sd="0" m="1" x="6544"/>
        <item sd="0" m="1" x="783"/>
        <item sd="0" m="1" x="1241"/>
        <item sd="0" m="1" x="1872"/>
        <item sd="0" m="1" x="2669"/>
        <item sd="0" m="1" x="6939"/>
        <item sd="0" m="1" x="7427"/>
        <item sd="0" m="1" x="1946"/>
        <item sd="0" m="1" x="2739"/>
        <item sd="0" m="1" x="3665"/>
        <item sd="0" m="1" x="4613"/>
        <item sd="0" m="1" x="7823"/>
        <item sd="0" m="1" x="3737"/>
        <item sd="0" m="1" x="4671"/>
        <item sd="0" m="1" x="5571"/>
        <item sd="0" m="1" x="6349"/>
        <item sd="0" m="1" x="676"/>
        <item sd="0" m="1" x="1104"/>
        <item sd="0" m="1" x="1655"/>
        <item sd="0" m="1" x="5236"/>
        <item sd="0" m="1" x="6098"/>
        <item sd="0" m="1" x="6780"/>
        <item sd="0" m="1" x="7300"/>
        <item sd="0" m="1" x="1740"/>
        <item sd="0" m="1" x="2514"/>
        <item sd="0" m="1" x="3386"/>
        <item sd="0" m="1" x="6835"/>
        <item sd="0" m="1" x="7360"/>
        <item sd="0" m="1" x="7746"/>
        <item sd="0" m="1" x="7966"/>
        <item sd="0" m="1" x="3468"/>
        <item sd="0" m="1" x="4411"/>
        <item sd="0" m="1" x="5332"/>
        <item sd="0" m="1" x="583"/>
        <item sd="0" m="1" x="4049"/>
        <item sd="0" m="1" x="4999"/>
        <item sd="0" m="1" x="5898"/>
        <item sd="0" m="1" x="6609"/>
        <item sd="0" m="1" x="1568"/>
        <item sd="0" m="1" x="5945"/>
        <item sd="0" m="1" x="6682"/>
        <item sd="0" m="1" x="7232"/>
        <item sd="0" m="1" x="7640"/>
        <item sd="0" m="1" x="3212"/>
        <item sd="0" m="1" x="2823"/>
        <item sd="0" m="1" x="3783"/>
        <item sd="0" m="1" x="4739"/>
        <item sd="0" m="1" x="4791"/>
        <item sd="0" m="1" x="5706"/>
        <item sd="0" m="1" x="6485"/>
        <item sd="0" m="1" x="7301"/>
        <item sd="0" m="1" x="7693"/>
        <item sd="0" m="1" x="3387"/>
        <item sd="0" m="1" x="4352"/>
        <item sd="0" m="1" x="5281"/>
        <item sd="0" m="1" x="322"/>
        <item sd="0" m="1" x="535"/>
        <item sd="0" m="1" x="901"/>
        <item sd="0" m="1" x="4935"/>
        <item sd="0" m="1" x="5823"/>
        <item sd="0" m="1" x="6559"/>
        <item sd="0" m="1" x="951"/>
        <item sd="0" m="1" x="1485"/>
        <item sd="0" m="1" x="2202"/>
        <item sd="0" m="1" x="6610"/>
        <item sd="0" m="1" x="7168"/>
        <item sd="0" m="1" x="7598"/>
        <item sd="0" m="1" x="2282"/>
        <item sd="0" m="1" x="3148"/>
        <item sd="0" m="1" x="4109"/>
        <item sd="0" m="1" x="284"/>
        <item sd="0" m="1" x="448"/>
        <item sd="0" m="1" x="3745"/>
        <item sd="0" m="1" x="4682"/>
        <item sd="0" m="1" x="5582"/>
        <item sd="0" m="1" x="842"/>
        <item sd="0" m="1" x="1317"/>
        <item sd="0" m="1" x="5637"/>
        <item sd="0" m="1" x="6424"/>
        <item sd="0" m="1" x="7019"/>
        <item sd="0" m="1" x="2074"/>
        <item sd="0" m="1" x="2892"/>
        <item sd="0" m="1" x="226"/>
        <item sd="0" m="1" x="1772"/>
        <item sd="0" m="1" x="2557"/>
        <item sd="0" m="1" x="3491"/>
        <item sd="0" m="1" x="4420"/>
        <item sd="0" m="1" x="723"/>
        <item sd="0" m="1" x="3535"/>
        <item sd="0" m="1" x="4485"/>
        <item sd="0" m="1" x="5421"/>
        <item sd="0" m="1" x="6237"/>
        <item sd="0" m="1" x="1873"/>
        <item sd="0" m="1" x="1710"/>
        <item sd="0" m="1" x="2456"/>
        <item sd="0" m="1" x="3340"/>
        <item sd="0" m="1" x="4314"/>
        <item sd="0" m="1" x="7335"/>
        <item sd="0" m="1" x="7715"/>
        <item sd="0" m="1" x="3425"/>
        <item sd="0" m="1" x="4382"/>
        <item sd="0" m="1" x="5313"/>
        <item sd="0" m="1" x="6157"/>
        <item sd="0" m="1" x="7997"/>
        <item sd="0" m="1" x="124"/>
        <item sd="0" m="1" x="5372"/>
        <item sd="0" m="1" x="6195"/>
        <item sd="0" m="1" x="6850"/>
        <item sd="0" m="1" x="988"/>
        <item sd="0" m="1" x="1528"/>
        <item sd="0" m="1" x="2240"/>
        <item sd="0" m="1" x="6653"/>
        <item sd="0" m="1" x="7202"/>
        <item sd="0" m="1" x="7621"/>
        <item sd="0" m="1" x="2321"/>
        <item sd="0" m="1" x="3182"/>
        <item sd="0" m="1" x="4148"/>
        <item sd="0" m="1" x="7457"/>
        <item sd="0" m="1" x="3689"/>
        <item sd="0" m="1" x="2380"/>
        <item sd="0" m="1" x="3278"/>
        <item sd="0" m="1" x="4258"/>
        <item sd="0" m="1" x="5198"/>
        <item sd="0" m="1" x="4315"/>
        <item sd="0" m="1" x="5259"/>
        <item sd="0" m="1" x="6130"/>
        <item sd="0" m="1" x="6808"/>
        <item sd="0" m="1" x="6158"/>
        <item sd="0" m="1" x="1452"/>
        <item sd="0" m="1" x="2174"/>
        <item sd="0" m="1" x="3054"/>
        <item sd="0" m="1" x="7142"/>
        <item sd="0" m="1" x="3111"/>
        <item sd="0" m="1" x="4081"/>
        <item sd="0" m="1" x="5029"/>
        <item sd="0" m="1" x="7914"/>
        <item sd="0" m="1" x="5086"/>
        <item sd="0" m="1" x="5964"/>
        <item sd="0" m="1" x="476"/>
        <item sd="0" m="1" x="812"/>
        <item sd="0" m="1" x="1297"/>
        <item sd="0" m="1" x="1973"/>
        <item sd="0" m="1" x="6388"/>
        <item sd="0" m="1" x="6992"/>
        <item sd="0" m="1" x="1361"/>
        <item sd="0" m="1" x="2017"/>
        <item sd="0" m="1" x="2853"/>
        <item sd="0" m="1" x="3811"/>
        <item sd="0" m="1" x="7512"/>
        <item sd="0" m="1" x="7845"/>
        <item sd="0" m="1" x="2947"/>
        <item sd="0" m="1" x="3881"/>
        <item sd="0" m="1" x="4825"/>
        <item sd="0" m="1" x="5724"/>
        <item sd="0" m="1" x="408"/>
        <item sd="0" m="1" x="703"/>
        <item sd="0" m="1" x="1149"/>
        <item sd="0" m="1" x="4453"/>
        <item sd="0" m="1" x="5387"/>
        <item sd="0" m="1" x="6210"/>
        <item sd="0" m="1" x="6860"/>
        <item sd="0" m="1" x="1199"/>
        <item sd="0" m="1" x="1826"/>
        <item sd="0" m="1" x="2633"/>
        <item sd="0" m="1" x="6280"/>
        <item sd="0" m="1" x="6899"/>
        <item sd="0" m="1" x="7395"/>
        <item sd="0" m="1" x="7769"/>
        <item sd="0" m="1" x="2702"/>
        <item sd="0" m="1" x="3624"/>
        <item sd="0" m="1" x="4576"/>
        <item sd="0" m="1" x="351"/>
        <item sd="0" m="1" x="3248"/>
        <item sd="0" m="1" x="4221"/>
        <item sd="0" m="1" x="5151"/>
        <item sd="0" m="1" x="6008"/>
        <item sd="0" m="1" x="1057"/>
        <item sd="0" m="1" x="5199"/>
        <item sd="0" m="1" x="6064"/>
        <item sd="0" m="1" x="147"/>
        <item sd="0" m="1" x="5806"/>
        <item sd="0" m="1" x="6545"/>
        <item sd="0" m="1" x="7128"/>
        <item sd="0" m="1" x="1242"/>
        <item sd="0" m="1" x="1874"/>
        <item sd="0" m="1" x="2670"/>
        <item sd="0" m="1" x="6940"/>
        <item sd="0" m="1" x="7428"/>
        <item sd="0" m="1" x="7788"/>
        <item sd="0" m="1" x="2740"/>
        <item sd="0" m="1" x="3666"/>
        <item sd="0" m="1" x="4614"/>
        <item sd="0" m="1" x="7824"/>
        <item sd="0" m="1" x="136"/>
        <item sd="0" m="1" x="4672"/>
        <item sd="0" m="1" x="5572"/>
        <item sd="0" m="1" x="6350"/>
        <item sd="0" m="1" x="989"/>
        <item sd="0" m="1" x="1529"/>
        <item sd="0" m="1" x="2241"/>
        <item sd="0" m="1" x="6654"/>
        <item sd="0" m="1" x="7203"/>
        <item sd="0" m="1" x="2322"/>
        <item sd="0" m="1" x="3183"/>
        <item sd="0" m="1" x="4149"/>
        <item sd="0" m="1" x="7673"/>
        <item sd="0" m="1" x="7943"/>
        <item sd="0" m="1" x="4206"/>
        <item sd="0" m="1" x="5136"/>
        <item sd="0" m="1" x="5993"/>
        <item sd="0" m="1" x="510"/>
        <item sd="0" m="1" x="870"/>
        <item sd="0" m="1" x="1362"/>
        <item sd="0" m="1" x="5674"/>
        <item sd="0" m="1" x="6457"/>
        <item sd="0" m="1" x="7055"/>
        <item sd="0" m="1" x="1412"/>
        <item sd="0" m="1" x="2948"/>
        <item sd="0" m="1" x="7111"/>
        <item sd="0" m="1" x="7577"/>
        <item sd="0" m="1" x="7881"/>
        <item sd="0" m="1" x="3006"/>
        <item sd="0" m="1" x="3953"/>
        <item sd="0" m="1" x="4888"/>
        <item sd="0" m="1" x="440"/>
        <item sd="0" m="1" x="753"/>
        <item sd="0" m="1" x="3567"/>
        <item sd="0" m="1" x="4520"/>
        <item sd="0" m="1" x="5454"/>
        <item sd="0" m="1" x="6281"/>
        <item sd="0" m="1" x="1270"/>
        <item sd="0" m="1" x="1916"/>
        <item sd="0" m="1" x="5502"/>
        <item sd="0" m="1" x="6330"/>
        <item sd="0" m="1" x="6972"/>
        <item sd="0" m="1" x="7458"/>
        <item sd="0" m="1" x="2767"/>
        <item sd="0" m="1" x="3690"/>
        <item sd="0" m="1" x="2381"/>
        <item sd="0" m="1" x="3279"/>
        <item sd="0" m="1" x="4259"/>
        <item sd="0" m="1" x="5200"/>
        <item sd="0" m="1" x="4316"/>
        <item sd="0" m="1" x="5260"/>
        <item sd="0" m="1" x="6131"/>
        <item sd="0" m="1" x="7513"/>
        <item sd="0" m="1" x="2949"/>
        <item sd="0" m="1" x="3882"/>
        <item sd="0" m="1" x="4826"/>
        <item sd="0" m="1" x="245"/>
        <item sd="0" m="1" x="409"/>
        <item sd="0" m="1" x="704"/>
        <item sd="0" m="1" x="1150"/>
        <item sd="0" m="1" x="4454"/>
        <item sd="0" m="1" x="5388"/>
        <item sd="0" m="1" x="6211"/>
        <item sd="0" m="1" x="754"/>
        <item sd="0" m="1" x="1200"/>
        <item sd="0" m="1" x="1827"/>
        <item sd="0" m="1" x="2634"/>
        <item sd="0" m="1" x="6282"/>
        <item sd="0" m="1" x="6900"/>
        <item sd="0" m="1" x="7396"/>
        <item sd="0" m="1" x="1917"/>
        <item sd="0" m="1" x="2703"/>
        <item sd="0" m="1" x="3625"/>
        <item sd="0" m="1" x="4577"/>
        <item sd="0" m="1" x="217"/>
        <item sd="0" m="1" x="352"/>
        <item sd="0" m="1" x="3249"/>
        <item sd="0" m="1" x="4222"/>
        <item sd="0" m="1" x="5152"/>
        <item sd="0" m="1" x="6009"/>
        <item sd="0" m="1" x="650"/>
        <item sd="0" m="1" x="1058"/>
        <item sd="0" m="1" x="5201"/>
        <item sd="0" m="1" x="6065"/>
        <item sd="0" m="1" x="6742"/>
        <item sd="0" m="1" x="7266"/>
        <item sd="0" m="1" x="1711"/>
        <item sd="0" m="1" x="2457"/>
        <item sd="0" m="1" x="188"/>
        <item sd="0" m="1" x="2137"/>
        <item sd="0" m="1" x="3017"/>
        <item sd="0" m="1" x="3968"/>
        <item sd="0" m="1" x="557"/>
        <item sd="0" m="1" x="4013"/>
        <item sd="0" m="1" x="4963"/>
        <item sd="0" m="1" x="5852"/>
        <item sd="0" m="1" x="1530"/>
        <item sd="0" m="1" x="2075"/>
        <item sd="0" m="1" x="2893"/>
        <item sd="0" m="1" x="3851"/>
        <item sd="0" m="1" x="7547"/>
        <item sd="0" m="1" x="3916"/>
        <item sd="0" m="1" x="4860"/>
        <item sd="0" m="1" x="5755"/>
        <item sd="0" m="1" x="5807"/>
        <item sd="0" m="1" x="6546"/>
        <item sd="0" m="1" x="784"/>
        <item sd="0" m="1" x="1243"/>
        <item sd="0" m="1" x="1875"/>
        <item sd="0" m="1" x="2671"/>
        <item sd="0" m="1" x="6941"/>
        <item sd="0" m="1" x="7429"/>
        <item sd="0" m="1" x="1947"/>
        <item sd="0" m="1" x="2741"/>
        <item sd="0" m="1" x="3667"/>
        <item sd="0" m="1" x="4615"/>
        <item sd="0" m="1" x="7233"/>
        <item sd="0" m="1" x="7641"/>
        <item sd="0" m="1" x="3213"/>
        <item sd="0" m="1" x="2824"/>
        <item sd="0" m="1" x="3784"/>
        <item sd="0" m="1" x="4740"/>
        <item sd="0" m="1" x="4792"/>
        <item sd="0" m="1" x="5707"/>
        <item sd="0" m="1" x="6486"/>
        <item sd="0" m="1" x="1178"/>
        <item sd="0" m="1" x="1798"/>
        <item sd="0" m="1" x="2610"/>
        <item sd="0" m="1" x="3536"/>
        <item sd="0" m="1" x="2672"/>
        <item sd="0" m="1" x="3595"/>
        <item sd="0" m="1" x="4554"/>
        <item sd="0" m="1" x="5473"/>
        <item sd="0" m="1" x="4616"/>
        <item sd="0" m="1" x="5522"/>
        <item sd="0" m="1" x="1032"/>
        <item sd="0" m="1" x="1609"/>
        <item sd="0" m="1" x="2354"/>
        <item sd="0" m="1" x="6043"/>
        <item sd="0" m="1" x="6714"/>
        <item sd="0" m="1" x="1656"/>
        <item sd="0" m="1" x="2410"/>
        <item sd="0" m="1" x="3307"/>
        <item sd="0" m="1" x="4282"/>
        <item sd="0" m="1" x="7302"/>
        <item sd="0" m="1" x="7694"/>
        <item sd="0" m="1" x="3388"/>
        <item sd="0" m="1" x="4353"/>
        <item sd="0" m="1" x="5282"/>
        <item sd="0" m="1" x="323"/>
        <item sd="0" m="1" x="536"/>
        <item sd="0" m="1" x="902"/>
        <item sd="0" m="1" x="4936"/>
        <item sd="0" m="1" x="5824"/>
        <item sd="0" m="1" x="6560"/>
        <item sd="0" m="1" x="952"/>
        <item sd="0" m="1" x="1486"/>
        <item sd="0" m="1" x="2203"/>
        <item sd="0" m="1" x="6611"/>
        <item sd="0" m="1" x="7169"/>
        <item sd="0" m="1" x="7599"/>
        <item sd="0" m="1" x="2283"/>
        <item sd="0" m="1" x="3149"/>
        <item sd="0" m="1" x="4110"/>
        <item sd="0" m="1" x="285"/>
        <item sd="0" m="1" x="449"/>
        <item sd="0" m="1" x="3746"/>
        <item sd="0" m="1" x="4683"/>
        <item sd="0" m="1" x="5583"/>
        <item sd="0" m="1" x="843"/>
        <item sd="0" m="1" x="1318"/>
        <item sd="0" m="1" x="5638"/>
        <item sd="0" m="1" x="7998"/>
        <item sd="0" m="1" x="125"/>
        <item sd="0" m="1" x="5373"/>
        <item sd="0" m="1" x="6196"/>
        <item sd="0" m="1" x="6851"/>
        <item sd="0" m="1" x="990"/>
        <item sd="0" m="1" x="1531"/>
        <item sd="0" m="1" x="2242"/>
        <item sd="0" m="1" x="6655"/>
        <item sd="0" m="1" x="7204"/>
        <item sd="0" m="1" x="7622"/>
        <item sd="0" m="1" x="2323"/>
        <item sd="0" m="1" x="3184"/>
        <item sd="0" m="1" x="4150"/>
        <item sd="0" m="1" x="7674"/>
        <item sd="0" m="1" x="7944"/>
        <item sd="0" m="1" x="105"/>
        <item sd="0" m="1" x="4207"/>
        <item sd="0" m="1" x="5137"/>
        <item sd="0" m="1" x="5994"/>
        <item sd="0" m="1" x="871"/>
        <item sd="0" m="1" x="1363"/>
        <item sd="0" m="1" x="5675"/>
        <item sd="0" m="1" x="6458"/>
        <item sd="0" m="1" x="7056"/>
        <item sd="0" m="1" x="2950"/>
        <item sd="0" m="1" x="7112"/>
        <item sd="0" m="1" x="7578"/>
        <item sd="0" m="1" x="7882"/>
        <item sd="0" m="1" x="3954"/>
        <item sd="0" m="1" x="4889"/>
        <item sd="0" m="1" x="755"/>
        <item sd="0" m="1" x="3568"/>
        <item sd="0" m="1" x="4521"/>
        <item sd="0" m="1" x="5455"/>
        <item sd="0" m="1" x="6283"/>
        <item sd="0" m="1" x="1918"/>
        <item sd="0" m="1" x="5503"/>
        <item sd="0" m="1" x="6331"/>
        <item sd="0" m="1" x="6973"/>
        <item sd="0" m="1" x="7459"/>
        <item sd="0" m="1" x="3691"/>
        <item sd="0" m="1" x="2382"/>
        <item sd="0" m="1" x="3280"/>
        <item sd="0" m="1" x="4260"/>
        <item sd="0" m="1" x="5202"/>
        <item sd="0" m="1" x="4317"/>
        <item sd="0" m="1" x="5261"/>
        <item sd="0" m="1" x="6132"/>
        <item sd="0" m="1" x="6809"/>
        <item sd="0" m="1" x="6159"/>
        <item sd="0" m="1" x="1453"/>
        <item sd="0" m="1" x="2175"/>
        <item sd="0" m="1" x="3055"/>
        <item sd="0" m="1" x="7143"/>
        <item sd="0" m="1" x="3112"/>
        <item sd="0" m="1" x="4082"/>
        <item sd="0" m="1" x="5030"/>
        <item sd="0" m="1" x="6901"/>
        <item sd="0" m="1" x="7397"/>
        <item sd="0" m="1" x="7770"/>
        <item sd="0" m="1" x="2704"/>
        <item sd="0" m="1" x="3626"/>
        <item sd="0" m="1" x="4578"/>
        <item sd="0" m="1" x="353"/>
        <item sd="0" m="1" x="3250"/>
        <item sd="0" m="1" x="4223"/>
        <item sd="0" m="1" x="5153"/>
        <item sd="0" m="1" x="6010"/>
        <item sd="0" m="1" x="1059"/>
        <item sd="0" m="1" x="5203"/>
        <item sd="0" m="1" x="6066"/>
        <item sd="0" m="1" x="6743"/>
        <item sd="0" m="1" x="7267"/>
        <item sd="0" m="1" x="2458"/>
        <item sd="0" m="1" x="2138"/>
        <item sd="0" m="1" x="3018"/>
        <item sd="0" m="1" x="3969"/>
        <item sd="0" m="1" x="4014"/>
        <item sd="0" m="1" x="4964"/>
        <item sd="0" m="1" x="5853"/>
        <item sd="0" m="1" x="2076"/>
        <item sd="0" m="1" x="2894"/>
        <item sd="0" m="1" x="3852"/>
        <item sd="0" m="1" x="7548"/>
        <item sd="0" m="1" x="7857"/>
        <item sd="0" m="1" x="3917"/>
        <item sd="0" m="1" x="4861"/>
        <item sd="0" m="1" x="5756"/>
        <item sd="0" m="1" x="148"/>
        <item sd="0" m="1" x="5808"/>
        <item sd="0" m="1" x="6547"/>
        <item sd="0" m="1" x="7129"/>
        <item sd="0" m="1" x="1244"/>
        <item sd="0" m="1" x="1876"/>
        <item sd="0" m="1" x="2673"/>
        <item sd="0" m="1" x="6942"/>
        <item sd="0" m="1" x="7430"/>
        <item sd="0" m="1" x="7789"/>
        <item sd="0" m="1" x="2742"/>
        <item sd="0" m="1" x="3668"/>
        <item sd="0" m="1" x="4617"/>
        <item sd="0" m="1" x="7825"/>
        <item sd="0" m="1" x="137"/>
        <item sd="0" m="1" x="4673"/>
        <item sd="0" m="1" x="5573"/>
        <item sd="0" m="1" x="6351"/>
        <item sd="0" m="1" x="991"/>
        <item sd="0" m="1" x="1532"/>
        <item sd="0" m="1" x="2243"/>
        <item sd="0" m="1" x="6656"/>
        <item sd="0" m="1" x="7205"/>
        <item sd="0" m="1" x="2324"/>
        <item sd="0" m="1" x="3185"/>
        <item sd="0" m="1" x="4151"/>
        <item sd="0" m="1" x="6974"/>
        <item sd="0" m="1" x="7460"/>
        <item sd="0" m="1" x="2768"/>
        <item sd="0" m="1" x="3692"/>
        <item sd="0" m="1" x="2383"/>
        <item sd="0" m="1" x="3281"/>
        <item sd="0" m="1" x="4261"/>
        <item sd="0" m="1" x="5204"/>
        <item sd="0" m="1" x="4318"/>
        <item sd="0" m="1" x="5262"/>
        <item sd="0" m="1" x="6133"/>
        <item sd="0" m="1" x="6810"/>
        <item sd="0" m="1" x="1454"/>
        <item sd="0" m="1" x="2176"/>
        <item sd="0" m="1" x="3056"/>
        <item sd="0" m="1" x="3113"/>
        <item sd="0" m="1" x="4083"/>
        <item sd="0" m="1" x="5031"/>
        <item sd="0" m="1" x="5087"/>
        <item sd="0" m="1" x="477"/>
        <item sd="0" m="1" x="813"/>
        <item sd="0" m="1" x="1298"/>
        <item sd="0" m="1" x="1974"/>
        <item sd="0" m="1" x="6389"/>
        <item sd="0" m="1" x="1364"/>
        <item sd="0" m="1" x="2018"/>
        <item sd="0" m="1" x="2854"/>
        <item sd="0" m="1" x="3812"/>
        <item sd="0" m="1" x="7514"/>
        <item sd="0" m="1" x="2951"/>
        <item sd="0" m="1" x="3883"/>
        <item sd="0" m="1" x="4827"/>
        <item sd="0" m="1" x="246"/>
        <item sd="0" m="1" x="410"/>
        <item sd="0" m="1" x="705"/>
        <item sd="0" m="1" x="1151"/>
        <item sd="0" m="1" x="4455"/>
        <item sd="0" m="1" x="5389"/>
        <item sd="0" m="1" x="6212"/>
        <item sd="0" m="1" x="756"/>
        <item sd="0" m="1" x="1201"/>
        <item sd="0" m="1" x="1828"/>
        <item sd="0" m="1" x="2635"/>
        <item sd="0" m="1" x="6284"/>
        <item sd="0" m="1" x="6902"/>
        <item sd="0" m="1" x="7398"/>
        <item sd="0" m="1" x="1919"/>
        <item sd="0" m="1" x="2705"/>
        <item sd="0" m="1" x="3627"/>
        <item sd="0" m="1" x="4579"/>
        <item sd="0" m="1" x="218"/>
        <item sd="0" m="1" x="354"/>
        <item sd="0" m="1" x="3251"/>
        <item sd="0" m="1" x="4224"/>
        <item sd="0" m="1" x="5154"/>
        <item sd="0" m="1" x="6011"/>
        <item sd="0" m="1" x="651"/>
        <item sd="0" m="1" x="1060"/>
        <item sd="0" m="1" x="5205"/>
        <item sd="0" m="1" x="5809"/>
        <item sd="0" m="1" x="6548"/>
        <item sd="0" m="1" x="785"/>
        <item sd="0" m="1" x="1245"/>
        <item sd="0" m="1" x="1877"/>
        <item sd="0" m="1" x="2674"/>
        <item sd="0" m="1" x="6943"/>
        <item sd="0" m="1" x="7431"/>
        <item sd="0" m="1" x="1948"/>
        <item sd="0" m="1" x="2743"/>
        <item sd="0" m="1" x="3669"/>
        <item sd="0" m="1" x="4618"/>
        <item sd="0" m="1" x="7826"/>
        <item sd="0" m="1" x="3738"/>
        <item sd="0" m="1" x="4674"/>
        <item sd="0" m="1" x="5574"/>
        <item sd="0" m="1" x="6352"/>
        <item sd="0" m="1" x="677"/>
        <item sd="0" m="1" x="1105"/>
        <item sd="0" m="1" x="1657"/>
        <item sd="0" m="1" x="5237"/>
        <item sd="0" m="1" x="6099"/>
        <item sd="0" m="1" x="6781"/>
        <item sd="0" m="1" x="7303"/>
        <item sd="0" m="1" x="1741"/>
        <item sd="0" m="1" x="2515"/>
        <item sd="0" m="1" x="3389"/>
        <item sd="0" m="1" x="6836"/>
        <item sd="0" m="1" x="7361"/>
        <item sd="0" m="1" x="7747"/>
        <item sd="0" m="1" x="7967"/>
        <item sd="0" m="1" x="3469"/>
        <item sd="0" m="1" x="4412"/>
        <item sd="0" m="1" x="5333"/>
        <item sd="0" m="1" x="584"/>
        <item sd="0" m="1" x="4050"/>
        <item sd="0" m="1" x="5000"/>
        <item sd="0" m="1" x="5899"/>
        <item sd="0" m="1" x="6612"/>
        <item sd="0" m="1" x="1569"/>
        <item sd="0" m="1" x="5946"/>
        <item sd="0" m="1" x="6683"/>
        <item sd="0" m="1" x="7234"/>
        <item sd="0" m="1" x="7642"/>
        <item sd="0" m="1" x="3214"/>
        <item sd="0" m="1" x="2825"/>
        <item sd="0" m="1" x="3785"/>
        <item sd="0" m="1" x="4741"/>
        <item sd="0" m="1" x="4793"/>
        <item sd="0" m="1" x="5708"/>
        <item sd="0" m="1" x="6487"/>
        <item sd="0" m="1" x="1179"/>
        <item sd="0" m="1" x="1799"/>
        <item sd="0" m="1" x="2611"/>
        <item sd="0" m="1" x="3537"/>
        <item sd="0" m="1" x="2675"/>
        <item sd="0" m="1" x="3596"/>
        <item sd="0" m="1" x="4555"/>
        <item sd="0" m="1" x="5474"/>
        <item sd="0" m="1" x="6613"/>
        <item sd="0" m="1" x="7170"/>
        <item sd="0" m="1" x="7600"/>
        <item sd="0" m="1" x="2284"/>
        <item sd="0" m="1" x="3150"/>
        <item sd="0" m="1" x="4111"/>
        <item sd="0" m="1" x="286"/>
        <item sd="0" m="1" x="450"/>
        <item sd="0" m="1" x="3747"/>
        <item sd="0" m="1" x="4684"/>
        <item sd="0" m="1" x="5584"/>
        <item sd="0" m="1" x="844"/>
        <item sd="0" m="1" x="1319"/>
        <item sd="0" m="1" x="5639"/>
        <item sd="0" m="1" x="6425"/>
        <item sd="0" m="1" x="7020"/>
        <item sd="0" m="1" x="2077"/>
        <item sd="0" m="1" x="2895"/>
        <item sd="0" m="1" x="227"/>
        <item sd="0" m="1" x="1773"/>
        <item sd="0" m="1" x="2558"/>
        <item sd="0" m="1" x="3492"/>
        <item sd="0" m="1" x="4421"/>
        <item sd="0" m="1" x="724"/>
        <item sd="0" m="1" x="3538"/>
        <item sd="0" m="1" x="4486"/>
        <item sd="0" m="1" x="5422"/>
        <item sd="0" m="1" x="6238"/>
        <item sd="0" m="1" x="1878"/>
        <item sd="0" m="1" x="1712"/>
        <item sd="0" m="1" x="2459"/>
        <item sd="0" m="1" x="3341"/>
        <item sd="0" m="1" x="4319"/>
        <item sd="0" m="1" x="7336"/>
        <item sd="0" m="1" x="7716"/>
        <item sd="0" m="1" x="3426"/>
        <item sd="0" m="1" x="4383"/>
        <item sd="0" m="1" x="5314"/>
        <item sd="0" m="1" x="6160"/>
        <item sd="0" m="1" x="7999"/>
        <item sd="0" m="1" x="126"/>
        <item sd="0" m="1" x="5374"/>
        <item sd="0" m="1" x="6197"/>
        <item sd="0" m="1" x="6852"/>
        <item sd="0" m="1" x="992"/>
        <item sd="0" m="1" x="1533"/>
        <item sd="0" m="1" x="2244"/>
        <item sd="0" m="1" x="6657"/>
        <item sd="0" m="1" x="7206"/>
        <item sd="0" m="1" x="7623"/>
        <item sd="0" m="1" x="2325"/>
        <item sd="0" m="1" x="3186"/>
        <item sd="0" m="1" x="4152"/>
        <item sd="0" m="1" x="7675"/>
        <item sd="0" m="1" x="7945"/>
        <item sd="0" m="1" x="106"/>
        <item sd="0" m="1" x="4208"/>
        <item sd="0" m="1" x="5138"/>
        <item sd="0" m="1" x="5995"/>
        <item sd="0" m="1" x="872"/>
        <item sd="0" m="1" x="1365"/>
        <item sd="0" m="1" x="5676"/>
        <item sd="0" m="1" x="6459"/>
        <item sd="0" m="1" x="7057"/>
        <item sd="0" m="1" x="2952"/>
        <item sd="0" m="1" x="7113"/>
        <item sd="0" m="1" x="6161"/>
        <item sd="0" m="1" x="1455"/>
        <item sd="0" m="1" x="2177"/>
        <item sd="0" m="1" x="3057"/>
        <item sd="0" m="1" x="7144"/>
        <item sd="0" m="1" x="3114"/>
        <item sd="0" m="1" x="4084"/>
        <item sd="0" m="1" x="5032"/>
        <item sd="0" m="1" x="7915"/>
        <item sd="0" m="1" x="5088"/>
        <item sd="0" m="1" x="5965"/>
        <item sd="0" m="1" x="478"/>
        <item sd="0" m="1" x="814"/>
        <item sd="0" m="1" x="1299"/>
        <item sd="0" m="1" x="1975"/>
        <item sd="0" m="1" x="6390"/>
        <item sd="0" m="1" x="6993"/>
        <item sd="0" m="1" x="1366"/>
        <item sd="0" m="1" x="2019"/>
        <item sd="0" m="1" x="2855"/>
        <item sd="0" m="1" x="3813"/>
        <item sd="0" m="1" x="7515"/>
        <item sd="0" m="1" x="7846"/>
        <item sd="0" m="1" x="2953"/>
        <item sd="0" m="1" x="3884"/>
        <item sd="0" m="1" x="4828"/>
        <item sd="0" m="1" x="5725"/>
        <item sd="0" m="1" x="411"/>
        <item sd="0" m="1" x="706"/>
        <item sd="0" m="1" x="1152"/>
        <item sd="0" m="1" x="4456"/>
        <item sd="0" m="1" x="5390"/>
        <item sd="0" m="1" x="6213"/>
        <item sd="0" m="1" x="6861"/>
        <item sd="0" m="1" x="1202"/>
        <item sd="0" m="1" x="1829"/>
        <item sd="0" m="1" x="2636"/>
        <item sd="0" m="1" x="6285"/>
        <item sd="0" m="1" x="6903"/>
        <item sd="0" m="1" x="7399"/>
        <item sd="0" m="1" x="7771"/>
        <item sd="0" m="1" x="2706"/>
        <item sd="0" m="1" x="3628"/>
        <item sd="0" m="1" x="4580"/>
        <item sd="0" m="1" x="355"/>
        <item sd="0" m="1" x="3252"/>
        <item sd="0" m="1" x="4225"/>
        <item sd="0" m="1" x="5155"/>
        <item sd="0" m="1" x="6012"/>
        <item sd="0" m="1" x="1061"/>
        <item sd="0" m="1" x="5206"/>
        <item sd="0" m="1" x="6067"/>
        <item sd="0" m="1" x="6744"/>
        <item sd="0" m="1" x="7268"/>
        <item sd="0" m="1" x="2460"/>
        <item sd="0" m="1" x="2139"/>
        <item sd="0" m="1" x="3019"/>
        <item sd="0" m="1" x="3970"/>
        <item sd="0" m="1" x="4015"/>
        <item sd="0" m="1" x="4965"/>
        <item sd="0" m="1" x="5854"/>
        <item sd="0" m="1" x="7249"/>
        <item sd="0" m="1" x="7676"/>
        <item sd="0" m="1" x="7946"/>
        <item sd="0" m="1" x="3238"/>
        <item sd="0" m="1" x="4209"/>
        <item sd="0" m="1" x="5139"/>
        <item sd="0" m="1" x="5996"/>
        <item sd="0" m="1" x="511"/>
        <item sd="0" m="1" x="873"/>
        <item sd="0" m="1" x="4762"/>
        <item sd="0" m="1" x="5677"/>
        <item sd="0" m="1" x="6460"/>
        <item sd="0" m="1" x="7058"/>
        <item sd="0" m="1" x="1413"/>
        <item sd="0" m="1" x="2108"/>
        <item sd="0" m="1" x="6507"/>
        <item sd="0" m="1" x="7114"/>
        <item sd="0" m="1" x="7579"/>
        <item sd="0" m="1" x="7883"/>
        <item sd="0" m="1" x="3007"/>
        <item sd="0" m="1" x="3955"/>
        <item sd="0" m="1" x="441"/>
        <item sd="0" m="1" x="3569"/>
        <item sd="0" m="1" x="4522"/>
        <item sd="0" m="1" x="5456"/>
        <item sd="0" m="1" x="1271"/>
        <item sd="0" m="1" x="5504"/>
        <item sd="0" m="1" x="6332"/>
        <item sd="0" m="1" x="6975"/>
        <item sd="0" m="1" x="2769"/>
        <item sd="0" m="1" x="1622"/>
        <item sd="0" m="1" x="2384"/>
        <item sd="0" m="1" x="3282"/>
        <item sd="0" m="1" x="4262"/>
        <item sd="0" m="1" x="3342"/>
        <item sd="0" m="1" x="4320"/>
        <item sd="0" m="1" x="5263"/>
        <item sd="0" m="1" x="6134"/>
        <item sd="0" m="1" x="5315"/>
        <item sd="0" m="1" x="921"/>
        <item sd="0" m="1" x="1456"/>
        <item sd="0" m="1" x="2178"/>
        <item sd="0" m="1" x="3058"/>
        <item sd="0" m="1" x="6575"/>
        <item sd="0" m="1" x="2245"/>
        <item sd="0" m="1" x="3115"/>
        <item sd="0" m="1" x="4085"/>
        <item sd="0" m="1" x="5033"/>
        <item sd="0" m="1" x="7624"/>
        <item sd="0" m="1" x="4153"/>
        <item sd="0" m="1" x="5089"/>
        <item sd="0" m="1" x="479"/>
        <item sd="0" m="1" x="815"/>
        <item sd="0" m="1" x="1300"/>
        <item sd="0" m="1" x="5611"/>
        <item sd="0" m="1" x="6391"/>
        <item sd="0" m="1" x="1367"/>
        <item sd="0" m="1" x="2020"/>
        <item sd="0" m="1" x="2856"/>
        <item sd="0" m="1" x="6068"/>
        <item sd="0" m="1" x="6745"/>
        <item sd="0" m="1" x="1713"/>
        <item sd="0" m="1" x="2461"/>
        <item sd="0" m="1" x="1424"/>
        <item sd="0" m="1" x="2140"/>
        <item sd="0" m="1" x="3020"/>
        <item sd="0" m="1" x="3971"/>
        <item sd="0" m="1" x="3059"/>
        <item sd="0" m="1" x="4016"/>
        <item sd="0" m="1" x="4966"/>
        <item sd="0" m="1" x="5855"/>
        <item sd="0" m="1" x="1393"/>
        <item sd="0" m="1" x="2078"/>
        <item sd="0" m="1" x="2896"/>
        <item sd="0" m="1" x="3853"/>
        <item sd="0" m="1" x="7080"/>
        <item sd="0" m="1" x="7549"/>
        <item sd="0" m="1" x="2973"/>
        <item sd="0" m="1" x="3918"/>
        <item sd="0" m="1" x="4862"/>
        <item sd="0" m="1" x="5757"/>
        <item sd="0" m="1" x="7900"/>
        <item sd="0" m="1" x="4925"/>
        <item sd="0" m="1" x="5810"/>
        <item sd="0" m="1" x="6549"/>
        <item sd="0" m="1" x="786"/>
        <item sd="0" m="1" x="1246"/>
        <item sd="0" m="1" x="1879"/>
        <item sd="0" m="1" x="6313"/>
        <item sd="0" m="1" x="6944"/>
        <item sd="0" m="1" x="7432"/>
        <item sd="0" m="1" x="1949"/>
        <item sd="0" m="1" x="2744"/>
        <item sd="0" m="1" x="3670"/>
        <item sd="0" m="1" x="7482"/>
        <item sd="0" m="1" x="7827"/>
        <item sd="0" m="1" x="3739"/>
        <item sd="0" m="1" x="4675"/>
        <item sd="0" m="1" x="5575"/>
        <item sd="0" m="1" x="678"/>
        <item sd="0" m="1" x="1106"/>
        <item sd="0" m="1" x="5238"/>
        <item sd="0" m="1" x="6100"/>
        <item sd="0" m="1" x="6782"/>
        <item sd="0" m="1" x="1742"/>
        <item sd="0" m="1" x="2516"/>
        <item sd="0" m="1" x="6837"/>
        <item sd="0" m="1" x="7362"/>
        <item sd="0" m="1" x="7748"/>
        <item sd="0" m="1" x="3470"/>
        <item sd="0" m="1" x="4413"/>
        <item sd="0" m="1" x="585"/>
        <item sd="0" m="1" x="3084"/>
        <item sd="0" m="1" x="4051"/>
        <item sd="0" m="1" x="5001"/>
        <item sd="0" m="1" x="5900"/>
        <item sd="0" m="1" x="1570"/>
        <item sd="0" m="1" x="5057"/>
        <item sd="0" m="1" x="5947"/>
        <item sd="0" m="1" x="6684"/>
        <item sd="0" m="1" x="7790"/>
        <item sd="0" m="1" x="4619"/>
        <item sd="0" m="1" x="5523"/>
        <item sd="0" m="1" x="381"/>
        <item sd="0" m="1" x="628"/>
        <item sd="0" m="1" x="1033"/>
        <item sd="0" m="1" x="1610"/>
        <item sd="0" m="1" x="6044"/>
        <item sd="0" m="1" x="6715"/>
        <item sd="0" m="1" x="1107"/>
        <item sd="0" m="1" x="1658"/>
        <item sd="0" m="1" x="2411"/>
        <item sd="0" m="1" x="3308"/>
        <item sd="0" m="1" x="7304"/>
        <item sd="0" m="1" x="7695"/>
        <item sd="0" m="1" x="2517"/>
        <item sd="0" m="1" x="4354"/>
        <item sd="0" m="1" x="5283"/>
        <item sd="0" m="1" x="324"/>
        <item sd="0" m="1" x="537"/>
        <item sd="0" m="1" x="903"/>
        <item sd="0" m="1" x="3994"/>
        <item sd="0" m="1" x="4937"/>
        <item sd="0" m="1" x="5825"/>
        <item sd="0" m="1" x="6561"/>
        <item sd="0" m="1" x="953"/>
        <item sd="0" m="1" x="1487"/>
        <item sd="0" m="1" x="2204"/>
        <item sd="0" m="1" x="5901"/>
        <item sd="0" m="1" x="6614"/>
        <item sd="0" m="1" x="7171"/>
        <item sd="0" m="1" x="7601"/>
        <item sd="0" m="1" x="2285"/>
        <item sd="0" m="1" x="3151"/>
        <item sd="0" m="1" x="4112"/>
        <item sd="0" m="1" x="287"/>
        <item sd="0" m="1" x="2792"/>
        <item sd="0" m="1" x="3748"/>
        <item sd="0" m="1" x="4685"/>
        <item sd="0" m="1" x="5585"/>
        <item sd="0" m="1" x="845"/>
        <item sd="0" m="1" x="4742"/>
        <item sd="0" m="1" x="5640"/>
        <item sd="0" m="1" x="6426"/>
        <item sd="0" m="1" x="7021"/>
        <item sd="0" m="1" x="2079"/>
        <item sd="0" m="1" x="1774"/>
        <item sd="0" m="1" x="2559"/>
        <item sd="0" m="1" x="3493"/>
        <item sd="0" m="1" x="3539"/>
        <item sd="0" m="1" x="4487"/>
        <item sd="0" m="1" x="5423"/>
        <item sd="0" m="1" x="1124"/>
        <item sd="0" m="1" x="1714"/>
        <item sd="0" m="1" x="2462"/>
        <item sd="0" m="1" x="3343"/>
        <item sd="0" m="1" x="7337"/>
        <item sd="0" m="1" x="7717"/>
        <item sd="0" m="1" x="2525"/>
        <item sd="0" m="1" x="3427"/>
        <item sd="0" m="1" x="4384"/>
        <item sd="0" m="1" x="5316"/>
        <item sd="0" m="1" x="7580"/>
        <item sd="0" m="1" x="7884"/>
        <item sd="0" m="1" x="3956"/>
        <item sd="0" m="1" x="3570"/>
        <item sd="0" m="1" x="4523"/>
        <item sd="0" m="1" x="5457"/>
        <item sd="0" m="1" x="5505"/>
        <item sd="0" m="1" x="6333"/>
        <item sd="0" m="1" x="6976"/>
        <item sd="0" m="1" x="1623"/>
        <item sd="0" m="1" x="2385"/>
        <item sd="0" m="1" x="3283"/>
        <item sd="0" m="1" x="4263"/>
        <item sd="0" m="1" x="3344"/>
        <item sd="0" m="1" x="4321"/>
        <item sd="0" m="1" x="5264"/>
        <item sd="0" m="1" x="6135"/>
        <item sd="0" m="1" x="5317"/>
        <item sd="0" m="1" x="6162"/>
        <item sd="0" m="1" x="922"/>
        <item sd="0" m="1" x="1457"/>
        <item sd="0" m="1" x="2179"/>
        <item sd="0" m="1" x="3060"/>
        <item sd="0" m="1" x="6576"/>
        <item sd="0" m="1" x="7145"/>
        <item sd="0" m="1" x="2246"/>
        <item sd="0" m="1" x="3116"/>
        <item sd="0" m="1" x="4086"/>
        <item sd="0" m="1" x="5034"/>
        <item sd="0" m="1" x="7625"/>
        <item sd="0" m="1" x="7916"/>
        <item sd="0" m="1" x="4154"/>
        <item sd="0" m="1" x="5090"/>
        <item sd="0" m="1" x="5966"/>
        <item sd="0" m="1" x="480"/>
        <item sd="0" m="1" x="816"/>
        <item sd="0" m="1" x="1301"/>
        <item sd="0" m="1" x="5612"/>
        <item sd="0" m="1" x="6392"/>
        <item sd="0" m="1" x="6994"/>
        <item sd="0" m="1" x="1368"/>
        <item sd="0" m="1" x="2021"/>
        <item sd="0" m="1" x="2857"/>
        <item sd="0" m="1" x="7059"/>
        <item sd="0" m="1" x="7516"/>
        <item sd="0" m="1" x="7847"/>
        <item sd="0" m="1" x="2954"/>
        <item sd="0" m="1" x="3885"/>
        <item sd="0" m="1" x="4829"/>
        <item sd="0" m="1" x="412"/>
        <item sd="0" m="1" x="707"/>
        <item sd="0" m="1" x="4457"/>
        <item sd="0" m="1" x="5391"/>
        <item sd="0" m="1" x="6214"/>
        <item sd="0" m="1" x="1203"/>
        <item sd="0" m="1" x="1830"/>
        <item sd="0" m="1" x="6286"/>
        <item sd="0" m="1" x="5035"/>
        <item sd="0" m="1" x="1394"/>
        <item sd="0" m="1" x="2080"/>
        <item sd="0" m="1" x="2897"/>
        <item sd="0" m="1" x="3854"/>
        <item sd="0" m="1" x="7081"/>
        <item sd="0" m="1" x="7550"/>
        <item sd="0" m="1" x="7858"/>
        <item sd="0" m="1" x="2974"/>
        <item sd="0" m="1" x="3919"/>
        <item sd="0" m="1" x="4863"/>
        <item sd="0" m="1" x="5758"/>
        <item sd="0" m="1" x="7901"/>
        <item sd="0" m="1" x="149"/>
        <item sd="0" m="1" x="4926"/>
        <item sd="0" m="1" x="5811"/>
        <item sd="0" m="1" x="6550"/>
        <item sd="0" m="1" x="7130"/>
        <item sd="0" m="1" x="1247"/>
        <item sd="0" m="1" x="1880"/>
        <item sd="0" m="1" x="6314"/>
        <item sd="0" m="1" x="6945"/>
        <item sd="0" m="1" x="7433"/>
        <item sd="0" m="1" x="7791"/>
        <item sd="0" m="1" x="2745"/>
        <item sd="0" m="1" x="3671"/>
        <item sd="0" m="1" x="7483"/>
        <item sd="0" m="1" x="7828"/>
        <item sd="0" m="1" x="138"/>
        <item sd="0" m="1" x="4676"/>
        <item sd="0" m="1" x="5576"/>
        <item sd="0" m="1" x="600"/>
        <item sd="0" m="1" x="993"/>
        <item sd="0" m="1" x="1534"/>
        <item sd="0" m="1" x="2247"/>
        <item sd="0" m="1" x="5917"/>
        <item sd="0" m="1" x="6658"/>
        <item sd="0" m="1" x="7207"/>
        <item sd="0" m="1" x="1585"/>
        <item sd="0" m="1" x="2326"/>
        <item sd="0" m="1" x="3187"/>
        <item sd="0" m="1" x="4155"/>
        <item sd="0" m="1" x="7250"/>
        <item sd="0" m="1" x="7677"/>
        <item sd="0" m="1" x="7947"/>
        <item sd="0" m="1" x="3239"/>
        <item sd="0" m="1" x="4210"/>
        <item sd="0" m="1" x="5140"/>
        <item sd="0" m="1" x="5997"/>
        <item sd="0" m="1" x="512"/>
        <item sd="0" m="1" x="874"/>
        <item sd="0" m="1" x="4763"/>
        <item sd="0" m="1" x="5678"/>
        <item sd="0" m="1" x="6461"/>
        <item sd="0" m="1" x="7060"/>
        <item sd="0" m="1" x="1414"/>
        <item sd="0" m="1" x="2109"/>
        <item sd="0" m="1" x="6508"/>
        <item sd="0" m="1" x="7115"/>
        <item sd="0" m="1" x="7581"/>
        <item sd="0" m="1" x="7885"/>
        <item sd="0" m="1" x="3008"/>
        <item sd="0" m="1" x="3957"/>
        <item sd="0" m="1" x="442"/>
        <item sd="0" m="1" x="3571"/>
        <item sd="0" m="1" x="4524"/>
        <item sd="0" m="1" x="5458"/>
        <item sd="0" m="1" x="1272"/>
        <item sd="0" m="1" x="5506"/>
        <item sd="0" m="1" x="6334"/>
        <item sd="0" m="1" x="7626"/>
        <item sd="0" m="1" x="4156"/>
        <item sd="0" m="1" x="5091"/>
        <item sd="0" m="1" x="481"/>
        <item sd="0" m="1" x="817"/>
        <item sd="0" m="1" x="1302"/>
        <item sd="0" m="1" x="5613"/>
        <item sd="0" m="1" x="6393"/>
        <item sd="0" m="1" x="1369"/>
        <item sd="0" m="1" x="2022"/>
        <item sd="0" m="1" x="2858"/>
        <item sd="0" m="1" x="7061"/>
        <item sd="0" m="1" x="7517"/>
        <item sd="0" m="1" x="2955"/>
        <item sd="0" m="1" x="3886"/>
        <item sd="0" m="1" x="4830"/>
        <item sd="0" m="1" x="247"/>
        <item sd="0" m="1" x="413"/>
        <item sd="0" m="1" x="708"/>
        <item sd="0" m="1" x="4458"/>
        <item sd="0" m="1" x="5392"/>
        <item sd="0" m="1" x="6215"/>
        <item sd="0" m="1" x="757"/>
        <item sd="0" m="1" x="1204"/>
        <item sd="0" m="1" x="1831"/>
        <item sd="0" m="1" x="6287"/>
        <item sd="0" m="1" x="6904"/>
        <item sd="0" m="1" x="7400"/>
        <item sd="0" m="1" x="1920"/>
        <item sd="0" m="1" x="2707"/>
        <item sd="0" m="1" x="3629"/>
        <item sd="0" m="1" x="219"/>
        <item sd="0" m="1" x="356"/>
        <item sd="0" m="1" x="2344"/>
        <item sd="0" m="1" x="3253"/>
        <item sd="0" m="1" x="4226"/>
        <item sd="0" m="1" x="5156"/>
        <item sd="0" m="1" x="652"/>
        <item sd="0" m="1" x="1062"/>
        <item sd="0" m="1" x="4264"/>
        <item sd="0" m="1" x="5207"/>
        <item sd="0" m="1" x="6069"/>
        <item sd="0" m="1" x="6746"/>
        <item sd="0" m="1" x="1715"/>
        <item sd="0" m="1" x="2463"/>
        <item sd="0" m="1" x="1425"/>
        <item sd="0" m="1" x="2141"/>
        <item sd="0" m="1" x="3021"/>
        <item sd="0" m="1" x="3972"/>
        <item sd="0" m="1" x="3061"/>
        <item sd="0" m="1" x="4017"/>
        <item sd="0" m="1" x="4967"/>
        <item sd="0" m="1" x="5856"/>
        <item sd="0" m="1" x="1395"/>
        <item sd="0" m="1" x="2081"/>
        <item sd="0" m="1" x="2898"/>
        <item sd="0" m="1" x="3855"/>
        <item sd="0" m="1" x="7082"/>
        <item sd="0" m="1" x="7551"/>
        <item sd="0" m="1" x="2975"/>
        <item sd="0" m="1" x="3920"/>
        <item sd="0" m="1" x="4864"/>
        <item sd="0" m="1" x="5759"/>
        <item sd="0" m="1" x="7363"/>
        <item sd="0" m="1" x="7749"/>
        <item sd="0" m="1" x="3471"/>
        <item sd="0" m="1" x="4414"/>
        <item sd="0" m="1" x="586"/>
        <item sd="0" m="1" x="3085"/>
        <item sd="0" m="1" x="4052"/>
        <item sd="0" m="1" x="5002"/>
        <item sd="0" m="1" x="5902"/>
        <item sd="0" m="1" x="1571"/>
        <item sd="0" m="1" x="5058"/>
        <item sd="0" m="1" x="5948"/>
        <item sd="0" m="1" x="6685"/>
        <item sd="0" m="1" x="7235"/>
        <item sd="0" m="1" x="3215"/>
        <item sd="0" m="1" x="1997"/>
        <item sd="0" m="1" x="2826"/>
        <item sd="0" m="1" x="3786"/>
        <item sd="0" m="1" x="4743"/>
        <item sd="0" m="1" x="3856"/>
        <item sd="0" m="1" x="4794"/>
        <item sd="0" m="1" x="5709"/>
        <item sd="0" m="1" x="6488"/>
        <item sd="0" m="1" x="5760"/>
        <item sd="0" m="1" x="1180"/>
        <item sd="0" m="1" x="1800"/>
        <item sd="0" m="1" x="2612"/>
        <item sd="0" m="1" x="6880"/>
        <item sd="0" m="1" x="2676"/>
        <item sd="0" m="1" x="3597"/>
        <item sd="0" m="1" x="4556"/>
        <item sd="0" m="1" x="7792"/>
        <item sd="0" m="1" x="4620"/>
        <item sd="0" m="1" x="5524"/>
        <item sd="0" m="1" x="382"/>
        <item sd="0" m="1" x="629"/>
        <item sd="0" m="1" x="1034"/>
        <item sd="0" m="1" x="1611"/>
        <item sd="0" m="1" x="6045"/>
        <item sd="0" m="1" x="6716"/>
        <item sd="0" m="1" x="1108"/>
        <item sd="0" m="1" x="1659"/>
        <item sd="0" m="1" x="2412"/>
        <item sd="0" m="1" x="3309"/>
        <item sd="0" m="1" x="7305"/>
        <item sd="0" m="1" x="7696"/>
        <item sd="0" m="1" x="2518"/>
        <item sd="0" m="1" x="4355"/>
        <item sd="0" m="1" x="5284"/>
        <item sd="0" m="1" x="325"/>
        <item sd="0" m="1" x="538"/>
        <item sd="0" m="1" x="904"/>
        <item sd="0" m="1" x="3995"/>
        <item sd="0" m="1" x="4938"/>
        <item sd="0" m="1" x="5826"/>
        <item sd="0" m="1" x="6562"/>
        <item sd="0" m="1" x="954"/>
        <item sd="0" m="1" x="1488"/>
        <item sd="0" m="1" x="2205"/>
        <item sd="0" m="1" x="5903"/>
        <item sd="0" m="1" x="1125"/>
        <item sd="0" m="1" x="1716"/>
        <item sd="0" m="1" x="2464"/>
        <item sd="0" m="1" x="3345"/>
        <item sd="0" m="1" x="7338"/>
        <item sd="0" m="1" x="7718"/>
        <item sd="0" m="1" x="2526"/>
        <item sd="0" m="1" x="3428"/>
        <item sd="0" m="1" x="4385"/>
        <item sd="0" m="1" x="5318"/>
        <item sd="0" m="1" x="127"/>
        <item sd="0" m="1" x="4450"/>
        <item sd="0" m="1" x="5375"/>
        <item sd="0" m="1" x="6198"/>
        <item sd="0" m="1" x="6853"/>
        <item sd="0" m="1" x="994"/>
        <item sd="0" m="1" x="1535"/>
        <item sd="0" m="1" x="2248"/>
        <item sd="0" m="1" x="5918"/>
        <item sd="0" m="1" x="6659"/>
        <item sd="0" m="1" x="7208"/>
        <item sd="0" m="1" x="7627"/>
        <item sd="0" m="1" x="2327"/>
        <item sd="0" m="1" x="3188"/>
        <item sd="0" m="1" x="4157"/>
        <item sd="0" m="1" x="7251"/>
        <item sd="0" m="1" x="7678"/>
        <item sd="0" m="1" x="7948"/>
        <item sd="0" m="1" x="107"/>
        <item sd="0" m="1" x="4211"/>
        <item sd="0" m="1" x="5141"/>
        <item sd="0" m="1" x="5998"/>
        <item sd="0" m="1" x="875"/>
        <item sd="0" m="1" x="4764"/>
        <item sd="0" m="1" x="5679"/>
        <item sd="0" m="1" x="6462"/>
        <item sd="0" m="1" x="7062"/>
        <item sd="0" m="1" x="2110"/>
        <item sd="0" m="1" x="6509"/>
        <item sd="0" m="1" x="7116"/>
        <item sd="0" m="1" x="7582"/>
        <item sd="0" m="1" x="7886"/>
        <item sd="0" m="1" x="3958"/>
        <item sd="0" m="1" x="3572"/>
        <item sd="0" m="1" x="4525"/>
        <item sd="0" m="1" x="5459"/>
        <item sd="0" m="1" x="5507"/>
        <item sd="0" m="1" x="6335"/>
        <item sd="0" m="1" x="6977"/>
        <item sd="0" m="1" x="1624"/>
        <item sd="0" m="1" x="2386"/>
        <item sd="0" m="1" x="3284"/>
        <item sd="0" m="1" x="4265"/>
        <item sd="0" m="1" x="3346"/>
        <item sd="0" m="1" x="4322"/>
        <item sd="0" m="1" x="5265"/>
        <item sd="0" m="1" x="6136"/>
        <item sd="0" m="1" x="7063"/>
        <item sd="0" m="1" x="7518"/>
        <item sd="0" m="1" x="7848"/>
        <item sd="0" m="1" x="2956"/>
        <item sd="0" m="1" x="3887"/>
        <item sd="0" m="1" x="4831"/>
        <item sd="0" m="1" x="414"/>
        <item sd="0" m="1" x="709"/>
        <item sd="0" m="1" x="4459"/>
        <item sd="0" m="1" x="5393"/>
        <item sd="0" m="1" x="6216"/>
        <item sd="0" m="1" x="1205"/>
        <item sd="0" m="1" x="1832"/>
        <item sd="0" m="1" x="6288"/>
        <item sd="0" m="1" x="6905"/>
        <item sd="0" m="1" x="7401"/>
        <item sd="0" m="1" x="2708"/>
        <item sd="0" m="1" x="3630"/>
        <item sd="0" m="1" x="357"/>
        <item sd="0" m="1" x="2345"/>
        <item sd="0" m="1" x="3254"/>
        <item sd="0" m="1" x="4227"/>
        <item sd="0" m="1" x="5157"/>
        <item sd="0" m="1" x="1063"/>
        <item sd="0" m="1" x="4266"/>
        <item sd="0" m="1" x="5208"/>
        <item sd="0" m="1" x="6070"/>
        <item sd="0" m="1" x="6747"/>
        <item sd="0" m="1" x="2465"/>
        <item sd="0" m="1" x="1426"/>
        <item sd="0" m="1" x="2142"/>
        <item sd="0" m="1" x="3022"/>
        <item sd="0" m="1" x="3973"/>
        <item sd="0" m="1" x="3062"/>
        <item sd="0" m="1" x="4018"/>
        <item sd="0" m="1" x="4968"/>
        <item sd="0" m="1" x="5857"/>
        <item sd="0" m="1" x="5036"/>
        <item sd="0" m="1" x="1396"/>
        <item sd="0" m="1" x="2082"/>
        <item sd="0" m="1" x="2899"/>
        <item sd="0" m="1" x="3857"/>
        <item sd="0" m="1" x="7083"/>
        <item sd="0" m="1" x="7552"/>
        <item sd="0" m="1" x="7859"/>
        <item sd="0" m="1" x="2976"/>
        <item sd="0" m="1" x="3921"/>
        <item sd="0" m="1" x="4865"/>
        <item sd="0" m="1" x="5761"/>
        <item sd="0" m="1" x="7902"/>
        <item sd="0" m="1" x="150"/>
        <item sd="0" m="1" x="4927"/>
        <item sd="0" m="1" x="5812"/>
        <item sd="0" m="1" x="6551"/>
        <item sd="0" m="1" x="7131"/>
        <item sd="0" m="1" x="601"/>
        <item sd="0" m="1" x="995"/>
        <item sd="0" m="1" x="1536"/>
        <item sd="0" m="1" x="2249"/>
        <item sd="0" m="1" x="5919"/>
        <item sd="0" m="1" x="6660"/>
        <item sd="0" m="1" x="7209"/>
        <item sd="0" m="1" x="1586"/>
        <item sd="0" m="1" x="2328"/>
        <item sd="0" m="1" x="3189"/>
        <item sd="0" m="1" x="4158"/>
        <item sd="0" m="1" x="6978"/>
        <item sd="0" m="1" x="2770"/>
        <item sd="0" m="1" x="1625"/>
        <item sd="0" m="1" x="2387"/>
        <item sd="0" m="1" x="3285"/>
        <item sd="0" m="1" x="4267"/>
        <item sd="0" m="1" x="3347"/>
        <item sd="0" m="1" x="4323"/>
        <item sd="0" m="1" x="5266"/>
        <item sd="0" m="1" x="6137"/>
        <item sd="0" m="1" x="5319"/>
        <item sd="0" m="1" x="923"/>
        <item sd="0" m="1" x="1458"/>
        <item sd="0" m="1" x="2180"/>
        <item sd="0" m="1" x="3063"/>
        <item sd="0" m="1" x="6577"/>
        <item sd="0" m="1" x="2250"/>
        <item sd="0" m="1" x="3117"/>
        <item sd="0" m="1" x="4087"/>
        <item sd="0" m="1" x="5037"/>
        <item sd="0" m="1" x="7628"/>
        <item sd="0" m="1" x="4159"/>
        <item sd="0" m="1" x="5092"/>
        <item sd="0" m="1" x="482"/>
        <item sd="0" m="1" x="818"/>
        <item sd="0" m="1" x="1303"/>
        <item sd="0" m="1" x="5614"/>
        <item sd="0" m="1" x="6394"/>
        <item sd="0" m="1" x="1370"/>
        <item sd="0" m="1" x="2023"/>
        <item sd="0" m="1" x="2859"/>
        <item sd="0" m="1" x="7064"/>
        <item sd="0" m="1" x="7519"/>
        <item sd="0" m="1" x="2957"/>
        <item sd="0" m="1" x="3888"/>
        <item sd="0" m="1" x="4832"/>
        <item sd="0" m="1" x="248"/>
        <item sd="0" m="1" x="415"/>
        <item sd="0" m="1" x="710"/>
        <item sd="0" m="1" x="4460"/>
        <item sd="0" m="1" x="5394"/>
        <item sd="0" m="1" x="6217"/>
        <item sd="0" m="1" x="758"/>
        <item sd="0" m="1" x="1206"/>
        <item sd="0" m="1" x="1833"/>
        <item sd="0" m="1" x="6289"/>
        <item sd="0" m="1" x="6906"/>
        <item sd="0" m="1" x="7402"/>
        <item sd="0" m="1" x="1921"/>
        <item sd="0" m="1" x="2709"/>
        <item sd="0" m="1" x="3631"/>
        <item sd="0" m="1" x="220"/>
        <item sd="0" m="1" x="358"/>
        <item sd="0" m="1" x="2346"/>
        <item sd="0" m="1" x="3255"/>
        <item sd="0" m="1" x="4228"/>
        <item sd="0" m="1" x="5158"/>
        <item sd="0" m="1" x="653"/>
        <item sd="0" m="1" x="1064"/>
        <item sd="0" m="1" x="4268"/>
        <item sd="0" m="1" x="5209"/>
        <item sd="0" m="1" x="7903"/>
        <item sd="0" m="1" x="4928"/>
        <item sd="0" m="1" x="5813"/>
        <item sd="0" m="1" x="6552"/>
        <item sd="0" m="1" x="787"/>
        <item sd="0" m="1" x="1248"/>
        <item sd="0" m="1" x="1881"/>
        <item sd="0" m="1" x="6315"/>
        <item sd="0" m="1" x="6946"/>
        <item sd="0" m="1" x="7434"/>
        <item sd="0" m="1" x="1950"/>
        <item sd="0" m="1" x="2746"/>
        <item sd="0" m="1" x="3672"/>
        <item sd="0" m="1" x="7484"/>
        <item sd="0" m="1" x="7829"/>
        <item sd="0" m="1" x="3740"/>
        <item sd="0" m="1" x="4677"/>
        <item sd="0" m="1" x="5577"/>
        <item sd="0" m="1" x="679"/>
        <item sd="0" m="1" x="1109"/>
        <item sd="0" m="1" x="5239"/>
        <item sd="0" m="1" x="6101"/>
        <item sd="0" m="1" x="6783"/>
        <item sd="0" m="1" x="1743"/>
        <item sd="0" m="1" x="2519"/>
        <item sd="0" m="1" x="6838"/>
        <item sd="0" m="1" x="7364"/>
        <item sd="0" m="1" x="7750"/>
        <item sd="0" m="1" x="3472"/>
        <item sd="0" m="1" x="4415"/>
        <item sd="0" m="1" x="587"/>
        <item sd="0" m="1" x="3086"/>
        <item sd="0" m="1" x="4053"/>
        <item sd="0" m="1" x="5003"/>
        <item sd="0" m="1" x="5904"/>
        <item sd="0" m="1" x="1572"/>
        <item sd="0" m="1" x="5059"/>
        <item sd="0" m="1" x="5949"/>
        <item sd="0" m="1" x="6686"/>
        <item sd="0" m="1" x="7236"/>
        <item sd="0" m="1" x="3216"/>
        <item sd="0" m="1" x="1998"/>
        <item sd="0" m="1" x="2827"/>
        <item sd="0" m="1" x="3787"/>
        <item sd="0" m="1" x="4744"/>
        <item sd="0" m="1" x="3858"/>
        <item sd="0" m="1" x="4795"/>
        <item sd="0" m="1" x="5710"/>
        <item sd="0" m="1" x="6489"/>
        <item sd="0" m="1" x="5762"/>
        <item sd="0" m="1" x="1181"/>
        <item sd="0" m="1" x="1801"/>
        <item sd="0" m="1" x="2613"/>
        <item sd="0" m="1" x="6881"/>
        <item sd="0" m="1" x="2677"/>
        <item sd="0" m="1" x="3598"/>
        <item sd="0" m="1" x="4557"/>
        <item sd="0" m="1" x="6615"/>
        <item sd="0" m="1" x="7172"/>
        <item sd="0" m="1" x="7602"/>
        <item sd="0" m="1" x="2286"/>
        <item sd="0" m="1" x="3152"/>
        <item sd="0" m="1" x="4113"/>
        <item sd="0" m="1" x="288"/>
        <item sd="0" m="1" x="2793"/>
        <item sd="0" m="1" x="3749"/>
        <item sd="0" m="1" x="4686"/>
        <item sd="0" m="1" x="5586"/>
        <item sd="0" m="1" x="846"/>
        <item sd="0" m="1" x="4745"/>
        <item sd="0" m="1" x="5641"/>
        <item sd="0" m="1" x="6427"/>
        <item sd="0" m="1" x="7022"/>
        <item sd="0" m="1" x="2083"/>
        <item sd="0" m="1" x="1775"/>
        <item sd="0" m="1" x="2560"/>
        <item sd="0" m="1" x="3494"/>
        <item sd="0" m="1" x="3540"/>
        <item sd="0" m="1" x="4488"/>
        <item sd="0" m="1" x="5424"/>
        <item sd="0" m="1" x="1126"/>
        <item sd="0" m="1" x="1717"/>
        <item sd="0" m="1" x="2466"/>
        <item sd="0" m="1" x="3348"/>
        <item sd="0" m="1" x="7339"/>
        <item sd="0" m="1" x="7719"/>
        <item sd="0" m="1" x="2527"/>
        <item sd="0" m="1" x="3429"/>
        <item sd="0" m="1" x="4386"/>
        <item sd="0" m="1" x="5320"/>
        <item sd="0" m="1" x="128"/>
        <item sd="0" m="1" x="4451"/>
        <item sd="0" m="1" x="5376"/>
        <item sd="0" m="1" x="6199"/>
        <item sd="0" m="1" x="6854"/>
        <item sd="0" m="1" x="996"/>
        <item sd="0" m="1" x="1537"/>
        <item sd="0" m="1" x="2251"/>
        <item sd="0" m="1" x="5920"/>
        <item sd="0" m="1" x="6661"/>
        <item sd="0" m="1" x="7210"/>
        <item sd="0" m="1" x="7629"/>
        <item sd="0" m="1" x="2329"/>
        <item sd="0" m="1" x="3190"/>
        <item sd="0" m="1" x="4160"/>
        <item sd="0" m="1" x="7252"/>
        <item sd="0" m="1" x="7679"/>
        <item sd="0" m="1" x="7949"/>
        <item sd="0" m="1" x="108"/>
        <item sd="0" m="1" x="4212"/>
        <item sd="0" m="1" x="5142"/>
        <item sd="0" m="1" x="5999"/>
        <item sd="0" m="1" x="876"/>
        <item sd="0" m="1" x="4765"/>
        <item sd="0" m="1" x="5680"/>
        <item sd="0" m="1" x="6463"/>
        <item sd="0" m="1" x="7065"/>
        <item sd="0" m="1" x="2111"/>
        <item sd="0" m="1" x="6510"/>
        <item sd="0" m="1" x="7117"/>
        <item sd="0" m="1" x="7630"/>
        <item sd="0" m="1" x="7917"/>
        <item sd="0" m="1" x="4161"/>
        <item sd="0" m="1" x="5093"/>
        <item sd="0" m="1" x="5967"/>
        <item sd="0" m="1" x="483"/>
        <item sd="0" m="1" x="819"/>
        <item sd="0" m="1" x="1304"/>
        <item sd="0" m="1" x="5615"/>
        <item sd="0" m="1" x="6395"/>
        <item sd="0" m="1" x="6995"/>
        <item sd="0" m="1" x="1371"/>
        <item sd="0" m="1" x="2024"/>
        <item sd="0" m="1" x="2860"/>
        <item sd="0" m="1" x="7066"/>
        <item sd="0" m="1" x="7520"/>
        <item sd="0" m="1" x="7849"/>
        <item sd="0" m="1" x="2958"/>
        <item sd="0" m="1" x="3889"/>
        <item sd="0" m="1" x="4833"/>
        <item sd="0" m="1" x="416"/>
        <item sd="0" m="1" x="711"/>
        <item sd="0" m="1" x="4461"/>
        <item sd="0" m="1" x="5395"/>
        <item sd="0" m="1" x="6218"/>
        <item sd="0" m="1" x="1207"/>
        <item sd="0" m="1" x="1834"/>
        <item sd="0" m="1" x="6290"/>
        <item sd="0" m="1" x="6907"/>
        <item sd="0" m="1" x="7403"/>
        <item sd="0" m="1" x="2710"/>
        <item sd="0" m="1" x="3632"/>
        <item sd="0" m="1" x="359"/>
        <item sd="0" m="1" x="2347"/>
        <item sd="0" m="1" x="3256"/>
        <item sd="0" m="1" x="4229"/>
        <item sd="0" m="1" x="5159"/>
        <item sd="0" m="1" x="1065"/>
        <item sd="0" m="1" x="4269"/>
        <item sd="0" m="1" x="5210"/>
        <item sd="0" m="1" x="6071"/>
        <item sd="0" m="1" x="6748"/>
        <item sd="0" m="1" x="2467"/>
        <item sd="0" m="1" x="1427"/>
        <item sd="0" m="1" x="2143"/>
        <item sd="0" m="1" x="3023"/>
        <item sd="0" m="1" x="3974"/>
        <item sd="0" m="1" x="3064"/>
        <item sd="0" m="1" x="4019"/>
        <item sd="0" m="1" x="4969"/>
        <item sd="0" m="1" x="5858"/>
        <item sd="0" m="1" x="7831"/>
        <item sd="0" m="1" x="4687"/>
        <item sd="0" m="1" x="5587"/>
        <item sd="0" m="1" x="6354"/>
        <item sd="0" m="1" x="681"/>
        <item sd="0" m="1" x="1115"/>
        <item sd="0" m="1" x="1684"/>
        <item sd="0" m="1" x="6112"/>
        <item sd="0" m="1" x="6789"/>
        <item sd="0" m="1" x="7321"/>
        <item sd="0" m="1" x="1745"/>
        <item sd="0" m="1" x="3405"/>
        <item sd="0" m="1" x="7366"/>
        <item sd="0" m="1" x="7756"/>
        <item sd="0" m="1" x="7984"/>
        <item sd="0" m="1" x="3495"/>
        <item sd="0" m="1" x="4426"/>
        <item sd="0" m="1" x="5349"/>
        <item sd="0" m="1" x="597"/>
        <item sd="0" m="1" x="968"/>
        <item sd="0" m="1" x="4064"/>
        <item sd="0" m="1" x="5012"/>
        <item sd="0" m="1" x="5908"/>
        <item sd="0" m="1" x="6629"/>
        <item sd="0" m="1" x="1582"/>
        <item sd="0" m="1" x="2300"/>
        <item sd="0" m="1" x="5951"/>
        <item sd="0" m="1" x="6687"/>
        <item sd="0" m="1" x="7240"/>
        <item sd="0" m="1" x="7658"/>
        <item sd="0" m="1" x="3226"/>
        <item sd="0" m="1" x="4182"/>
        <item sd="0" m="1" x="2836"/>
        <item sd="0" m="1" x="3794"/>
        <item sd="0" m="1" x="4755"/>
        <item sd="0" m="1" x="5651"/>
        <item sd="0" m="1" x="4804"/>
        <item sd="0" m="1" x="5712"/>
        <item sd="0" m="1" x="6500"/>
        <item sd="0" m="1" x="7093"/>
        <item sd="0" m="1" x="1809"/>
        <item sd="0" m="1" x="2616"/>
        <item sd="0" m="1" x="3549"/>
        <item sd="0" m="1" x="3609"/>
        <item sd="0" m="1" x="4561"/>
        <item sd="0" m="1" x="5484"/>
        <item sd="0" m="1" x="6630"/>
        <item sd="0" m="1" x="7187"/>
        <item sd="0" m="1" x="7610"/>
        <item sd="0" m="1" x="2301"/>
        <item sd="0" m="1" x="3167"/>
        <item sd="0" m="1" x="4133"/>
        <item sd="0" m="1" x="5069"/>
        <item sd="0" m="1" x="291"/>
        <item sd="0" m="1" x="459"/>
        <item sd="0" m="1" x="3750"/>
        <item sd="0" m="1" x="4696"/>
        <item sd="0" m="1" x="5604"/>
        <item sd="0" m="1" x="6371"/>
        <item sd="0" m="1" x="858"/>
        <item sd="0" m="1" x="1335"/>
        <item sd="0" m="1" x="5652"/>
        <item sd="0" m="1" x="6440"/>
        <item sd="0" m="1" x="7037"/>
        <item sd="0" m="1" x="7493"/>
        <item sd="0" m="1" x="2096"/>
        <item sd="0" m="1" x="2915"/>
        <item sd="0" m="1" x="235"/>
        <item sd="0" m="1" x="2561"/>
        <item sd="0" m="1" x="3500"/>
        <item sd="0" m="1" x="4442"/>
        <item sd="0" m="1" x="732"/>
        <item sd="0" m="1" x="4501"/>
        <item sd="0" m="1" x="5435"/>
        <item sd="0" m="1" x="6254"/>
        <item sd="0" m="1" x="1892"/>
        <item sd="0" m="1" x="2499"/>
        <item sd="0" m="1" x="3366"/>
        <item sd="0" m="1" x="4341"/>
        <item sd="0" m="1" x="7735"/>
        <item sd="0" m="1" x="4398"/>
        <item sd="0" m="1" x="5321"/>
        <item sd="0" m="1" x="6163"/>
        <item sd="0" m="1" x="129"/>
        <item sd="0" m="1" x="6219"/>
        <item sd="0" m="1" x="6862"/>
        <item sd="0" m="1" x="1004"/>
        <item sd="0" m="1" x="1559"/>
        <item sd="0" m="1" x="2271"/>
        <item sd="0" m="1" x="3137"/>
        <item sd="0" m="1" x="7223"/>
        <item sd="0" m="1" x="7631"/>
        <item sd="0" m="1" x="2339"/>
        <item sd="0" m="1" x="3203"/>
        <item sd="0" m="1" x="4162"/>
        <item sd="0" m="1" x="5094"/>
        <item sd="0" m="1" x="7950"/>
        <item sd="0" m="1" x="109"/>
        <item sd="0" m="1" x="4230"/>
        <item sd="0" m="1" x="5160"/>
        <item sd="0" m="1" x="6013"/>
        <item sd="0" m="1" x="6696"/>
        <item sd="0" m="1" x="879"/>
        <item sd="0" m="1" x="1388"/>
        <item sd="0" m="1" x="2051"/>
        <item sd="0" m="1" x="5697"/>
        <item sd="0" m="1" x="6476"/>
        <item sd="0" m="1" x="7075"/>
        <item sd="0" m="1" x="7529"/>
        <item sd="0" m="1" x="2115"/>
        <item sd="0" m="1" x="2968"/>
        <item sd="0" m="1" x="3899"/>
        <item sd="0" m="1" x="7118"/>
        <item sd="0" m="1" x="1476"/>
        <item sd="0" m="1" x="2193"/>
        <item sd="0" m="1" x="3080"/>
        <item sd="0" m="1" x="4035"/>
        <item sd="0" m="1" x="3138"/>
        <item sd="0" m="1" x="4102"/>
        <item sd="0" m="1" x="5053"/>
        <item sd="0" m="1" x="5936"/>
        <item sd="0" m="1" x="5095"/>
        <item sd="0" m="1" x="5968"/>
        <item sd="0" m="1" x="1309"/>
        <item sd="0" m="1" x="1992"/>
        <item sd="0" m="1" x="2814"/>
        <item sd="0" m="1" x="6414"/>
        <item sd="0" m="1" x="7010"/>
        <item sd="0" m="1" x="2052"/>
        <item sd="0" m="1" x="2873"/>
        <item sd="0" m="1" x="3836"/>
        <item sd="0" m="1" x="4782"/>
        <item sd="0" m="1" x="7530"/>
        <item sd="0" m="1" x="7850"/>
        <item sd="0" m="1" x="3900"/>
        <item sd="0" m="1" x="4847"/>
        <item sd="0" m="1" x="5742"/>
        <item sd="0" m="1" x="423"/>
        <item sd="0" m="1" x="716"/>
        <item sd="0" m="1" x="1171"/>
        <item sd="0" m="1" x="5413"/>
        <item sd="0" m="1" x="6228"/>
        <item sd="0" m="1" x="6876"/>
        <item sd="0" m="1" x="1231"/>
        <item sd="0" m="1" x="1857"/>
        <item sd="0" m="1" x="2655"/>
        <item sd="0" m="1" x="6926"/>
        <item sd="0" m="1" x="7417"/>
        <item sd="0" m="1" x="7781"/>
        <item sd="0" m="1" x="2729"/>
        <item sd="0" m="1" x="3655"/>
        <item sd="0" m="1" x="4598"/>
        <item sd="0" m="1" x="377"/>
        <item sd="0" m="1" x="619"/>
        <item sd="0" m="1" x="4234"/>
        <item sd="0" m="1" x="5168"/>
        <item sd="0" m="1" x="6034"/>
        <item sd="0" m="1" x="1096"/>
        <item sd="0" m="1" x="1642"/>
        <item sd="0" m="1" x="6090"/>
        <item sd="0" m="1" x="6771"/>
        <item sd="0" m="1" x="7286"/>
        <item sd="0" m="1" x="2500"/>
        <item sd="0" m="1" x="3367"/>
        <item sd="0" m="1" x="312"/>
        <item sd="0" m="1" x="2144"/>
        <item sd="0" m="1" x="3024"/>
        <item sd="0" m="1" x="3988"/>
        <item sd="0" m="1" x="4920"/>
        <item sd="0" m="1" x="941"/>
        <item sd="0" m="1" x="4036"/>
        <item sd="0" m="1" x="4985"/>
        <item sd="0" m="1" x="5888"/>
        <item sd="0" m="1" x="7832"/>
        <item sd="0" m="1" x="139"/>
        <item sd="0" m="1" x="4688"/>
        <item sd="0" m="1" x="5588"/>
        <item sd="0" m="1" x="6355"/>
        <item sd="0" m="1" x="1116"/>
        <item sd="0" m="1" x="1685"/>
        <item sd="0" m="1" x="6113"/>
        <item sd="0" m="1" x="6790"/>
        <item sd="0" m="1" x="7322"/>
        <item sd="0" m="1" x="3406"/>
        <item sd="0" m="1" x="7367"/>
        <item sd="0" m="1" x="7757"/>
        <item sd="0" m="1" x="7985"/>
        <item sd="0" m="1" x="4427"/>
        <item sd="0" m="1" x="5350"/>
        <item sd="0" m="1" x="969"/>
        <item sd="0" m="1" x="4065"/>
        <item sd="0" m="1" x="5013"/>
        <item sd="0" m="1" x="5909"/>
        <item sd="0" m="1" x="6631"/>
        <item sd="0" m="1" x="2302"/>
        <item sd="0" m="1" x="5952"/>
        <item sd="0" m="1" x="6688"/>
        <item sd="0" m="1" x="7241"/>
        <item sd="0" m="1" x="7659"/>
        <item sd="0" m="1" x="4183"/>
        <item sd="0" m="1" x="2837"/>
        <item sd="0" m="1" x="3795"/>
        <item sd="0" m="1" x="4756"/>
        <item sd="0" m="1" x="5653"/>
        <item sd="0" m="1" x="4805"/>
        <item sd="0" m="1" x="5713"/>
        <item sd="0" m="1" x="6501"/>
        <item sd="0" m="1" x="7094"/>
        <item sd="0" m="1" x="6513"/>
        <item sd="0" m="1" x="1810"/>
        <item sd="0" m="1" x="2617"/>
        <item sd="0" m="1" x="3550"/>
        <item sd="0" m="1" x="7384"/>
        <item sd="0" m="1" x="3610"/>
        <item sd="0" m="1" x="4562"/>
        <item sd="0" m="1" x="5485"/>
        <item sd="0" m="1" x="5526"/>
        <item sd="0" m="1" x="6340"/>
        <item sd="0" m="1" x="639"/>
        <item sd="0" m="1" x="1042"/>
        <item sd="0" m="1" x="1615"/>
        <item sd="0" m="1" x="2364"/>
        <item sd="0" m="1" x="6726"/>
        <item sd="0" m="1" x="7253"/>
        <item sd="0" m="1" x="1686"/>
        <item sd="0" m="1" x="2435"/>
        <item sd="0" m="1" x="3328"/>
        <item sd="0" m="1" x="4293"/>
        <item sd="0" m="1" x="7038"/>
        <item sd="0" m="1" x="7494"/>
        <item sd="0" m="1" x="2916"/>
        <item sd="0" m="1" x="2562"/>
        <item sd="0" m="1" x="3501"/>
        <item sd="0" m="1" x="4443"/>
        <item sd="0" m="1" x="4502"/>
        <item sd="0" m="1" x="5436"/>
        <item sd="0" m="1" x="6255"/>
        <item sd="0" m="1" x="2501"/>
        <item sd="0" m="1" x="3368"/>
        <item sd="0" m="1" x="4342"/>
        <item sd="0" m="1" x="7736"/>
        <item sd="0" m="1" x="7958"/>
        <item sd="0" m="1" x="4399"/>
        <item sd="0" m="1" x="5322"/>
        <item sd="0" m="1" x="6164"/>
        <item sd="0" m="1" x="130"/>
        <item sd="0" m="1" x="156"/>
        <item sd="0" m="1" x="6220"/>
        <item sd="0" m="1" x="6863"/>
        <item sd="0" m="1" x="7373"/>
        <item sd="0" m="1" x="1560"/>
        <item sd="0" m="1" x="2272"/>
        <item sd="0" m="1" x="3139"/>
        <item sd="0" m="1" x="7224"/>
        <item sd="0" m="1" x="7632"/>
        <item sd="0" m="1" x="7918"/>
        <item sd="0" m="1" x="3204"/>
        <item sd="0" m="1" x="4163"/>
        <item sd="0" m="1" x="5096"/>
        <item sd="0" m="1" x="7951"/>
        <item sd="0" m="1" x="110"/>
        <item sd="0" m="1" x="155"/>
        <item sd="0" m="1" x="5161"/>
        <item sd="0" m="1" x="6014"/>
        <item sd="0" m="1" x="6697"/>
        <item sd="0" m="1" x="1258"/>
        <item sd="0" m="1" x="1893"/>
        <item sd="0" m="1" x="2688"/>
        <item sd="0" m="1" x="6957"/>
        <item sd="0" m="1" x="7442"/>
        <item sd="0" m="1" x="2757"/>
        <item sd="0" m="1" x="3674"/>
        <item sd="0" m="1" x="4622"/>
        <item sd="0" m="1" x="7833"/>
        <item sd="0" m="1" x="4689"/>
        <item sd="0" m="1" x="5589"/>
        <item sd="0" m="1" x="6356"/>
        <item sd="0" m="1" x="682"/>
        <item sd="0" m="1" x="1117"/>
        <item sd="0" m="1" x="1687"/>
        <item sd="0" m="1" x="6114"/>
        <item sd="0" m="1" x="6791"/>
        <item sd="0" m="1" x="7323"/>
        <item sd="0" m="1" x="1746"/>
        <item sd="0" m="1" x="3407"/>
        <item sd="0" m="1" x="7095"/>
        <item sd="0" m="1" x="1811"/>
        <item sd="0" m="1" x="2618"/>
        <item sd="0" m="1" x="3551"/>
        <item sd="0" m="1" x="3611"/>
        <item sd="0" m="1" x="4563"/>
        <item sd="0" m="1" x="5486"/>
        <item sd="0" m="1" x="5527"/>
        <item sd="0" m="1" x="640"/>
        <item sd="0" m="1" x="1043"/>
        <item sd="0" m="1" x="1616"/>
        <item sd="0" m="1" x="2365"/>
        <item sd="0" m="1" x="6727"/>
        <item sd="0" m="1" x="1688"/>
        <item sd="0" m="1" x="2436"/>
        <item sd="0" m="1" x="3329"/>
        <item sd="0" m="1" x="4294"/>
        <item sd="0" m="1" x="7704"/>
        <item sd="0" m="1" x="3408"/>
        <item sd="0" m="1" x="4371"/>
        <item sd="0" m="1" x="5302"/>
        <item sd="0" m="1" x="326"/>
        <item sd="0" m="1" x="546"/>
        <item sd="0" m="1" x="915"/>
        <item sd="0" m="1" x="1438"/>
        <item sd="0" m="1" x="4949"/>
        <item sd="0" m="1" x="5836"/>
        <item sd="0" m="1" x="6568"/>
        <item sd="0" m="1" x="970"/>
        <item sd="0" m="1" x="1508"/>
        <item sd="0" m="1" x="2226"/>
        <item sd="0" m="1" x="3097"/>
        <item sd="0" m="1" x="6632"/>
        <item sd="0" m="1" x="7188"/>
        <item sd="0" m="1" x="7611"/>
        <item sd="0" m="1" x="2303"/>
        <item sd="0" m="1" x="3168"/>
        <item sd="0" m="1" x="4134"/>
        <item sd="0" m="1" x="5070"/>
        <item sd="0" m="1" x="292"/>
        <item sd="0" m="1" x="460"/>
        <item sd="0" m="1" x="3751"/>
        <item sd="0" m="1" x="4697"/>
        <item sd="0" m="1" x="5605"/>
        <item sd="0" m="1" x="6372"/>
        <item sd="0" m="1" x="859"/>
        <item sd="0" m="1" x="1336"/>
        <item sd="0" m="1" x="5654"/>
        <item sd="0" m="1" x="6441"/>
        <item sd="0" m="1" x="7039"/>
        <item sd="0" m="1" x="7495"/>
        <item sd="0" m="1" x="2097"/>
        <item sd="0" m="1" x="2917"/>
        <item sd="0" m="1" x="236"/>
        <item sd="0" m="1" x="2563"/>
        <item sd="0" m="1" x="3502"/>
        <item sd="0" m="1" x="4444"/>
        <item sd="0" m="1" x="733"/>
        <item sd="0" m="1" x="4503"/>
        <item sd="0" m="1" x="5437"/>
        <item sd="0" m="1" x="7952"/>
        <item sd="0" m="1" x="111"/>
        <item sd="0" m="1" x="4231"/>
        <item sd="0" m="1" x="5162"/>
        <item sd="0" m="1" x="6015"/>
        <item sd="0" m="1" x="6698"/>
        <item sd="0" m="1" x="880"/>
        <item sd="0" m="1" x="1389"/>
        <item sd="0" m="1" x="2053"/>
        <item sd="0" m="1" x="5698"/>
        <item sd="0" m="1" x="6477"/>
        <item sd="0" m="1" x="7076"/>
        <item sd="0" m="1" x="7531"/>
        <item sd="0" m="1" x="2116"/>
        <item sd="0" m="1" x="2969"/>
        <item sd="0" m="1" x="3901"/>
        <item sd="0" m="1" x="7119"/>
        <item sd="0" m="1" x="7584"/>
        <item sd="0" m="1" x="7897"/>
        <item sd="0" m="1" x="3978"/>
        <item sd="0" m="1" x="4900"/>
        <item sd="0" m="1" x="5778"/>
        <item sd="0" m="1" x="777"/>
        <item sd="0" m="1" x="4546"/>
        <item sd="0" m="1" x="5465"/>
        <item sd="0" m="1" x="6309"/>
        <item sd="0" m="1" x="6927"/>
        <item sd="0" m="1" x="1940"/>
        <item sd="0" m="1" x="6336"/>
        <item sd="0" m="1" x="6984"/>
        <item sd="0" m="1" x="7479"/>
        <item sd="0" m="1" x="7814"/>
        <item sd="0" m="1" x="3711"/>
        <item sd="0" m="1" x="3299"/>
        <item sd="0" m="1" x="4274"/>
        <item sd="0" m="1" x="5229"/>
        <item sd="0" m="1" x="5273"/>
        <item sd="0" m="1" x="6142"/>
        <item sd="0" m="1" x="6828"/>
        <item sd="0" m="1" x="1477"/>
        <item sd="0" m="1" x="2194"/>
        <item sd="0" m="1" x="3081"/>
        <item sd="0" m="1" x="4037"/>
        <item sd="0" m="1" x="3140"/>
        <item sd="0" m="1" x="4103"/>
        <item sd="0" m="1" x="5054"/>
        <item sd="0" m="1" x="5937"/>
        <item sd="0" m="1" x="5097"/>
        <item sd="0" m="1" x="5969"/>
        <item sd="0" m="1" x="1310"/>
        <item sd="0" m="1" x="1993"/>
        <item sd="0" m="1" x="2815"/>
        <item sd="0" m="1" x="6415"/>
        <item sd="0" m="1" x="7011"/>
        <item sd="0" m="1" x="2054"/>
        <item sd="0" m="1" x="2874"/>
        <item sd="0" m="1" x="3837"/>
        <item sd="0" m="1" x="4783"/>
        <item sd="0" m="1" x="6772"/>
        <item sd="0" m="1" x="7287"/>
        <item sd="0" m="1" x="2502"/>
        <item sd="0" m="1" x="3369"/>
        <item sd="0" m="1" x="313"/>
        <item sd="0" m="1" x="2145"/>
        <item sd="0" m="1" x="3025"/>
        <item sd="0" m="1" x="3989"/>
        <item sd="0" m="1" x="4921"/>
        <item sd="0" m="1" x="942"/>
        <item sd="0" m="1" x="4038"/>
        <item sd="0" m="1" x="4986"/>
        <item sd="0" m="1" x="5889"/>
        <item sd="0" m="1" x="6597"/>
        <item sd="0" m="1" x="2273"/>
        <item sd="0" m="1" x="2098"/>
        <item sd="0" m="1" x="2918"/>
        <item sd="0" m="1" x="3867"/>
        <item sd="0" m="1" x="4806"/>
        <item sd="0" m="1" x="7562"/>
        <item sd="0" m="1" x="7866"/>
        <item sd="0" m="1" x="3931"/>
        <item sd="0" m="1" x="4873"/>
        <item sd="0" m="1" x="5764"/>
        <item sd="0" m="1" x="6514"/>
        <item sd="0" m="1" x="151"/>
        <item sd="0" m="1" x="5827"/>
        <item sd="0" m="1" x="6563"/>
        <item sd="0" m="1" x="7132"/>
        <item sd="0" m="1" x="1259"/>
        <item sd="0" m="1" x="1894"/>
        <item sd="0" m="1" x="2689"/>
        <item sd="0" m="1" x="6958"/>
        <item sd="0" m="1" x="7443"/>
        <item sd="0" m="1" x="7793"/>
        <item sd="0" m="1" x="2758"/>
        <item sd="0" m="1" x="3675"/>
        <item sd="0" m="1" x="4623"/>
        <item sd="0" m="1" x="7834"/>
        <item sd="0" m="1" x="140"/>
        <item sd="0" m="1" x="4690"/>
        <item sd="0" m="1" x="5590"/>
        <item sd="0" m="1" x="6357"/>
        <item sd="0" m="1" x="1118"/>
        <item sd="0" m="1" x="1689"/>
        <item sd="0" m="1" x="6115"/>
        <item sd="0" m="1" x="6792"/>
        <item sd="0" m="1" x="7324"/>
        <item sd="0" m="1" x="3409"/>
        <item sd="0" m="1" x="7368"/>
        <item sd="0" m="1" x="7758"/>
        <item sd="0" m="1" x="7986"/>
        <item sd="0" m="1" x="4428"/>
        <item sd="0" m="1" x="5351"/>
        <item sd="0" m="1" x="971"/>
        <item sd="0" m="1" x="4066"/>
        <item sd="0" m="1" x="5014"/>
        <item sd="0" m="1" x="5910"/>
        <item sd="0" m="1" x="6633"/>
        <item sd="0" m="1" x="2304"/>
        <item sd="0" m="1" x="5953"/>
        <item sd="0" m="1" x="6689"/>
        <item sd="0" m="1" x="7242"/>
        <item sd="0" m="1" x="5528"/>
        <item sd="0" m="1" x="6341"/>
        <item sd="0" m="1" x="641"/>
        <item sd="0" m="1" x="1044"/>
        <item sd="0" m="1" x="1617"/>
        <item sd="0" m="1" x="2366"/>
        <item sd="0" m="1" x="6728"/>
        <item sd="0" m="1" x="7254"/>
        <item sd="0" m="1" x="1690"/>
        <item sd="0" m="1" x="2437"/>
        <item sd="0" m="1" x="3330"/>
        <item sd="0" m="1" x="4295"/>
        <item sd="0" m="1" x="7705"/>
        <item sd="0" m="1" x="7955"/>
        <item sd="0" m="1" x="3410"/>
        <item sd="0" m="1" x="4372"/>
        <item sd="0" m="1" x="5303"/>
        <item sd="0" m="1" x="6146"/>
        <item sd="0" m="1" x="547"/>
        <item sd="0" m="1" x="916"/>
        <item sd="0" m="1" x="1439"/>
        <item sd="0" m="1" x="4950"/>
        <item sd="0" m="1" x="5837"/>
        <item sd="0" m="1" x="6569"/>
        <item sd="0" m="1" x="7135"/>
        <item sd="0" m="1" x="1509"/>
        <item sd="0" m="1" x="2227"/>
        <item sd="0" m="1" x="3098"/>
        <item sd="0" m="1" x="6634"/>
        <item sd="0" m="1" x="7189"/>
        <item sd="0" m="1" x="7612"/>
        <item sd="0" m="1" x="7907"/>
        <item sd="0" m="1" x="3169"/>
        <item sd="0" m="1" x="4135"/>
        <item sd="0" m="1" x="5071"/>
        <item sd="0" m="1" x="461"/>
        <item sd="0" m="1" x="3752"/>
        <item sd="0" m="1" x="4698"/>
        <item sd="0" m="1" x="5606"/>
        <item sd="0" m="1" x="6373"/>
        <item sd="0" m="1" x="1337"/>
        <item sd="0" m="1" x="5655"/>
        <item sd="0" m="1" x="6442"/>
        <item sd="0" m="1" x="7040"/>
        <item sd="0" m="1" x="7496"/>
        <item sd="0" m="1" x="2919"/>
        <item sd="0" m="1" x="1260"/>
        <item sd="0" m="1" x="1895"/>
        <item sd="0" m="1" x="2690"/>
        <item sd="0" m="1" x="6959"/>
        <item sd="0" m="1" x="7444"/>
        <item sd="0" m="1" x="2759"/>
        <item sd="0" m="1" x="3676"/>
        <item sd="0" m="1" x="4624"/>
        <item sd="0" m="1" x="7835"/>
        <item sd="0" m="1" x="4691"/>
        <item sd="0" m="1" x="5591"/>
        <item sd="0" m="1" x="6358"/>
        <item sd="0" m="1" x="683"/>
        <item sd="0" m="1" x="1119"/>
        <item sd="0" m="1" x="1691"/>
        <item sd="0" m="1" x="6116"/>
        <item sd="0" m="1" x="6793"/>
        <item sd="0" m="1" x="7325"/>
        <item sd="0" m="1" x="1747"/>
        <item sd="0" m="1" x="3411"/>
        <item sd="0" m="1" x="7096"/>
        <item sd="0" m="1" x="1812"/>
        <item sd="0" m="1" x="2619"/>
        <item sd="0" m="1" x="3552"/>
        <item sd="0" m="1" x="3612"/>
        <item sd="0" m="1" x="4564"/>
        <item sd="0" m="1" x="5487"/>
        <item sd="0" m="1" x="5529"/>
        <item sd="0" m="1" x="642"/>
        <item sd="0" m="1" x="1045"/>
        <item sd="0" m="1" x="1618"/>
        <item sd="0" m="1" x="2367"/>
        <item sd="0" m="1" x="6729"/>
        <item sd="0" m="1" x="1692"/>
        <item sd="0" m="1" x="2438"/>
        <item sd="0" m="1" x="3331"/>
        <item sd="0" m="1" x="4296"/>
        <item sd="0" m="1" x="7706"/>
        <item sd="0" m="1" x="3412"/>
        <item sd="0" m="1" x="4373"/>
        <item sd="0" m="1" x="5304"/>
        <item sd="0" m="1" x="327"/>
        <item sd="0" m="1" x="548"/>
        <item sd="0" m="1" x="917"/>
        <item sd="0" m="1" x="1440"/>
        <item sd="0" m="1" x="4951"/>
        <item sd="0" m="1" x="5838"/>
        <item sd="0" m="1" x="6570"/>
        <item sd="0" m="1" x="972"/>
        <item sd="0" m="1" x="1510"/>
        <item sd="0" m="1" x="2228"/>
        <item sd="0" m="1" x="3099"/>
        <item sd="0" m="1" x="6635"/>
        <item sd="0" m="1" x="7190"/>
        <item sd="0" m="1" x="7613"/>
        <item sd="0" m="1" x="2305"/>
        <item sd="0" m="1" x="3170"/>
        <item sd="0" m="1" x="4136"/>
        <item sd="0" m="1" x="5072"/>
        <item sd="0" m="1" x="293"/>
        <item sd="0" m="1" x="462"/>
        <item sd="0" m="1" x="3753"/>
        <item sd="0" m="1" x="4699"/>
        <item sd="0" m="1" x="5607"/>
        <item sd="0" m="1" x="6374"/>
        <item sd="0" m="1" x="860"/>
        <item sd="0" m="1" x="1338"/>
        <item sd="0" m="1" x="5656"/>
        <item sd="0" m="1" x="6443"/>
        <item sd="0" m="1" x="7041"/>
        <item sd="0" m="1" x="7497"/>
        <item sd="0" m="1" x="2099"/>
        <item sd="0" m="1" x="2920"/>
        <item sd="0" m="1" x="237"/>
        <item sd="0" m="1" x="2564"/>
        <item sd="0" m="1" x="3503"/>
        <item sd="0" m="1" x="4445"/>
        <item sd="0" m="1" x="734"/>
        <item sd="0" m="1" x="4504"/>
        <item sd="0" m="1" x="5438"/>
        <item sd="0" m="1" x="7953"/>
        <item sd="0" m="1" x="112"/>
        <item sd="0" m="1" x="4232"/>
        <item sd="0" m="1" x="5163"/>
        <item sd="0" m="1" x="6016"/>
        <item sd="0" m="1" x="6699"/>
        <item sd="0" m="1" x="881"/>
        <item sd="0" m="1" x="1390"/>
        <item sd="0" m="1" x="2055"/>
        <item sd="0" m="1" x="5699"/>
        <item sd="0" m="1" x="6478"/>
        <item sd="0" m="1" x="7077"/>
        <item sd="0" m="1" x="7532"/>
        <item sd="0" m="1" x="2117"/>
        <item sd="0" m="1" x="2970"/>
        <item sd="0" m="1" x="3902"/>
        <item sd="0" m="1" x="7120"/>
        <item sd="0" m="1" x="7585"/>
        <item sd="0" m="1" x="7898"/>
        <item sd="0" m="1" x="3979"/>
        <item sd="0" m="1" x="4901"/>
        <item sd="0" m="1" x="5779"/>
        <item sd="0" m="1" x="778"/>
        <item sd="0" m="1" x="4547"/>
        <item sd="0" m="1" x="5466"/>
        <item sd="0" m="1" x="6310"/>
        <item sd="0" m="1" x="6928"/>
        <item sd="0" m="1" x="1941"/>
        <item sd="0" m="1" x="6337"/>
        <item sd="0" m="1" x="6985"/>
        <item sd="0" m="1" x="7480"/>
        <item sd="0" m="1" x="7815"/>
        <item sd="0" m="1" x="3712"/>
        <item sd="0" m="1" x="3300"/>
        <item sd="0" m="1" x="4275"/>
        <item sd="0" m="1" x="5230"/>
        <item sd="0" m="1" x="5274"/>
        <item sd="0" m="1" x="6143"/>
        <item sd="0" m="1" x="6829"/>
        <item sd="0" m="1" x="1478"/>
        <item sd="0" m="1" x="2195"/>
        <item sd="0" m="1" x="3082"/>
        <item sd="0" m="1" x="4039"/>
        <item sd="0" m="1" x="3141"/>
        <item sd="0" m="1" x="4104"/>
        <item sd="0" m="1" x="5055"/>
        <item sd="0" m="1" x="5938"/>
        <item sd="0" m="1" x="5098"/>
        <item sd="0" m="1" x="5970"/>
        <item sd="0" m="1" x="1311"/>
        <item sd="0" m="1" x="1994"/>
        <item sd="0" m="1" x="2816"/>
        <item sd="0" m="1" x="6416"/>
        <item sd="0" m="1" x="7012"/>
        <item sd="0" m="1" x="2056"/>
        <item sd="0" m="1" x="2875"/>
        <item sd="0" m="1" x="3838"/>
        <item sd="0" m="1" x="4784"/>
        <item sd="0" m="1" x="6773"/>
        <item sd="0" m="1" x="7288"/>
        <item sd="0" m="1" x="2503"/>
        <item sd="0" m="1" x="3370"/>
        <item sd="0" m="1" x="314"/>
        <item sd="0" m="1" x="2146"/>
        <item sd="0" m="1" x="3026"/>
        <item sd="0" m="1" x="3990"/>
        <item sd="0" m="1" x="4922"/>
        <item sd="0" m="1" x="943"/>
        <item sd="0" m="1" x="4040"/>
        <item sd="0" m="1" x="4987"/>
        <item sd="0" m="1" x="5890"/>
        <item sd="0" m="1" x="6598"/>
        <item sd="0" m="1" x="2274"/>
        <item sd="0" m="1" x="2100"/>
        <item sd="0" m="1" x="2921"/>
        <item sd="0" m="1" x="3868"/>
        <item sd="0" m="1" x="4807"/>
        <item sd="0" m="1" x="7563"/>
        <item sd="0" m="1" x="7867"/>
        <item sd="0" m="1" x="3932"/>
        <item sd="0" m="1" x="4874"/>
        <item sd="0" m="1" x="5765"/>
        <item sd="0" m="1" x="6515"/>
        <item sd="0" m="1" x="152"/>
        <item sd="0" m="1" x="5828"/>
        <item sd="0" m="1" x="6564"/>
        <item sd="0" m="1" x="7133"/>
        <item sd="0" m="1" x="1261"/>
        <item sd="0" m="1" x="1896"/>
        <item sd="0" m="1" x="2691"/>
        <item sd="0" m="1" x="6960"/>
        <item sd="0" m="1" x="7445"/>
        <item sd="0" m="1" x="7794"/>
        <item sd="0" m="1" x="2760"/>
        <item sd="0" m="1" x="3677"/>
        <item sd="0" m="1" x="4625"/>
        <item sd="0" m="1" x="7836"/>
        <item sd="0" m="1" x="141"/>
        <item sd="0" m="1" x="4692"/>
        <item sd="0" m="1" x="5592"/>
        <item sd="0" m="1" x="6359"/>
        <item sd="0" m="1" x="1120"/>
        <item sd="0" m="1" x="1693"/>
        <item sd="0" m="1" x="6117"/>
        <item sd="0" m="1" x="6794"/>
        <item sd="0" m="1" x="7326"/>
        <item sd="0" m="1" x="3413"/>
        <item sd="0" m="1" x="7369"/>
        <item sd="0" m="1" x="7759"/>
        <item sd="0" m="1" x="7987"/>
        <item sd="0" m="1" x="4429"/>
        <item sd="0" m="1" x="5352"/>
        <item sd="0" m="1" x="973"/>
        <item sd="0" m="1" x="4067"/>
        <item sd="0" m="1" x="5015"/>
        <item sd="0" m="1" x="5911"/>
        <item sd="0" m="1" x="6636"/>
        <item sd="0" m="1" x="2306"/>
        <item sd="0" m="1" x="5954"/>
        <item sd="0" m="1" x="6690"/>
        <item sd="0" m="1" x="7243"/>
        <item sd="0" m="1" x="5530"/>
        <item sd="0" m="1" x="6342"/>
        <item sd="0" m="1" x="643"/>
        <item sd="0" m="1" x="1046"/>
        <item sd="0" m="1" x="1619"/>
        <item sd="0" m="1" x="2368"/>
        <item sd="0" m="1" x="6730"/>
        <item sd="0" m="1" x="7255"/>
        <item sd="0" m="1" x="1694"/>
        <item sd="0" m="1" x="2439"/>
        <item sd="0" m="1" x="3332"/>
        <item sd="0" m="1" x="4297"/>
        <item sd="0" m="1" x="7707"/>
        <item sd="0" m="1" x="7956"/>
        <item sd="0" m="1" x="3414"/>
        <item sd="0" m="1" x="4374"/>
        <item sd="0" m="1" x="5305"/>
        <item sd="0" m="1" x="6147"/>
        <item sd="0" m="1" x="549"/>
        <item sd="0" m="1" x="918"/>
        <item sd="0" m="1" x="1441"/>
        <item sd="0" m="1" x="4952"/>
        <item sd="0" m="1" x="5839"/>
        <item sd="0" m="1" x="6571"/>
        <item sd="0" m="1" x="7136"/>
        <item sd="0" m="1" x="1511"/>
        <item sd="0" m="1" x="2229"/>
        <item sd="0" m="1" x="3100"/>
        <item sd="0" m="1" x="6637"/>
        <item sd="0" m="1" x="7191"/>
        <item sd="0" m="1" x="7614"/>
        <item sd="0" m="1" x="7908"/>
        <item sd="0" m="1" x="3171"/>
        <item sd="0" m="1" x="4137"/>
        <item sd="0" m="1" x="5073"/>
        <item sd="0" m="1" x="463"/>
        <item sd="0" m="1" x="3754"/>
        <item sd="0" m="1" x="4700"/>
        <item sd="0" m="1" x="5608"/>
        <item sd="0" m="1" x="6375"/>
        <item sd="0" m="1" x="1339"/>
        <item sd="0" m="1" x="5657"/>
        <item sd="0" m="1" x="6444"/>
        <item sd="0" m="1" x="7042"/>
        <item sd="0" m="1" x="7498"/>
        <item sd="0" m="1" x="2922"/>
        <item sd="0" m="1" x="2565"/>
        <item sd="0" m="1" x="3504"/>
        <item sd="0" m="1" x="4446"/>
        <item sd="0" m="1" x="4505"/>
        <item sd="0" m="1" x="5439"/>
        <item sd="0" m="1" x="6256"/>
        <item sd="0" m="1" x="2504"/>
        <item sd="0" m="1" x="3371"/>
        <item sd="0" m="1" x="4343"/>
        <item sd="0" m="1" x="7737"/>
        <item sd="0" m="1" x="7959"/>
        <item sd="0" m="1" x="4400"/>
        <item sd="0" m="1" x="5323"/>
        <item sd="0" m="1" x="6165"/>
        <item sd="0" m="1" x="7837"/>
        <item sd="0" m="1" x="4693"/>
        <item sd="0" m="1" x="5593"/>
        <item sd="0" m="1" x="6360"/>
        <item sd="0" m="1" x="684"/>
        <item sd="0" m="1" x="1121"/>
        <item sd="0" m="1" x="1695"/>
        <item sd="0" m="1" x="6118"/>
        <item sd="0" m="1" x="6795"/>
        <item sd="0" m="1" x="7327"/>
        <item sd="0" m="1" x="1748"/>
        <item sd="0" m="1" x="3415"/>
        <item sd="0" m="1" x="7370"/>
        <item sd="0" m="1" x="7760"/>
        <item sd="0" m="1" x="7988"/>
        <item sd="0" m="1" x="3496"/>
        <item sd="0" m="1" x="4430"/>
        <item sd="0" m="1" x="5353"/>
        <item sd="0" m="1" x="598"/>
        <item sd="0" m="1" x="974"/>
        <item sd="0" m="1" x="4068"/>
        <item sd="0" m="1" x="5016"/>
        <item sd="0" m="1" x="5912"/>
        <item sd="0" m="1" x="6638"/>
        <item sd="0" m="1" x="1583"/>
        <item sd="0" m="1" x="2307"/>
        <item sd="0" m="1" x="5955"/>
        <item sd="0" m="1" x="6691"/>
        <item sd="0" m="1" x="7244"/>
        <item sd="0" m="1" x="7660"/>
        <item sd="0" m="1" x="3227"/>
        <item sd="0" m="1" x="4184"/>
        <item sd="0" m="1" x="2838"/>
        <item sd="0" m="1" x="3796"/>
        <item sd="0" m="1" x="4757"/>
        <item sd="0" m="1" x="5658"/>
        <item sd="0" m="1" x="4808"/>
        <item sd="0" m="1" x="5714"/>
        <item sd="0" m="1" x="6502"/>
        <item sd="0" m="1" x="7097"/>
        <item sd="0" m="1" x="1813"/>
        <item sd="0" m="1" x="2620"/>
        <item sd="0" m="1" x="3553"/>
        <item sd="0" m="1" x="3613"/>
        <item sd="0" m="1" x="4565"/>
        <item sd="0" m="1" x="5488"/>
        <item sd="0" m="1" x="5531"/>
        <item sd="0" m="1" x="644"/>
        <item sd="0" m="1" x="1047"/>
        <item sd="0" m="1" x="1620"/>
        <item sd="0" m="1" x="2369"/>
        <item sd="0" m="1" x="6731"/>
        <item sd="0" m="1" x="1696"/>
        <item sd="0" m="1" x="2440"/>
        <item sd="0" m="1" x="3333"/>
        <item sd="0" m="1" x="4298"/>
        <item sd="0" m="1" x="6445"/>
        <item sd="0" m="1" x="7043"/>
        <item sd="0" m="1" x="7499"/>
        <item sd="0" m="1" x="2101"/>
        <item sd="0" m="1" x="2923"/>
        <item sd="0" m="1" x="238"/>
        <item sd="0" m="1" x="2566"/>
        <item sd="0" m="1" x="3505"/>
        <item sd="0" m="1" x="4447"/>
        <item sd="0" m="1" x="735"/>
        <item sd="0" m="1" x="4506"/>
        <item sd="0" m="1" x="5440"/>
        <item sd="0" m="1" x="6257"/>
        <item sd="0" m="1" x="1897"/>
        <item sd="0" m="1" x="2505"/>
        <item sd="0" m="1" x="3372"/>
        <item sd="0" m="1" x="4344"/>
        <item sd="0" m="1" x="7738"/>
        <item sd="0" m="1" x="4401"/>
        <item sd="0" m="1" x="5324"/>
        <item sd="0" m="1" x="6166"/>
        <item sd="0" m="1" x="131"/>
        <item sd="0" m="1" x="6221"/>
        <item sd="0" m="1" x="6864"/>
        <item sd="0" m="1" x="1005"/>
        <item sd="0" m="1" x="1561"/>
        <item sd="0" m="1" x="2275"/>
        <item sd="0" m="1" x="3142"/>
        <item sd="0" m="1" x="7225"/>
        <item sd="0" m="1" x="7633"/>
        <item sd="0" m="1" x="2340"/>
        <item sd="0" m="1" x="3205"/>
        <item sd="0" m="1" x="4164"/>
        <item sd="0" m="1" x="5099"/>
        <item sd="0" m="1" x="7954"/>
        <item sd="0" m="1" x="113"/>
        <item sd="0" m="1" x="4233"/>
        <item sd="0" m="1" x="5164"/>
        <item sd="0" m="1" x="6017"/>
        <item sd="0" m="1" x="6700"/>
        <item sd="0" m="1" x="882"/>
        <item sd="0" m="1" x="1391"/>
        <item sd="0" m="1" x="2057"/>
        <item sd="0" m="1" x="5700"/>
        <item sd="0" m="1" x="6479"/>
        <item sd="0" m="1" x="7078"/>
        <item sd="0" m="1" x="7533"/>
        <item sd="0" m="1" x="2118"/>
        <item sd="0" m="1" x="2971"/>
        <item sd="0" m="1" x="3903"/>
        <item sd="0" m="1" x="7121"/>
        <item sd="0" m="1" x="7586"/>
        <item sd="0" m="1" x="7899"/>
        <item sd="0" m="1" x="3980"/>
        <item sd="0" m="1" x="4902"/>
        <item sd="0" m="1" x="5780"/>
        <item sd="0" m="1" x="779"/>
        <item sd="0" m="1" x="4548"/>
        <item sd="0" m="1" x="5467"/>
        <item sd="0" m="1" x="6311"/>
        <item sd="0" m="1" x="6929"/>
        <item sd="0" m="1" x="1942"/>
        <item sd="0" m="1" x="6338"/>
        <item sd="0" m="1" x="6986"/>
        <item sd="0" m="1" x="5100"/>
        <item sd="0" m="1" x="5971"/>
        <item sd="0" m="1" x="1312"/>
        <item sd="0" m="1" x="1995"/>
        <item sd="0" m="1" x="2817"/>
        <item sd="0" m="1" x="6417"/>
        <item sd="0" m="1" x="7013"/>
        <item sd="0" m="1" x="2058"/>
        <item sd="0" m="1" x="2876"/>
        <item sd="0" m="1" x="3839"/>
        <item sd="0" m="1" x="4785"/>
        <item sd="0" m="1" x="7534"/>
        <item sd="0" m="1" x="7851"/>
        <item sd="0" m="1" x="3904"/>
        <item sd="0" m="1" x="4848"/>
        <item sd="0" m="1" x="5743"/>
        <item sd="0" m="1" x="424"/>
        <item sd="0" m="1" x="717"/>
        <item sd="0" m="1" x="1172"/>
        <item sd="0" m="1" x="5414"/>
        <item sd="0" m="1" x="6229"/>
        <item sd="0" m="1" x="6877"/>
        <item sd="0" m="1" x="1232"/>
        <item sd="0" m="1" x="1858"/>
        <item sd="0" m="1" x="2656"/>
        <item sd="0" m="1" x="6930"/>
        <item sd="0" m="1" x="7418"/>
        <item sd="0" m="1" x="7782"/>
        <item sd="0" m="1" x="2730"/>
        <item sd="0" m="1" x="3656"/>
        <item sd="0" m="1" x="4599"/>
        <item sd="0" m="1" x="378"/>
        <item sd="0" m="1" x="620"/>
        <item sd="0" m="1" x="4235"/>
        <item sd="0" m="1" x="5169"/>
        <item sd="0" m="1" x="6035"/>
        <item sd="0" m="1" x="1097"/>
        <item sd="0" m="1" x="1643"/>
        <item sd="0" m="1" x="6091"/>
        <item sd="0" m="1" x="6774"/>
        <item sd="0" m="1" x="7289"/>
        <item sd="0" m="1" x="2506"/>
        <item sd="0" m="1" x="3373"/>
        <item sd="0" m="1" x="315"/>
        <item sd="0" m="1" x="2147"/>
        <item sd="0" m="1" x="3027"/>
        <item sd="0" m="1" x="3991"/>
        <item sd="0" m="1" x="4923"/>
        <item sd="0" m="1" x="944"/>
        <item sd="0" m="1" x="4041"/>
        <item sd="0" m="1" x="4988"/>
        <item sd="0" m="1" x="5891"/>
        <item sd="0" m="1" x="6599"/>
        <item sd="0" m="1" x="2276"/>
        <item sd="0" m="1" x="2102"/>
        <item sd="0" m="1" x="2924"/>
        <item sd="0" m="1" x="3869"/>
        <item sd="0" m="1" x="4809"/>
        <item sd="0" m="1" x="7564"/>
        <item sd="0" m="1" x="7868"/>
        <item sd="0" m="1" x="3933"/>
        <item sd="0" m="1" x="4875"/>
        <item sd="0" m="1" x="5766"/>
        <item sd="0" m="1" x="6516"/>
        <item sd="0" m="1" x="7761"/>
        <item sd="0" m="1" x="7989"/>
        <item sd="0" m="1" x="4431"/>
        <item sd="0" m="1" x="5354"/>
        <item sd="0" m="1" x="975"/>
        <item sd="0" m="1" x="4069"/>
        <item sd="0" m="1" x="5017"/>
        <item sd="0" m="1" x="5913"/>
        <item sd="0" m="1" x="6639"/>
        <item sd="0" m="1" x="2308"/>
        <item sd="0" m="1" x="5956"/>
        <item sd="0" m="1" x="6692"/>
        <item sd="0" m="1" x="7245"/>
        <item sd="0" m="1" x="7661"/>
        <item sd="0" m="1" x="4185"/>
        <item sd="0" m="1" x="2839"/>
        <item sd="0" m="1" x="3797"/>
        <item sd="0" m="1" x="4758"/>
        <item sd="0" m="1" x="5659"/>
        <item sd="0" m="1" x="4810"/>
        <item sd="0" m="1" x="5715"/>
        <item sd="0" m="1" x="6503"/>
        <item sd="0" m="1" x="7098"/>
        <item sd="0" m="1" x="6517"/>
        <item sd="0" m="1" x="1814"/>
        <item sd="0" m="1" x="2621"/>
        <item sd="0" m="1" x="3554"/>
        <item sd="0" m="1" x="7385"/>
        <item sd="0" m="1" x="3614"/>
        <item sd="0" m="1" x="4566"/>
        <item sd="0" m="1" x="5489"/>
        <item sd="0" m="1" x="5532"/>
        <item sd="0" m="1" x="645"/>
        <item sd="0" m="1" x="1048"/>
        <item sd="0" m="1" x="1621"/>
        <item sd="0" m="1" x="2370"/>
        <item sd="0" m="1" x="6732"/>
        <item sd="0" m="1" x="7256"/>
        <item sd="0" m="1" x="1697"/>
        <item sd="0" m="1" x="2441"/>
        <item sd="0" m="1" x="3334"/>
        <item sd="0" m="1" x="4299"/>
        <item sd="0" m="1" x="7708"/>
        <item sd="0" m="1" x="7957"/>
        <item sd="0" m="1" x="3416"/>
        <item sd="0" m="1" x="4375"/>
        <item sd="0" m="1" x="5306"/>
        <item sd="0" m="1" x="6148"/>
        <item sd="0" m="1" x="550"/>
        <item sd="0" m="1" x="919"/>
        <item sd="0" m="1" x="1442"/>
        <item sd="0" m="1" x="4953"/>
        <item sd="0" m="1" x="5840"/>
        <item sd="0" m="1" x="6572"/>
        <item sd="0" m="1" x="7137"/>
        <item sd="0" m="1" x="1512"/>
        <item sd="0" m="1" x="2230"/>
        <item sd="0" m="1" x="3101"/>
        <item sd="0" m="1" x="6640"/>
        <item sd="0" m="1" x="2507"/>
        <item sd="0" m="1" x="3374"/>
        <item sd="0" m="1" x="4345"/>
        <item sd="0" m="1" x="7739"/>
        <item sd="0" m="1" x="7960"/>
        <item sd="0" m="1" x="4402"/>
        <item sd="0" m="1" x="5325"/>
        <item sd="0" m="1" x="6167"/>
        <item sd="0" m="1" x="132"/>
        <item sd="0" m="1" x="157"/>
        <item sd="0" m="1" x="6222"/>
        <item sd="0" m="1" x="6865"/>
        <item sd="0" m="1" x="7374"/>
        <item sd="0" m="1" x="1262"/>
        <item sd="0" m="1" x="1898"/>
        <item sd="0" m="1" x="2692"/>
        <item sd="0" m="1" x="6961"/>
        <item sd="0" m="1" x="7446"/>
        <item sd="0" m="1" x="2761"/>
        <item sd="0" m="1" x="3678"/>
        <item sd="0" m="1" x="4626"/>
        <item sd="0" m="1" x="7838"/>
        <item sd="0" m="1" x="4694"/>
        <item sd="0" m="1" x="5594"/>
        <item sd="0" m="1" x="6361"/>
        <item sd="0" m="1" x="685"/>
        <item sd="0" m="1" x="1122"/>
        <item sd="0" m="1" x="1698"/>
        <item sd="0" m="1" x="6119"/>
        <item sd="0" m="1" x="6796"/>
        <item sd="0" m="1" x="7328"/>
        <item sd="0" m="1" x="1749"/>
        <item sd="0" m="1" x="3417"/>
        <item sd="0" m="1" x="7371"/>
        <item sd="0" m="1" x="7762"/>
        <item sd="0" m="1" x="7990"/>
        <item sd="0" m="1" x="3497"/>
        <item sd="0" m="1" x="4432"/>
        <item sd="0" m="1" x="5355"/>
        <item sd="0" m="1" x="599"/>
        <item sd="0" m="1" x="976"/>
        <item sd="0" m="1" x="4070"/>
        <item sd="0" m="1" x="5018"/>
        <item sd="0" m="1" x="5914"/>
        <item sd="0" m="1" x="6641"/>
        <item sd="0" m="1" x="1584"/>
        <item sd="0" m="1" x="2309"/>
        <item sd="0" m="1" x="5957"/>
        <item sd="0" m="1" x="6693"/>
        <item sd="0" m="1" x="7246"/>
        <item sd="0" m="1" x="7662"/>
        <item sd="0" m="1" x="3228"/>
        <item sd="0" m="1" x="4186"/>
        <item sd="0" m="1" x="2840"/>
        <item sd="0" m="1" x="3798"/>
        <item sd="0" m="1" x="4759"/>
        <item sd="0" m="1" x="5660"/>
        <item sd="0" m="1" x="4811"/>
        <item sd="0" m="1" x="5716"/>
        <item sd="0" m="1" x="6504"/>
        <item sd="0" m="1" x="7709"/>
        <item sd="0" m="1" x="3418"/>
        <item sd="0" m="1" x="4376"/>
        <item sd="0" m="1" x="5307"/>
        <item sd="0" m="1" x="328"/>
        <item sd="0" m="1" x="551"/>
        <item sd="0" m="1" x="920"/>
        <item sd="0" m="1" x="1443"/>
        <item sd="0" m="1" x="4954"/>
        <item sd="0" m="1" x="5841"/>
        <item sd="0" m="1" x="6573"/>
        <item sd="0" m="1" x="977"/>
        <item sd="0" m="1" x="1513"/>
        <item sd="0" m="1" x="2231"/>
        <item sd="0" m="1" x="3102"/>
        <item sd="0" m="1" x="6642"/>
        <item sd="0" m="1" x="7192"/>
        <item sd="0" m="1" x="7615"/>
        <item sd="0" m="1" x="2310"/>
        <item sd="0" m="1" x="3172"/>
        <item sd="0" m="1" x="4138"/>
        <item sd="0" m="1" x="5074"/>
        <item sd="0" m="1" x="294"/>
        <item sd="0" m="1" x="464"/>
        <item sd="0" m="1" x="3755"/>
        <item sd="0" m="1" x="4701"/>
        <item sd="0" m="1" x="5609"/>
        <item sd="0" m="1" x="6376"/>
        <item sd="0" m="1" x="861"/>
        <item sd="0" m="1" x="1340"/>
        <item sd="0" m="1" x="5661"/>
        <item sd="0" m="1" x="6446"/>
        <item sd="0" m="1" x="7044"/>
        <item sd="0" m="1" x="7500"/>
        <item sd="0" m="1" x="2103"/>
        <item sd="0" m="1" x="2925"/>
        <item sd="0" m="1" x="239"/>
        <item sd="0" m="1" x="2567"/>
        <item sd="0" m="1" x="3506"/>
        <item sd="0" m="1" x="4448"/>
        <item sd="0" m="1" x="736"/>
        <item sd="0" m="1" x="4507"/>
        <item sd="0" m="1" x="5441"/>
        <item sd="0" m="1" x="6258"/>
        <item sd="0" m="1" x="1899"/>
        <item sd="0" m="1" x="2508"/>
        <item sd="0" m="1" x="3375"/>
        <item sd="0" m="1" x="4346"/>
        <item sd="0" m="1" x="7740"/>
        <item sd="0" m="1" x="4403"/>
        <item sd="0" m="1" x="5326"/>
        <item sd="0" m="1" x="6168"/>
        <item sd="0" m="1" x="133"/>
        <item sd="0" m="1" x="6223"/>
        <item sd="0" m="1" x="6866"/>
        <item sd="0" m="1" x="1006"/>
        <item sd="0" m="1" x="1562"/>
        <item sd="0" m="1" x="2277"/>
        <item sd="0" m="1" x="3143"/>
        <item sd="0" m="1" x="7226"/>
        <item sd="0" m="1" x="7634"/>
        <item sd="0" m="1" x="2341"/>
        <item sd="0" m="1" x="3206"/>
        <item sd="0" m="1" x="4165"/>
        <item sd="0" m="1" x="5101"/>
        <item sd="0" m="1" x="7481"/>
        <item sd="0" m="1" x="7816"/>
        <item sd="0" m="1" x="3713"/>
        <item sd="0" m="1" x="3301"/>
        <item sd="0" m="1" x="4276"/>
        <item sd="0" m="1" x="5231"/>
        <item sd="0" m="1" x="5275"/>
        <item sd="0" m="1" x="6144"/>
        <item sd="0" m="1" x="6830"/>
        <item sd="0" m="1" x="1479"/>
        <item sd="0" m="1" x="2196"/>
        <item sd="0" m="1" x="3083"/>
        <item sd="0" m="1" x="4042"/>
        <item sd="0" m="1" x="3144"/>
        <item sd="0" m="1" x="4105"/>
        <item sd="0" m="1" x="5056"/>
        <item sd="0" m="1" x="5939"/>
        <item sd="0" m="1" x="5102"/>
        <item sd="0" m="1" x="5972"/>
        <item sd="0" m="1" x="1313"/>
        <item sd="0" m="1" x="1996"/>
        <item sd="0" m="1" x="2818"/>
        <item sd="0" m="1" x="6418"/>
        <item sd="0" m="1" x="7014"/>
        <item sd="0" m="1" x="2059"/>
        <item sd="0" m="1" x="2877"/>
        <item sd="0" m="1" x="3840"/>
        <item sd="0" m="1" x="4786"/>
        <item sd="0" m="1" x="7535"/>
        <item sd="0" m="1" x="7852"/>
        <item sd="0" m="1" x="3905"/>
        <item sd="0" m="1" x="4849"/>
        <item sd="0" m="1" x="5744"/>
        <item sd="0" m="1" x="425"/>
        <item sd="0" m="1" x="718"/>
        <item sd="0" m="1" x="1173"/>
        <item sd="0" m="1" x="5415"/>
        <item sd="0" m="1" x="6230"/>
        <item sd="0" m="1" x="6878"/>
        <item sd="0" m="1" x="1233"/>
        <item sd="0" m="1" x="1859"/>
        <item sd="0" m="1" x="2657"/>
        <item sd="0" m="1" x="6931"/>
        <item sd="0" m="1" x="7419"/>
        <item sd="0" m="1" x="7783"/>
        <item sd="0" m="1" x="2731"/>
        <item sd="0" m="1" x="3657"/>
        <item sd="0" m="1" x="4600"/>
        <item sd="0" m="1" x="379"/>
        <item sd="0" m="1" x="621"/>
        <item sd="0" m="1" x="4236"/>
        <item sd="0" m="1" x="5170"/>
        <item sd="0" m="1" x="6036"/>
        <item sd="0" m="1" x="1098"/>
        <item sd="0" m="1" x="1644"/>
        <item sd="0" m="1" x="6092"/>
        <item sd="0" m="1" x="153"/>
        <item sd="0" m="1" x="5829"/>
        <item sd="0" m="1" x="6565"/>
        <item sd="0" m="1" x="7134"/>
        <item sd="0" m="1" x="1263"/>
        <item sd="0" m="1" x="1900"/>
        <item sd="0" m="1" x="2693"/>
        <item sd="0" m="1" x="6962"/>
        <item sd="0" m="1" x="7447"/>
        <item sd="0" m="1" x="7795"/>
        <item sd="0" m="1" x="2762"/>
        <item sd="0" m="1" x="3679"/>
        <item sd="0" m="1" x="4627"/>
        <item sd="0" m="1" x="7839"/>
        <item sd="0" m="1" x="142"/>
        <item sd="0" m="1" x="4695"/>
        <item sd="0" m="1" x="5595"/>
        <item sd="0" m="1" x="6362"/>
        <item sd="0" m="1" x="1123"/>
        <item sd="0" m="1" x="1699"/>
        <item sd="0" m="1" x="6120"/>
        <item sd="0" m="1" x="6797"/>
        <item sd="0" m="1" x="7329"/>
        <item sd="0" m="1" x="3419"/>
        <item sd="0" m="1" x="7372"/>
        <item sd="0" m="1" x="7763"/>
        <item sd="0" m="1" x="7991"/>
        <item sd="0" m="1" x="4433"/>
        <item sd="0" m="1" x="5356"/>
        <item sd="0" m="1" x="978"/>
        <item sd="0" m="1" x="4071"/>
        <item sd="0" m="1" x="5019"/>
        <item sd="0" m="1" x="5915"/>
        <item sd="0" m="1" x="6643"/>
        <item sd="0" m="1" x="2311"/>
        <item sd="0" m="1" x="5958"/>
        <item sd="0" m="1" x="6694"/>
        <item sd="0" m="1" x="7247"/>
        <item sd="0" m="1" x="7663"/>
        <item sd="0" m="1" x="4187"/>
        <item sd="0" m="1" x="2841"/>
        <item sd="0" m="1" x="3799"/>
        <item sd="0" m="1" x="4760"/>
        <item sd="0" m="1" x="5662"/>
        <item sd="0" m="1" x="4812"/>
        <item sd="0" m="1" x="5717"/>
        <item sd="0" m="1" x="6505"/>
        <item sd="0" m="1" x="7099"/>
        <item sd="0" m="1" x="6518"/>
        <item sd="0" m="1" x="1815"/>
        <item sd="0" m="1" x="2622"/>
        <item sd="0" m="1" x="3555"/>
        <item sd="0" m="1" x="7386"/>
        <item sd="0" m="1" x="3615"/>
        <item sd="0" m="1" x="4567"/>
        <item sd="0" m="1" x="5490"/>
        <item sd="0" m="1" x="7193"/>
        <item sd="0" m="1" x="7616"/>
        <item sd="0" m="1" x="7909"/>
        <item sd="0" m="1" x="3173"/>
        <item sd="0" m="1" x="4139"/>
        <item sd="0" m="1" x="5075"/>
        <item sd="0" m="1" x="465"/>
        <item sd="0" m="1" x="3756"/>
        <item sd="0" m="1" x="4702"/>
        <item sd="0" m="1" x="5610"/>
        <item sd="0" m="1" x="6377"/>
        <item sd="0" m="1" x="1341"/>
        <item sd="0" m="1" x="5663"/>
        <item sd="0" m="1" x="6447"/>
        <item sd="0" m="1" x="7045"/>
        <item sd="0" m="1" x="7501"/>
        <item sd="0" m="1" x="2926"/>
        <item sd="0" m="1" x="2568"/>
        <item sd="0" m="1" x="3507"/>
        <item sd="0" m="1" x="4449"/>
        <item sd="0" m="1" x="4508"/>
        <item sd="0" m="1" x="5442"/>
        <item sd="0" m="1" x="6259"/>
        <item sd="0" m="1" x="5416"/>
        <item sd="0" m="1" x="6231"/>
        <item sd="0" m="1" x="6879"/>
        <item sd="0" m="1" x="1234"/>
        <item sd="0" m="1" x="1860"/>
        <item sd="0" m="1" x="2658"/>
        <item sd="0" m="1" x="6932"/>
        <item sd="0" m="1" x="7420"/>
        <item sd="0" m="1" x="7784"/>
        <item sd="0" m="1" x="2732"/>
        <item sd="0" m="1" x="3658"/>
        <item sd="0" m="1" x="4601"/>
        <item sd="0" m="1" x="380"/>
        <item sd="0" m="1" x="622"/>
        <item sd="0" m="1" x="4237"/>
        <item sd="0" m="1" x="5171"/>
        <item sd="0" m="1" x="6037"/>
        <item sd="0" m="1" x="1099"/>
        <item sd="0" m="1" x="1645"/>
        <item sd="0" m="1" x="6093"/>
        <item sd="0" m="1" x="6775"/>
        <item sd="0" m="1" x="7290"/>
        <item sd="0" m="1" x="2509"/>
        <item sd="0" m="1" x="3376"/>
        <item sd="0" m="1" x="316"/>
        <item sd="0" m="1" x="2148"/>
        <item sd="0" m="1" x="3028"/>
        <item sd="0" m="1" x="3992"/>
        <item sd="0" m="1" x="4924"/>
        <item sd="0" m="1" x="945"/>
        <item sd="0" m="1" x="4043"/>
        <item sd="0" m="1" x="4989"/>
        <item sd="0" m="1" x="5892"/>
        <item sd="0" m="1" x="6600"/>
        <item sd="0" m="1" x="2278"/>
        <item sd="0" m="1" x="2104"/>
        <item sd="0" m="1" x="2927"/>
        <item sd="0" m="1" x="3870"/>
        <item sd="0" m="1" x="4813"/>
        <item sd="0" m="1" x="7565"/>
        <item sd="0" m="1" x="7869"/>
        <item sd="0" m="1" x="3934"/>
        <item sd="0" m="1" x="4876"/>
        <item sd="0" m="1" x="5767"/>
        <item sd="0" m="1" x="6519"/>
        <item sd="0" m="1" x="7764"/>
        <item sd="0" m="1" x="7992"/>
        <item sd="0" m="1" x="4434"/>
        <item sd="0" m="1" x="5357"/>
        <item sd="0" m="1" x="979"/>
        <item sd="0" m="1" x="4072"/>
        <item sd="0" m="1" x="5020"/>
        <item sd="0" m="1" x="5916"/>
        <item sd="0" m="1" x="6644"/>
        <item sd="0" m="1" x="2312"/>
        <item sd="0" m="1" x="5959"/>
        <item sd="0" m="1" x="6695"/>
        <item sd="0" m="1" x="7248"/>
        <item sd="0" m="1" x="7664"/>
        <item sd="0" m="1" x="4188"/>
        <item sd="0" m="1" x="2842"/>
        <item sd="0" m="1" x="3800"/>
        <item sd="0" m="1" x="4761"/>
        <item sd="0" m="1" x="5664"/>
        <item sd="0" m="1" x="4814"/>
        <item sd="0" m="1" x="5718"/>
        <item sd="0" m="1" x="6506"/>
        <item sd="0" m="1" x="7100"/>
        <item sd="0" m="1" x="652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m="1" x="7173"/>
        <item sd="0" m="1" x="7603"/>
        <item sd="0" m="1" x="7906"/>
        <item sd="0" m="1" x="3153"/>
        <item sd="0" m="1" x="4114"/>
        <item sd="0" m="1" x="5060"/>
        <item sd="0" m="1" x="5950"/>
        <item sd="0" m="1" x="2112"/>
        <item sd="0" m="1" x="2959"/>
        <item sd="0" m="1" x="3890"/>
        <item sd="0" m="1" x="4834"/>
        <item sd="0" m="1" x="5726"/>
        <item sd="0" m="1" x="6511"/>
        <item sd="0" m="1" x="7583"/>
        <item sd="0" m="1" x="7887"/>
        <item sd="0" m="1" x="3959"/>
        <item sd="0" m="1" x="4890"/>
        <item sd="0" m="1" x="5768"/>
        <item sd="0" m="1" x="6521"/>
        <item sd="0" m="1" x="7123"/>
        <item sd="0" m="1" x="7588"/>
        <item sd="0" m="1" x="7905"/>
        <item sd="0" m="1" x="154"/>
        <item sd="0" m="1" x="165"/>
        <item sd="0" m="1" x="5842"/>
        <item sd="0" m="1" x="6574"/>
        <item sd="0" m="1" x="7138"/>
        <item sd="0" m="1" x="883"/>
        <item sd="0" m="1" x="1397"/>
        <item sd="0" m="1" x="2084"/>
        <item sd="0" m="1" x="2900"/>
        <item sd="0" m="1" x="3859"/>
        <item sd="0" m="1" x="4796"/>
        <item sd="0" m="1" x="5711"/>
        <item sd="0" m="1" x="6490"/>
        <item sd="0" m="1" x="7084"/>
        <item sd="0" m="1" x="7553"/>
        <item sd="0" m="1" x="2119"/>
        <item sd="0" m="1" x="2977"/>
        <item sd="0" m="1" x="3922"/>
        <item sd="0" m="1" x="4866"/>
        <item sd="0" m="1" x="5763"/>
        <item sd="0" m="1" x="6512"/>
        <item sd="0" m="1" x="7122"/>
        <item sd="0" m="1" x="7587"/>
        <item sd="0" m="1" x="7904"/>
        <item sd="0" m="1" x="3993"/>
        <item sd="0" m="1" x="4929"/>
        <item sd="0" m="1" x="5814"/>
        <item sd="0" m="1" x="6553"/>
        <item sd="0" m="1" x="788"/>
        <item sd="0" m="1" x="1249"/>
        <item sd="0" m="1" x="1882"/>
        <item sd="0" m="1" x="2678"/>
        <item sd="0" m="1" x="3599"/>
        <item sd="0" m="1" x="4558"/>
        <item sd="0" m="1" x="5475"/>
        <item sd="0" m="1" x="6316"/>
        <item sd="0" m="1" x="6947"/>
        <item sd="0" m="1" x="7435"/>
        <item sd="0" m="1" x="1951"/>
        <item sd="0" m="1" x="2747"/>
        <item sd="0" m="1" x="3673"/>
        <item sd="0" m="1" x="4621"/>
        <item sd="0" m="1" x="5525"/>
        <item sd="0" m="1" x="6339"/>
        <item sd="0" m="1" x="6987"/>
        <item sd="0" m="1" x="7485"/>
        <item sd="0" m="1" x="7830"/>
        <item sd="0" m="1" x="3741"/>
        <item sd="0" m="1" x="4678"/>
        <item sd="0" m="1" x="5578"/>
        <item sd="0" m="1" x="6353"/>
        <item sd="0" m="1" x="680"/>
        <item sd="0" m="1" x="1110"/>
        <item sd="0" m="1" x="1660"/>
        <item sd="0" m="1" x="2413"/>
        <item sd="0" m="1" x="3310"/>
        <item sd="0" m="1" x="4283"/>
        <item sd="0" m="1" x="5240"/>
        <item sd="0" m="1" x="6102"/>
        <item sd="0" m="1" x="6784"/>
        <item sd="0" m="1" x="7306"/>
        <item sd="0" m="1" x="1744"/>
        <item sd="0" m="1" x="2520"/>
        <item sd="0" m="1" x="3390"/>
        <item sd="0" m="1" x="4356"/>
        <item sd="0" m="1" x="5285"/>
        <item sd="0" m="1" x="6145"/>
        <item sd="0" m="1" x="6839"/>
        <item sd="0" m="1" x="7365"/>
        <item sd="0" m="1" x="7751"/>
        <item sd="0" m="1" x="7968"/>
        <item sd="0" m="1" x="3473"/>
        <item x="69"/>
        <item sd="0" m="1" x="221"/>
        <item sd="0" m="1" x="94"/>
      </items>
    </pivotField>
    <pivotField showAll="0">
      <items count="11">
        <item x="0"/>
        <item x="1"/>
        <item x="2"/>
        <item x="3"/>
        <item m="1" x="9"/>
        <item m="1" x="4"/>
        <item m="1" x="5"/>
        <item m="1" x="6"/>
        <item m="1" x="7"/>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74">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997"/>
    </i>
    <i r="1">
      <x v="69"/>
    </i>
    <i r="1">
      <x v="70"/>
    </i>
    <i r="1">
      <x v="71"/>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28" firstHeaderRow="1" firstDataRow="2" firstDataCol="1"/>
  <pivotFields count="20">
    <pivotField compact="0" outline="0" showAll="0">
      <items count="192">
        <item m="1" x="184"/>
        <item m="1" x="164"/>
        <item m="1" x="75"/>
        <item m="1" x="19"/>
        <item m="1" x="62"/>
        <item x="0"/>
        <item m="1" x="185"/>
        <item m="1" x="7"/>
        <item m="1" x="161"/>
        <item m="1" x="46"/>
        <item m="1" x="135"/>
        <item m="1" x="79"/>
        <item m="1" x="182"/>
        <item m="1" x="68"/>
        <item m="1" x="11"/>
        <item m="1" x="136"/>
        <item m="1" x="82"/>
        <item m="1" x="143"/>
        <item m="1" x="88"/>
        <item m="1" x="115"/>
        <item m="1" x="141"/>
        <item m="1" x="34"/>
        <item m="1" x="50"/>
        <item m="1" x="186"/>
        <item m="1" x="8"/>
        <item m="1" x="179"/>
        <item m="1" x="51"/>
        <item m="1" x="83"/>
        <item m="1" x="58"/>
        <item m="1" x="91"/>
        <item m="1" x="95"/>
        <item m="1" x="69"/>
        <item m="1" x="23"/>
        <item m="1" x="156"/>
        <item m="1" x="32"/>
        <item m="1" x="35"/>
        <item m="1" x="146"/>
        <item m="1" x="99"/>
        <item m="1" x="63"/>
        <item m="1" x="187"/>
        <item m="1" x="147"/>
        <item m="1" x="100"/>
        <item m="1" x="168"/>
        <item m="1" x="44"/>
        <item m="1" x="12"/>
        <item m="1" x="20"/>
        <item m="1" x="128"/>
        <item m="1" x="109"/>
        <item m="1" x="148"/>
        <item m="1" x="111"/>
        <item m="1" x="80"/>
        <item m="1" x="92"/>
        <item m="1" x="89"/>
        <item m="1" x="66"/>
        <item m="1" x="180"/>
        <item m="1" x="4"/>
        <item m="1" x="188"/>
        <item m="1" x="116"/>
        <item m="1" x="5"/>
        <item m="1" x="84"/>
        <item m="1" x="153"/>
        <item m="1" x="151"/>
        <item m="1" x="21"/>
        <item m="1" x="93"/>
        <item m="1" x="67"/>
        <item m="1" x="142"/>
        <item m="1" x="40"/>
        <item m="1" x="162"/>
        <item m="1" x="173"/>
        <item m="1" x="24"/>
        <item m="1" x="120"/>
        <item m="1" x="138"/>
        <item m="1" x="169"/>
        <item m="1" x="160"/>
        <item m="1" x="104"/>
        <item m="1" x="131"/>
        <item m="1" x="165"/>
        <item m="1" x="52"/>
        <item m="1" x="36"/>
        <item m="1" x="70"/>
        <item m="1" x="105"/>
        <item m="1" x="101"/>
        <item m="1" x="41"/>
        <item m="1" x="150"/>
        <item m="1" x="37"/>
        <item m="1" x="152"/>
        <item m="1" x="72"/>
        <item m="1" x="64"/>
        <item m="1" x="174"/>
        <item m="1" x="189"/>
        <item m="1" x="1"/>
        <item m="1" x="170"/>
        <item m="1" x="190"/>
        <item m="1" x="132"/>
        <item m="1" x="139"/>
        <item m="1" x="27"/>
        <item m="1" x="157"/>
        <item m="1" x="134"/>
        <item m="1" x="47"/>
        <item m="1" x="73"/>
        <item m="1" x="117"/>
        <item m="1" x="129"/>
        <item m="1" x="90"/>
        <item m="1" x="76"/>
        <item m="1" x="48"/>
        <item m="1" x="14"/>
        <item m="1" x="118"/>
        <item m="1" x="59"/>
        <item m="1" x="158"/>
        <item m="1" x="85"/>
        <item m="1" x="56"/>
        <item m="1" x="28"/>
        <item m="1" x="60"/>
        <item m="1" x="2"/>
        <item m="1" x="33"/>
        <item m="1" x="22"/>
        <item m="1" x="6"/>
        <item m="1" x="124"/>
        <item m="1" x="86"/>
        <item m="1" x="49"/>
        <item m="1" x="30"/>
        <item m="1" x="38"/>
        <item m="1" x="130"/>
        <item m="1" x="163"/>
        <item m="1" x="29"/>
        <item m="1" x="125"/>
        <item m="1" x="13"/>
        <item m="1" x="42"/>
        <item m="1" x="17"/>
        <item m="1" x="102"/>
        <item m="1" x="74"/>
        <item m="1" x="77"/>
        <item m="1" x="16"/>
        <item m="1" x="175"/>
        <item m="1" x="176"/>
        <item m="1" x="110"/>
        <item m="1" x="144"/>
        <item m="1" x="53"/>
        <item m="1" x="25"/>
        <item m="1" x="106"/>
        <item m="1" x="149"/>
        <item m="1" x="121"/>
        <item m="1" x="39"/>
        <item m="1" x="177"/>
        <item m="1" x="112"/>
        <item m="1" x="9"/>
        <item m="1" x="166"/>
        <item m="1" x="18"/>
        <item m="1" x="45"/>
        <item m="1" x="96"/>
        <item m="1" x="71"/>
        <item m="1" x="126"/>
        <item m="1" x="159"/>
        <item m="1" x="103"/>
        <item m="1" x="113"/>
        <item m="1" x="54"/>
        <item m="1" x="15"/>
        <item m="1" x="43"/>
        <item m="1" x="55"/>
        <item m="1" x="107"/>
        <item m="1" x="122"/>
        <item m="1" x="133"/>
        <item m="1" x="127"/>
        <item m="1" x="78"/>
        <item m="1" x="94"/>
        <item m="1" x="26"/>
        <item m="1" x="57"/>
        <item m="1" x="167"/>
        <item m="1" x="97"/>
        <item m="1" x="3"/>
        <item m="1" x="145"/>
        <item m="1" x="183"/>
        <item m="1" x="65"/>
        <item m="1" x="119"/>
        <item m="1" x="137"/>
        <item m="1" x="81"/>
        <item m="1" x="98"/>
        <item m="1" x="114"/>
        <item m="1" x="123"/>
        <item m="1" x="171"/>
        <item m="1" x="10"/>
        <item m="1" x="140"/>
        <item m="1" x="178"/>
        <item m="1" x="181"/>
        <item m="1" x="31"/>
        <item m="1" x="61"/>
        <item m="1" x="154"/>
        <item m="1" x="172"/>
        <item m="1" x="155"/>
        <item m="1" x="87"/>
        <item m="1" x="108"/>
        <item t="default"/>
      </items>
    </pivotField>
    <pivotField compact="0" outline="0" showAll="0">
      <items count="456">
        <item m="1" x="39"/>
        <item m="1" x="421"/>
        <item m="1" x="348"/>
        <item m="1" x="120"/>
        <item m="1" x="341"/>
        <item m="1" x="304"/>
        <item m="1" x="355"/>
        <item m="1" x="349"/>
        <item m="1" x="317"/>
        <item m="1" x="413"/>
        <item m="1" x="156"/>
        <item m="1" x="76"/>
        <item m="1" x="350"/>
        <item m="1" x="232"/>
        <item m="1" x="289"/>
        <item x="20"/>
        <item m="1" x="64"/>
        <item m="1" x="404"/>
        <item m="1" x="305"/>
        <item m="1" x="233"/>
        <item m="1" x="356"/>
        <item m="1" x="369"/>
        <item m="1" x="240"/>
        <item m="1" x="65"/>
        <item m="1" x="318"/>
        <item m="1" x="259"/>
        <item m="1" x="90"/>
        <item m="1" x="40"/>
        <item x="18"/>
        <item m="1" x="332"/>
        <item m="1" x="210"/>
        <item m="1" x="363"/>
        <item m="1" x="385"/>
        <item m="1" x="56"/>
        <item m="1" x="276"/>
        <item m="1" x="144"/>
        <item m="1" x="31"/>
        <item m="1" x="422"/>
        <item m="1" x="98"/>
        <item m="1" x="192"/>
        <item m="1" x="46"/>
        <item m="1" x="436"/>
        <item m="1" x="306"/>
        <item m="1" x="234"/>
        <item m="1" x="177"/>
        <item m="1" x="392"/>
        <item m="1" x="411"/>
        <item m="1" x="218"/>
        <item m="1" x="437"/>
        <item m="1" x="145"/>
        <item x="11"/>
        <item m="1" x="91"/>
        <item m="1" x="47"/>
        <item m="1" x="370"/>
        <item m="1" x="307"/>
        <item m="1" x="146"/>
        <item m="1" x="138"/>
        <item m="1" x="135"/>
        <item m="1" x="405"/>
        <item m="1" x="398"/>
        <item m="1" x="147"/>
        <item m="1" x="260"/>
        <item x="2"/>
        <item m="1" x="374"/>
        <item m="1" x="34"/>
        <item m="1" x="399"/>
        <item m="1" x="428"/>
        <item m="1" x="193"/>
        <item m="1" x="364"/>
        <item m="1" x="48"/>
        <item m="1" x="106"/>
        <item m="1" x="277"/>
        <item m="1" x="152"/>
        <item m="1" x="35"/>
        <item m="1" x="333"/>
        <item m="1" x="269"/>
        <item m="1" x="127"/>
        <item m="1" x="297"/>
        <item x="0"/>
        <item m="1" x="226"/>
        <item m="1" x="386"/>
        <item m="1" x="319"/>
        <item m="1" x="57"/>
        <item m="1" x="113"/>
        <item m="1" x="163"/>
        <item m="1" x="334"/>
        <item m="1" x="235"/>
        <item m="1" x="41"/>
        <item m="1" x="58"/>
        <item m="1" x="114"/>
        <item m="1" x="178"/>
        <item m="1" x="278"/>
        <item m="1" x="414"/>
        <item m="1" x="194"/>
        <item m="1" x="423"/>
        <item m="1" x="360"/>
        <item m="1" x="227"/>
        <item m="1" x="241"/>
        <item m="1" x="429"/>
        <item m="1" x="128"/>
        <item m="1" x="298"/>
        <item m="1" x="49"/>
        <item m="1" x="443"/>
        <item m="1" x="387"/>
        <item m="1" x="308"/>
        <item m="1" x="195"/>
        <item m="1" x="50"/>
        <item m="1" x="179"/>
        <item m="1" x="279"/>
        <item m="1" x="444"/>
        <item m="1" x="139"/>
        <item m="1" x="219"/>
        <item m="1" x="201"/>
        <item m="1" x="309"/>
        <item x="5"/>
        <item m="1" x="211"/>
        <item m="1" x="312"/>
        <item m="1" x="299"/>
        <item m="1" x="84"/>
        <item m="1" x="187"/>
        <item m="1" x="406"/>
        <item x="8"/>
        <item m="1" x="438"/>
        <item m="1" x="205"/>
        <item m="1" x="249"/>
        <item m="1" x="342"/>
        <item m="1" x="415"/>
        <item m="1" x="285"/>
        <item m="1" x="400"/>
        <item m="1" x="212"/>
        <item m="1" x="70"/>
        <item m="1" x="430"/>
        <item x="22"/>
        <item m="1" x="157"/>
        <item m="1" x="311"/>
        <item m="1" x="250"/>
        <item m="1" x="188"/>
        <item m="1" x="99"/>
        <item m="1" x="153"/>
        <item m="1" x="66"/>
        <item m="1" x="357"/>
        <item m="1" x="115"/>
        <item m="1" x="365"/>
        <item m="1" x="51"/>
        <item m="1" x="264"/>
        <item m="1" x="121"/>
        <item m="1" x="290"/>
        <item m="1" x="228"/>
        <item m="1" x="154"/>
        <item m="1" x="116"/>
        <item m="1" x="323"/>
        <item m="1" x="140"/>
        <item m="1" x="189"/>
        <item x="17"/>
        <item m="1" x="222"/>
        <item m="1" x="335"/>
        <item m="1" x="92"/>
        <item m="1" x="256"/>
        <item m="1" x="77"/>
        <item m="1" x="93"/>
        <item m="1" x="180"/>
        <item m="1" x="202"/>
        <item m="1" x="136"/>
        <item m="1" x="85"/>
        <item m="1" x="206"/>
        <item x="9"/>
        <item x="19"/>
        <item m="1" x="361"/>
        <item m="1" x="213"/>
        <item m="1" x="42"/>
        <item m="1" x="169"/>
        <item m="1" x="25"/>
        <item m="1" x="129"/>
        <item m="1" x="78"/>
        <item m="1" x="261"/>
        <item x="16"/>
        <item m="1" x="375"/>
        <item m="1" x="251"/>
        <item m="1" x="272"/>
        <item m="1" x="52"/>
        <item m="1" x="320"/>
        <item m="1" x="280"/>
        <item m="1" x="324"/>
        <item m="1" x="416"/>
        <item m="1" x="445"/>
        <item m="1" x="291"/>
        <item x="10"/>
        <item m="1" x="407"/>
        <item x="24"/>
        <item m="1" x="181"/>
        <item m="1" x="351"/>
        <item m="1" x="158"/>
        <item m="1" x="86"/>
        <item m="1" x="223"/>
        <item m="1" x="292"/>
        <item m="1" x="148"/>
        <item m="1" x="71"/>
        <item m="1" x="242"/>
        <item m="1" x="417"/>
        <item m="1" x="100"/>
        <item m="1" x="366"/>
        <item m="1" x="325"/>
        <item m="1" x="67"/>
        <item m="1" x="214"/>
        <item m="1" x="313"/>
        <item m="1" x="170"/>
        <item m="1" x="300"/>
        <item m="1" x="32"/>
        <item m="1" x="137"/>
        <item m="1" x="184"/>
        <item m="1" x="358"/>
        <item m="1" x="446"/>
        <item m="1" x="376"/>
        <item m="1" x="452"/>
        <item m="1" x="149"/>
        <item x="1"/>
        <item m="1" x="196"/>
        <item m="1" x="26"/>
        <item m="1" x="388"/>
        <item m="1" x="321"/>
        <item m="1" x="87"/>
        <item m="1" x="265"/>
        <item m="1" x="447"/>
        <item m="1" x="207"/>
        <item m="1" x="68"/>
        <item m="1" x="215"/>
        <item m="1" x="293"/>
        <item m="1" x="380"/>
        <item m="1" x="229"/>
        <item m="1" x="314"/>
        <item m="1" x="301"/>
        <item m="1" x="53"/>
        <item m="1" x="236"/>
        <item m="1" x="79"/>
        <item m="1" x="352"/>
        <item m="1" x="439"/>
        <item m="1" x="371"/>
        <item m="1" x="117"/>
        <item m="1" x="208"/>
        <item m="1" x="286"/>
        <item m="1" x="453"/>
        <item m="1" x="122"/>
        <item m="1" x="216"/>
        <item m="1" x="72"/>
        <item m="1" x="431"/>
        <item m="1" x="302"/>
        <item m="1" x="182"/>
        <item m="1" x="281"/>
        <item m="1" x="159"/>
        <item m="1" x="224"/>
        <item m="1" x="381"/>
        <item m="1" x="315"/>
        <item m="1" x="171"/>
        <item m="1" x="101"/>
        <item m="1" x="412"/>
        <item m="1" x="393"/>
        <item m="1" x="418"/>
        <item m="1" x="287"/>
        <item m="1" x="36"/>
        <item m="1" x="141"/>
        <item m="1" x="123"/>
        <item m="1" x="217"/>
        <item m="1" x="408"/>
        <item m="1" x="73"/>
        <item m="1" x="102"/>
        <item m="1" x="273"/>
        <item m="1" x="27"/>
        <item m="1" x="80"/>
        <item m="1" x="107"/>
        <item x="15"/>
        <item m="1" x="243"/>
        <item m="1" x="326"/>
        <item m="1" x="336"/>
        <item m="1" x="124"/>
        <item m="1" x="294"/>
        <item m="1" x="150"/>
        <item m="1" x="172"/>
        <item m="1" x="103"/>
        <item m="1" x="197"/>
        <item m="1" x="367"/>
        <item m="1" x="389"/>
        <item m="1" x="81"/>
        <item m="1" x="59"/>
        <item m="1" x="160"/>
        <item m="1" x="327"/>
        <item m="1" x="419"/>
        <item m="1" x="88"/>
        <item m="1" x="209"/>
        <item m="1" x="401"/>
        <item m="1" x="94"/>
        <item m="1" x="125"/>
        <item m="1" x="43"/>
        <item m="1" x="343"/>
        <item m="1" x="104"/>
        <item m="1" x="353"/>
        <item m="1" x="440"/>
        <item m="1" x="108"/>
        <item m="1" x="328"/>
        <item m="1" x="359"/>
        <item m="1" x="142"/>
        <item m="1" x="164"/>
        <item m="1" x="252"/>
        <item m="1" x="382"/>
        <item m="1" x="409"/>
        <item m="1" x="74"/>
        <item m="1" x="432"/>
        <item m="1" x="28"/>
        <item m="1" x="220"/>
        <item m="1" x="390"/>
        <item m="1" x="82"/>
        <item m="1" x="109"/>
        <item m="1" x="372"/>
        <item m="1" x="394"/>
        <item m="1" x="244"/>
        <item m="1" x="329"/>
        <item m="1" x="448"/>
        <item m="1" x="402"/>
        <item m="1" x="337"/>
        <item m="1" x="454"/>
        <item m="1" x="230"/>
        <item m="1" x="173"/>
        <item m="1" x="257"/>
        <item m="1" x="344"/>
        <item m="1" x="54"/>
        <item m="1" x="83"/>
        <item x="21"/>
        <item x="4"/>
        <item m="1" x="161"/>
        <item m="1" x="245"/>
        <item m="1" x="330"/>
        <item m="1" x="377"/>
        <item m="1" x="424"/>
        <item m="1" x="95"/>
        <item m="1" x="270"/>
        <item m="1" x="44"/>
        <item m="1" x="151"/>
        <item m="1" x="316"/>
        <item m="1" x="105"/>
        <item m="1" x="130"/>
        <item m="1" x="221"/>
        <item m="1" x="237"/>
        <item m="1" x="262"/>
        <item m="1" x="441"/>
        <item m="1" x="282"/>
        <item m="1" x="395"/>
        <item m="1" x="60"/>
        <item x="23"/>
        <item m="1" x="253"/>
        <item m="1" x="295"/>
        <item m="1" x="75"/>
        <item m="1" x="345"/>
        <item m="1" x="433"/>
        <item m="1" x="131"/>
        <item m="1" x="110"/>
        <item m="1" x="203"/>
        <item m="1" x="373"/>
        <item m="1" x="396"/>
        <item m="1" x="185"/>
        <item m="1" x="266"/>
        <item m="1" x="449"/>
        <item m="1" x="383"/>
        <item x="6"/>
        <item m="1" x="174"/>
        <item m="1" x="258"/>
        <item m="1" x="346"/>
        <item m="1" x="183"/>
        <item m="1" x="111"/>
        <item m="1" x="204"/>
        <item m="1" x="162"/>
        <item x="7"/>
        <item m="1" x="450"/>
        <item m="1" x="118"/>
        <item m="1" x="143"/>
        <item m="1" x="425"/>
        <item m="1" x="362"/>
        <item m="1" x="126"/>
        <item m="1" x="175"/>
        <item m="1" x="434"/>
        <item m="1" x="198"/>
        <item m="1" x="263"/>
        <item m="1" x="354"/>
        <item m="1" x="33"/>
        <item m="1" x="310"/>
        <item m="1" x="246"/>
        <item m="1" x="420"/>
        <item m="1" x="165"/>
        <item m="1" x="199"/>
        <item m="1" x="274"/>
        <item m="1" x="132"/>
        <item m="1" x="55"/>
        <item m="1" x="238"/>
        <item m="1" x="112"/>
        <item m="1" x="397"/>
        <item m="1" x="61"/>
        <item m="1" x="247"/>
        <item x="3"/>
        <item m="1" x="267"/>
        <item m="1" x="451"/>
        <item m="1" x="288"/>
        <item m="1" x="166"/>
        <item m="1" x="254"/>
        <item m="1" x="338"/>
        <item m="1" x="426"/>
        <item m="1" x="384"/>
        <item m="1" x="45"/>
        <item m="1" x="176"/>
        <item m="1" x="435"/>
        <item m="1" x="133"/>
        <item x="13"/>
        <item m="1" x="283"/>
        <item m="1" x="62"/>
        <item m="1" x="186"/>
        <item m="1" x="69"/>
        <item m="1" x="96"/>
        <item m="1" x="410"/>
        <item m="1" x="275"/>
        <item m="1" x="29"/>
        <item x="14"/>
        <item m="1" x="303"/>
        <item m="1" x="322"/>
        <item m="1" x="284"/>
        <item x="12"/>
        <item m="1" x="248"/>
        <item m="1" x="403"/>
        <item m="1" x="368"/>
        <item m="1" x="30"/>
        <item m="1" x="391"/>
        <item m="1" x="155"/>
        <item m="1" x="63"/>
        <item m="1" x="89"/>
        <item m="1" x="225"/>
        <item m="1" x="167"/>
        <item m="1" x="339"/>
        <item m="1" x="190"/>
        <item m="1" x="296"/>
        <item m="1" x="134"/>
        <item m="1" x="378"/>
        <item m="1" x="37"/>
        <item m="1" x="168"/>
        <item m="1" x="191"/>
        <item m="1" x="271"/>
        <item m="1" x="239"/>
        <item m="1" x="119"/>
        <item m="1" x="379"/>
        <item m="1" x="427"/>
        <item m="1" x="231"/>
        <item m="1" x="200"/>
        <item m="1" x="331"/>
        <item m="1" x="268"/>
        <item m="1" x="38"/>
        <item m="1" x="255"/>
        <item m="1" x="340"/>
        <item m="1" x="97"/>
        <item m="1" x="442"/>
        <item m="1" x="347"/>
        <item t="default"/>
      </items>
    </pivotField>
    <pivotField compact="0" outline="0" showAll="0" defaultSubtotal="0"/>
    <pivotField compact="0" outline="0" showAll="0">
      <items count="127">
        <item m="1" x="1"/>
        <item m="1" x="120"/>
        <item m="1" x="110"/>
        <item m="1" x="8"/>
        <item m="1" x="121"/>
        <item m="1" x="4"/>
        <item m="1" x="27"/>
        <item m="1" x="92"/>
        <item m="1" x="49"/>
        <item m="1" x="118"/>
        <item m="1" x="40"/>
        <item m="1" x="6"/>
        <item m="1" x="93"/>
        <item m="1" x="52"/>
        <item m="1" x="57"/>
        <item m="1" x="19"/>
        <item m="1" x="122"/>
        <item m="1" x="5"/>
        <item m="1" x="116"/>
        <item m="1" x="53"/>
        <item m="1" x="60"/>
        <item m="1" x="64"/>
        <item m="1" x="41"/>
        <item m="1" x="10"/>
        <item m="1" x="105"/>
        <item m="1" x="98"/>
        <item m="1" x="67"/>
        <item m="1" x="123"/>
        <item m="1" x="68"/>
        <item m="1" x="113"/>
        <item m="1" x="87"/>
        <item m="1" x="75"/>
        <item m="1" x="77"/>
        <item m="1" x="50"/>
        <item m="1" x="61"/>
        <item m="1" x="58"/>
        <item m="1" x="38"/>
        <item m="1" x="117"/>
        <item m="1" x="124"/>
        <item m="1" x="80"/>
        <item m="1" x="102"/>
        <item m="1" x="101"/>
        <item m="1" x="9"/>
        <item m="1" x="62"/>
        <item m="1" x="39"/>
        <item m="1" x="96"/>
        <item m="1" x="23"/>
        <item m="1" x="109"/>
        <item m="1" x="11"/>
        <item m="1" x="82"/>
        <item m="1" x="94"/>
        <item m="1" x="114"/>
        <item m="1" x="90"/>
        <item m="1" x="20"/>
        <item m="1" x="72"/>
        <item m="1" x="69"/>
        <item m="1" x="24"/>
        <item m="1" x="100"/>
        <item m="1" x="21"/>
        <item m="1" x="43"/>
        <item m="1" x="36"/>
        <item m="1" x="125"/>
        <item m="1" x="2"/>
        <item m="1" x="95"/>
        <item m="1" x="14"/>
        <item m="1" x="106"/>
        <item m="1" x="44"/>
        <item m="1" x="88"/>
        <item m="1" x="59"/>
        <item m="1" x="46"/>
        <item m="1" x="28"/>
        <item m="1" x="33"/>
        <item m="1" x="107"/>
        <item m="1" x="54"/>
        <item m="1" x="31"/>
        <item m="1" x="15"/>
        <item m="1" x="34"/>
        <item m="1" x="3"/>
        <item m="1" x="84"/>
        <item m="1" x="55"/>
        <item m="1" x="17"/>
        <item m="1" x="22"/>
        <item m="1" x="89"/>
        <item m="1" x="16"/>
        <item m="1" x="85"/>
        <item m="1" x="25"/>
        <item x="0"/>
        <item m="1" x="70"/>
        <item m="1" x="45"/>
        <item m="1" x="47"/>
        <item m="1" x="76"/>
        <item m="1" x="97"/>
        <item m="1" x="29"/>
        <item m="1" x="12"/>
        <item m="1" x="99"/>
        <item m="1" x="83"/>
        <item m="1" x="115"/>
        <item m="1" x="78"/>
        <item m="1" x="111"/>
        <item m="1" x="7"/>
        <item m="1" x="26"/>
        <item m="1" x="65"/>
        <item m="1" x="42"/>
        <item m="1" x="86"/>
        <item m="1" x="108"/>
        <item m="1" x="71"/>
        <item m="1" x="79"/>
        <item m="1" x="30"/>
        <item m="1" x="73"/>
        <item m="1" x="91"/>
        <item m="1" x="48"/>
        <item m="1" x="63"/>
        <item m="1" x="13"/>
        <item m="1" x="32"/>
        <item m="1" x="112"/>
        <item m="1" x="119"/>
        <item m="1" x="37"/>
        <item m="1" x="81"/>
        <item m="1" x="51"/>
        <item m="1" x="66"/>
        <item m="1" x="18"/>
        <item m="1" x="35"/>
        <item m="1" x="103"/>
        <item m="1" x="104"/>
        <item m="1" x="56"/>
        <item m="1" x="74"/>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441">
        <item m="1" x="185"/>
        <item m="1" x="341"/>
        <item m="1" x="258"/>
        <item x="12"/>
        <item x="11"/>
        <item x="0"/>
        <item x="18"/>
        <item x="13"/>
        <item x="16"/>
        <item x="4"/>
        <item x="5"/>
        <item m="1" x="311"/>
        <item x="17"/>
        <item x="19"/>
        <item x="3"/>
        <item x="15"/>
        <item x="9"/>
        <item x="10"/>
        <item x="20"/>
        <item x="14"/>
        <item x="21"/>
        <item x="8"/>
        <item x="6"/>
        <item x="2"/>
        <item x="1"/>
        <item x="7"/>
        <item x="22"/>
        <item m="1" x="219"/>
        <item m="1" x="184"/>
        <item m="1" x="90"/>
        <item m="1" x="393"/>
        <item m="1" x="340"/>
        <item m="1" x="397"/>
        <item m="1" x="433"/>
        <item m="1" x="27"/>
        <item m="1" x="218"/>
        <item m="1" x="289"/>
        <item m="1" x="265"/>
        <item m="1" x="208"/>
        <item m="1" x="339"/>
        <item m="1" x="367"/>
        <item m="1" x="120"/>
        <item m="1" x="149"/>
        <item m="1" x="172"/>
        <item m="1" x="294"/>
        <item m="1" x="195"/>
        <item m="1" x="89"/>
        <item m="1" x="183"/>
        <item m="1" x="288"/>
        <item m="1" x="229"/>
        <item m="1" x="148"/>
        <item m="1" x="430"/>
        <item m="1" x="45"/>
        <item m="1" x="424"/>
        <item m="1" x="58"/>
        <item m="1" x="228"/>
        <item m="1" x="302"/>
        <item m="1" x="85"/>
        <item m="1" x="429"/>
        <item m="1" x="96"/>
        <item m="1" x="237"/>
        <item m="1" x="287"/>
        <item m="1" x="101"/>
        <item m="1" x="428"/>
        <item m="1" x="318"/>
        <item m="1" x="396"/>
        <item m="1" x="182"/>
        <item m="1" x="166"/>
        <item m="1" x="346"/>
        <item m="1" x="392"/>
        <item m="1" x="207"/>
        <item m="1" x="358"/>
        <item m="1" x="206"/>
        <item m="1" x="190"/>
        <item m="1" x="57"/>
        <item m="1" x="427"/>
        <item m="1" x="44"/>
        <item m="1" x="108"/>
        <item m="1" x="67"/>
        <item m="1" x="66"/>
        <item m="1" x="95"/>
        <item m="1" x="217"/>
        <item m="1" x="439"/>
        <item m="1" x="264"/>
        <item m="1" x="38"/>
        <item m="1" x="180"/>
        <item m="1" x="94"/>
        <item m="1" x="406"/>
        <item m="1" x="329"/>
        <item m="1" x="132"/>
        <item m="1" x="357"/>
        <item m="1" x="171"/>
        <item m="1" x="107"/>
        <item m="1" x="263"/>
        <item m="1" x="313"/>
        <item m="1" x="301"/>
        <item m="1" x="300"/>
        <item m="1" x="56"/>
        <item m="1" x="438"/>
        <item m="1" x="189"/>
        <item m="1" x="271"/>
        <item m="1" x="227"/>
        <item m="1" x="391"/>
        <item m="1" x="251"/>
        <item m="1" x="216"/>
        <item m="1" x="257"/>
        <item m="1" x="376"/>
        <item m="1" x="131"/>
        <item m="1" x="226"/>
        <item m="1" x="250"/>
        <item m="1" x="170"/>
        <item m="1" x="100"/>
        <item m="1" x="37"/>
        <item m="1" x="336"/>
        <item m="1" x="270"/>
        <item m="1" x="212"/>
        <item m="1" x="48"/>
        <item m="1" x="328"/>
        <item m="1" x="130"/>
        <item m="1" x="43"/>
        <item m="1" x="119"/>
        <item m="1" x="198"/>
        <item m="1" x="55"/>
        <item m="1" x="106"/>
        <item m="1" x="165"/>
        <item m="1" x="410"/>
        <item m="1" x="310"/>
        <item m="1" x="205"/>
        <item m="1" x="416"/>
        <item m="1" x="84"/>
        <item m="1" x="262"/>
        <item m="1" x="164"/>
        <item m="1" x="137"/>
        <item m="1" x="147"/>
        <item m="1" x="366"/>
        <item m="1" x="356"/>
        <item m="1" x="188"/>
        <item m="1" x="249"/>
        <item m="1" x="365"/>
        <item m="1" x="325"/>
        <item m="1" x="286"/>
        <item m="1" x="335"/>
        <item m="1" x="382"/>
        <item m="1" x="261"/>
        <item m="1" x="437"/>
        <item m="1" x="280"/>
        <item m="1" x="163"/>
        <item m="1" x="105"/>
        <item m="1" x="146"/>
        <item m="1" x="32"/>
        <item m="1" x="423"/>
        <item m="1" x="65"/>
        <item m="1" x="293"/>
        <item m="1" x="104"/>
        <item m="1" x="401"/>
        <item m="1" x="317"/>
        <item m="1" x="145"/>
        <item m="1" x="83"/>
        <item m="1" x="390"/>
        <item m="1" x="256"/>
        <item m="1" x="355"/>
        <item m="1" x="236"/>
        <item m="1" x="389"/>
        <item m="1" x="36"/>
        <item m="1" x="409"/>
        <item m="1" x="338"/>
        <item m="1" x="129"/>
        <item m="1" x="235"/>
        <item m="1" x="128"/>
        <item m="1" x="422"/>
        <item m="1" x="73"/>
        <item m="1" x="334"/>
        <item m="1" x="354"/>
        <item m="1" x="375"/>
        <item m="1" x="269"/>
        <item m="1" x="260"/>
        <item m="1" x="54"/>
        <item m="1" x="118"/>
        <item m="1" x="421"/>
        <item m="1" x="42"/>
        <item m="1" x="64"/>
        <item m="1" x="127"/>
        <item m="1" x="345"/>
        <item m="1" x="248"/>
        <item m="1" x="374"/>
        <item m="1" x="99"/>
        <item m="1" x="136"/>
        <item m="1" x="364"/>
        <item m="1" x="241"/>
        <item m="1" x="420"/>
        <item m="1" x="324"/>
        <item m="1" x="259"/>
        <item m="1" x="316"/>
        <item m="1" x="144"/>
        <item m="1" x="405"/>
        <item m="1" x="82"/>
        <item m="1" x="240"/>
        <item m="1" x="363"/>
        <item m="1" x="351"/>
        <item m="1" x="239"/>
        <item m="1" x="432"/>
        <item m="1" x="63"/>
        <item m="1" x="221"/>
        <item m="1" x="123"/>
        <item m="1" x="197"/>
        <item m="1" x="436"/>
        <item m="1" x="88"/>
        <item m="1" x="323"/>
        <item m="1" x="299"/>
        <item m="1" x="315"/>
        <item m="1" x="400"/>
        <item m="1" x="72"/>
        <item m="1" x="126"/>
        <item m="1" x="309"/>
        <item m="1" x="79"/>
        <item m="1" x="53"/>
        <item m="1" x="308"/>
        <item m="1" x="31"/>
        <item m="1" x="135"/>
        <item m="1" x="196"/>
        <item m="1" x="307"/>
        <item m="1" x="211"/>
        <item m="1" x="220"/>
        <item m="1" x="87"/>
        <item m="1" x="353"/>
        <item m="1" x="373"/>
        <item m="1" x="86"/>
        <item m="1" x="187"/>
        <item m="1" x="143"/>
        <item m="1" x="169"/>
        <item m="1" x="194"/>
        <item m="1" x="333"/>
        <item m="1" x="344"/>
        <item m="1" x="343"/>
        <item m="1" x="162"/>
        <item m="1" x="285"/>
        <item m="1" x="117"/>
        <item m="1" x="193"/>
        <item m="1" x="204"/>
        <item m="1" x="435"/>
        <item m="1" x="362"/>
        <item m="1" x="350"/>
        <item m="1" x="192"/>
        <item m="1" x="78"/>
        <item m="1" x="181"/>
        <item m="1" x="62"/>
        <item m="1" x="394"/>
        <item m="1" x="415"/>
        <item m="1" x="388"/>
        <item m="1" x="399"/>
        <item m="1" x="26"/>
        <item m="1" x="142"/>
        <item m="1" x="414"/>
        <item m="1" x="71"/>
        <item m="1" x="153"/>
        <item m="1" x="268"/>
        <item m="1" x="125"/>
        <item m="1" x="349"/>
        <item m="1" x="35"/>
        <item m="1" x="361"/>
        <item m="1" x="372"/>
        <item m="1" x="191"/>
        <item m="1" x="419"/>
        <item m="1" x="41"/>
        <item m="1" x="93"/>
        <item m="1" x="408"/>
        <item m="1" x="203"/>
        <item m="1" x="116"/>
        <item m="1" x="371"/>
        <item m="1" x="113"/>
        <item m="1" x="61"/>
        <item m="1" x="161"/>
        <item m="1" x="247"/>
        <item m="1" x="141"/>
        <item m="1" x="279"/>
        <item m="1" x="202"/>
        <item m="1" x="381"/>
        <item m="1" x="30"/>
        <item m="1" x="360"/>
        <item m="1" x="404"/>
        <item m="1" x="322"/>
        <item m="1" x="77"/>
        <item m="1" x="387"/>
        <item m="1" x="292"/>
        <item m="1" x="359"/>
        <item m="1" x="314"/>
        <item m="1" x="380"/>
        <item m="1" x="348"/>
        <item m="1" x="418"/>
        <item m="1" x="210"/>
        <item m="1" x="81"/>
        <item m="1" x="225"/>
        <item m="1" x="386"/>
        <item m="1" x="379"/>
        <item m="1" x="407"/>
        <item m="1" x="378"/>
        <item m="1" x="255"/>
        <item m="1" x="25"/>
        <item m="1" x="385"/>
        <item m="1" x="201"/>
        <item m="1" x="179"/>
        <item m="1" x="139"/>
        <item m="1" x="178"/>
        <item m="1" x="103"/>
        <item m="1" x="312"/>
        <item m="1" x="352"/>
        <item m="1" x="284"/>
        <item m="1" x="370"/>
        <item m="1" x="278"/>
        <item m="1" x="80"/>
        <item m="1" x="234"/>
        <item m="1" x="98"/>
        <item m="1" x="34"/>
        <item m="1" x="122"/>
        <item m="1" x="29"/>
        <item m="1" x="92"/>
        <item m="1" x="76"/>
        <item m="1" x="246"/>
        <item m="1" x="275"/>
        <item m="1" x="134"/>
        <item m="1" x="306"/>
        <item m="1" x="327"/>
        <item m="1" x="160"/>
        <item m="1" x="133"/>
        <item m="1" x="233"/>
        <item m="1" x="369"/>
        <item m="1" x="24"/>
        <item m="1" x="112"/>
        <item m="1" x="298"/>
        <item m="1" x="28"/>
        <item m="1" x="332"/>
        <item m="1" x="434"/>
        <item m="1" x="200"/>
        <item m="1" x="75"/>
        <item m="1" x="140"/>
        <item m="1" x="274"/>
        <item m="1" x="40"/>
        <item m="1" x="245"/>
        <item m="1" x="60"/>
        <item m="1" x="291"/>
        <item m="1" x="254"/>
        <item m="1" x="159"/>
        <item m="1" x="91"/>
        <item m="1" x="158"/>
        <item m="1" x="244"/>
        <item m="1" x="426"/>
        <item m="1" x="326"/>
        <item m="1" x="232"/>
        <item m="1" x="157"/>
        <item m="1" x="97"/>
        <item m="1" x="417"/>
        <item m="1" x="403"/>
        <item m="1" x="238"/>
        <item m="1" x="115"/>
        <item m="1" x="52"/>
        <item m="1" x="342"/>
        <item m="1" x="224"/>
        <item m="1" x="267"/>
        <item m="1" x="402"/>
        <item m="1" x="368"/>
        <item m="1" x="231"/>
        <item m="1" x="283"/>
        <item m="1" x="33"/>
        <item m="1" x="273"/>
        <item m="1" x="177"/>
        <item m="1" x="384"/>
        <item m="1" x="398"/>
        <item m="1" x="243"/>
        <item m="1" x="277"/>
        <item m="1" x="70"/>
        <item m="1" x="413"/>
        <item m="1" x="395"/>
        <item m="1" x="176"/>
        <item m="1" x="290"/>
        <item m="1" x="168"/>
        <item m="1" x="383"/>
        <item m="1" x="215"/>
        <item m="1" x="51"/>
        <item m="1" x="156"/>
        <item m="1" x="431"/>
        <item m="1" x="282"/>
        <item m="1" x="138"/>
        <item m="1" x="305"/>
        <item m="1" x="331"/>
        <item m="1" x="111"/>
        <item m="1" x="266"/>
        <item m="1" x="47"/>
        <item m="1" x="167"/>
        <item m="1" x="175"/>
        <item m="1" x="377"/>
        <item m="1" x="50"/>
        <item m="1" x="74"/>
        <item m="1" x="110"/>
        <item m="1" x="209"/>
        <item m="1" x="174"/>
        <item m="1" x="68"/>
        <item m="1" x="253"/>
        <item m="1" x="347"/>
        <item m="1" x="425"/>
        <item m="1" x="121"/>
        <item m="1" x="23"/>
        <item m="1" x="276"/>
        <item m="1" x="152"/>
        <item m="1" x="304"/>
        <item m="1" x="151"/>
        <item m="1" x="412"/>
        <item m="1" x="297"/>
        <item m="1" x="296"/>
        <item m="1" x="199"/>
        <item m="1" x="252"/>
        <item m="1" x="124"/>
        <item m="1" x="303"/>
        <item m="1" x="281"/>
        <item m="1" x="155"/>
        <item m="1" x="223"/>
        <item m="1" x="330"/>
        <item m="1" x="39"/>
        <item m="1" x="411"/>
        <item m="1" x="222"/>
        <item m="1" x="59"/>
        <item m="1" x="114"/>
        <item m="1" x="242"/>
        <item m="1" x="321"/>
        <item m="1" x="214"/>
        <item m="1" x="230"/>
        <item m="1" x="295"/>
        <item m="1" x="337"/>
        <item m="1" x="320"/>
        <item m="1" x="272"/>
        <item m="1" x="150"/>
        <item m="1" x="213"/>
        <item m="1" x="319"/>
        <item m="1" x="102"/>
        <item m="1" x="154"/>
        <item m="1" x="49"/>
        <item m="1" x="186"/>
        <item m="1" x="173"/>
        <item m="1" x="69"/>
        <item m="1" x="109"/>
        <item m="1" x="46"/>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24">
    <i>
      <x v="3"/>
    </i>
    <i>
      <x v="4"/>
    </i>
    <i>
      <x v="5"/>
    </i>
    <i>
      <x v="6"/>
    </i>
    <i>
      <x v="7"/>
    </i>
    <i>
      <x v="8"/>
    </i>
    <i>
      <x v="9"/>
    </i>
    <i>
      <x v="10"/>
    </i>
    <i>
      <x v="12"/>
    </i>
    <i>
      <x v="13"/>
    </i>
    <i>
      <x v="14"/>
    </i>
    <i>
      <x v="15"/>
    </i>
    <i>
      <x v="16"/>
    </i>
    <i>
      <x v="17"/>
    </i>
    <i>
      <x v="18"/>
    </i>
    <i>
      <x v="19"/>
    </i>
    <i>
      <x v="20"/>
    </i>
    <i>
      <x v="21"/>
    </i>
    <i>
      <x v="22"/>
    </i>
    <i>
      <x v="23"/>
    </i>
    <i>
      <x v="24"/>
    </i>
    <i>
      <x v="25"/>
    </i>
    <i>
      <x v="26"/>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4">
      <pivotArea dataOnly="0" fieldPosition="0">
        <references count="1">
          <reference field="4" count="1">
            <x v="1609"/>
          </reference>
        </references>
      </pivotArea>
    </format>
    <format dxfId="33">
      <pivotArea dataOnly="0" fieldPosition="0">
        <references count="1">
          <reference field="4" count="1">
            <x v="131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x v="0"/>
          </reference>
        </references>
      </pivotArea>
    </format>
    <format dxfId="30">
      <pivotArea outline="0" fieldPosition="0">
        <references count="1">
          <reference field="4294967294" count="1">
            <x v="2"/>
          </reference>
        </references>
      </pivotArea>
    </format>
    <format dxfId="29">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8">
      <pivotArea dataOnly="0" labelOnly="1" fieldPosition="0">
        <references count="1">
          <reference field="9" count="0"/>
        </references>
      </pivotArea>
    </format>
    <format dxfId="27">
      <pivotArea dataOnly="0" labelOnly="1" grandCol="1" outline="0" fieldPosition="0"/>
    </format>
    <format dxfId="26">
      <pivotArea collapsedLevelsAreSubtotals="1" fieldPosition="0">
        <references count="3">
          <reference field="4294967294" count="1" selected="0">
            <x v="0"/>
          </reference>
          <reference field="4" count="1">
            <x v="46"/>
          </reference>
          <reference field="9" count="0" selected="0"/>
        </references>
      </pivotArea>
    </format>
    <format dxfId="25">
      <pivotArea collapsedLevelsAreSubtotals="1" fieldPosition="0">
        <references count="3">
          <reference field="4294967294" count="1" selected="0">
            <x v="0"/>
          </reference>
          <reference field="4" count="1">
            <x v="48"/>
          </reference>
          <reference field="9" count="0" selected="0"/>
        </references>
      </pivotArea>
    </format>
    <format dxfId="24">
      <pivotArea collapsedLevelsAreSubtotals="1" fieldPosition="0">
        <references count="3">
          <reference field="4294967294" count="1" selected="0">
            <x v="0"/>
          </reference>
          <reference field="4" count="1">
            <x v="49"/>
          </reference>
          <reference field="9" count="0" selected="0"/>
        </references>
      </pivotArea>
    </format>
    <format dxfId="23">
      <pivotArea collapsedLevelsAreSubtotals="1" fieldPosition="0">
        <references count="3">
          <reference field="4294967294" count="1" selected="0">
            <x v="0"/>
          </reference>
          <reference field="4" count="1">
            <x v="131"/>
          </reference>
          <reference field="9" count="0" selected="0"/>
        </references>
      </pivotArea>
    </format>
    <format dxfId="22">
      <pivotArea collapsedLevelsAreSubtotals="1" fieldPosition="0">
        <references count="3">
          <reference field="4294967294" count="1" selected="0">
            <x v="0"/>
          </reference>
          <reference field="4" count="1">
            <x v="133"/>
          </reference>
          <reference field="9" count="0" selected="0"/>
        </references>
      </pivotArea>
    </format>
    <format dxfId="21">
      <pivotArea collapsedLevelsAreSubtotals="1" fieldPosition="0">
        <references count="3">
          <reference field="4294967294" count="1" selected="0">
            <x v="0"/>
          </reference>
          <reference field="4" count="1">
            <x v="137"/>
          </reference>
          <reference field="9" count="0" selected="0"/>
        </references>
      </pivotArea>
    </format>
    <format dxfId="20">
      <pivotArea collapsedLevelsAreSubtotals="1" fieldPosition="0">
        <references count="3">
          <reference field="4294967294" count="1" selected="0">
            <x v="0"/>
          </reference>
          <reference field="4" count="1">
            <x v="159"/>
          </reference>
          <reference field="9" count="0" selected="0"/>
        </references>
      </pivotArea>
    </format>
    <format dxfId="19">
      <pivotArea collapsedLevelsAreSubtotals="1" fieldPosition="0">
        <references count="3">
          <reference field="4294967294" count="1" selected="0">
            <x v="0"/>
          </reference>
          <reference field="4" count="1">
            <x v="162"/>
          </reference>
          <reference field="9" count="0" selected="0"/>
        </references>
      </pivotArea>
    </format>
    <format dxfId="18">
      <pivotArea collapsedLevelsAreSubtotals="1" fieldPosition="0">
        <references count="3">
          <reference field="4294967294" count="1" selected="0">
            <x v="0"/>
          </reference>
          <reference field="4" count="1">
            <x v="167"/>
          </reference>
          <reference field="9" count="0" selected="0"/>
        </references>
      </pivotArea>
    </format>
    <format dxfId="17">
      <pivotArea collapsedLevelsAreSubtotals="1" fieldPosition="0">
        <references count="3">
          <reference field="4294967294" count="1" selected="0">
            <x v="0"/>
          </reference>
          <reference field="4" count="1">
            <x v="171"/>
          </reference>
          <reference field="9" count="0" selected="0"/>
        </references>
      </pivotArea>
    </format>
    <format dxfId="16">
      <pivotArea collapsedLevelsAreSubtotals="1" fieldPosition="0">
        <references count="3">
          <reference field="4294967294" count="1" selected="0">
            <x v="0"/>
          </reference>
          <reference field="4" count="1">
            <x v="174"/>
          </reference>
          <reference field="9" count="0" selected="0"/>
        </references>
      </pivotArea>
    </format>
    <format dxfId="15">
      <pivotArea collapsedLevelsAreSubtotals="1" fieldPosition="0">
        <references count="3">
          <reference field="4294967294" count="1" selected="0">
            <x v="0"/>
          </reference>
          <reference field="4" count="1">
            <x v="178"/>
          </reference>
          <reference field="9" count="0" selected="0"/>
        </references>
      </pivotArea>
    </format>
    <format dxfId="14">
      <pivotArea collapsedLevelsAreSubtotals="1" fieldPosition="0">
        <references count="3">
          <reference field="4294967294" count="1" selected="0">
            <x v="0"/>
          </reference>
          <reference field="4" count="1">
            <x v="197"/>
          </reference>
          <reference field="9" count="0" selected="0"/>
        </references>
      </pivotArea>
    </format>
    <format dxfId="13">
      <pivotArea collapsedLevelsAreSubtotals="1" fieldPosition="0">
        <references count="3">
          <reference field="4294967294" count="1" selected="0">
            <x v="0"/>
          </reference>
          <reference field="4" count="1">
            <x v="199"/>
          </reference>
          <reference field="9" count="0" selected="0"/>
        </references>
      </pivotArea>
    </format>
    <format dxfId="12">
      <pivotArea collapsedLevelsAreSubtotals="1" fieldPosition="0">
        <references count="3">
          <reference field="4294967294" count="1" selected="0">
            <x v="0"/>
          </reference>
          <reference field="4" count="1">
            <x v="203"/>
          </reference>
          <reference field="9" count="0" selected="0"/>
        </references>
      </pivotArea>
    </format>
    <format dxfId="11">
      <pivotArea collapsedLevelsAreSubtotals="1" fieldPosition="0">
        <references count="3">
          <reference field="4294967294" count="1" selected="0">
            <x v="0"/>
          </reference>
          <reference field="4" count="1">
            <x v="212"/>
          </reference>
          <reference field="9" count="0" selected="0"/>
        </references>
      </pivotArea>
    </format>
    <format dxfId="10">
      <pivotArea collapsedLevelsAreSubtotals="1" fieldPosition="0">
        <references count="3">
          <reference field="4294967294" count="1" selected="0">
            <x v="0"/>
          </reference>
          <reference field="4" count="1">
            <x v="218"/>
          </reference>
          <reference field="9" count="0" selected="0"/>
        </references>
      </pivotArea>
    </format>
    <format dxfId="9">
      <pivotArea collapsedLevelsAreSubtotals="1" fieldPosition="0">
        <references count="3">
          <reference field="4294967294" count="1" selected="0">
            <x v="0"/>
          </reference>
          <reference field="4" count="1">
            <x v="224"/>
          </reference>
          <reference field="9" count="0" selected="0"/>
        </references>
      </pivotArea>
    </format>
    <format dxfId="8">
      <pivotArea dataOnly="0" labelOnly="1" fieldPosition="0">
        <references count="1">
          <reference field="4" count="0"/>
        </references>
      </pivotArea>
    </format>
    <format dxfId="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4"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89">
        <i x="18" s="1"/>
        <i x="326" s="1" nd="1"/>
        <i x="214" s="1" nd="1"/>
        <i x="395" s="1" nd="1"/>
        <i x="90" s="1" nd="1"/>
        <i x="215" s="1" nd="1"/>
        <i x="575" s="1" nd="1"/>
        <i x="521" s="1" nd="1"/>
        <i x="514" s="1" nd="1"/>
        <i x="171" s="1" nd="1"/>
        <i x="159" s="1" nd="1"/>
        <i x="200" s="1" nd="1"/>
        <i x="305" s="1" nd="1"/>
        <i x="344" s="1" nd="1"/>
        <i x="433" s="1" nd="1"/>
        <i x="192" s="1" nd="1"/>
        <i x="425" s="1" nd="1"/>
        <i x="242" s="1" nd="1"/>
        <i x="397" s="1" nd="1"/>
        <i x="387" s="1" nd="1"/>
        <i x="477" s="1" nd="1"/>
        <i x="166" s="1" nd="1"/>
        <i x="88" s="1" nd="1"/>
        <i x="134" s="1" nd="1"/>
        <i x="412" s="1" nd="1"/>
        <i x="534" s="1" nd="1"/>
        <i x="62" s="1" nd="1"/>
        <i x="206" s="1" nd="1"/>
        <i x="311" s="1" nd="1"/>
        <i x="0" s="1" nd="1"/>
        <i x="107" s="1" nd="1"/>
        <i x="421" s="1" nd="1"/>
        <i x="131" s="1" nd="1"/>
        <i x="175" s="1" nd="1"/>
        <i x="194" s="1" nd="1"/>
        <i x="216" s="1" nd="1"/>
        <i x="401" s="1" nd="1"/>
        <i x="475" s="1" nd="1"/>
        <i x="507" s="1" nd="1"/>
        <i x="57" s="1" nd="1"/>
        <i x="260" s="1" nd="1"/>
        <i x="391" s="1" nd="1"/>
        <i x="515" s="1" nd="1"/>
        <i x="70" s="1" nd="1"/>
        <i x="234" s="1" nd="1"/>
        <i x="298" s="1" nd="1"/>
        <i x="202" s="1" nd="1"/>
        <i x="224" s="1" nd="1"/>
        <i x="275" s="1" nd="1"/>
        <i x="376" s="1" nd="1"/>
        <i x="452" s="1" nd="1"/>
        <i x="573" s="1" nd="1"/>
        <i x="398" s="1" nd="1"/>
        <i x="461" s="1" nd="1"/>
        <i x="1" s="1" nd="1"/>
        <i x="52" s="1" nd="1"/>
        <i x="114" s="1" nd="1"/>
        <i x="137" s="1" nd="1"/>
        <i x="272" s="1" nd="1"/>
        <i x="416" s="1" nd="1"/>
        <i x="465" s="1" nd="1"/>
        <i x="531" s="1" nd="1"/>
        <i x="583" s="1" nd="1"/>
        <i x="51" s="1" nd="1"/>
        <i x="75" s="1" nd="1"/>
        <i x="127" s="1" nd="1"/>
        <i x="334" s="1" nd="1"/>
        <i x="380" s="1" nd="1"/>
        <i x="502" s="1" nd="1"/>
        <i x="73" s="1" nd="1"/>
        <i x="95" s="1" nd="1"/>
        <i x="146" s="1" nd="1"/>
        <i x="168" s="1" nd="1"/>
        <i x="229" s="1" nd="1"/>
        <i x="243" s="1" nd="1"/>
        <i x="354" s="1" nd="1"/>
        <i x="360" s="1" nd="1"/>
        <i x="423" s="1" nd="1"/>
        <i x="460" s="1" nd="1"/>
        <i x="529" s="1" nd="1"/>
        <i x="94" s="1" nd="1"/>
        <i x="562" s="1" nd="1"/>
        <i x="188" s="1" nd="1"/>
        <i x="462" s="1" nd="1"/>
        <i x="471" s="1" nd="1"/>
        <i x="501" s="1" nd="1"/>
        <i x="518" s="1" nd="1"/>
        <i x="83" s="1" nd="1"/>
        <i x="221" s="1" nd="1"/>
        <i x="373" s="1" nd="1"/>
        <i x="2" s="1" nd="1"/>
        <i x="408" s="1" nd="1"/>
        <i x="431" s="1" nd="1"/>
        <i x="457" s="1" nd="1"/>
        <i x="489" s="1" nd="1"/>
        <i x="3" s="1" nd="1"/>
        <i x="536" s="1" nd="1"/>
        <i x="179" s="1" nd="1"/>
        <i x="220" s="1" nd="1"/>
        <i x="264" s="1" nd="1"/>
        <i x="283" s="1" nd="1"/>
        <i x="312" s="1" nd="1"/>
        <i x="437" s="1" nd="1"/>
        <i x="528" s="1" nd="1"/>
        <i x="565" s="1" nd="1"/>
        <i x="93" s="1" nd="1"/>
        <i x="126" s="1" nd="1"/>
        <i x="145" s="1" nd="1"/>
        <i x="269" s="1" nd="1"/>
        <i x="291" s="1" nd="1"/>
        <i x="340" s="1" nd="1"/>
        <i x="372" s="1" nd="1"/>
        <i x="449" s="1" nd="1"/>
        <i x="571" s="1" nd="1"/>
        <i x="588" s="1" nd="1"/>
        <i x="49" s="1" nd="1"/>
        <i x="110" s="1" nd="1"/>
        <i x="144" s="1" nd="1"/>
        <i x="155" s="1" nd="1"/>
        <i x="177" s="1" nd="1"/>
        <i x="199" s="1" nd="1"/>
        <i x="257" s="1" nd="1"/>
        <i x="290" s="1" nd="1"/>
        <i x="324" s="1" nd="1"/>
        <i x="4" s="1" nd="1"/>
        <i x="365" s="1" nd="1"/>
        <i x="413" s="1" nd="1"/>
        <i x="476" s="1" nd="1"/>
        <i x="382" s="1" nd="1"/>
        <i x="65" s="1" nd="1"/>
        <i x="82" s="1" nd="1"/>
        <i x="89" s="1" nd="1"/>
        <i x="186" s="1" nd="1"/>
        <i x="227" s="1" nd="1"/>
        <i x="5" s="1" nd="1"/>
        <i x="301" s="1" nd="1"/>
        <i x="6" s="1" nd="1"/>
        <i x="386" s="1" nd="1"/>
        <i x="125" s="1" nd="1"/>
        <i x="422" s="1" nd="1"/>
        <i x="430" s="1" nd="1"/>
        <i x="154" s="1" nd="1"/>
        <i x="240" s="1" nd="1"/>
        <i x="527" s="1" nd="1"/>
        <i x="578" s="1" nd="1"/>
        <i x="64" s="1" nd="1"/>
        <i x="124" s="1" nd="1"/>
        <i x="196" s="1" nd="1"/>
        <i x="207" s="1" nd="1"/>
        <i x="63" s="1" nd="1"/>
        <i x="371" s="1" nd="1"/>
        <i x="72" s="1" nd="1"/>
        <i x="153" s="1" nd="1"/>
        <i x="447" s="1" nd="1"/>
        <i x="249" s="1" nd="1"/>
        <i x="287" s="1" nd="1"/>
        <i x="300" s="1" nd="1"/>
        <i x="577" s="1" nd="1"/>
        <i x="586" s="1" nd="1"/>
        <i x="81" s="1" nd="1"/>
        <i x="87" s="1" nd="1"/>
        <i x="108" s="1" nd="1"/>
        <i x="132" s="1" nd="1"/>
        <i x="53" s="1" nd="1"/>
        <i x="142" s="1" nd="1"/>
        <i x="468" s="1" nd="1"/>
        <i x="225" s="1" nd="1"/>
        <i x="486" s="1" nd="1"/>
        <i x="267" s="1" nd="1"/>
        <i x="552" s="1" nd="1"/>
        <i x="309" s="1" nd="1"/>
        <i x="559" s="1" nd="1"/>
        <i x="406" s="1" nd="1"/>
        <i x="141" s="1" nd="1"/>
        <i x="163" s="1" nd="1"/>
        <i x="445" s="1" nd="1"/>
        <i x="217" s="1" nd="1"/>
        <i x="255" s="1" nd="1"/>
        <i x="526" s="1" nd="1"/>
        <i x="308" s="1" nd="1"/>
        <i x="91" s="1" nd="1"/>
        <i x="330" s="1" nd="1"/>
        <i x="576" s="1" nd="1"/>
        <i x="349" s="1" nd="1"/>
        <i x="60" s="1" nd="1"/>
        <i x="370" s="1" nd="1"/>
        <i x="120" s="1" nd="1"/>
        <i x="496" s="1" nd="1"/>
        <i x="278" s="1" nd="1"/>
        <i x="329" s="1" nd="1"/>
        <i x="363" s="1" nd="1"/>
        <i x="369" s="1" nd="1"/>
        <i x="400" s="1" nd="1"/>
        <i x="105" s="1" nd="1"/>
        <i x="7" s="1" nd="1"/>
        <i x="77" s="1" nd="1"/>
        <i x="162" s="1" nd="1"/>
        <i x="184" s="1" nd="1"/>
        <i x="8" s="1" nd="1"/>
        <i x="204" s="1" nd="1"/>
        <i x="474" s="1" nd="1"/>
        <i x="481" s="1" nd="1"/>
        <i x="248" s="1" nd="1"/>
        <i x="261" s="1" nd="1"/>
        <i x="266" s="1" nd="1"/>
        <i x="285" s="1" nd="1"/>
        <i x="545" s="1" nd="1"/>
        <i x="549" s="1" nd="1"/>
        <i x="347" s="1" nd="1"/>
        <i x="71" s="1" nd="1"/>
        <i x="384" s="1" nd="1"/>
        <i x="392" s="1" nd="1"/>
        <i x="98" s="1" nd="1"/>
        <i x="118" s="1" nd="1"/>
        <i x="161" s="1" nd="1"/>
        <i x="235" s="1" nd="1"/>
        <i x="533" s="1" nd="1"/>
        <i x="299" s="1" nd="1"/>
        <i x="346" s="1" nd="1"/>
        <i x="9" s="1" nd="1"/>
        <i x="56" s="1" nd="1"/>
        <i x="368" s="1" nd="1"/>
        <i x="399" s="1" nd="1"/>
        <i x="173" s="1" nd="1"/>
        <i x="454" s="1" nd="1"/>
        <i x="480" s="1" nd="1"/>
        <i x="148" s="1" nd="1"/>
        <i x="247" s="1" nd="1"/>
        <i x="506" s="1" nd="1"/>
        <i x="284" s="1" nd="1"/>
        <i x="558" s="1" nd="1"/>
        <i x="328" s="1" nd="1"/>
        <i x="569" s="1" nd="1"/>
        <i x="295" s="1" nd="1"/>
        <i x="79" s="1" nd="1"/>
        <i x="390" s="1" nd="1"/>
        <i x="130" s="1" nd="1"/>
        <i x="50" s="1" nd="1"/>
        <i x="140" s="1" nd="1"/>
        <i x="435" s="1" nd="1"/>
        <i x="473" s="1" nd="1"/>
        <i x="213" s="1" nd="1"/>
        <i x="479" s="1" nd="1"/>
        <i x="485" s="1" nd="1"/>
        <i x="451" s="1" nd="1"/>
        <i x="276" s="1" nd="1"/>
        <i x="307" s="1" nd="1"/>
        <i x="557" s="1" nd="1"/>
        <i x="318" s="1" nd="1"/>
        <i x="510" s="1" nd="1"/>
        <i x="337" s="1" nd="1"/>
        <i x="55" s="1" nd="1"/>
        <i x="383" s="1" nd="1"/>
        <i x="117" s="1" nd="1"/>
        <i x="128" s="1" nd="1"/>
        <i x="152" s="1" nd="1"/>
        <i x="172" s="1" nd="1"/>
        <i x="453" s="1" nd="1"/>
        <i x="10" s="1" nd="1"/>
        <i x="203" s="1" nd="1"/>
        <i x="147" s="1" nd="1"/>
        <i x="233" s="1" nd="1"/>
        <i x="522" s="1" nd="1"/>
        <i x="265" s="1" nd="1"/>
        <i x="539" s="1" nd="1"/>
        <i x="296" s="1" nd="1"/>
        <i x="568" s="1" nd="1"/>
        <i x="336" s="1" nd="1"/>
        <i x="345" s="1" nd="1"/>
        <i x="54" s="1" nd="1"/>
        <i x="85" s="1" nd="1"/>
        <i x="103" s="1" nd="1"/>
        <i x="427" s="1" nd="1"/>
        <i x="201" s="1" nd="1"/>
        <i x="212" s="1" nd="1"/>
        <i x="232" s="1" nd="1"/>
        <i x="253" s="1" nd="1"/>
        <i x="11" s="1" nd="1"/>
        <i x="327" s="1" nd="1"/>
        <i x="574" s="1" nd="1"/>
        <i x="12" s="1" nd="1"/>
        <i x="78" s="1" nd="1"/>
        <i x="13" s="1" nd="1"/>
        <i x="102" s="1" nd="1"/>
        <i x="116" s="1" nd="1"/>
        <i x="411" s="1" nd="1"/>
        <i x="14" s="1" nd="1"/>
        <i x="419" s="1" nd="1"/>
        <i x="67" s="1" nd="1"/>
        <i x="151" s="1" nd="1"/>
        <i x="444" s="1" nd="1"/>
        <i x="193" s="1" nd="1"/>
        <i x="505" s="1" nd="1"/>
        <i x="252" s="1" nd="1"/>
        <i x="520" s="1" nd="1"/>
        <i x="222" s="1" nd="1"/>
        <i x="490" s="1" nd="1"/>
        <i x="567" s="1" nd="1"/>
        <i x="335" s="1" nd="1"/>
        <i x="357" s="1" nd="1"/>
        <i x="47" s="1" nd="1"/>
        <i x="15" s="1" nd="1"/>
        <i x="367" s="1" nd="1"/>
        <i x="97" s="1" nd="1"/>
        <i x="101" s="1" nd="1"/>
        <i x="115" s="1" nd="1"/>
        <i x="410" s="1" nd="1"/>
        <i x="418" s="1" nd="1"/>
        <i x="139" s="1" nd="1"/>
        <i x="181" s="1" nd="1"/>
        <i x="466" s="1" nd="1"/>
        <i x="494" s="1" nd="1"/>
        <i x="246" s="1" nd="1"/>
        <i x="504" s="1" nd="1"/>
        <i x="16" s="1" nd="1"/>
        <i x="519" s="1" nd="1"/>
        <i x="274" s="1" nd="1"/>
        <i x="281" s="1" nd="1"/>
        <i x="317" s="1" nd="1"/>
        <i x="584" s="1" nd="1"/>
        <i x="279" s="1" nd="1"/>
        <i x="389" s="1" nd="1"/>
        <i x="138" s="1" nd="1"/>
        <i x="434" s="1" nd="1"/>
        <i x="170" s="1" nd="1"/>
        <i x="223" s="1" nd="1"/>
        <i x="231" s="1" nd="1"/>
        <i x="245" s="1" nd="1"/>
        <i x="251" s="1" nd="1"/>
        <i x="513" s="1" nd="1"/>
        <i x="273" s="1" nd="1"/>
        <i x="532" s="1" nd="1"/>
        <i x="548" s="1" nd="1"/>
        <i x="556" s="1" nd="1"/>
        <i x="356" s="1" nd="1"/>
        <i x="381" s="1" nd="1"/>
        <i x="417" s="1" nd="1"/>
        <i x="150" s="1" nd="1"/>
        <i x="160" s="1" nd="1"/>
        <i x="493" s="1" nd="1"/>
        <i x="156" s="1" nd="1"/>
        <i x="503" s="1" nd="1"/>
        <i x="250" s="1" nd="1"/>
        <i x="512" s="1" nd="1"/>
        <i x="525" s="1" nd="1"/>
        <i x="271" s="1" nd="1"/>
        <i x="402" s="1" nd="1"/>
        <i x="547" s="1" nd="1"/>
        <i x="306" s="1" nd="1"/>
        <i x="555" s="1" nd="1"/>
        <i x="176" s="1" nd="1"/>
        <i x="17" s="1" nd="1"/>
        <i x="185" s="1" nd="1"/>
        <i x="219" s="1" nd="1"/>
        <i x="362" s="1" nd="1"/>
        <i x="482" s="1" nd="1"/>
        <i x="488" s="1" nd="1"/>
        <i x="76" s="1" nd="1"/>
        <i x="508" s="1" nd="1"/>
        <i x="256" s="1" nd="1"/>
        <i x="19" s="1" nd="1"/>
        <i x="263" s="1" nd="1"/>
        <i x="268" s="1" nd="1"/>
        <i x="535" s="1" nd="1"/>
        <i x="415" s="1" nd="1"/>
        <i x="289" s="1" nd="1"/>
        <i x="149" s="1" nd="1"/>
        <i x="443" s="1" nd="1"/>
        <i x="323" s="1" nd="1"/>
        <i x="564" s="1" nd="1"/>
        <i x="332" s="1" nd="1"/>
        <i x="339" s="1" nd="1"/>
        <i x="579" s="1" nd="1"/>
        <i x="351" s="1" nd="1"/>
        <i x="358" s="1" nd="1"/>
        <i x="364" s="1" nd="1"/>
        <i x="484" s="1" nd="1"/>
        <i x="492" s="1" nd="1"/>
        <i x="511" s="1" nd="1"/>
        <i x="258" s="1" nd="1"/>
        <i x="394" s="1" nd="1"/>
        <i x="133" s="1" nd="1"/>
        <i x="143" s="1" nd="1"/>
        <i x="316" s="1" nd="1"/>
        <i x="448" s="1" nd="1"/>
        <i x="197" s="1" nd="1"/>
        <i x="208" s="1" nd="1"/>
        <i x="46" s="1" nd="1"/>
        <i x="218" s="1" nd="1"/>
        <i x="375" s="1" nd="1"/>
        <i x="580" s="1" nd="1"/>
        <i x="74" s="1" nd="1"/>
        <i x="517" s="1" nd="1"/>
        <i x="96" s="1" nd="1"/>
        <i x="100" s="1" nd="1"/>
        <i x="113" s="1" nd="1"/>
        <i x="414" s="1" nd="1"/>
        <i x="546" s="1" nd="1"/>
        <i x="554" s="1" nd="1"/>
        <i x="158" s="1" nd="1"/>
        <i x="338" s="1" nd="1"/>
        <i x="464" s="1" nd="1"/>
        <i x="20" s="1" nd="1"/>
        <i x="441" s="1" nd="1"/>
        <i x="230" s="1" nd="1"/>
        <i x="244" s="1" nd="1"/>
        <i x="378" s="1" nd="1"/>
        <i x="58" s="1" nd="1"/>
        <i x="403" s="1" nd="1"/>
        <i x="524" s="1" nd="1"/>
        <i x="270" s="1" nd="1"/>
        <i x="123" s="1" nd="1"/>
        <i x="294" s="1" nd="1"/>
        <i x="21" s="1" nd="1"/>
        <i x="304" s="1" nd="1"/>
        <i x="165" s="1" nd="1"/>
        <i x="566" s="1" nd="1"/>
        <i x="343" s="1" nd="1"/>
        <i x="361" s="1" nd="1"/>
        <i x="226" s="1" nd="1"/>
        <i x="69" s="1" nd="1"/>
        <i x="239" s="1" nd="1"/>
        <i x="499" s="1" nd="1"/>
        <i x="112" s="1" nd="1"/>
        <i x="288" s="1" nd="1"/>
        <i x="426" s="1" nd="1"/>
        <i x="553" s="1" nd="1"/>
        <i x="169" s="1" nd="1"/>
        <i x="331" s="1" nd="1"/>
        <i x="191" s="1" nd="1"/>
        <i x="463" s="1" nd="1"/>
        <i x="22" s="1" nd="1"/>
        <i x="350" s="1" nd="1"/>
        <i x="587" s="1" nd="1"/>
        <i x="211" s="1" nd="1"/>
        <i x="61" s="1" nd="1"/>
        <i x="23" s="1" nd="1"/>
        <i x="377" s="1" nd="1"/>
        <i x="109" s="1" nd="1"/>
        <i x="122" s="1" nd="1"/>
        <i x="280" s="1" nd="1"/>
        <i x="538" s="1" nd="1"/>
        <i x="293" s="1" nd="1"/>
        <i x="303" s="1" nd="1"/>
        <i x="164" s="1" nd="1"/>
        <i x="315" s="1" nd="1"/>
        <i x="446" s="1" nd="1"/>
        <i x="333" s="1" nd="1"/>
        <i x="342" s="1" nd="1"/>
        <i x="469" s="1" nd="1"/>
        <i x="355" s="1" nd="1"/>
        <i x="487" s="1" nd="1"/>
        <i x="68" s="1" nd="1"/>
        <i x="238" s="1" nd="1"/>
        <i x="374" s="1" nd="1"/>
        <i x="498" s="1" nd="1"/>
        <i x="379" s="1" nd="1"/>
        <i x="523" s="1" nd="1"/>
        <i x="99" s="1" nd="1"/>
        <i x="409" s="1" nd="1"/>
        <i x="541" s="1" nd="1"/>
        <i x="136" s="1" nd="1"/>
        <i x="286" s="1" nd="1"/>
        <i x="424" s="1" nd="1"/>
        <i x="310" s="1" nd="1"/>
        <i x="560" s="1" nd="1"/>
        <i x="322" s="1" nd="1"/>
        <i x="190" s="1" nd="1"/>
        <i x="472" s="1" nd="1"/>
        <i x="478" s="1" nd="1"/>
        <i x="48" s="1" nd="1"/>
        <i x="483" s="1" nd="1"/>
        <i x="491" s="1" nd="1"/>
        <i x="80" s="1" nd="1"/>
        <i x="393" s="1" nd="1"/>
        <i x="106" s="1" nd="1"/>
        <i x="407" s="1" nd="1"/>
        <i x="530" s="1" nd="1"/>
        <i x="121" s="1" nd="1"/>
        <i x="420" s="1" nd="1"/>
        <i x="292" s="1" nd="1"/>
        <i x="314" s="1" nd="1"/>
        <i x="24" s="1" nd="1"/>
        <i x="25" s="1" nd="1"/>
        <i x="195" s="1" nd="1"/>
        <i x="436" s="1" nd="1"/>
        <i x="582" s="1" nd="1"/>
        <i x="205" s="1" nd="1"/>
        <i x="26" s="1" nd="1"/>
        <i x="497" s="1" nd="1"/>
        <i x="262" s="1" nd="1"/>
        <i x="282" s="1" nd="1"/>
        <i x="432" s="1" nd="1"/>
        <i x="442" s="1" nd="1"/>
        <i x="321" s="1" nd="1"/>
        <i x="563" s="1" nd="1"/>
        <i x="180" s="1" nd="1"/>
        <i x="459" s="1" nd="1"/>
        <i x="189" s="1" nd="1"/>
        <i x="228" s="1" nd="1"/>
        <i x="27" s="1" nd="1"/>
        <i x="429" s="1" nd="1"/>
        <i x="174" s="1" nd="1"/>
        <i x="581" s="1" nd="1"/>
        <i x="237" s="1" nd="1"/>
        <i x="28" s="1" nd="1"/>
        <i x="29" s="1" nd="1"/>
        <i x="84" s="1" nd="1"/>
        <i x="388" s="1" nd="1"/>
        <i x="516" s="1" nd="1"/>
        <i x="30" s="1" nd="1"/>
        <i x="551" s="1" nd="1"/>
        <i x="570" s="1" nd="1"/>
        <i x="348" s="1" nd="1"/>
        <i x="178" s="1" nd="1"/>
        <i x="59" s="1" nd="1"/>
        <i x="86" s="1" nd="1"/>
        <i x="405" s="1" nd="1"/>
        <i x="119" s="1" nd="1"/>
        <i x="353" s="1" nd="1"/>
        <i x="66" s="1" nd="1"/>
        <i x="495" s="1" nd="1"/>
        <i x="277" s="1" nd="1"/>
        <i x="550" s="1" nd="1"/>
        <i x="320" s="1" nd="1"/>
        <i x="458" s="1" nd="1"/>
        <i x="210" s="1" nd="1"/>
        <i x="31" s="1" nd="1"/>
        <i x="385" s="1" nd="1"/>
        <i x="509" s="1" nd="1"/>
        <i x="32" s="1" nd="1"/>
        <i x="537" s="1" nd="1"/>
        <i x="428" s="1" nd="1"/>
        <i x="313" s="1" nd="1"/>
        <i x="325" s="1" nd="1"/>
        <i x="455" s="1" nd="1"/>
        <i x="572" s="1" nd="1"/>
        <i x="33" s="1" nd="1"/>
        <i x="341" s="1" nd="1"/>
        <i x="236" s="1" nd="1"/>
        <i x="34" s="1" nd="1"/>
        <i x="540" s="1" nd="1"/>
        <i x="439" s="1" nd="1"/>
        <i x="167" s="1" nd="1"/>
        <i x="187" s="1" nd="1"/>
        <i x="470" s="1" nd="1"/>
        <i x="35" s="1" nd="1"/>
        <i x="183" s="1" nd="1"/>
        <i x="438" s="1" nd="1"/>
        <i x="585" s="1" nd="1"/>
        <i x="500" s="1" nd="1"/>
        <i x="104" s="1" nd="1"/>
        <i x="302" s="1" nd="1"/>
        <i x="182" s="1" nd="1"/>
        <i x="467" s="1" nd="1"/>
        <i x="254" s="1" nd="1"/>
        <i x="544" s="1" nd="1"/>
        <i x="297" s="1" nd="1"/>
        <i x="319" s="1" nd="1"/>
        <i x="456" s="1" nd="1"/>
        <i x="36" s="1" nd="1"/>
        <i x="209" s="1" nd="1"/>
        <i x="129" s="1" nd="1"/>
        <i x="37" s="1" nd="1"/>
        <i x="38" s="1" nd="1"/>
        <i x="39" s="1" nd="1"/>
        <i x="543" s="1" nd="1"/>
        <i x="40" s="1" nd="1"/>
        <i x="404" s="1" nd="1"/>
        <i x="41" s="1" nd="1"/>
        <i x="42" s="1" nd="1"/>
        <i x="366" s="1" nd="1"/>
        <i x="396" s="1" nd="1"/>
        <i x="43" s="1" nd="1"/>
        <i x="135" s="1" nd="1"/>
        <i x="450" s="1" nd="1"/>
        <i x="44" s="1" nd="1"/>
        <i x="45" s="1" nd="1"/>
        <i x="92" s="1" nd="1"/>
        <i x="111" s="1" nd="1"/>
        <i x="241" s="1" nd="1"/>
        <i x="542" s="1" nd="1"/>
        <i x="259" s="1" nd="1"/>
        <i x="198" s="1" nd="1"/>
        <i x="561" s="1" nd="1"/>
        <i x="359" s="1" nd="1"/>
        <i x="352" s="1" nd="1"/>
        <i x="157" s="1" nd="1"/>
        <i x="44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3">
        <i x="3"/>
        <i x="5"/>
        <i x="2"/>
        <i x="1"/>
        <i x="6"/>
        <i x="0"/>
        <i x="7"/>
        <i x="8"/>
        <i x="4" s="1"/>
        <i x="16" nd="1"/>
        <i x="18" nd="1"/>
        <i x="23" nd="1"/>
        <i x="30" nd="1"/>
        <i x="38" nd="1"/>
        <i x="25" nd="1"/>
        <i x="28" nd="1"/>
        <i x="41" nd="1"/>
        <i x="42" nd="1"/>
        <i x="12" nd="1"/>
        <i x="19" nd="1"/>
        <i x="36" nd="1"/>
        <i x="21" nd="1"/>
        <i x="39" nd="1"/>
        <i x="14" nd="1"/>
        <i x="27" nd="1"/>
        <i x="35" nd="1"/>
        <i x="29" nd="1"/>
        <i x="20" nd="1"/>
        <i x="11" nd="1"/>
        <i x="37" nd="1"/>
        <i x="31" nd="1"/>
        <i x="22" nd="1"/>
        <i x="13" nd="1"/>
        <i x="40" nd="1"/>
        <i x="32" nd="1"/>
        <i x="24" nd="1"/>
        <i x="15" nd="1"/>
        <i x="9" nd="1"/>
        <i x="33" nd="1"/>
        <i x="26" nd="1"/>
        <i x="17" nd="1"/>
        <i x="10" nd="1"/>
        <i x="3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191">
        <i x="0" s="1"/>
        <i x="184" s="1" nd="1"/>
        <i x="164" s="1" nd="1"/>
        <i x="75" s="1" nd="1"/>
        <i x="19" s="1" nd="1"/>
        <i x="62" s="1" nd="1"/>
        <i x="185" s="1" nd="1"/>
        <i x="7" s="1" nd="1"/>
        <i x="161" s="1" nd="1"/>
        <i x="46" s="1" nd="1"/>
        <i x="135" s="1" nd="1"/>
        <i x="79" s="1" nd="1"/>
        <i x="182" s="1" nd="1"/>
        <i x="68" s="1" nd="1"/>
        <i x="11" s="1" nd="1"/>
        <i x="136" s="1" nd="1"/>
        <i x="82" s="1" nd="1"/>
        <i x="143" s="1" nd="1"/>
        <i x="88" s="1" nd="1"/>
        <i x="115" s="1" nd="1"/>
        <i x="141" s="1" nd="1"/>
        <i x="34" s="1" nd="1"/>
        <i x="50" s="1" nd="1"/>
        <i x="186" s="1" nd="1"/>
        <i x="8" s="1" nd="1"/>
        <i x="179" s="1" nd="1"/>
        <i x="51" s="1" nd="1"/>
        <i x="83" s="1" nd="1"/>
        <i x="58" s="1" nd="1"/>
        <i x="91" s="1" nd="1"/>
        <i x="95" s="1" nd="1"/>
        <i x="69" s="1" nd="1"/>
        <i x="23" s="1" nd="1"/>
        <i x="156" s="1" nd="1"/>
        <i x="32" s="1" nd="1"/>
        <i x="35" s="1" nd="1"/>
        <i x="146" s="1" nd="1"/>
        <i x="99" s="1" nd="1"/>
        <i x="63" s="1" nd="1"/>
        <i x="187" s="1" nd="1"/>
        <i x="147" s="1" nd="1"/>
        <i x="100" s="1" nd="1"/>
        <i x="168" s="1" nd="1"/>
        <i x="44" s="1" nd="1"/>
        <i x="12" s="1" nd="1"/>
        <i x="20" s="1" nd="1"/>
        <i x="128" s="1" nd="1"/>
        <i x="109" s="1" nd="1"/>
        <i x="148" s="1" nd="1"/>
        <i x="111" s="1" nd="1"/>
        <i x="80" s="1" nd="1"/>
        <i x="92" s="1" nd="1"/>
        <i x="89" s="1" nd="1"/>
        <i x="66" s="1" nd="1"/>
        <i x="180" s="1" nd="1"/>
        <i x="4" s="1" nd="1"/>
        <i x="188" s="1" nd="1"/>
        <i x="116" s="1" nd="1"/>
        <i x="5" s="1" nd="1"/>
        <i x="84" s="1" nd="1"/>
        <i x="153" s="1" nd="1"/>
        <i x="151" s="1" nd="1"/>
        <i x="21" s="1" nd="1"/>
        <i x="93" s="1" nd="1"/>
        <i x="67" s="1" nd="1"/>
        <i x="142" s="1" nd="1"/>
        <i x="40" s="1" nd="1"/>
        <i x="162" s="1" nd="1"/>
        <i x="173" s="1" nd="1"/>
        <i x="24" s="1" nd="1"/>
        <i x="120" s="1" nd="1"/>
        <i x="138" s="1" nd="1"/>
        <i x="169" s="1" nd="1"/>
        <i x="160" s="1" nd="1"/>
        <i x="104" s="1" nd="1"/>
        <i x="131" s="1" nd="1"/>
        <i x="165" s="1" nd="1"/>
        <i x="52" s="1" nd="1"/>
        <i x="36" s="1" nd="1"/>
        <i x="70" s="1" nd="1"/>
        <i x="105" s="1" nd="1"/>
        <i x="101" s="1" nd="1"/>
        <i x="41" s="1" nd="1"/>
        <i x="150" s="1" nd="1"/>
        <i x="37" s="1" nd="1"/>
        <i x="152" s="1" nd="1"/>
        <i x="72" s="1" nd="1"/>
        <i x="64" s="1" nd="1"/>
        <i x="174" s="1" nd="1"/>
        <i x="189" s="1" nd="1"/>
        <i x="1" s="1" nd="1"/>
        <i x="170" s="1" nd="1"/>
        <i x="190" s="1" nd="1"/>
        <i x="132" s="1" nd="1"/>
        <i x="139" s="1" nd="1"/>
        <i x="27" s="1" nd="1"/>
        <i x="157" s="1" nd="1"/>
        <i x="134" s="1" nd="1"/>
        <i x="47" s="1" nd="1"/>
        <i x="73" s="1" nd="1"/>
        <i x="117" s="1" nd="1"/>
        <i x="129" s="1" nd="1"/>
        <i x="90" s="1" nd="1"/>
        <i x="76" s="1" nd="1"/>
        <i x="48" s="1" nd="1"/>
        <i x="14" s="1" nd="1"/>
        <i x="118" s="1" nd="1"/>
        <i x="59" s="1" nd="1"/>
        <i x="158" s="1" nd="1"/>
        <i x="85" s="1" nd="1"/>
        <i x="56" s="1" nd="1"/>
        <i x="28" s="1" nd="1"/>
        <i x="60" s="1" nd="1"/>
        <i x="2" s="1" nd="1"/>
        <i x="33" s="1" nd="1"/>
        <i x="22" s="1" nd="1"/>
        <i x="6" s="1" nd="1"/>
        <i x="124" s="1" nd="1"/>
        <i x="86" s="1" nd="1"/>
        <i x="49" s="1" nd="1"/>
        <i x="30" s="1" nd="1"/>
        <i x="38" s="1" nd="1"/>
        <i x="130" s="1" nd="1"/>
        <i x="163" s="1" nd="1"/>
        <i x="29" s="1" nd="1"/>
        <i x="125" s="1" nd="1"/>
        <i x="13" s="1" nd="1"/>
        <i x="42" s="1" nd="1"/>
        <i x="17" s="1" nd="1"/>
        <i x="102" s="1" nd="1"/>
        <i x="74" s="1" nd="1"/>
        <i x="77" s="1" nd="1"/>
        <i x="16" s="1" nd="1"/>
        <i x="175" s="1" nd="1"/>
        <i x="176" s="1" nd="1"/>
        <i x="110" s="1" nd="1"/>
        <i x="144" s="1" nd="1"/>
        <i x="53" s="1" nd="1"/>
        <i x="25" s="1" nd="1"/>
        <i x="106" s="1" nd="1"/>
        <i x="149" s="1" nd="1"/>
        <i x="121" s="1" nd="1"/>
        <i x="39" s="1" nd="1"/>
        <i x="177" s="1" nd="1"/>
        <i x="112" s="1" nd="1"/>
        <i x="9" s="1" nd="1"/>
        <i x="166" s="1" nd="1"/>
        <i x="18" s="1" nd="1"/>
        <i x="45" s="1" nd="1"/>
        <i x="96" s="1" nd="1"/>
        <i x="71" s="1" nd="1"/>
        <i x="126" s="1" nd="1"/>
        <i x="159" s="1" nd="1"/>
        <i x="103" s="1" nd="1"/>
        <i x="113" s="1" nd="1"/>
        <i x="54" s="1" nd="1"/>
        <i x="15" s="1" nd="1"/>
        <i x="43" s="1" nd="1"/>
        <i x="55" s="1" nd="1"/>
        <i x="107" s="1" nd="1"/>
        <i x="122" s="1" nd="1"/>
        <i x="133" s="1" nd="1"/>
        <i x="127" s="1" nd="1"/>
        <i x="78" s="1" nd="1"/>
        <i x="94" s="1" nd="1"/>
        <i x="26" s="1" nd="1"/>
        <i x="57" s="1" nd="1"/>
        <i x="167" s="1" nd="1"/>
        <i x="97" s="1" nd="1"/>
        <i x="3" s="1" nd="1"/>
        <i x="145" s="1" nd="1"/>
        <i x="183" s="1" nd="1"/>
        <i x="65" s="1" nd="1"/>
        <i x="119" s="1" nd="1"/>
        <i x="137" s="1" nd="1"/>
        <i x="81" s="1" nd="1"/>
        <i x="98" s="1" nd="1"/>
        <i x="114" s="1" nd="1"/>
        <i x="123" s="1" nd="1"/>
        <i x="171" s="1" nd="1"/>
        <i x="10" s="1" nd="1"/>
        <i x="140" s="1" nd="1"/>
        <i x="178" s="1" nd="1"/>
        <i x="181" s="1" nd="1"/>
        <i x="31" s="1" nd="1"/>
        <i x="61" s="1" nd="1"/>
        <i x="154" s="1" nd="1"/>
        <i x="172" s="1" nd="1"/>
        <i x="155" s="1" nd="1"/>
        <i x="87" s="1" nd="1"/>
        <i x="108"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440">
        <i x="22" s="1"/>
        <i x="7" s="1"/>
        <i x="1" s="1"/>
        <i x="2" s="1"/>
        <i x="6" s="1"/>
        <i x="8" s="1"/>
        <i x="21" s="1"/>
        <i x="14" s="1"/>
        <i x="20" s="1"/>
        <i x="10" s="1"/>
        <i x="9" s="1"/>
        <i x="15" s="1"/>
        <i x="3" s="1"/>
        <i x="19" s="1"/>
        <i x="17" s="1"/>
        <i x="5" s="1"/>
        <i x="4" s="1"/>
        <i x="16" s="1"/>
        <i x="13" s="1"/>
        <i x="18" s="1"/>
        <i x="0" s="1"/>
        <i x="11" s="1"/>
        <i x="12" s="1"/>
        <i x="46" s="1" nd="1"/>
        <i x="109" s="1" nd="1"/>
        <i x="69" s="1" nd="1"/>
        <i x="173" s="1" nd="1"/>
        <i x="186" s="1" nd="1"/>
        <i x="49" s="1" nd="1"/>
        <i x="154" s="1" nd="1"/>
        <i x="102" s="1" nd="1"/>
        <i x="319" s="1" nd="1"/>
        <i x="213" s="1" nd="1"/>
        <i x="150" s="1" nd="1"/>
        <i x="272" s="1" nd="1"/>
        <i x="320" s="1" nd="1"/>
        <i x="337" s="1" nd="1"/>
        <i x="295" s="1" nd="1"/>
        <i x="230" s="1" nd="1"/>
        <i x="214" s="1" nd="1"/>
        <i x="321" s="1" nd="1"/>
        <i x="242" s="1" nd="1"/>
        <i x="114" s="1" nd="1"/>
        <i x="59" s="1" nd="1"/>
        <i x="222" s="1" nd="1"/>
        <i x="411" s="1" nd="1"/>
        <i x="39" s="1" nd="1"/>
        <i x="330" s="1" nd="1"/>
        <i x="223" s="1" nd="1"/>
        <i x="155" s="1" nd="1"/>
        <i x="281" s="1" nd="1"/>
        <i x="303" s="1" nd="1"/>
        <i x="124" s="1" nd="1"/>
        <i x="252" s="1" nd="1"/>
        <i x="199" s="1" nd="1"/>
        <i x="296" s="1" nd="1"/>
        <i x="297" s="1" nd="1"/>
        <i x="412" s="1" nd="1"/>
        <i x="151" s="1" nd="1"/>
        <i x="304" s="1" nd="1"/>
        <i x="152" s="1" nd="1"/>
        <i x="276" s="1" nd="1"/>
        <i x="23" s="1" nd="1"/>
        <i x="121" s="1" nd="1"/>
        <i x="425" s="1" nd="1"/>
        <i x="347" s="1" nd="1"/>
        <i x="253" s="1" nd="1"/>
        <i x="68" s="1" nd="1"/>
        <i x="174" s="1" nd="1"/>
        <i x="209" s="1" nd="1"/>
        <i x="110" s="1" nd="1"/>
        <i x="74" s="1" nd="1"/>
        <i x="50" s="1" nd="1"/>
        <i x="377" s="1" nd="1"/>
        <i x="175" s="1" nd="1"/>
        <i x="167" s="1" nd="1"/>
        <i x="47" s="1" nd="1"/>
        <i x="266" s="1" nd="1"/>
        <i x="111" s="1" nd="1"/>
        <i x="331" s="1" nd="1"/>
        <i x="305" s="1" nd="1"/>
        <i x="138" s="1" nd="1"/>
        <i x="282" s="1" nd="1"/>
        <i x="431" s="1" nd="1"/>
        <i x="156" s="1" nd="1"/>
        <i x="51" s="1" nd="1"/>
        <i x="215" s="1" nd="1"/>
        <i x="383" s="1" nd="1"/>
        <i x="168" s="1" nd="1"/>
        <i x="290" s="1" nd="1"/>
        <i x="176" s="1" nd="1"/>
        <i x="395" s="1" nd="1"/>
        <i x="413" s="1" nd="1"/>
        <i x="70" s="1" nd="1"/>
        <i x="277" s="1" nd="1"/>
        <i x="243" s="1" nd="1"/>
        <i x="398" s="1" nd="1"/>
        <i x="384" s="1" nd="1"/>
        <i x="177" s="1" nd="1"/>
        <i x="273" s="1" nd="1"/>
        <i x="33" s="1" nd="1"/>
        <i x="283" s="1" nd="1"/>
        <i x="231" s="1" nd="1"/>
        <i x="368" s="1" nd="1"/>
        <i x="402" s="1" nd="1"/>
        <i x="267" s="1" nd="1"/>
        <i x="224" s="1" nd="1"/>
        <i x="342" s="1" nd="1"/>
        <i x="52" s="1" nd="1"/>
        <i x="115" s="1" nd="1"/>
        <i x="238" s="1" nd="1"/>
        <i x="403" s="1" nd="1"/>
        <i x="417" s="1" nd="1"/>
        <i x="97" s="1" nd="1"/>
        <i x="157" s="1" nd="1"/>
        <i x="232" s="1" nd="1"/>
        <i x="326" s="1" nd="1"/>
        <i x="426" s="1" nd="1"/>
        <i x="244" s="1" nd="1"/>
        <i x="158" s="1" nd="1"/>
        <i x="91" s="1" nd="1"/>
        <i x="159" s="1" nd="1"/>
        <i x="254" s="1" nd="1"/>
        <i x="291" s="1" nd="1"/>
        <i x="60" s="1" nd="1"/>
        <i x="245" s="1" nd="1"/>
        <i x="40" s="1" nd="1"/>
        <i x="274" s="1" nd="1"/>
        <i x="140" s="1" nd="1"/>
        <i x="75" s="1" nd="1"/>
        <i x="200" s="1" nd="1"/>
        <i x="434" s="1" nd="1"/>
        <i x="332" s="1" nd="1"/>
        <i x="28" s="1" nd="1"/>
        <i x="298" s="1" nd="1"/>
        <i x="112" s="1" nd="1"/>
        <i x="24" s="1" nd="1"/>
        <i x="369" s="1" nd="1"/>
        <i x="233" s="1" nd="1"/>
        <i x="133" s="1" nd="1"/>
        <i x="160" s="1" nd="1"/>
        <i x="327" s="1" nd="1"/>
        <i x="306" s="1" nd="1"/>
        <i x="134" s="1" nd="1"/>
        <i x="275" s="1" nd="1"/>
        <i x="246" s="1" nd="1"/>
        <i x="76" s="1" nd="1"/>
        <i x="92" s="1" nd="1"/>
        <i x="29" s="1" nd="1"/>
        <i x="122" s="1" nd="1"/>
        <i x="34" s="1" nd="1"/>
        <i x="98" s="1" nd="1"/>
        <i x="234" s="1" nd="1"/>
        <i x="80" s="1" nd="1"/>
        <i x="278" s="1" nd="1"/>
        <i x="370" s="1" nd="1"/>
        <i x="284" s="1" nd="1"/>
        <i x="352" s="1" nd="1"/>
        <i x="312" s="1" nd="1"/>
        <i x="103" s="1" nd="1"/>
        <i x="178" s="1" nd="1"/>
        <i x="139" s="1" nd="1"/>
        <i x="179" s="1" nd="1"/>
        <i x="201" s="1" nd="1"/>
        <i x="385" s="1" nd="1"/>
        <i x="25" s="1" nd="1"/>
        <i x="255" s="1" nd="1"/>
        <i x="378" s="1" nd="1"/>
        <i x="407" s="1" nd="1"/>
        <i x="379" s="1" nd="1"/>
        <i x="386" s="1" nd="1"/>
        <i x="225" s="1" nd="1"/>
        <i x="81" s="1" nd="1"/>
        <i x="210" s="1" nd="1"/>
        <i x="418" s="1" nd="1"/>
        <i x="348" s="1" nd="1"/>
        <i x="380" s="1" nd="1"/>
        <i x="314" s="1" nd="1"/>
        <i x="359" s="1" nd="1"/>
        <i x="292" s="1" nd="1"/>
        <i x="387" s="1" nd="1"/>
        <i x="77" s="1" nd="1"/>
        <i x="322" s="1" nd="1"/>
        <i x="404" s="1" nd="1"/>
        <i x="360" s="1" nd="1"/>
        <i x="30" s="1" nd="1"/>
        <i x="381" s="1" nd="1"/>
        <i x="202" s="1" nd="1"/>
        <i x="279" s="1" nd="1"/>
        <i x="141" s="1" nd="1"/>
        <i x="247" s="1" nd="1"/>
        <i x="161" s="1" nd="1"/>
        <i x="61" s="1" nd="1"/>
        <i x="113" s="1" nd="1"/>
        <i x="371" s="1" nd="1"/>
        <i x="116" s="1" nd="1"/>
        <i x="203" s="1" nd="1"/>
        <i x="408" s="1" nd="1"/>
        <i x="93" s="1" nd="1"/>
        <i x="41" s="1" nd="1"/>
        <i x="419" s="1" nd="1"/>
        <i x="191" s="1" nd="1"/>
        <i x="372" s="1" nd="1"/>
        <i x="361" s="1" nd="1"/>
        <i x="35" s="1" nd="1"/>
        <i x="349" s="1" nd="1"/>
        <i x="125" s="1" nd="1"/>
        <i x="268" s="1" nd="1"/>
        <i x="153" s="1" nd="1"/>
        <i x="71" s="1" nd="1"/>
        <i x="414" s="1" nd="1"/>
        <i x="142" s="1" nd="1"/>
        <i x="26" s="1" nd="1"/>
        <i x="399" s="1" nd="1"/>
        <i x="388" s="1" nd="1"/>
        <i x="415" s="1" nd="1"/>
        <i x="394" s="1" nd="1"/>
        <i x="62" s="1" nd="1"/>
        <i x="181" s="1" nd="1"/>
        <i x="78" s="1" nd="1"/>
        <i x="192" s="1" nd="1"/>
        <i x="350" s="1" nd="1"/>
        <i x="362" s="1" nd="1"/>
        <i x="435" s="1" nd="1"/>
        <i x="204" s="1" nd="1"/>
        <i x="193" s="1" nd="1"/>
        <i x="117" s="1" nd="1"/>
        <i x="285" s="1" nd="1"/>
        <i x="162" s="1" nd="1"/>
        <i x="343" s="1" nd="1"/>
        <i x="344" s="1" nd="1"/>
        <i x="333" s="1" nd="1"/>
        <i x="194" s="1" nd="1"/>
        <i x="169" s="1" nd="1"/>
        <i x="143" s="1" nd="1"/>
        <i x="187" s="1" nd="1"/>
        <i x="86" s="1" nd="1"/>
        <i x="373" s="1" nd="1"/>
        <i x="353" s="1" nd="1"/>
        <i x="87" s="1" nd="1"/>
        <i x="220" s="1" nd="1"/>
        <i x="211" s="1" nd="1"/>
        <i x="307" s="1" nd="1"/>
        <i x="196" s="1" nd="1"/>
        <i x="135" s="1" nd="1"/>
        <i x="31" s="1" nd="1"/>
        <i x="308" s="1" nd="1"/>
        <i x="53" s="1" nd="1"/>
        <i x="79" s="1" nd="1"/>
        <i x="309" s="1" nd="1"/>
        <i x="126" s="1" nd="1"/>
        <i x="72" s="1" nd="1"/>
        <i x="400" s="1" nd="1"/>
        <i x="315" s="1" nd="1"/>
        <i x="299" s="1" nd="1"/>
        <i x="323" s="1" nd="1"/>
        <i x="88" s="1" nd="1"/>
        <i x="436" s="1" nd="1"/>
        <i x="197" s="1" nd="1"/>
        <i x="123" s="1" nd="1"/>
        <i x="221" s="1" nd="1"/>
        <i x="63" s="1" nd="1"/>
        <i x="432" s="1" nd="1"/>
        <i x="239" s="1" nd="1"/>
        <i x="351" s="1" nd="1"/>
        <i x="363" s="1" nd="1"/>
        <i x="240" s="1" nd="1"/>
        <i x="82" s="1" nd="1"/>
        <i x="405" s="1" nd="1"/>
        <i x="144" s="1" nd="1"/>
        <i x="316" s="1" nd="1"/>
        <i x="259" s="1" nd="1"/>
        <i x="324" s="1" nd="1"/>
        <i x="420" s="1" nd="1"/>
        <i x="241" s="1" nd="1"/>
        <i x="364" s="1" nd="1"/>
        <i x="136" s="1" nd="1"/>
        <i x="99" s="1" nd="1"/>
        <i x="374" s="1" nd="1"/>
        <i x="248" s="1" nd="1"/>
        <i x="345" s="1" nd="1"/>
        <i x="127" s="1" nd="1"/>
        <i x="64" s="1" nd="1"/>
        <i x="42" s="1" nd="1"/>
        <i x="421" s="1" nd="1"/>
        <i x="118" s="1" nd="1"/>
        <i x="54" s="1" nd="1"/>
        <i x="260" s="1" nd="1"/>
        <i x="269" s="1" nd="1"/>
        <i x="375" s="1" nd="1"/>
        <i x="354" s="1" nd="1"/>
        <i x="334" s="1" nd="1"/>
        <i x="73" s="1" nd="1"/>
        <i x="422" s="1" nd="1"/>
        <i x="128" s="1" nd="1"/>
        <i x="235" s="1" nd="1"/>
        <i x="129" s="1" nd="1"/>
        <i x="338" s="1" nd="1"/>
        <i x="409" s="1" nd="1"/>
        <i x="36" s="1" nd="1"/>
        <i x="389" s="1" nd="1"/>
        <i x="236" s="1" nd="1"/>
        <i x="355" s="1" nd="1"/>
        <i x="256" s="1" nd="1"/>
        <i x="390" s="1" nd="1"/>
        <i x="83" s="1" nd="1"/>
        <i x="145" s="1" nd="1"/>
        <i x="317" s="1" nd="1"/>
        <i x="401" s="1" nd="1"/>
        <i x="104" s="1" nd="1"/>
        <i x="293" s="1" nd="1"/>
        <i x="65" s="1" nd="1"/>
        <i x="423" s="1" nd="1"/>
        <i x="32" s="1" nd="1"/>
        <i x="146" s="1" nd="1"/>
        <i x="105" s="1" nd="1"/>
        <i x="163" s="1" nd="1"/>
        <i x="280" s="1" nd="1"/>
        <i x="437" s="1" nd="1"/>
        <i x="261" s="1" nd="1"/>
        <i x="382" s="1" nd="1"/>
        <i x="335" s="1" nd="1"/>
        <i x="286" s="1" nd="1"/>
        <i x="325" s="1" nd="1"/>
        <i x="365" s="1" nd="1"/>
        <i x="249" s="1" nd="1"/>
        <i x="188" s="1" nd="1"/>
        <i x="356" s="1" nd="1"/>
        <i x="366" s="1" nd="1"/>
        <i x="147" s="1" nd="1"/>
        <i x="137" s="1" nd="1"/>
        <i x="164" s="1" nd="1"/>
        <i x="262" s="1" nd="1"/>
        <i x="84" s="1" nd="1"/>
        <i x="416" s="1" nd="1"/>
        <i x="205" s="1" nd="1"/>
        <i x="310" s="1" nd="1"/>
        <i x="410" s="1" nd="1"/>
        <i x="165" s="1" nd="1"/>
        <i x="106" s="1" nd="1"/>
        <i x="55" s="1" nd="1"/>
        <i x="198" s="1" nd="1"/>
        <i x="119" s="1" nd="1"/>
        <i x="43" s="1" nd="1"/>
        <i x="130" s="1" nd="1"/>
        <i x="328" s="1" nd="1"/>
        <i x="48" s="1" nd="1"/>
        <i x="212" s="1" nd="1"/>
        <i x="270" s="1" nd="1"/>
        <i x="336" s="1" nd="1"/>
        <i x="37" s="1" nd="1"/>
        <i x="100" s="1" nd="1"/>
        <i x="170" s="1" nd="1"/>
        <i x="250" s="1" nd="1"/>
        <i x="226" s="1" nd="1"/>
        <i x="131" s="1" nd="1"/>
        <i x="376" s="1" nd="1"/>
        <i x="257" s="1" nd="1"/>
        <i x="216" s="1" nd="1"/>
        <i x="251" s="1" nd="1"/>
        <i x="391" s="1" nd="1"/>
        <i x="227" s="1" nd="1"/>
        <i x="271" s="1" nd="1"/>
        <i x="189" s="1" nd="1"/>
        <i x="438" s="1" nd="1"/>
        <i x="56" s="1" nd="1"/>
        <i x="300" s="1" nd="1"/>
        <i x="301" s="1" nd="1"/>
        <i x="313" s="1" nd="1"/>
        <i x="263" s="1" nd="1"/>
        <i x="107" s="1" nd="1"/>
        <i x="171" s="1" nd="1"/>
        <i x="357" s="1" nd="1"/>
        <i x="132" s="1" nd="1"/>
        <i x="329" s="1" nd="1"/>
        <i x="406" s="1" nd="1"/>
        <i x="94" s="1" nd="1"/>
        <i x="180" s="1" nd="1"/>
        <i x="38" s="1" nd="1"/>
        <i x="264" s="1" nd="1"/>
        <i x="439" s="1" nd="1"/>
        <i x="217" s="1" nd="1"/>
        <i x="95" s="1" nd="1"/>
        <i x="66" s="1" nd="1"/>
        <i x="67" s="1" nd="1"/>
        <i x="108" s="1" nd="1"/>
        <i x="44" s="1" nd="1"/>
        <i x="427" s="1" nd="1"/>
        <i x="57" s="1" nd="1"/>
        <i x="190" s="1" nd="1"/>
        <i x="206" s="1" nd="1"/>
        <i x="358" s="1" nd="1"/>
        <i x="207" s="1" nd="1"/>
        <i x="392" s="1" nd="1"/>
        <i x="346" s="1" nd="1"/>
        <i x="166" s="1" nd="1"/>
        <i x="182" s="1" nd="1"/>
        <i x="396" s="1" nd="1"/>
        <i x="318" s="1" nd="1"/>
        <i x="428" s="1" nd="1"/>
        <i x="101" s="1" nd="1"/>
        <i x="287" s="1" nd="1"/>
        <i x="237" s="1" nd="1"/>
        <i x="96" s="1" nd="1"/>
        <i x="429" s="1" nd="1"/>
        <i x="85" s="1" nd="1"/>
        <i x="302" s="1" nd="1"/>
        <i x="228" s="1" nd="1"/>
        <i x="58" s="1" nd="1"/>
        <i x="424" s="1" nd="1"/>
        <i x="45" s="1" nd="1"/>
        <i x="430" s="1" nd="1"/>
        <i x="148" s="1" nd="1"/>
        <i x="229" s="1" nd="1"/>
        <i x="288" s="1" nd="1"/>
        <i x="183" s="1" nd="1"/>
        <i x="89" s="1" nd="1"/>
        <i x="195" s="1" nd="1"/>
        <i x="294" s="1" nd="1"/>
        <i x="172" s="1" nd="1"/>
        <i x="149" s="1" nd="1"/>
        <i x="120" s="1" nd="1"/>
        <i x="367" s="1" nd="1"/>
        <i x="339" s="1" nd="1"/>
        <i x="208" s="1" nd="1"/>
        <i x="265" s="1" nd="1"/>
        <i x="289" s="1" nd="1"/>
        <i x="218" s="1" nd="1"/>
        <i x="27" s="1" nd="1"/>
        <i x="433" s="1" nd="1"/>
        <i x="397" s="1" nd="1"/>
        <i x="340" s="1" nd="1"/>
        <i x="393" s="1" nd="1"/>
        <i x="90" s="1" nd="1"/>
        <i x="184" s="1" nd="1"/>
        <i x="219" s="1" nd="1"/>
        <i x="311" s="1" nd="1"/>
        <i x="258" s="1" nd="1"/>
        <i x="341" s="1" nd="1"/>
        <i x="185"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455">
        <i x="20" s="1"/>
        <i x="18" s="1"/>
        <i x="11" s="1"/>
        <i x="2" s="1"/>
        <i x="0" s="1"/>
        <i x="5" s="1"/>
        <i x="8" s="1"/>
        <i x="22" s="1"/>
        <i x="17" s="1"/>
        <i x="9" s="1"/>
        <i x="19" s="1"/>
        <i x="16" s="1"/>
        <i x="10" s="1"/>
        <i x="24" s="1"/>
        <i x="1" s="1"/>
        <i x="15" s="1"/>
        <i x="21" s="1"/>
        <i x="4" s="1"/>
        <i x="23" s="1"/>
        <i x="6" s="1"/>
        <i x="7" s="1"/>
        <i x="3" s="1"/>
        <i x="13" s="1"/>
        <i x="14" s="1"/>
        <i x="12" s="1"/>
        <i x="39" s="1" nd="1"/>
        <i x="421" s="1" nd="1"/>
        <i x="348" s="1" nd="1"/>
        <i x="120" s="1" nd="1"/>
        <i x="341" s="1" nd="1"/>
        <i x="304" s="1" nd="1"/>
        <i x="355" s="1" nd="1"/>
        <i x="349" s="1" nd="1"/>
        <i x="317" s="1" nd="1"/>
        <i x="413" s="1" nd="1"/>
        <i x="156" s="1" nd="1"/>
        <i x="76" s="1" nd="1"/>
        <i x="350" s="1" nd="1"/>
        <i x="232" s="1" nd="1"/>
        <i x="289" s="1" nd="1"/>
        <i x="64" s="1" nd="1"/>
        <i x="404" s="1" nd="1"/>
        <i x="305" s="1" nd="1"/>
        <i x="233" s="1" nd="1"/>
        <i x="356" s="1" nd="1"/>
        <i x="369" s="1" nd="1"/>
        <i x="240" s="1" nd="1"/>
        <i x="65" s="1" nd="1"/>
        <i x="318" s="1" nd="1"/>
        <i x="259" s="1" nd="1"/>
        <i x="90" s="1" nd="1"/>
        <i x="40" s="1" nd="1"/>
        <i x="332" s="1" nd="1"/>
        <i x="210" s="1" nd="1"/>
        <i x="363" s="1" nd="1"/>
        <i x="385" s="1" nd="1"/>
        <i x="56" s="1" nd="1"/>
        <i x="276" s="1" nd="1"/>
        <i x="144" s="1" nd="1"/>
        <i x="31" s="1" nd="1"/>
        <i x="422" s="1" nd="1"/>
        <i x="98" s="1" nd="1"/>
        <i x="192" s="1" nd="1"/>
        <i x="46" s="1" nd="1"/>
        <i x="436" s="1" nd="1"/>
        <i x="306" s="1" nd="1"/>
        <i x="234" s="1" nd="1"/>
        <i x="177" s="1" nd="1"/>
        <i x="392" s="1" nd="1"/>
        <i x="411" s="1" nd="1"/>
        <i x="218" s="1" nd="1"/>
        <i x="437" s="1" nd="1"/>
        <i x="145" s="1" nd="1"/>
        <i x="91" s="1" nd="1"/>
        <i x="47" s="1" nd="1"/>
        <i x="370" s="1" nd="1"/>
        <i x="307" s="1" nd="1"/>
        <i x="146" s="1" nd="1"/>
        <i x="138" s="1" nd="1"/>
        <i x="135" s="1" nd="1"/>
        <i x="405" s="1" nd="1"/>
        <i x="398" s="1" nd="1"/>
        <i x="147" s="1" nd="1"/>
        <i x="260" s="1" nd="1"/>
        <i x="374" s="1" nd="1"/>
        <i x="34" s="1" nd="1"/>
        <i x="399" s="1" nd="1"/>
        <i x="428" s="1" nd="1"/>
        <i x="193" s="1" nd="1"/>
        <i x="364" s="1" nd="1"/>
        <i x="48" s="1" nd="1"/>
        <i x="106" s="1" nd="1"/>
        <i x="277" s="1" nd="1"/>
        <i x="152" s="1" nd="1"/>
        <i x="35" s="1" nd="1"/>
        <i x="333" s="1" nd="1"/>
        <i x="269" s="1" nd="1"/>
        <i x="127" s="1" nd="1"/>
        <i x="297" s="1" nd="1"/>
        <i x="226" s="1" nd="1"/>
        <i x="386" s="1" nd="1"/>
        <i x="319" s="1" nd="1"/>
        <i x="57" s="1" nd="1"/>
        <i x="113" s="1" nd="1"/>
        <i x="163" s="1" nd="1"/>
        <i x="334" s="1" nd="1"/>
        <i x="235" s="1" nd="1"/>
        <i x="41" s="1" nd="1"/>
        <i x="58" s="1" nd="1"/>
        <i x="114" s="1" nd="1"/>
        <i x="178" s="1" nd="1"/>
        <i x="278" s="1" nd="1"/>
        <i x="414" s="1" nd="1"/>
        <i x="194" s="1" nd="1"/>
        <i x="423" s="1" nd="1"/>
        <i x="360" s="1" nd="1"/>
        <i x="227" s="1" nd="1"/>
        <i x="241" s="1" nd="1"/>
        <i x="429" s="1" nd="1"/>
        <i x="128" s="1" nd="1"/>
        <i x="298" s="1" nd="1"/>
        <i x="49" s="1" nd="1"/>
        <i x="443" s="1" nd="1"/>
        <i x="387" s="1" nd="1"/>
        <i x="308" s="1" nd="1"/>
        <i x="195" s="1" nd="1"/>
        <i x="50" s="1" nd="1"/>
        <i x="179" s="1" nd="1"/>
        <i x="279" s="1" nd="1"/>
        <i x="444" s="1" nd="1"/>
        <i x="139" s="1" nd="1"/>
        <i x="219" s="1" nd="1"/>
        <i x="201" s="1" nd="1"/>
        <i x="309" s="1" nd="1"/>
        <i x="211" s="1" nd="1"/>
        <i x="312" s="1" nd="1"/>
        <i x="299" s="1" nd="1"/>
        <i x="84" s="1" nd="1"/>
        <i x="187" s="1" nd="1"/>
        <i x="406" s="1" nd="1"/>
        <i x="438" s="1" nd="1"/>
        <i x="205" s="1" nd="1"/>
        <i x="249" s="1" nd="1"/>
        <i x="342" s="1" nd="1"/>
        <i x="415" s="1" nd="1"/>
        <i x="285" s="1" nd="1"/>
        <i x="400" s="1" nd="1"/>
        <i x="212" s="1" nd="1"/>
        <i x="70" s="1" nd="1"/>
        <i x="430" s="1" nd="1"/>
        <i x="157" s="1" nd="1"/>
        <i x="311" s="1" nd="1"/>
        <i x="250" s="1" nd="1"/>
        <i x="188" s="1" nd="1"/>
        <i x="99" s="1" nd="1"/>
        <i x="153" s="1" nd="1"/>
        <i x="66" s="1" nd="1"/>
        <i x="357" s="1" nd="1"/>
        <i x="115" s="1" nd="1"/>
        <i x="365" s="1" nd="1"/>
        <i x="51" s="1" nd="1"/>
        <i x="264" s="1" nd="1"/>
        <i x="121" s="1" nd="1"/>
        <i x="290" s="1" nd="1"/>
        <i x="228" s="1" nd="1"/>
        <i x="154" s="1" nd="1"/>
        <i x="116" s="1" nd="1"/>
        <i x="323" s="1" nd="1"/>
        <i x="140" s="1" nd="1"/>
        <i x="189" s="1" nd="1"/>
        <i x="222" s="1" nd="1"/>
        <i x="335" s="1" nd="1"/>
        <i x="92" s="1" nd="1"/>
        <i x="256" s="1" nd="1"/>
        <i x="77" s="1" nd="1"/>
        <i x="93" s="1" nd="1"/>
        <i x="180" s="1" nd="1"/>
        <i x="202" s="1" nd="1"/>
        <i x="136" s="1" nd="1"/>
        <i x="85" s="1" nd="1"/>
        <i x="206" s="1" nd="1"/>
        <i x="361" s="1" nd="1"/>
        <i x="213" s="1" nd="1"/>
        <i x="42" s="1" nd="1"/>
        <i x="169" s="1" nd="1"/>
        <i x="25" s="1" nd="1"/>
        <i x="129" s="1" nd="1"/>
        <i x="78" s="1" nd="1"/>
        <i x="261" s="1" nd="1"/>
        <i x="375" s="1" nd="1"/>
        <i x="251" s="1" nd="1"/>
        <i x="272" s="1" nd="1"/>
        <i x="52" s="1" nd="1"/>
        <i x="320" s="1" nd="1"/>
        <i x="280" s="1" nd="1"/>
        <i x="324" s="1" nd="1"/>
        <i x="416" s="1" nd="1"/>
        <i x="445" s="1" nd="1"/>
        <i x="291" s="1" nd="1"/>
        <i x="407" s="1" nd="1"/>
        <i x="181" s="1" nd="1"/>
        <i x="351" s="1" nd="1"/>
        <i x="158" s="1" nd="1"/>
        <i x="86" s="1" nd="1"/>
        <i x="223" s="1" nd="1"/>
        <i x="292" s="1" nd="1"/>
        <i x="148" s="1" nd="1"/>
        <i x="71" s="1" nd="1"/>
        <i x="242" s="1" nd="1"/>
        <i x="417" s="1" nd="1"/>
        <i x="100" s="1" nd="1"/>
        <i x="366" s="1" nd="1"/>
        <i x="325" s="1" nd="1"/>
        <i x="67" s="1" nd="1"/>
        <i x="214" s="1" nd="1"/>
        <i x="313" s="1" nd="1"/>
        <i x="170" s="1" nd="1"/>
        <i x="300" s="1" nd="1"/>
        <i x="32" s="1" nd="1"/>
        <i x="137" s="1" nd="1"/>
        <i x="184" s="1" nd="1"/>
        <i x="358" s="1" nd="1"/>
        <i x="446" s="1" nd="1"/>
        <i x="376" s="1" nd="1"/>
        <i x="452" s="1" nd="1"/>
        <i x="149" s="1" nd="1"/>
        <i x="196" s="1" nd="1"/>
        <i x="26" s="1" nd="1"/>
        <i x="388" s="1" nd="1"/>
        <i x="321" s="1" nd="1"/>
        <i x="87" s="1" nd="1"/>
        <i x="265" s="1" nd="1"/>
        <i x="447" s="1" nd="1"/>
        <i x="207" s="1" nd="1"/>
        <i x="68" s="1" nd="1"/>
        <i x="215" s="1" nd="1"/>
        <i x="293" s="1" nd="1"/>
        <i x="380" s="1" nd="1"/>
        <i x="229" s="1" nd="1"/>
        <i x="314" s="1" nd="1"/>
        <i x="301" s="1" nd="1"/>
        <i x="53" s="1" nd="1"/>
        <i x="236" s="1" nd="1"/>
        <i x="79" s="1" nd="1"/>
        <i x="352" s="1" nd="1"/>
        <i x="439" s="1" nd="1"/>
        <i x="371" s="1" nd="1"/>
        <i x="117" s="1" nd="1"/>
        <i x="208" s="1" nd="1"/>
        <i x="286" s="1" nd="1"/>
        <i x="453" s="1" nd="1"/>
        <i x="122" s="1" nd="1"/>
        <i x="216" s="1" nd="1"/>
        <i x="72" s="1" nd="1"/>
        <i x="431" s="1" nd="1"/>
        <i x="302" s="1" nd="1"/>
        <i x="182" s="1" nd="1"/>
        <i x="281" s="1" nd="1"/>
        <i x="159" s="1" nd="1"/>
        <i x="224" s="1" nd="1"/>
        <i x="381" s="1" nd="1"/>
        <i x="315" s="1" nd="1"/>
        <i x="171" s="1" nd="1"/>
        <i x="101" s="1" nd="1"/>
        <i x="412" s="1" nd="1"/>
        <i x="393" s="1" nd="1"/>
        <i x="418" s="1" nd="1"/>
        <i x="287" s="1" nd="1"/>
        <i x="36" s="1" nd="1"/>
        <i x="141" s="1" nd="1"/>
        <i x="123" s="1" nd="1"/>
        <i x="217" s="1" nd="1"/>
        <i x="408" s="1" nd="1"/>
        <i x="73" s="1" nd="1"/>
        <i x="102" s="1" nd="1"/>
        <i x="273" s="1" nd="1"/>
        <i x="27" s="1" nd="1"/>
        <i x="80" s="1" nd="1"/>
        <i x="107" s="1" nd="1"/>
        <i x="243" s="1" nd="1"/>
        <i x="326" s="1" nd="1"/>
        <i x="336" s="1" nd="1"/>
        <i x="124" s="1" nd="1"/>
        <i x="294" s="1" nd="1"/>
        <i x="150" s="1" nd="1"/>
        <i x="172" s="1" nd="1"/>
        <i x="103" s="1" nd="1"/>
        <i x="197" s="1" nd="1"/>
        <i x="367" s="1" nd="1"/>
        <i x="389" s="1" nd="1"/>
        <i x="81" s="1" nd="1"/>
        <i x="59" s="1" nd="1"/>
        <i x="160" s="1" nd="1"/>
        <i x="327" s="1" nd="1"/>
        <i x="419" s="1" nd="1"/>
        <i x="88" s="1" nd="1"/>
        <i x="209" s="1" nd="1"/>
        <i x="401" s="1" nd="1"/>
        <i x="94" s="1" nd="1"/>
        <i x="125" s="1" nd="1"/>
        <i x="43" s="1" nd="1"/>
        <i x="343" s="1" nd="1"/>
        <i x="104" s="1" nd="1"/>
        <i x="353" s="1" nd="1"/>
        <i x="440" s="1" nd="1"/>
        <i x="108" s="1" nd="1"/>
        <i x="328" s="1" nd="1"/>
        <i x="359" s="1" nd="1"/>
        <i x="142" s="1" nd="1"/>
        <i x="164" s="1" nd="1"/>
        <i x="252" s="1" nd="1"/>
        <i x="382" s="1" nd="1"/>
        <i x="409" s="1" nd="1"/>
        <i x="74" s="1" nd="1"/>
        <i x="432" s="1" nd="1"/>
        <i x="28" s="1" nd="1"/>
        <i x="220" s="1" nd="1"/>
        <i x="390" s="1" nd="1"/>
        <i x="82" s="1" nd="1"/>
        <i x="109" s="1" nd="1"/>
        <i x="372" s="1" nd="1"/>
        <i x="394" s="1" nd="1"/>
        <i x="244" s="1" nd="1"/>
        <i x="329" s="1" nd="1"/>
        <i x="448" s="1" nd="1"/>
        <i x="402" s="1" nd="1"/>
        <i x="337" s="1" nd="1"/>
        <i x="454" s="1" nd="1"/>
        <i x="230" s="1" nd="1"/>
        <i x="173" s="1" nd="1"/>
        <i x="257" s="1" nd="1"/>
        <i x="344" s="1" nd="1"/>
        <i x="54" s="1" nd="1"/>
        <i x="83" s="1" nd="1"/>
        <i x="161" s="1" nd="1"/>
        <i x="245" s="1" nd="1"/>
        <i x="330" s="1" nd="1"/>
        <i x="377" s="1" nd="1"/>
        <i x="424" s="1" nd="1"/>
        <i x="95" s="1" nd="1"/>
        <i x="270" s="1" nd="1"/>
        <i x="44" s="1" nd="1"/>
        <i x="151" s="1" nd="1"/>
        <i x="316" s="1" nd="1"/>
        <i x="105" s="1" nd="1"/>
        <i x="130" s="1" nd="1"/>
        <i x="221" s="1" nd="1"/>
        <i x="237" s="1" nd="1"/>
        <i x="262" s="1" nd="1"/>
        <i x="441" s="1" nd="1"/>
        <i x="282" s="1" nd="1"/>
        <i x="395" s="1" nd="1"/>
        <i x="60" s="1" nd="1"/>
        <i x="253" s="1" nd="1"/>
        <i x="295" s="1" nd="1"/>
        <i x="75" s="1" nd="1"/>
        <i x="345" s="1" nd="1"/>
        <i x="433" s="1" nd="1"/>
        <i x="131" s="1" nd="1"/>
        <i x="110" s="1" nd="1"/>
        <i x="203" s="1" nd="1"/>
        <i x="373" s="1" nd="1"/>
        <i x="396" s="1" nd="1"/>
        <i x="185" s="1" nd="1"/>
        <i x="266" s="1" nd="1"/>
        <i x="449" s="1" nd="1"/>
        <i x="383" s="1" nd="1"/>
        <i x="174" s="1" nd="1"/>
        <i x="258" s="1" nd="1"/>
        <i x="346" s="1" nd="1"/>
        <i x="183" s="1" nd="1"/>
        <i x="111" s="1" nd="1"/>
        <i x="204" s="1" nd="1"/>
        <i x="162" s="1" nd="1"/>
        <i x="450" s="1" nd="1"/>
        <i x="118" s="1" nd="1"/>
        <i x="143" s="1" nd="1"/>
        <i x="425" s="1" nd="1"/>
        <i x="362" s="1" nd="1"/>
        <i x="126" s="1" nd="1"/>
        <i x="175" s="1" nd="1"/>
        <i x="434" s="1" nd="1"/>
        <i x="198" s="1" nd="1"/>
        <i x="263" s="1" nd="1"/>
        <i x="354" s="1" nd="1"/>
        <i x="33" s="1" nd="1"/>
        <i x="310" s="1" nd="1"/>
        <i x="246" s="1" nd="1"/>
        <i x="420" s="1" nd="1"/>
        <i x="165" s="1" nd="1"/>
        <i x="199" s="1" nd="1"/>
        <i x="274" s="1" nd="1"/>
        <i x="132" s="1" nd="1"/>
        <i x="55" s="1" nd="1"/>
        <i x="238" s="1" nd="1"/>
        <i x="112" s="1" nd="1"/>
        <i x="397" s="1" nd="1"/>
        <i x="61" s="1" nd="1"/>
        <i x="247" s="1" nd="1"/>
        <i x="267" s="1" nd="1"/>
        <i x="451" s="1" nd="1"/>
        <i x="288" s="1" nd="1"/>
        <i x="166" s="1" nd="1"/>
        <i x="254" s="1" nd="1"/>
        <i x="338" s="1" nd="1"/>
        <i x="426" s="1" nd="1"/>
        <i x="384" s="1" nd="1"/>
        <i x="45" s="1" nd="1"/>
        <i x="176" s="1" nd="1"/>
        <i x="435" s="1" nd="1"/>
        <i x="133" s="1" nd="1"/>
        <i x="283" s="1" nd="1"/>
        <i x="62" s="1" nd="1"/>
        <i x="186" s="1" nd="1"/>
        <i x="69" s="1" nd="1"/>
        <i x="96" s="1" nd="1"/>
        <i x="410" s="1" nd="1"/>
        <i x="275" s="1" nd="1"/>
        <i x="29" s="1" nd="1"/>
        <i x="303" s="1" nd="1"/>
        <i x="322" s="1" nd="1"/>
        <i x="284" s="1" nd="1"/>
        <i x="248" s="1" nd="1"/>
        <i x="403" s="1" nd="1"/>
        <i x="368" s="1" nd="1"/>
        <i x="30" s="1" nd="1"/>
        <i x="391" s="1" nd="1"/>
        <i x="155" s="1" nd="1"/>
        <i x="63" s="1" nd="1"/>
        <i x="89" s="1" nd="1"/>
        <i x="225" s="1" nd="1"/>
        <i x="167" s="1" nd="1"/>
        <i x="339" s="1" nd="1"/>
        <i x="190" s="1" nd="1"/>
        <i x="296" s="1" nd="1"/>
        <i x="134" s="1" nd="1"/>
        <i x="378" s="1" nd="1"/>
        <i x="37" s="1" nd="1"/>
        <i x="168" s="1" nd="1"/>
        <i x="191" s="1" nd="1"/>
        <i x="271" s="1" nd="1"/>
        <i x="239" s="1" nd="1"/>
        <i x="119" s="1" nd="1"/>
        <i x="379" s="1" nd="1"/>
        <i x="427" s="1" nd="1"/>
        <i x="231" s="1" nd="1"/>
        <i x="200" s="1" nd="1"/>
        <i x="331" s="1" nd="1"/>
        <i x="268" s="1" nd="1"/>
        <i x="38" s="1" nd="1"/>
        <i x="255" s="1" nd="1"/>
        <i x="340" s="1" nd="1"/>
        <i x="97" s="1" nd="1"/>
        <i x="442" s="1" nd="1"/>
        <i x="347"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26">
        <i x="0" s="1"/>
        <i x="1" s="1" nd="1"/>
        <i x="120" s="1" nd="1"/>
        <i x="110" s="1" nd="1"/>
        <i x="8" s="1" nd="1"/>
        <i x="121" s="1" nd="1"/>
        <i x="4" s="1" nd="1"/>
        <i x="27" s="1" nd="1"/>
        <i x="92" s="1" nd="1"/>
        <i x="49" s="1" nd="1"/>
        <i x="118" s="1" nd="1"/>
        <i x="40" s="1" nd="1"/>
        <i x="6" s="1" nd="1"/>
        <i x="93" s="1" nd="1"/>
        <i x="52" s="1" nd="1"/>
        <i x="57" s="1" nd="1"/>
        <i x="19" s="1" nd="1"/>
        <i x="122" s="1" nd="1"/>
        <i x="5" s="1" nd="1"/>
        <i x="116" s="1" nd="1"/>
        <i x="53" s="1" nd="1"/>
        <i x="60" s="1" nd="1"/>
        <i x="64" s="1" nd="1"/>
        <i x="41" s="1" nd="1"/>
        <i x="10" s="1" nd="1"/>
        <i x="105" s="1" nd="1"/>
        <i x="98" s="1" nd="1"/>
        <i x="67" s="1" nd="1"/>
        <i x="123" s="1" nd="1"/>
        <i x="68" s="1" nd="1"/>
        <i x="113" s="1" nd="1"/>
        <i x="87" s="1" nd="1"/>
        <i x="75" s="1" nd="1"/>
        <i x="77" s="1" nd="1"/>
        <i x="50" s="1" nd="1"/>
        <i x="61" s="1" nd="1"/>
        <i x="58" s="1" nd="1"/>
        <i x="38" s="1" nd="1"/>
        <i x="117" s="1" nd="1"/>
        <i x="124" s="1" nd="1"/>
        <i x="80" s="1" nd="1"/>
        <i x="102" s="1" nd="1"/>
        <i x="101" s="1" nd="1"/>
        <i x="9" s="1" nd="1"/>
        <i x="62" s="1" nd="1"/>
        <i x="39" s="1" nd="1"/>
        <i x="96" s="1" nd="1"/>
        <i x="23" s="1" nd="1"/>
        <i x="109" s="1" nd="1"/>
        <i x="11" s="1" nd="1"/>
        <i x="82" s="1" nd="1"/>
        <i x="94" s="1" nd="1"/>
        <i x="114" s="1" nd="1"/>
        <i x="90" s="1" nd="1"/>
        <i x="20" s="1" nd="1"/>
        <i x="72" s="1" nd="1"/>
        <i x="69" s="1" nd="1"/>
        <i x="24" s="1" nd="1"/>
        <i x="100" s="1" nd="1"/>
        <i x="21" s="1" nd="1"/>
        <i x="43" s="1" nd="1"/>
        <i x="36" s="1" nd="1"/>
        <i x="125" s="1" nd="1"/>
        <i x="2" s="1" nd="1"/>
        <i x="95" s="1" nd="1"/>
        <i x="14" s="1" nd="1"/>
        <i x="106" s="1" nd="1"/>
        <i x="44" s="1" nd="1"/>
        <i x="88" s="1" nd="1"/>
        <i x="59" s="1" nd="1"/>
        <i x="46" s="1" nd="1"/>
        <i x="28" s="1" nd="1"/>
        <i x="33" s="1" nd="1"/>
        <i x="107" s="1" nd="1"/>
        <i x="54" s="1" nd="1"/>
        <i x="31" s="1" nd="1"/>
        <i x="15" s="1" nd="1"/>
        <i x="34" s="1" nd="1"/>
        <i x="3" s="1" nd="1"/>
        <i x="84" s="1" nd="1"/>
        <i x="55" s="1" nd="1"/>
        <i x="17" s="1" nd="1"/>
        <i x="22" s="1" nd="1"/>
        <i x="89" s="1" nd="1"/>
        <i x="16" s="1" nd="1"/>
        <i x="85" s="1" nd="1"/>
        <i x="25" s="1" nd="1"/>
        <i x="70" s="1" nd="1"/>
        <i x="45" s="1" nd="1"/>
        <i x="47" s="1" nd="1"/>
        <i x="76" s="1" nd="1"/>
        <i x="97" s="1" nd="1"/>
        <i x="29" s="1" nd="1"/>
        <i x="12" s="1" nd="1"/>
        <i x="99" s="1" nd="1"/>
        <i x="83" s="1" nd="1"/>
        <i x="115" s="1" nd="1"/>
        <i x="78" s="1" nd="1"/>
        <i x="111" s="1" nd="1"/>
        <i x="7" s="1" nd="1"/>
        <i x="26" s="1" nd="1"/>
        <i x="65" s="1" nd="1"/>
        <i x="42" s="1" nd="1"/>
        <i x="86" s="1" nd="1"/>
        <i x="108" s="1" nd="1"/>
        <i x="71" s="1" nd="1"/>
        <i x="79" s="1" nd="1"/>
        <i x="30" s="1" nd="1"/>
        <i x="73" s="1" nd="1"/>
        <i x="91" s="1" nd="1"/>
        <i x="48" s="1" nd="1"/>
        <i x="63" s="1" nd="1"/>
        <i x="13" s="1" nd="1"/>
        <i x="32" s="1" nd="1"/>
        <i x="112" s="1" nd="1"/>
        <i x="119" s="1" nd="1"/>
        <i x="37" s="1" nd="1"/>
        <i x="81" s="1" nd="1"/>
        <i x="51" s="1" nd="1"/>
        <i x="66" s="1" nd="1"/>
        <i x="18" s="1" nd="1"/>
        <i x="35" s="1" nd="1"/>
        <i x="103" s="1" nd="1"/>
        <i x="104" s="1" nd="1"/>
        <i x="56" s="1" nd="1"/>
        <i x="7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191">
        <i x="0" s="1"/>
        <i x="184" s="1" nd="1"/>
        <i x="164" s="1" nd="1"/>
        <i x="75" s="1" nd="1"/>
        <i x="19" s="1" nd="1"/>
        <i x="62" s="1" nd="1"/>
        <i x="185" s="1" nd="1"/>
        <i x="7" s="1" nd="1"/>
        <i x="161" s="1" nd="1"/>
        <i x="46" s="1" nd="1"/>
        <i x="135" s="1" nd="1"/>
        <i x="79" s="1" nd="1"/>
        <i x="182" s="1" nd="1"/>
        <i x="68" s="1" nd="1"/>
        <i x="11" s="1" nd="1"/>
        <i x="136" s="1" nd="1"/>
        <i x="82" s="1" nd="1"/>
        <i x="143" s="1" nd="1"/>
        <i x="88" s="1" nd="1"/>
        <i x="115" s="1" nd="1"/>
        <i x="141" s="1" nd="1"/>
        <i x="34" s="1" nd="1"/>
        <i x="50" s="1" nd="1"/>
        <i x="186" s="1" nd="1"/>
        <i x="8" s="1" nd="1"/>
        <i x="179" s="1" nd="1"/>
        <i x="51" s="1" nd="1"/>
        <i x="83" s="1" nd="1"/>
        <i x="58" s="1" nd="1"/>
        <i x="91" s="1" nd="1"/>
        <i x="95" s="1" nd="1"/>
        <i x="69" s="1" nd="1"/>
        <i x="23" s="1" nd="1"/>
        <i x="156" s="1" nd="1"/>
        <i x="32" s="1" nd="1"/>
        <i x="35" s="1" nd="1"/>
        <i x="146" s="1" nd="1"/>
        <i x="99" s="1" nd="1"/>
        <i x="63" s="1" nd="1"/>
        <i x="187" s="1" nd="1"/>
        <i x="147" s="1" nd="1"/>
        <i x="100" s="1" nd="1"/>
        <i x="168" s="1" nd="1"/>
        <i x="44" s="1" nd="1"/>
        <i x="12" s="1" nd="1"/>
        <i x="20" s="1" nd="1"/>
        <i x="128" s="1" nd="1"/>
        <i x="109" s="1" nd="1"/>
        <i x="148" s="1" nd="1"/>
        <i x="111" s="1" nd="1"/>
        <i x="80" s="1" nd="1"/>
        <i x="92" s="1" nd="1"/>
        <i x="89" s="1" nd="1"/>
        <i x="66" s="1" nd="1"/>
        <i x="180" s="1" nd="1"/>
        <i x="4" s="1" nd="1"/>
        <i x="188" s="1" nd="1"/>
        <i x="116" s="1" nd="1"/>
        <i x="5" s="1" nd="1"/>
        <i x="84" s="1" nd="1"/>
        <i x="153" s="1" nd="1"/>
        <i x="151" s="1" nd="1"/>
        <i x="21" s="1" nd="1"/>
        <i x="93" s="1" nd="1"/>
        <i x="67" s="1" nd="1"/>
        <i x="142" s="1" nd="1"/>
        <i x="40" s="1" nd="1"/>
        <i x="162" s="1" nd="1"/>
        <i x="173" s="1" nd="1"/>
        <i x="24" s="1" nd="1"/>
        <i x="120" s="1" nd="1"/>
        <i x="138" s="1" nd="1"/>
        <i x="169" s="1" nd="1"/>
        <i x="160" s="1" nd="1"/>
        <i x="104" s="1" nd="1"/>
        <i x="131" s="1" nd="1"/>
        <i x="165" s="1" nd="1"/>
        <i x="52" s="1" nd="1"/>
        <i x="36" s="1" nd="1"/>
        <i x="70" s="1" nd="1"/>
        <i x="105" s="1" nd="1"/>
        <i x="101" s="1" nd="1"/>
        <i x="41" s="1" nd="1"/>
        <i x="150" s="1" nd="1"/>
        <i x="37" s="1" nd="1"/>
        <i x="152" s="1" nd="1"/>
        <i x="72" s="1" nd="1"/>
        <i x="64" s="1" nd="1"/>
        <i x="174" s="1" nd="1"/>
        <i x="189" s="1" nd="1"/>
        <i x="1" s="1" nd="1"/>
        <i x="170" s="1" nd="1"/>
        <i x="190" s="1" nd="1"/>
        <i x="132" s="1" nd="1"/>
        <i x="139" s="1" nd="1"/>
        <i x="27" s="1" nd="1"/>
        <i x="157" s="1" nd="1"/>
        <i x="134" s="1" nd="1"/>
        <i x="47" s="1" nd="1"/>
        <i x="73" s="1" nd="1"/>
        <i x="117" s="1" nd="1"/>
        <i x="129" s="1" nd="1"/>
        <i x="90" s="1" nd="1"/>
        <i x="76" s="1" nd="1"/>
        <i x="48" s="1" nd="1"/>
        <i x="14" s="1" nd="1"/>
        <i x="118" s="1" nd="1"/>
        <i x="59" s="1" nd="1"/>
        <i x="158" s="1" nd="1"/>
        <i x="85" s="1" nd="1"/>
        <i x="56" s="1" nd="1"/>
        <i x="28" s="1" nd="1"/>
        <i x="60" s="1" nd="1"/>
        <i x="2" s="1" nd="1"/>
        <i x="33" s="1" nd="1"/>
        <i x="22" s="1" nd="1"/>
        <i x="6" s="1" nd="1"/>
        <i x="124" s="1" nd="1"/>
        <i x="86" s="1" nd="1"/>
        <i x="49" s="1" nd="1"/>
        <i x="30" s="1" nd="1"/>
        <i x="38" s="1" nd="1"/>
        <i x="130" s="1" nd="1"/>
        <i x="163" s="1" nd="1"/>
        <i x="29" s="1" nd="1"/>
        <i x="125" s="1" nd="1"/>
        <i x="13" s="1" nd="1"/>
        <i x="42" s="1" nd="1"/>
        <i x="17" s="1" nd="1"/>
        <i x="102" s="1" nd="1"/>
        <i x="74" s="1" nd="1"/>
        <i x="77" s="1" nd="1"/>
        <i x="16" s="1" nd="1"/>
        <i x="175" s="1" nd="1"/>
        <i x="176" s="1" nd="1"/>
        <i x="110" s="1" nd="1"/>
        <i x="144" s="1" nd="1"/>
        <i x="53" s="1" nd="1"/>
        <i x="25" s="1" nd="1"/>
        <i x="106" s="1" nd="1"/>
        <i x="149" s="1" nd="1"/>
        <i x="121" s="1" nd="1"/>
        <i x="39" s="1" nd="1"/>
        <i x="177" s="1" nd="1"/>
        <i x="112" s="1" nd="1"/>
        <i x="9" s="1" nd="1"/>
        <i x="166" s="1" nd="1"/>
        <i x="18" s="1" nd="1"/>
        <i x="45" s="1" nd="1"/>
        <i x="96" s="1" nd="1"/>
        <i x="71" s="1" nd="1"/>
        <i x="126" s="1" nd="1"/>
        <i x="159" s="1" nd="1"/>
        <i x="103" s="1" nd="1"/>
        <i x="113" s="1" nd="1"/>
        <i x="54" s="1" nd="1"/>
        <i x="15" s="1" nd="1"/>
        <i x="43" s="1" nd="1"/>
        <i x="55" s="1" nd="1"/>
        <i x="107" s="1" nd="1"/>
        <i x="122" s="1" nd="1"/>
        <i x="133" s="1" nd="1"/>
        <i x="127" s="1" nd="1"/>
        <i x="78" s="1" nd="1"/>
        <i x="94" s="1" nd="1"/>
        <i x="26" s="1" nd="1"/>
        <i x="57" s="1" nd="1"/>
        <i x="167" s="1" nd="1"/>
        <i x="97" s="1" nd="1"/>
        <i x="3" s="1" nd="1"/>
        <i x="145" s="1" nd="1"/>
        <i x="183" s="1" nd="1"/>
        <i x="65" s="1" nd="1"/>
        <i x="119" s="1" nd="1"/>
        <i x="137" s="1" nd="1"/>
        <i x="81" s="1" nd="1"/>
        <i x="98" s="1" nd="1"/>
        <i x="114" s="1" nd="1"/>
        <i x="123" s="1" nd="1"/>
        <i x="171" s="1" nd="1"/>
        <i x="10" s="1" nd="1"/>
        <i x="140" s="1" nd="1"/>
        <i x="178" s="1" nd="1"/>
        <i x="181" s="1" nd="1"/>
        <i x="31" s="1" nd="1"/>
        <i x="61" s="1" nd="1"/>
        <i x="154" s="1" nd="1"/>
        <i x="172" s="1" nd="1"/>
        <i x="155" s="1" nd="1"/>
        <i x="87" s="1" nd="1"/>
        <i x="108"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1" s="1"/>
        <i x="2" s="1"/>
        <i x="3" s="1"/>
        <i x="9" s="1" nd="1"/>
        <i x="4" s="1" nd="1"/>
        <i x="5" s="1" nd="1"/>
        <i x="6" s="1" nd="1"/>
        <i x="7" s="1" nd="1"/>
        <i x="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440">
        <i x="22" s="1"/>
        <i x="7" s="1"/>
        <i x="1" s="1"/>
        <i x="2" s="1"/>
        <i x="6" s="1"/>
        <i x="8" s="1"/>
        <i x="21" s="1"/>
        <i x="14" s="1"/>
        <i x="20" s="1"/>
        <i x="10" s="1"/>
        <i x="9" s="1"/>
        <i x="15" s="1"/>
        <i x="3" s="1"/>
        <i x="19" s="1"/>
        <i x="17" s="1"/>
        <i x="5" s="1"/>
        <i x="4" s="1"/>
        <i x="16" s="1"/>
        <i x="13" s="1"/>
        <i x="18" s="1"/>
        <i x="0" s="1"/>
        <i x="11" s="1"/>
        <i x="12" s="1"/>
        <i x="46" s="1" nd="1"/>
        <i x="109" s="1" nd="1"/>
        <i x="69" s="1" nd="1"/>
        <i x="173" s="1" nd="1"/>
        <i x="186" s="1" nd="1"/>
        <i x="49" s="1" nd="1"/>
        <i x="154" s="1" nd="1"/>
        <i x="102" s="1" nd="1"/>
        <i x="319" s="1" nd="1"/>
        <i x="213" s="1" nd="1"/>
        <i x="150" s="1" nd="1"/>
        <i x="272" s="1" nd="1"/>
        <i x="320" s="1" nd="1"/>
        <i x="337" s="1" nd="1"/>
        <i x="295" s="1" nd="1"/>
        <i x="230" s="1" nd="1"/>
        <i x="214" s="1" nd="1"/>
        <i x="321" s="1" nd="1"/>
        <i x="242" s="1" nd="1"/>
        <i x="114" s="1" nd="1"/>
        <i x="59" s="1" nd="1"/>
        <i x="222" s="1" nd="1"/>
        <i x="411" s="1" nd="1"/>
        <i x="39" s="1" nd="1"/>
        <i x="330" s="1" nd="1"/>
        <i x="223" s="1" nd="1"/>
        <i x="155" s="1" nd="1"/>
        <i x="281" s="1" nd="1"/>
        <i x="303" s="1" nd="1"/>
        <i x="124" s="1" nd="1"/>
        <i x="252" s="1" nd="1"/>
        <i x="199" s="1" nd="1"/>
        <i x="296" s="1" nd="1"/>
        <i x="297" s="1" nd="1"/>
        <i x="412" s="1" nd="1"/>
        <i x="151" s="1" nd="1"/>
        <i x="304" s="1" nd="1"/>
        <i x="152" s="1" nd="1"/>
        <i x="276" s="1" nd="1"/>
        <i x="23" s="1" nd="1"/>
        <i x="121" s="1" nd="1"/>
        <i x="425" s="1" nd="1"/>
        <i x="347" s="1" nd="1"/>
        <i x="253" s="1" nd="1"/>
        <i x="68" s="1" nd="1"/>
        <i x="174" s="1" nd="1"/>
        <i x="209" s="1" nd="1"/>
        <i x="110" s="1" nd="1"/>
        <i x="74" s="1" nd="1"/>
        <i x="50" s="1" nd="1"/>
        <i x="377" s="1" nd="1"/>
        <i x="175" s="1" nd="1"/>
        <i x="167" s="1" nd="1"/>
        <i x="47" s="1" nd="1"/>
        <i x="266" s="1" nd="1"/>
        <i x="111" s="1" nd="1"/>
        <i x="331" s="1" nd="1"/>
        <i x="305" s="1" nd="1"/>
        <i x="138" s="1" nd="1"/>
        <i x="282" s="1" nd="1"/>
        <i x="431" s="1" nd="1"/>
        <i x="156" s="1" nd="1"/>
        <i x="51" s="1" nd="1"/>
        <i x="215" s="1" nd="1"/>
        <i x="383" s="1" nd="1"/>
        <i x="168" s="1" nd="1"/>
        <i x="290" s="1" nd="1"/>
        <i x="176" s="1" nd="1"/>
        <i x="395" s="1" nd="1"/>
        <i x="413" s="1" nd="1"/>
        <i x="70" s="1" nd="1"/>
        <i x="277" s="1" nd="1"/>
        <i x="243" s="1" nd="1"/>
        <i x="398" s="1" nd="1"/>
        <i x="384" s="1" nd="1"/>
        <i x="177" s="1" nd="1"/>
        <i x="273" s="1" nd="1"/>
        <i x="33" s="1" nd="1"/>
        <i x="283" s="1" nd="1"/>
        <i x="231" s="1" nd="1"/>
        <i x="368" s="1" nd="1"/>
        <i x="402" s="1" nd="1"/>
        <i x="267" s="1" nd="1"/>
        <i x="224" s="1" nd="1"/>
        <i x="342" s="1" nd="1"/>
        <i x="52" s="1" nd="1"/>
        <i x="115" s="1" nd="1"/>
        <i x="238" s="1" nd="1"/>
        <i x="403" s="1" nd="1"/>
        <i x="417" s="1" nd="1"/>
        <i x="97" s="1" nd="1"/>
        <i x="157" s="1" nd="1"/>
        <i x="232" s="1" nd="1"/>
        <i x="326" s="1" nd="1"/>
        <i x="426" s="1" nd="1"/>
        <i x="244" s="1" nd="1"/>
        <i x="158" s="1" nd="1"/>
        <i x="91" s="1" nd="1"/>
        <i x="159" s="1" nd="1"/>
        <i x="254" s="1" nd="1"/>
        <i x="291" s="1" nd="1"/>
        <i x="60" s="1" nd="1"/>
        <i x="245" s="1" nd="1"/>
        <i x="40" s="1" nd="1"/>
        <i x="274" s="1" nd="1"/>
        <i x="140" s="1" nd="1"/>
        <i x="75" s="1" nd="1"/>
        <i x="200" s="1" nd="1"/>
        <i x="434" s="1" nd="1"/>
        <i x="332" s="1" nd="1"/>
        <i x="28" s="1" nd="1"/>
        <i x="298" s="1" nd="1"/>
        <i x="112" s="1" nd="1"/>
        <i x="24" s="1" nd="1"/>
        <i x="369" s="1" nd="1"/>
        <i x="233" s="1" nd="1"/>
        <i x="133" s="1" nd="1"/>
        <i x="160" s="1" nd="1"/>
        <i x="327" s="1" nd="1"/>
        <i x="306" s="1" nd="1"/>
        <i x="134" s="1" nd="1"/>
        <i x="275" s="1" nd="1"/>
        <i x="246" s="1" nd="1"/>
        <i x="76" s="1" nd="1"/>
        <i x="92" s="1" nd="1"/>
        <i x="29" s="1" nd="1"/>
        <i x="122" s="1" nd="1"/>
        <i x="34" s="1" nd="1"/>
        <i x="98" s="1" nd="1"/>
        <i x="234" s="1" nd="1"/>
        <i x="80" s="1" nd="1"/>
        <i x="278" s="1" nd="1"/>
        <i x="370" s="1" nd="1"/>
        <i x="284" s="1" nd="1"/>
        <i x="352" s="1" nd="1"/>
        <i x="312" s="1" nd="1"/>
        <i x="103" s="1" nd="1"/>
        <i x="178" s="1" nd="1"/>
        <i x="139" s="1" nd="1"/>
        <i x="179" s="1" nd="1"/>
        <i x="201" s="1" nd="1"/>
        <i x="385" s="1" nd="1"/>
        <i x="25" s="1" nd="1"/>
        <i x="255" s="1" nd="1"/>
        <i x="378" s="1" nd="1"/>
        <i x="407" s="1" nd="1"/>
        <i x="379" s="1" nd="1"/>
        <i x="386" s="1" nd="1"/>
        <i x="225" s="1" nd="1"/>
        <i x="81" s="1" nd="1"/>
        <i x="210" s="1" nd="1"/>
        <i x="418" s="1" nd="1"/>
        <i x="348" s="1" nd="1"/>
        <i x="380" s="1" nd="1"/>
        <i x="314" s="1" nd="1"/>
        <i x="359" s="1" nd="1"/>
        <i x="292" s="1" nd="1"/>
        <i x="387" s="1" nd="1"/>
        <i x="77" s="1" nd="1"/>
        <i x="322" s="1" nd="1"/>
        <i x="404" s="1" nd="1"/>
        <i x="360" s="1" nd="1"/>
        <i x="30" s="1" nd="1"/>
        <i x="381" s="1" nd="1"/>
        <i x="202" s="1" nd="1"/>
        <i x="279" s="1" nd="1"/>
        <i x="141" s="1" nd="1"/>
        <i x="247" s="1" nd="1"/>
        <i x="161" s="1" nd="1"/>
        <i x="61" s="1" nd="1"/>
        <i x="113" s="1" nd="1"/>
        <i x="371" s="1" nd="1"/>
        <i x="116" s="1" nd="1"/>
        <i x="203" s="1" nd="1"/>
        <i x="408" s="1" nd="1"/>
        <i x="93" s="1" nd="1"/>
        <i x="41" s="1" nd="1"/>
        <i x="419" s="1" nd="1"/>
        <i x="191" s="1" nd="1"/>
        <i x="372" s="1" nd="1"/>
        <i x="361" s="1" nd="1"/>
        <i x="35" s="1" nd="1"/>
        <i x="349" s="1" nd="1"/>
        <i x="125" s="1" nd="1"/>
        <i x="268" s="1" nd="1"/>
        <i x="153" s="1" nd="1"/>
        <i x="71" s="1" nd="1"/>
        <i x="414" s="1" nd="1"/>
        <i x="142" s="1" nd="1"/>
        <i x="26" s="1" nd="1"/>
        <i x="399" s="1" nd="1"/>
        <i x="388" s="1" nd="1"/>
        <i x="415" s="1" nd="1"/>
        <i x="394" s="1" nd="1"/>
        <i x="62" s="1" nd="1"/>
        <i x="181" s="1" nd="1"/>
        <i x="78" s="1" nd="1"/>
        <i x="192" s="1" nd="1"/>
        <i x="350" s="1" nd="1"/>
        <i x="362" s="1" nd="1"/>
        <i x="435" s="1" nd="1"/>
        <i x="204" s="1" nd="1"/>
        <i x="193" s="1" nd="1"/>
        <i x="117" s="1" nd="1"/>
        <i x="285" s="1" nd="1"/>
        <i x="162" s="1" nd="1"/>
        <i x="343" s="1" nd="1"/>
        <i x="344" s="1" nd="1"/>
        <i x="333" s="1" nd="1"/>
        <i x="194" s="1" nd="1"/>
        <i x="169" s="1" nd="1"/>
        <i x="143" s="1" nd="1"/>
        <i x="187" s="1" nd="1"/>
        <i x="86" s="1" nd="1"/>
        <i x="373" s="1" nd="1"/>
        <i x="353" s="1" nd="1"/>
        <i x="87" s="1" nd="1"/>
        <i x="220" s="1" nd="1"/>
        <i x="211" s="1" nd="1"/>
        <i x="307" s="1" nd="1"/>
        <i x="196" s="1" nd="1"/>
        <i x="135" s="1" nd="1"/>
        <i x="31" s="1" nd="1"/>
        <i x="308" s="1" nd="1"/>
        <i x="53" s="1" nd="1"/>
        <i x="79" s="1" nd="1"/>
        <i x="309" s="1" nd="1"/>
        <i x="126" s="1" nd="1"/>
        <i x="72" s="1" nd="1"/>
        <i x="400" s="1" nd="1"/>
        <i x="315" s="1" nd="1"/>
        <i x="299" s="1" nd="1"/>
        <i x="323" s="1" nd="1"/>
        <i x="88" s="1" nd="1"/>
        <i x="436" s="1" nd="1"/>
        <i x="197" s="1" nd="1"/>
        <i x="123" s="1" nd="1"/>
        <i x="221" s="1" nd="1"/>
        <i x="63" s="1" nd="1"/>
        <i x="432" s="1" nd="1"/>
        <i x="239" s="1" nd="1"/>
        <i x="351" s="1" nd="1"/>
        <i x="363" s="1" nd="1"/>
        <i x="240" s="1" nd="1"/>
        <i x="82" s="1" nd="1"/>
        <i x="405" s="1" nd="1"/>
        <i x="144" s="1" nd="1"/>
        <i x="316" s="1" nd="1"/>
        <i x="259" s="1" nd="1"/>
        <i x="324" s="1" nd="1"/>
        <i x="420" s="1" nd="1"/>
        <i x="241" s="1" nd="1"/>
        <i x="364" s="1" nd="1"/>
        <i x="136" s="1" nd="1"/>
        <i x="99" s="1" nd="1"/>
        <i x="374" s="1" nd="1"/>
        <i x="248" s="1" nd="1"/>
        <i x="345" s="1" nd="1"/>
        <i x="127" s="1" nd="1"/>
        <i x="64" s="1" nd="1"/>
        <i x="42" s="1" nd="1"/>
        <i x="421" s="1" nd="1"/>
        <i x="118" s="1" nd="1"/>
        <i x="54" s="1" nd="1"/>
        <i x="260" s="1" nd="1"/>
        <i x="269" s="1" nd="1"/>
        <i x="375" s="1" nd="1"/>
        <i x="354" s="1" nd="1"/>
        <i x="334" s="1" nd="1"/>
        <i x="73" s="1" nd="1"/>
        <i x="422" s="1" nd="1"/>
        <i x="128" s="1" nd="1"/>
        <i x="235" s="1" nd="1"/>
        <i x="129" s="1" nd="1"/>
        <i x="338" s="1" nd="1"/>
        <i x="409" s="1" nd="1"/>
        <i x="36" s="1" nd="1"/>
        <i x="389" s="1" nd="1"/>
        <i x="236" s="1" nd="1"/>
        <i x="355" s="1" nd="1"/>
        <i x="256" s="1" nd="1"/>
        <i x="390" s="1" nd="1"/>
        <i x="83" s="1" nd="1"/>
        <i x="145" s="1" nd="1"/>
        <i x="317" s="1" nd="1"/>
        <i x="401" s="1" nd="1"/>
        <i x="104" s="1" nd="1"/>
        <i x="293" s="1" nd="1"/>
        <i x="65" s="1" nd="1"/>
        <i x="423" s="1" nd="1"/>
        <i x="32" s="1" nd="1"/>
        <i x="146" s="1" nd="1"/>
        <i x="105" s="1" nd="1"/>
        <i x="163" s="1" nd="1"/>
        <i x="280" s="1" nd="1"/>
        <i x="437" s="1" nd="1"/>
        <i x="261" s="1" nd="1"/>
        <i x="382" s="1" nd="1"/>
        <i x="335" s="1" nd="1"/>
        <i x="286" s="1" nd="1"/>
        <i x="325" s="1" nd="1"/>
        <i x="365" s="1" nd="1"/>
        <i x="249" s="1" nd="1"/>
        <i x="188" s="1" nd="1"/>
        <i x="356" s="1" nd="1"/>
        <i x="366" s="1" nd="1"/>
        <i x="147" s="1" nd="1"/>
        <i x="137" s="1" nd="1"/>
        <i x="164" s="1" nd="1"/>
        <i x="262" s="1" nd="1"/>
        <i x="84" s="1" nd="1"/>
        <i x="416" s="1" nd="1"/>
        <i x="205" s="1" nd="1"/>
        <i x="310" s="1" nd="1"/>
        <i x="410" s="1" nd="1"/>
        <i x="165" s="1" nd="1"/>
        <i x="106" s="1" nd="1"/>
        <i x="55" s="1" nd="1"/>
        <i x="198" s="1" nd="1"/>
        <i x="119" s="1" nd="1"/>
        <i x="43" s="1" nd="1"/>
        <i x="130" s="1" nd="1"/>
        <i x="328" s="1" nd="1"/>
        <i x="48" s="1" nd="1"/>
        <i x="212" s="1" nd="1"/>
        <i x="270" s="1" nd="1"/>
        <i x="336" s="1" nd="1"/>
        <i x="37" s="1" nd="1"/>
        <i x="100" s="1" nd="1"/>
        <i x="170" s="1" nd="1"/>
        <i x="250" s="1" nd="1"/>
        <i x="226" s="1" nd="1"/>
        <i x="131" s="1" nd="1"/>
        <i x="376" s="1" nd="1"/>
        <i x="257" s="1" nd="1"/>
        <i x="216" s="1" nd="1"/>
        <i x="251" s="1" nd="1"/>
        <i x="391" s="1" nd="1"/>
        <i x="227" s="1" nd="1"/>
        <i x="271" s="1" nd="1"/>
        <i x="189" s="1" nd="1"/>
        <i x="438" s="1" nd="1"/>
        <i x="56" s="1" nd="1"/>
        <i x="300" s="1" nd="1"/>
        <i x="301" s="1" nd="1"/>
        <i x="313" s="1" nd="1"/>
        <i x="263" s="1" nd="1"/>
        <i x="107" s="1" nd="1"/>
        <i x="171" s="1" nd="1"/>
        <i x="357" s="1" nd="1"/>
        <i x="132" s="1" nd="1"/>
        <i x="329" s="1" nd="1"/>
        <i x="406" s="1" nd="1"/>
        <i x="94" s="1" nd="1"/>
        <i x="180" s="1" nd="1"/>
        <i x="38" s="1" nd="1"/>
        <i x="264" s="1" nd="1"/>
        <i x="439" s="1" nd="1"/>
        <i x="217" s="1" nd="1"/>
        <i x="95" s="1" nd="1"/>
        <i x="66" s="1" nd="1"/>
        <i x="67" s="1" nd="1"/>
        <i x="108" s="1" nd="1"/>
        <i x="44" s="1" nd="1"/>
        <i x="427" s="1" nd="1"/>
        <i x="57" s="1" nd="1"/>
        <i x="190" s="1" nd="1"/>
        <i x="206" s="1" nd="1"/>
        <i x="358" s="1" nd="1"/>
        <i x="207" s="1" nd="1"/>
        <i x="392" s="1" nd="1"/>
        <i x="346" s="1" nd="1"/>
        <i x="166" s="1" nd="1"/>
        <i x="182" s="1" nd="1"/>
        <i x="396" s="1" nd="1"/>
        <i x="318" s="1" nd="1"/>
        <i x="428" s="1" nd="1"/>
        <i x="101" s="1" nd="1"/>
        <i x="287" s="1" nd="1"/>
        <i x="237" s="1" nd="1"/>
        <i x="96" s="1" nd="1"/>
        <i x="429" s="1" nd="1"/>
        <i x="85" s="1" nd="1"/>
        <i x="302" s="1" nd="1"/>
        <i x="228" s="1" nd="1"/>
        <i x="58" s="1" nd="1"/>
        <i x="424" s="1" nd="1"/>
        <i x="45" s="1" nd="1"/>
        <i x="430" s="1" nd="1"/>
        <i x="148" s="1" nd="1"/>
        <i x="229" s="1" nd="1"/>
        <i x="288" s="1" nd="1"/>
        <i x="183" s="1" nd="1"/>
        <i x="89" s="1" nd="1"/>
        <i x="195" s="1" nd="1"/>
        <i x="294" s="1" nd="1"/>
        <i x="172" s="1" nd="1"/>
        <i x="149" s="1" nd="1"/>
        <i x="120" s="1" nd="1"/>
        <i x="367" s="1" nd="1"/>
        <i x="339" s="1" nd="1"/>
        <i x="208" s="1" nd="1"/>
        <i x="265" s="1" nd="1"/>
        <i x="289" s="1" nd="1"/>
        <i x="218" s="1" nd="1"/>
        <i x="27" s="1" nd="1"/>
        <i x="433" s="1" nd="1"/>
        <i x="397" s="1" nd="1"/>
        <i x="340" s="1" nd="1"/>
        <i x="393" s="1" nd="1"/>
        <i x="90" s="1" nd="1"/>
        <i x="184" s="1" nd="1"/>
        <i x="219" s="1" nd="1"/>
        <i x="311" s="1" nd="1"/>
        <i x="258" s="1" nd="1"/>
        <i x="341" s="1" nd="1"/>
        <i x="185"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455">
        <i x="20" s="1"/>
        <i x="18" s="1"/>
        <i x="11" s="1"/>
        <i x="2" s="1"/>
        <i x="0" s="1"/>
        <i x="5" s="1"/>
        <i x="8" s="1"/>
        <i x="22" s="1"/>
        <i x="17" s="1"/>
        <i x="9" s="1"/>
        <i x="19" s="1"/>
        <i x="16" s="1"/>
        <i x="10" s="1"/>
        <i x="24" s="1"/>
        <i x="1" s="1"/>
        <i x="15" s="1"/>
        <i x="21" s="1"/>
        <i x="4" s="1"/>
        <i x="23" s="1"/>
        <i x="6" s="1"/>
        <i x="7" s="1"/>
        <i x="3" s="1"/>
        <i x="13" s="1"/>
        <i x="14" s="1"/>
        <i x="12" s="1"/>
        <i x="39" s="1" nd="1"/>
        <i x="421" s="1" nd="1"/>
        <i x="348" s="1" nd="1"/>
        <i x="120" s="1" nd="1"/>
        <i x="341" s="1" nd="1"/>
        <i x="304" s="1" nd="1"/>
        <i x="355" s="1" nd="1"/>
        <i x="349" s="1" nd="1"/>
        <i x="317" s="1" nd="1"/>
        <i x="413" s="1" nd="1"/>
        <i x="156" s="1" nd="1"/>
        <i x="76" s="1" nd="1"/>
        <i x="350" s="1" nd="1"/>
        <i x="232" s="1" nd="1"/>
        <i x="289" s="1" nd="1"/>
        <i x="64" s="1" nd="1"/>
        <i x="404" s="1" nd="1"/>
        <i x="305" s="1" nd="1"/>
        <i x="233" s="1" nd="1"/>
        <i x="356" s="1" nd="1"/>
        <i x="369" s="1" nd="1"/>
        <i x="240" s="1" nd="1"/>
        <i x="65" s="1" nd="1"/>
        <i x="318" s="1" nd="1"/>
        <i x="259" s="1" nd="1"/>
        <i x="90" s="1" nd="1"/>
        <i x="40" s="1" nd="1"/>
        <i x="332" s="1" nd="1"/>
        <i x="210" s="1" nd="1"/>
        <i x="363" s="1" nd="1"/>
        <i x="385" s="1" nd="1"/>
        <i x="56" s="1" nd="1"/>
        <i x="276" s="1" nd="1"/>
        <i x="144" s="1" nd="1"/>
        <i x="31" s="1" nd="1"/>
        <i x="422" s="1" nd="1"/>
        <i x="98" s="1" nd="1"/>
        <i x="192" s="1" nd="1"/>
        <i x="46" s="1" nd="1"/>
        <i x="436" s="1" nd="1"/>
        <i x="306" s="1" nd="1"/>
        <i x="234" s="1" nd="1"/>
        <i x="177" s="1" nd="1"/>
        <i x="392" s="1" nd="1"/>
        <i x="411" s="1" nd="1"/>
        <i x="218" s="1" nd="1"/>
        <i x="437" s="1" nd="1"/>
        <i x="145" s="1" nd="1"/>
        <i x="91" s="1" nd="1"/>
        <i x="47" s="1" nd="1"/>
        <i x="370" s="1" nd="1"/>
        <i x="307" s="1" nd="1"/>
        <i x="146" s="1" nd="1"/>
        <i x="138" s="1" nd="1"/>
        <i x="135" s="1" nd="1"/>
        <i x="405" s="1" nd="1"/>
        <i x="398" s="1" nd="1"/>
        <i x="147" s="1" nd="1"/>
        <i x="260" s="1" nd="1"/>
        <i x="374" s="1" nd="1"/>
        <i x="34" s="1" nd="1"/>
        <i x="399" s="1" nd="1"/>
        <i x="428" s="1" nd="1"/>
        <i x="193" s="1" nd="1"/>
        <i x="364" s="1" nd="1"/>
        <i x="48" s="1" nd="1"/>
        <i x="106" s="1" nd="1"/>
        <i x="277" s="1" nd="1"/>
        <i x="152" s="1" nd="1"/>
        <i x="35" s="1" nd="1"/>
        <i x="333" s="1" nd="1"/>
        <i x="269" s="1" nd="1"/>
        <i x="127" s="1" nd="1"/>
        <i x="297" s="1" nd="1"/>
        <i x="226" s="1" nd="1"/>
        <i x="386" s="1" nd="1"/>
        <i x="319" s="1" nd="1"/>
        <i x="57" s="1" nd="1"/>
        <i x="113" s="1" nd="1"/>
        <i x="163" s="1" nd="1"/>
        <i x="334" s="1" nd="1"/>
        <i x="235" s="1" nd="1"/>
        <i x="41" s="1" nd="1"/>
        <i x="58" s="1" nd="1"/>
        <i x="114" s="1" nd="1"/>
        <i x="178" s="1" nd="1"/>
        <i x="278" s="1" nd="1"/>
        <i x="414" s="1" nd="1"/>
        <i x="194" s="1" nd="1"/>
        <i x="423" s="1" nd="1"/>
        <i x="360" s="1" nd="1"/>
        <i x="227" s="1" nd="1"/>
        <i x="241" s="1" nd="1"/>
        <i x="429" s="1" nd="1"/>
        <i x="128" s="1" nd="1"/>
        <i x="298" s="1" nd="1"/>
        <i x="49" s="1" nd="1"/>
        <i x="443" s="1" nd="1"/>
        <i x="387" s="1" nd="1"/>
        <i x="308" s="1" nd="1"/>
        <i x="195" s="1" nd="1"/>
        <i x="50" s="1" nd="1"/>
        <i x="179" s="1" nd="1"/>
        <i x="279" s="1" nd="1"/>
        <i x="444" s="1" nd="1"/>
        <i x="139" s="1" nd="1"/>
        <i x="219" s="1" nd="1"/>
        <i x="201" s="1" nd="1"/>
        <i x="309" s="1" nd="1"/>
        <i x="211" s="1" nd="1"/>
        <i x="312" s="1" nd="1"/>
        <i x="299" s="1" nd="1"/>
        <i x="84" s="1" nd="1"/>
        <i x="187" s="1" nd="1"/>
        <i x="406" s="1" nd="1"/>
        <i x="438" s="1" nd="1"/>
        <i x="205" s="1" nd="1"/>
        <i x="249" s="1" nd="1"/>
        <i x="342" s="1" nd="1"/>
        <i x="415" s="1" nd="1"/>
        <i x="285" s="1" nd="1"/>
        <i x="400" s="1" nd="1"/>
        <i x="212" s="1" nd="1"/>
        <i x="70" s="1" nd="1"/>
        <i x="430" s="1" nd="1"/>
        <i x="157" s="1" nd="1"/>
        <i x="311" s="1" nd="1"/>
        <i x="250" s="1" nd="1"/>
        <i x="188" s="1" nd="1"/>
        <i x="99" s="1" nd="1"/>
        <i x="153" s="1" nd="1"/>
        <i x="66" s="1" nd="1"/>
        <i x="357" s="1" nd="1"/>
        <i x="115" s="1" nd="1"/>
        <i x="365" s="1" nd="1"/>
        <i x="51" s="1" nd="1"/>
        <i x="264" s="1" nd="1"/>
        <i x="121" s="1" nd="1"/>
        <i x="290" s="1" nd="1"/>
        <i x="228" s="1" nd="1"/>
        <i x="154" s="1" nd="1"/>
        <i x="116" s="1" nd="1"/>
        <i x="323" s="1" nd="1"/>
        <i x="140" s="1" nd="1"/>
        <i x="189" s="1" nd="1"/>
        <i x="222" s="1" nd="1"/>
        <i x="335" s="1" nd="1"/>
        <i x="92" s="1" nd="1"/>
        <i x="256" s="1" nd="1"/>
        <i x="77" s="1" nd="1"/>
        <i x="93" s="1" nd="1"/>
        <i x="180" s="1" nd="1"/>
        <i x="202" s="1" nd="1"/>
        <i x="136" s="1" nd="1"/>
        <i x="85" s="1" nd="1"/>
        <i x="206" s="1" nd="1"/>
        <i x="361" s="1" nd="1"/>
        <i x="213" s="1" nd="1"/>
        <i x="42" s="1" nd="1"/>
        <i x="169" s="1" nd="1"/>
        <i x="25" s="1" nd="1"/>
        <i x="129" s="1" nd="1"/>
        <i x="78" s="1" nd="1"/>
        <i x="261" s="1" nd="1"/>
        <i x="375" s="1" nd="1"/>
        <i x="251" s="1" nd="1"/>
        <i x="272" s="1" nd="1"/>
        <i x="52" s="1" nd="1"/>
        <i x="320" s="1" nd="1"/>
        <i x="280" s="1" nd="1"/>
        <i x="324" s="1" nd="1"/>
        <i x="416" s="1" nd="1"/>
        <i x="445" s="1" nd="1"/>
        <i x="291" s="1" nd="1"/>
        <i x="407" s="1" nd="1"/>
        <i x="181" s="1" nd="1"/>
        <i x="351" s="1" nd="1"/>
        <i x="158" s="1" nd="1"/>
        <i x="86" s="1" nd="1"/>
        <i x="223" s="1" nd="1"/>
        <i x="292" s="1" nd="1"/>
        <i x="148" s="1" nd="1"/>
        <i x="71" s="1" nd="1"/>
        <i x="242" s="1" nd="1"/>
        <i x="417" s="1" nd="1"/>
        <i x="100" s="1" nd="1"/>
        <i x="366" s="1" nd="1"/>
        <i x="325" s="1" nd="1"/>
        <i x="67" s="1" nd="1"/>
        <i x="214" s="1" nd="1"/>
        <i x="313" s="1" nd="1"/>
        <i x="170" s="1" nd="1"/>
        <i x="300" s="1" nd="1"/>
        <i x="32" s="1" nd="1"/>
        <i x="137" s="1" nd="1"/>
        <i x="184" s="1" nd="1"/>
        <i x="358" s="1" nd="1"/>
        <i x="446" s="1" nd="1"/>
        <i x="376" s="1" nd="1"/>
        <i x="452" s="1" nd="1"/>
        <i x="149" s="1" nd="1"/>
        <i x="196" s="1" nd="1"/>
        <i x="26" s="1" nd="1"/>
        <i x="388" s="1" nd="1"/>
        <i x="321" s="1" nd="1"/>
        <i x="87" s="1" nd="1"/>
        <i x="265" s="1" nd="1"/>
        <i x="447" s="1" nd="1"/>
        <i x="207" s="1" nd="1"/>
        <i x="68" s="1" nd="1"/>
        <i x="215" s="1" nd="1"/>
        <i x="293" s="1" nd="1"/>
        <i x="380" s="1" nd="1"/>
        <i x="229" s="1" nd="1"/>
        <i x="314" s="1" nd="1"/>
        <i x="301" s="1" nd="1"/>
        <i x="53" s="1" nd="1"/>
        <i x="236" s="1" nd="1"/>
        <i x="79" s="1" nd="1"/>
        <i x="352" s="1" nd="1"/>
        <i x="439" s="1" nd="1"/>
        <i x="371" s="1" nd="1"/>
        <i x="117" s="1" nd="1"/>
        <i x="208" s="1" nd="1"/>
        <i x="286" s="1" nd="1"/>
        <i x="453" s="1" nd="1"/>
        <i x="122" s="1" nd="1"/>
        <i x="216" s="1" nd="1"/>
        <i x="72" s="1" nd="1"/>
        <i x="431" s="1" nd="1"/>
        <i x="302" s="1" nd="1"/>
        <i x="182" s="1" nd="1"/>
        <i x="281" s="1" nd="1"/>
        <i x="159" s="1" nd="1"/>
        <i x="224" s="1" nd="1"/>
        <i x="381" s="1" nd="1"/>
        <i x="315" s="1" nd="1"/>
        <i x="171" s="1" nd="1"/>
        <i x="101" s="1" nd="1"/>
        <i x="412" s="1" nd="1"/>
        <i x="393" s="1" nd="1"/>
        <i x="418" s="1" nd="1"/>
        <i x="287" s="1" nd="1"/>
        <i x="36" s="1" nd="1"/>
        <i x="141" s="1" nd="1"/>
        <i x="123" s="1" nd="1"/>
        <i x="217" s="1" nd="1"/>
        <i x="408" s="1" nd="1"/>
        <i x="73" s="1" nd="1"/>
        <i x="102" s="1" nd="1"/>
        <i x="273" s="1" nd="1"/>
        <i x="27" s="1" nd="1"/>
        <i x="80" s="1" nd="1"/>
        <i x="107" s="1" nd="1"/>
        <i x="243" s="1" nd="1"/>
        <i x="326" s="1" nd="1"/>
        <i x="336" s="1" nd="1"/>
        <i x="124" s="1" nd="1"/>
        <i x="294" s="1" nd="1"/>
        <i x="150" s="1" nd="1"/>
        <i x="172" s="1" nd="1"/>
        <i x="103" s="1" nd="1"/>
        <i x="197" s="1" nd="1"/>
        <i x="367" s="1" nd="1"/>
        <i x="389" s="1" nd="1"/>
        <i x="81" s="1" nd="1"/>
        <i x="59" s="1" nd="1"/>
        <i x="160" s="1" nd="1"/>
        <i x="327" s="1" nd="1"/>
        <i x="419" s="1" nd="1"/>
        <i x="88" s="1" nd="1"/>
        <i x="209" s="1" nd="1"/>
        <i x="401" s="1" nd="1"/>
        <i x="94" s="1" nd="1"/>
        <i x="125" s="1" nd="1"/>
        <i x="43" s="1" nd="1"/>
        <i x="343" s="1" nd="1"/>
        <i x="104" s="1" nd="1"/>
        <i x="353" s="1" nd="1"/>
        <i x="440" s="1" nd="1"/>
        <i x="108" s="1" nd="1"/>
        <i x="328" s="1" nd="1"/>
        <i x="359" s="1" nd="1"/>
        <i x="142" s="1" nd="1"/>
        <i x="164" s="1" nd="1"/>
        <i x="252" s="1" nd="1"/>
        <i x="382" s="1" nd="1"/>
        <i x="409" s="1" nd="1"/>
        <i x="74" s="1" nd="1"/>
        <i x="432" s="1" nd="1"/>
        <i x="28" s="1" nd="1"/>
        <i x="220" s="1" nd="1"/>
        <i x="390" s="1" nd="1"/>
        <i x="82" s="1" nd="1"/>
        <i x="109" s="1" nd="1"/>
        <i x="372" s="1" nd="1"/>
        <i x="394" s="1" nd="1"/>
        <i x="244" s="1" nd="1"/>
        <i x="329" s="1" nd="1"/>
        <i x="448" s="1" nd="1"/>
        <i x="402" s="1" nd="1"/>
        <i x="337" s="1" nd="1"/>
        <i x="454" s="1" nd="1"/>
        <i x="230" s="1" nd="1"/>
        <i x="173" s="1" nd="1"/>
        <i x="257" s="1" nd="1"/>
        <i x="344" s="1" nd="1"/>
        <i x="54" s="1" nd="1"/>
        <i x="83" s="1" nd="1"/>
        <i x="161" s="1" nd="1"/>
        <i x="245" s="1" nd="1"/>
        <i x="330" s="1" nd="1"/>
        <i x="377" s="1" nd="1"/>
        <i x="424" s="1" nd="1"/>
        <i x="95" s="1" nd="1"/>
        <i x="270" s="1" nd="1"/>
        <i x="44" s="1" nd="1"/>
        <i x="151" s="1" nd="1"/>
        <i x="316" s="1" nd="1"/>
        <i x="105" s="1" nd="1"/>
        <i x="130" s="1" nd="1"/>
        <i x="221" s="1" nd="1"/>
        <i x="237" s="1" nd="1"/>
        <i x="262" s="1" nd="1"/>
        <i x="441" s="1" nd="1"/>
        <i x="282" s="1" nd="1"/>
        <i x="395" s="1" nd="1"/>
        <i x="60" s="1" nd="1"/>
        <i x="253" s="1" nd="1"/>
        <i x="295" s="1" nd="1"/>
        <i x="75" s="1" nd="1"/>
        <i x="345" s="1" nd="1"/>
        <i x="433" s="1" nd="1"/>
        <i x="131" s="1" nd="1"/>
        <i x="110" s="1" nd="1"/>
        <i x="203" s="1" nd="1"/>
        <i x="373" s="1" nd="1"/>
        <i x="396" s="1" nd="1"/>
        <i x="185" s="1" nd="1"/>
        <i x="266" s="1" nd="1"/>
        <i x="449" s="1" nd="1"/>
        <i x="383" s="1" nd="1"/>
        <i x="174" s="1" nd="1"/>
        <i x="258" s="1" nd="1"/>
        <i x="346" s="1" nd="1"/>
        <i x="183" s="1" nd="1"/>
        <i x="111" s="1" nd="1"/>
        <i x="204" s="1" nd="1"/>
        <i x="162" s="1" nd="1"/>
        <i x="450" s="1" nd="1"/>
        <i x="118" s="1" nd="1"/>
        <i x="143" s="1" nd="1"/>
        <i x="425" s="1" nd="1"/>
        <i x="362" s="1" nd="1"/>
        <i x="126" s="1" nd="1"/>
        <i x="175" s="1" nd="1"/>
        <i x="434" s="1" nd="1"/>
        <i x="198" s="1" nd="1"/>
        <i x="263" s="1" nd="1"/>
        <i x="354" s="1" nd="1"/>
        <i x="33" s="1" nd="1"/>
        <i x="310" s="1" nd="1"/>
        <i x="246" s="1" nd="1"/>
        <i x="420" s="1" nd="1"/>
        <i x="165" s="1" nd="1"/>
        <i x="199" s="1" nd="1"/>
        <i x="274" s="1" nd="1"/>
        <i x="132" s="1" nd="1"/>
        <i x="55" s="1" nd="1"/>
        <i x="238" s="1" nd="1"/>
        <i x="112" s="1" nd="1"/>
        <i x="397" s="1" nd="1"/>
        <i x="61" s="1" nd="1"/>
        <i x="247" s="1" nd="1"/>
        <i x="267" s="1" nd="1"/>
        <i x="451" s="1" nd="1"/>
        <i x="288" s="1" nd="1"/>
        <i x="166" s="1" nd="1"/>
        <i x="254" s="1" nd="1"/>
        <i x="338" s="1" nd="1"/>
        <i x="426" s="1" nd="1"/>
        <i x="384" s="1" nd="1"/>
        <i x="45" s="1" nd="1"/>
        <i x="176" s="1" nd="1"/>
        <i x="435" s="1" nd="1"/>
        <i x="133" s="1" nd="1"/>
        <i x="283" s="1" nd="1"/>
        <i x="62" s="1" nd="1"/>
        <i x="186" s="1" nd="1"/>
        <i x="69" s="1" nd="1"/>
        <i x="96" s="1" nd="1"/>
        <i x="410" s="1" nd="1"/>
        <i x="275" s="1" nd="1"/>
        <i x="29" s="1" nd="1"/>
        <i x="303" s="1" nd="1"/>
        <i x="322" s="1" nd="1"/>
        <i x="284" s="1" nd="1"/>
        <i x="248" s="1" nd="1"/>
        <i x="403" s="1" nd="1"/>
        <i x="368" s="1" nd="1"/>
        <i x="30" s="1" nd="1"/>
        <i x="391" s="1" nd="1"/>
        <i x="155" s="1" nd="1"/>
        <i x="63" s="1" nd="1"/>
        <i x="89" s="1" nd="1"/>
        <i x="225" s="1" nd="1"/>
        <i x="167" s="1" nd="1"/>
        <i x="339" s="1" nd="1"/>
        <i x="190" s="1" nd="1"/>
        <i x="296" s="1" nd="1"/>
        <i x="134" s="1" nd="1"/>
        <i x="378" s="1" nd="1"/>
        <i x="37" s="1" nd="1"/>
        <i x="168" s="1" nd="1"/>
        <i x="191" s="1" nd="1"/>
        <i x="271" s="1" nd="1"/>
        <i x="239" s="1" nd="1"/>
        <i x="119" s="1" nd="1"/>
        <i x="379" s="1" nd="1"/>
        <i x="427" s="1" nd="1"/>
        <i x="231" s="1" nd="1"/>
        <i x="200" s="1" nd="1"/>
        <i x="331" s="1" nd="1"/>
        <i x="268" s="1" nd="1"/>
        <i x="38" s="1" nd="1"/>
        <i x="255" s="1" nd="1"/>
        <i x="340" s="1" nd="1"/>
        <i x="97" s="1" nd="1"/>
        <i x="442" s="1" nd="1"/>
        <i x="347"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191">
        <i x="0" s="1"/>
        <i x="184" s="1" nd="1"/>
        <i x="164" s="1" nd="1"/>
        <i x="75" s="1" nd="1"/>
        <i x="19" s="1" nd="1"/>
        <i x="62" s="1" nd="1"/>
        <i x="185" s="1" nd="1"/>
        <i x="7" s="1" nd="1"/>
        <i x="161" s="1" nd="1"/>
        <i x="46" s="1" nd="1"/>
        <i x="135" s="1" nd="1"/>
        <i x="79" s="1" nd="1"/>
        <i x="182" s="1" nd="1"/>
        <i x="68" s="1" nd="1"/>
        <i x="11" s="1" nd="1"/>
        <i x="136" s="1" nd="1"/>
        <i x="82" s="1" nd="1"/>
        <i x="143" s="1" nd="1"/>
        <i x="88" s="1" nd="1"/>
        <i x="115" s="1" nd="1"/>
        <i x="141" s="1" nd="1"/>
        <i x="34" s="1" nd="1"/>
        <i x="50" s="1" nd="1"/>
        <i x="186" s="1" nd="1"/>
        <i x="8" s="1" nd="1"/>
        <i x="179" s="1" nd="1"/>
        <i x="51" s="1" nd="1"/>
        <i x="83" s="1" nd="1"/>
        <i x="58" s="1" nd="1"/>
        <i x="91" s="1" nd="1"/>
        <i x="95" s="1" nd="1"/>
        <i x="69" s="1" nd="1"/>
        <i x="23" s="1" nd="1"/>
        <i x="156" s="1" nd="1"/>
        <i x="32" s="1" nd="1"/>
        <i x="35" s="1" nd="1"/>
        <i x="146" s="1" nd="1"/>
        <i x="99" s="1" nd="1"/>
        <i x="63" s="1" nd="1"/>
        <i x="187" s="1" nd="1"/>
        <i x="147" s="1" nd="1"/>
        <i x="100" s="1" nd="1"/>
        <i x="168" s="1" nd="1"/>
        <i x="44" s="1" nd="1"/>
        <i x="12" s="1" nd="1"/>
        <i x="20" s="1" nd="1"/>
        <i x="128" s="1" nd="1"/>
        <i x="109" s="1" nd="1"/>
        <i x="148" s="1" nd="1"/>
        <i x="111" s="1" nd="1"/>
        <i x="80" s="1" nd="1"/>
        <i x="92" s="1" nd="1"/>
        <i x="89" s="1" nd="1"/>
        <i x="66" s="1" nd="1"/>
        <i x="180" s="1" nd="1"/>
        <i x="4" s="1" nd="1"/>
        <i x="188" s="1" nd="1"/>
        <i x="116" s="1" nd="1"/>
        <i x="5" s="1" nd="1"/>
        <i x="84" s="1" nd="1"/>
        <i x="153" s="1" nd="1"/>
        <i x="151" s="1" nd="1"/>
        <i x="21" s="1" nd="1"/>
        <i x="93" s="1" nd="1"/>
        <i x="67" s="1" nd="1"/>
        <i x="142" s="1" nd="1"/>
        <i x="40" s="1" nd="1"/>
        <i x="162" s="1" nd="1"/>
        <i x="173" s="1" nd="1"/>
        <i x="24" s="1" nd="1"/>
        <i x="120" s="1" nd="1"/>
        <i x="138" s="1" nd="1"/>
        <i x="169" s="1" nd="1"/>
        <i x="160" s="1" nd="1"/>
        <i x="104" s="1" nd="1"/>
        <i x="131" s="1" nd="1"/>
        <i x="165" s="1" nd="1"/>
        <i x="52" s="1" nd="1"/>
        <i x="36" s="1" nd="1"/>
        <i x="70" s="1" nd="1"/>
        <i x="105" s="1" nd="1"/>
        <i x="101" s="1" nd="1"/>
        <i x="41" s="1" nd="1"/>
        <i x="150" s="1" nd="1"/>
        <i x="37" s="1" nd="1"/>
        <i x="152" s="1" nd="1"/>
        <i x="72" s="1" nd="1"/>
        <i x="64" s="1" nd="1"/>
        <i x="174" s="1" nd="1"/>
        <i x="189" s="1" nd="1"/>
        <i x="1" s="1" nd="1"/>
        <i x="170" s="1" nd="1"/>
        <i x="190" s="1" nd="1"/>
        <i x="132" s="1" nd="1"/>
        <i x="139" s="1" nd="1"/>
        <i x="27" s="1" nd="1"/>
        <i x="157" s="1" nd="1"/>
        <i x="134" s="1" nd="1"/>
        <i x="47" s="1" nd="1"/>
        <i x="73" s="1" nd="1"/>
        <i x="117" s="1" nd="1"/>
        <i x="129" s="1" nd="1"/>
        <i x="90" s="1" nd="1"/>
        <i x="76" s="1" nd="1"/>
        <i x="48" s="1" nd="1"/>
        <i x="14" s="1" nd="1"/>
        <i x="118" s="1" nd="1"/>
        <i x="59" s="1" nd="1"/>
        <i x="158" s="1" nd="1"/>
        <i x="85" s="1" nd="1"/>
        <i x="56" s="1" nd="1"/>
        <i x="28" s="1" nd="1"/>
        <i x="60" s="1" nd="1"/>
        <i x="2" s="1" nd="1"/>
        <i x="33" s="1" nd="1"/>
        <i x="22" s="1" nd="1"/>
        <i x="6" s="1" nd="1"/>
        <i x="124" s="1" nd="1"/>
        <i x="86" s="1" nd="1"/>
        <i x="49" s="1" nd="1"/>
        <i x="30" s="1" nd="1"/>
        <i x="38" s="1" nd="1"/>
        <i x="130" s="1" nd="1"/>
        <i x="163" s="1" nd="1"/>
        <i x="29" s="1" nd="1"/>
        <i x="125" s="1" nd="1"/>
        <i x="13" s="1" nd="1"/>
        <i x="42" s="1" nd="1"/>
        <i x="17" s="1" nd="1"/>
        <i x="102" s="1" nd="1"/>
        <i x="74" s="1" nd="1"/>
        <i x="77" s="1" nd="1"/>
        <i x="16" s="1" nd="1"/>
        <i x="175" s="1" nd="1"/>
        <i x="176" s="1" nd="1"/>
        <i x="110" s="1" nd="1"/>
        <i x="144" s="1" nd="1"/>
        <i x="53" s="1" nd="1"/>
        <i x="25" s="1" nd="1"/>
        <i x="106" s="1" nd="1"/>
        <i x="149" s="1" nd="1"/>
        <i x="121" s="1" nd="1"/>
        <i x="39" s="1" nd="1"/>
        <i x="177" s="1" nd="1"/>
        <i x="112" s="1" nd="1"/>
        <i x="9" s="1" nd="1"/>
        <i x="166" s="1" nd="1"/>
        <i x="18" s="1" nd="1"/>
        <i x="45" s="1" nd="1"/>
        <i x="96" s="1" nd="1"/>
        <i x="71" s="1" nd="1"/>
        <i x="126" s="1" nd="1"/>
        <i x="159" s="1" nd="1"/>
        <i x="103" s="1" nd="1"/>
        <i x="113" s="1" nd="1"/>
        <i x="54" s="1" nd="1"/>
        <i x="15" s="1" nd="1"/>
        <i x="43" s="1" nd="1"/>
        <i x="55" s="1" nd="1"/>
        <i x="107" s="1" nd="1"/>
        <i x="122" s="1" nd="1"/>
        <i x="133" s="1" nd="1"/>
        <i x="127" s="1" nd="1"/>
        <i x="78" s="1" nd="1"/>
        <i x="94" s="1" nd="1"/>
        <i x="26" s="1" nd="1"/>
        <i x="57" s="1" nd="1"/>
        <i x="167" s="1" nd="1"/>
        <i x="97" s="1" nd="1"/>
        <i x="3" s="1" nd="1"/>
        <i x="145" s="1" nd="1"/>
        <i x="183" s="1" nd="1"/>
        <i x="65" s="1" nd="1"/>
        <i x="119" s="1" nd="1"/>
        <i x="137" s="1" nd="1"/>
        <i x="81" s="1" nd="1"/>
        <i x="98" s="1" nd="1"/>
        <i x="114" s="1" nd="1"/>
        <i x="123" s="1" nd="1"/>
        <i x="171" s="1" nd="1"/>
        <i x="10" s="1" nd="1"/>
        <i x="140" s="1" nd="1"/>
        <i x="178" s="1" nd="1"/>
        <i x="181" s="1" nd="1"/>
        <i x="31" s="1" nd="1"/>
        <i x="61" s="1" nd="1"/>
        <i x="154" s="1" nd="1"/>
        <i x="172" s="1" nd="1"/>
        <i x="155" s="1" nd="1"/>
        <i x="87" s="1" nd="1"/>
        <i x="10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s="1"/>
        <i x="2" s="1"/>
        <i x="3" s="1"/>
        <i x="9" s="1" nd="1"/>
        <i x="4" s="1" nd="1"/>
        <i x="5" s="1" nd="1"/>
        <i x="6" s="1" nd="1"/>
        <i x="7" s="1" nd="1"/>
        <i x="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440">
        <i x="6" s="1"/>
        <i x="46" s="1" nd="1"/>
        <i x="109" s="1" nd="1"/>
        <i x="69" s="1" nd="1"/>
        <i x="173" s="1" nd="1"/>
        <i x="186" s="1" nd="1"/>
        <i x="49" s="1" nd="1"/>
        <i x="154" s="1" nd="1"/>
        <i x="102" s="1" nd="1"/>
        <i x="319" s="1" nd="1"/>
        <i x="213" s="1" nd="1"/>
        <i x="150" s="1" nd="1"/>
        <i x="272" s="1" nd="1"/>
        <i x="320" s="1" nd="1"/>
        <i x="337" s="1" nd="1"/>
        <i x="295" s="1" nd="1"/>
        <i x="230" s="1" nd="1"/>
        <i x="214" s="1" nd="1"/>
        <i x="321" s="1" nd="1"/>
        <i x="242" s="1" nd="1"/>
        <i x="114" s="1" nd="1"/>
        <i x="59" s="1" nd="1"/>
        <i x="222" s="1" nd="1"/>
        <i x="411" s="1" nd="1"/>
        <i x="39" s="1" nd="1"/>
        <i x="330" s="1" nd="1"/>
        <i x="223" s="1" nd="1"/>
        <i x="155" s="1" nd="1"/>
        <i x="281" s="1" nd="1"/>
        <i x="303" s="1" nd="1"/>
        <i x="124" s="1" nd="1"/>
        <i x="252" s="1" nd="1"/>
        <i x="199" s="1" nd="1"/>
        <i x="296" s="1" nd="1"/>
        <i x="297" s="1" nd="1"/>
        <i x="412" s="1" nd="1"/>
        <i x="151" s="1" nd="1"/>
        <i x="304" s="1" nd="1"/>
        <i x="152" s="1" nd="1"/>
        <i x="276" s="1" nd="1"/>
        <i x="23" s="1" nd="1"/>
        <i x="121" s="1" nd="1"/>
        <i x="425" s="1" nd="1"/>
        <i x="347" s="1" nd="1"/>
        <i x="253" s="1" nd="1"/>
        <i x="68" s="1" nd="1"/>
        <i x="174" s="1" nd="1"/>
        <i x="209" s="1" nd="1"/>
        <i x="110" s="1" nd="1"/>
        <i x="74" s="1" nd="1"/>
        <i x="50" s="1" nd="1"/>
        <i x="377" s="1" nd="1"/>
        <i x="175" s="1" nd="1"/>
        <i x="167" s="1" nd="1"/>
        <i x="47" s="1" nd="1"/>
        <i x="266" s="1" nd="1"/>
        <i x="111" s="1" nd="1"/>
        <i x="331" s="1" nd="1"/>
        <i x="305" s="1" nd="1"/>
        <i x="138" s="1" nd="1"/>
        <i x="282" s="1" nd="1"/>
        <i x="431" s="1" nd="1"/>
        <i x="156" s="1" nd="1"/>
        <i x="51" s="1" nd="1"/>
        <i x="215" s="1" nd="1"/>
        <i x="383" s="1" nd="1"/>
        <i x="168" s="1" nd="1"/>
        <i x="290" s="1" nd="1"/>
        <i x="176" s="1" nd="1"/>
        <i x="395" s="1" nd="1"/>
        <i x="413" s="1" nd="1"/>
        <i x="70" s="1" nd="1"/>
        <i x="277" s="1" nd="1"/>
        <i x="243" s="1" nd="1"/>
        <i x="398" s="1" nd="1"/>
        <i x="384" s="1" nd="1"/>
        <i x="177" s="1" nd="1"/>
        <i x="273" s="1" nd="1"/>
        <i x="33" s="1" nd="1"/>
        <i x="283" s="1" nd="1"/>
        <i x="231" s="1" nd="1"/>
        <i x="368" s="1" nd="1"/>
        <i x="402" s="1" nd="1"/>
        <i x="267" s="1" nd="1"/>
        <i x="224" s="1" nd="1"/>
        <i x="342" s="1" nd="1"/>
        <i x="52" s="1" nd="1"/>
        <i x="115" s="1" nd="1"/>
        <i x="238" s="1" nd="1"/>
        <i x="403" s="1" nd="1"/>
        <i x="417" s="1" nd="1"/>
        <i x="97" s="1" nd="1"/>
        <i x="157" s="1" nd="1"/>
        <i x="232" s="1" nd="1"/>
        <i x="326" s="1" nd="1"/>
        <i x="426" s="1" nd="1"/>
        <i x="244" s="1" nd="1"/>
        <i x="158" s="1" nd="1"/>
        <i x="91" s="1" nd="1"/>
        <i x="159" s="1" nd="1"/>
        <i x="254" s="1" nd="1"/>
        <i x="291" s="1" nd="1"/>
        <i x="60" s="1" nd="1"/>
        <i x="245" s="1" nd="1"/>
        <i x="40" s="1" nd="1"/>
        <i x="274" s="1" nd="1"/>
        <i x="140" s="1" nd="1"/>
        <i x="75" s="1" nd="1"/>
        <i x="200" s="1" nd="1"/>
        <i x="434" s="1" nd="1"/>
        <i x="332" s="1" nd="1"/>
        <i x="28" s="1" nd="1"/>
        <i x="298" s="1" nd="1"/>
        <i x="112" s="1" nd="1"/>
        <i x="24" s="1" nd="1"/>
        <i x="369" s="1" nd="1"/>
        <i x="233" s="1" nd="1"/>
        <i x="133" s="1" nd="1"/>
        <i x="160" s="1" nd="1"/>
        <i x="327" s="1" nd="1"/>
        <i x="306" s="1" nd="1"/>
        <i x="134" s="1" nd="1"/>
        <i x="275" s="1" nd="1"/>
        <i x="246" s="1" nd="1"/>
        <i x="76" s="1" nd="1"/>
        <i x="92" s="1" nd="1"/>
        <i x="29" s="1" nd="1"/>
        <i x="122" s="1" nd="1"/>
        <i x="34" s="1" nd="1"/>
        <i x="98" s="1" nd="1"/>
        <i x="234" s="1" nd="1"/>
        <i x="80" s="1" nd="1"/>
        <i x="278" s="1" nd="1"/>
        <i x="370" s="1" nd="1"/>
        <i x="284" s="1" nd="1"/>
        <i x="352" s="1" nd="1"/>
        <i x="312" s="1" nd="1"/>
        <i x="103" s="1" nd="1"/>
        <i x="178" s="1" nd="1"/>
        <i x="139" s="1" nd="1"/>
        <i x="179" s="1" nd="1"/>
        <i x="201" s="1" nd="1"/>
        <i x="385" s="1" nd="1"/>
        <i x="25" s="1" nd="1"/>
        <i x="255" s="1" nd="1"/>
        <i x="378" s="1" nd="1"/>
        <i x="407" s="1" nd="1"/>
        <i x="379" s="1" nd="1"/>
        <i x="386" s="1" nd="1"/>
        <i x="225" s="1" nd="1"/>
        <i x="81" s="1" nd="1"/>
        <i x="210" s="1" nd="1"/>
        <i x="418" s="1" nd="1"/>
        <i x="348" s="1" nd="1"/>
        <i x="380" s="1" nd="1"/>
        <i x="314" s="1" nd="1"/>
        <i x="359" s="1" nd="1"/>
        <i x="292" s="1" nd="1"/>
        <i x="387" s="1" nd="1"/>
        <i x="77" s="1" nd="1"/>
        <i x="322" s="1" nd="1"/>
        <i x="404" s="1" nd="1"/>
        <i x="360" s="1" nd="1"/>
        <i x="30" s="1" nd="1"/>
        <i x="381" s="1" nd="1"/>
        <i x="202" s="1" nd="1"/>
        <i x="279" s="1" nd="1"/>
        <i x="141" s="1" nd="1"/>
        <i x="247" s="1" nd="1"/>
        <i x="161" s="1" nd="1"/>
        <i x="61" s="1" nd="1"/>
        <i x="113" s="1" nd="1"/>
        <i x="371" s="1" nd="1"/>
        <i x="116" s="1" nd="1"/>
        <i x="203" s="1" nd="1"/>
        <i x="408" s="1" nd="1"/>
        <i x="93" s="1" nd="1"/>
        <i x="41" s="1" nd="1"/>
        <i x="419" s="1" nd="1"/>
        <i x="191" s="1" nd="1"/>
        <i x="372" s="1" nd="1"/>
        <i x="361" s="1" nd="1"/>
        <i x="35" s="1" nd="1"/>
        <i x="349" s="1" nd="1"/>
        <i x="125" s="1" nd="1"/>
        <i x="268" s="1" nd="1"/>
        <i x="153" s="1" nd="1"/>
        <i x="71" s="1" nd="1"/>
        <i x="414" s="1" nd="1"/>
        <i x="142" s="1" nd="1"/>
        <i x="26" s="1" nd="1"/>
        <i x="399" s="1" nd="1"/>
        <i x="388" s="1" nd="1"/>
        <i x="415" s="1" nd="1"/>
        <i x="394" s="1" nd="1"/>
        <i x="62" s="1" nd="1"/>
        <i x="181" s="1" nd="1"/>
        <i x="78" s="1" nd="1"/>
        <i x="192" s="1" nd="1"/>
        <i x="350" s="1" nd="1"/>
        <i x="362" s="1" nd="1"/>
        <i x="435" s="1" nd="1"/>
        <i x="204" s="1" nd="1"/>
        <i x="193" s="1" nd="1"/>
        <i x="117" s="1" nd="1"/>
        <i x="285" s="1" nd="1"/>
        <i x="162" s="1" nd="1"/>
        <i x="343" s="1" nd="1"/>
        <i x="344" s="1" nd="1"/>
        <i x="333" s="1" nd="1"/>
        <i x="194" s="1" nd="1"/>
        <i x="169" s="1" nd="1"/>
        <i x="143" s="1" nd="1"/>
        <i x="187" s="1" nd="1"/>
        <i x="86" s="1" nd="1"/>
        <i x="373" s="1" nd="1"/>
        <i x="353" s="1" nd="1"/>
        <i x="87" s="1" nd="1"/>
        <i x="220" s="1" nd="1"/>
        <i x="211" s="1" nd="1"/>
        <i x="307" s="1" nd="1"/>
        <i x="196" s="1" nd="1"/>
        <i x="135" s="1" nd="1"/>
        <i x="31" s="1" nd="1"/>
        <i x="308" s="1" nd="1"/>
        <i x="53" s="1" nd="1"/>
        <i x="79" s="1" nd="1"/>
        <i x="309" s="1" nd="1"/>
        <i x="126" s="1" nd="1"/>
        <i x="72" s="1" nd="1"/>
        <i x="400" s="1" nd="1"/>
        <i x="315" s="1" nd="1"/>
        <i x="299" s="1" nd="1"/>
        <i x="323" s="1" nd="1"/>
        <i x="88" s="1" nd="1"/>
        <i x="436" s="1" nd="1"/>
        <i x="197" s="1" nd="1"/>
        <i x="123" s="1" nd="1"/>
        <i x="221" s="1" nd="1"/>
        <i x="63" s="1" nd="1"/>
        <i x="432" s="1" nd="1"/>
        <i x="239" s="1" nd="1"/>
        <i x="351" s="1" nd="1"/>
        <i x="363" s="1" nd="1"/>
        <i x="240" s="1" nd="1"/>
        <i x="82" s="1" nd="1"/>
        <i x="405" s="1" nd="1"/>
        <i x="144" s="1" nd="1"/>
        <i x="316" s="1" nd="1"/>
        <i x="259" s="1" nd="1"/>
        <i x="324" s="1" nd="1"/>
        <i x="420" s="1" nd="1"/>
        <i x="241" s="1" nd="1"/>
        <i x="364" s="1" nd="1"/>
        <i x="136" s="1" nd="1"/>
        <i x="99" s="1" nd="1"/>
        <i x="374" s="1" nd="1"/>
        <i x="248" s="1" nd="1"/>
        <i x="345" s="1" nd="1"/>
        <i x="127" s="1" nd="1"/>
        <i x="64" s="1" nd="1"/>
        <i x="42" s="1" nd="1"/>
        <i x="421" s="1" nd="1"/>
        <i x="118" s="1" nd="1"/>
        <i x="54" s="1" nd="1"/>
        <i x="260" s="1" nd="1"/>
        <i x="269" s="1" nd="1"/>
        <i x="375" s="1" nd="1"/>
        <i x="354" s="1" nd="1"/>
        <i x="334" s="1" nd="1"/>
        <i x="73" s="1" nd="1"/>
        <i x="422" s="1" nd="1"/>
        <i x="128" s="1" nd="1"/>
        <i x="235" s="1" nd="1"/>
        <i x="129" s="1" nd="1"/>
        <i x="338" s="1" nd="1"/>
        <i x="409" s="1" nd="1"/>
        <i x="36" s="1" nd="1"/>
        <i x="389" s="1" nd="1"/>
        <i x="236" s="1" nd="1"/>
        <i x="355" s="1" nd="1"/>
        <i x="256" s="1" nd="1"/>
        <i x="390" s="1" nd="1"/>
        <i x="83" s="1" nd="1"/>
        <i x="145" s="1" nd="1"/>
        <i x="317" s="1" nd="1"/>
        <i x="401" s="1" nd="1"/>
        <i x="104" s="1" nd="1"/>
        <i x="293" s="1" nd="1"/>
        <i x="65" s="1" nd="1"/>
        <i x="423" s="1" nd="1"/>
        <i x="32" s="1" nd="1"/>
        <i x="146" s="1" nd="1"/>
        <i x="105" s="1" nd="1"/>
        <i x="163" s="1" nd="1"/>
        <i x="280" s="1" nd="1"/>
        <i x="437" s="1" nd="1"/>
        <i x="261" s="1" nd="1"/>
        <i x="382" s="1" nd="1"/>
        <i x="335" s="1" nd="1"/>
        <i x="286" s="1" nd="1"/>
        <i x="325" s="1" nd="1"/>
        <i x="365" s="1" nd="1"/>
        <i x="249" s="1" nd="1"/>
        <i x="188" s="1" nd="1"/>
        <i x="356" s="1" nd="1"/>
        <i x="366" s="1" nd="1"/>
        <i x="147" s="1" nd="1"/>
        <i x="137" s="1" nd="1"/>
        <i x="164" s="1" nd="1"/>
        <i x="262" s="1" nd="1"/>
        <i x="84" s="1" nd="1"/>
        <i x="416" s="1" nd="1"/>
        <i x="205" s="1" nd="1"/>
        <i x="310" s="1" nd="1"/>
        <i x="410" s="1" nd="1"/>
        <i x="165" s="1" nd="1"/>
        <i x="106" s="1" nd="1"/>
        <i x="55" s="1" nd="1"/>
        <i x="198" s="1" nd="1"/>
        <i x="119" s="1" nd="1"/>
        <i x="43" s="1" nd="1"/>
        <i x="130" s="1" nd="1"/>
        <i x="328" s="1" nd="1"/>
        <i x="48" s="1" nd="1"/>
        <i x="212" s="1" nd="1"/>
        <i x="270" s="1" nd="1"/>
        <i x="336" s="1" nd="1"/>
        <i x="37" s="1" nd="1"/>
        <i x="100" s="1" nd="1"/>
        <i x="170" s="1" nd="1"/>
        <i x="250" s="1" nd="1"/>
        <i x="226" s="1" nd="1"/>
        <i x="131" s="1" nd="1"/>
        <i x="376" s="1" nd="1"/>
        <i x="257" s="1" nd="1"/>
        <i x="216" s="1" nd="1"/>
        <i x="251" s="1" nd="1"/>
        <i x="391" s="1" nd="1"/>
        <i x="227" s="1" nd="1"/>
        <i x="271" s="1" nd="1"/>
        <i x="189" s="1" nd="1"/>
        <i x="438" s="1" nd="1"/>
        <i x="56" s="1" nd="1"/>
        <i x="300" s="1" nd="1"/>
        <i x="301" s="1" nd="1"/>
        <i x="313" s="1" nd="1"/>
        <i x="263" s="1" nd="1"/>
        <i x="107" s="1" nd="1"/>
        <i x="171" s="1" nd="1"/>
        <i x="357" s="1" nd="1"/>
        <i x="132" s="1" nd="1"/>
        <i x="329" s="1" nd="1"/>
        <i x="406" s="1" nd="1"/>
        <i x="94" s="1" nd="1"/>
        <i x="180" s="1" nd="1"/>
        <i x="38" s="1" nd="1"/>
        <i x="264" s="1" nd="1"/>
        <i x="439" s="1" nd="1"/>
        <i x="217" s="1" nd="1"/>
        <i x="95" s="1" nd="1"/>
        <i x="66" s="1" nd="1"/>
        <i x="67" s="1" nd="1"/>
        <i x="108" s="1" nd="1"/>
        <i x="44" s="1" nd="1"/>
        <i x="427" s="1" nd="1"/>
        <i x="57" s="1" nd="1"/>
        <i x="190" s="1" nd="1"/>
        <i x="206" s="1" nd="1"/>
        <i x="358" s="1" nd="1"/>
        <i x="207" s="1" nd="1"/>
        <i x="392" s="1" nd="1"/>
        <i x="346" s="1" nd="1"/>
        <i x="166" s="1" nd="1"/>
        <i x="182" s="1" nd="1"/>
        <i x="396" s="1" nd="1"/>
        <i x="318" s="1" nd="1"/>
        <i x="428" s="1" nd="1"/>
        <i x="101" s="1" nd="1"/>
        <i x="287" s="1" nd="1"/>
        <i x="237" s="1" nd="1"/>
        <i x="96" s="1" nd="1"/>
        <i x="429" s="1" nd="1"/>
        <i x="85" s="1" nd="1"/>
        <i x="302" s="1" nd="1"/>
        <i x="228" s="1" nd="1"/>
        <i x="58" s="1" nd="1"/>
        <i x="424" s="1" nd="1"/>
        <i x="45" s="1" nd="1"/>
        <i x="430" s="1" nd="1"/>
        <i x="148" s="1" nd="1"/>
        <i x="229" s="1" nd="1"/>
        <i x="288" s="1" nd="1"/>
        <i x="183" s="1" nd="1"/>
        <i x="89" s="1" nd="1"/>
        <i x="195" s="1" nd="1"/>
        <i x="294" s="1" nd="1"/>
        <i x="172" s="1" nd="1"/>
        <i x="149" s="1" nd="1"/>
        <i x="120" s="1" nd="1"/>
        <i x="367" s="1" nd="1"/>
        <i x="339" s="1" nd="1"/>
        <i x="208" s="1" nd="1"/>
        <i x="265" s="1" nd="1"/>
        <i x="289" s="1" nd="1"/>
        <i x="218" s="1" nd="1"/>
        <i x="27" s="1" nd="1"/>
        <i x="433" s="1" nd="1"/>
        <i x="397" s="1" nd="1"/>
        <i x="340" s="1" nd="1"/>
        <i x="393" s="1" nd="1"/>
        <i x="90" s="1" nd="1"/>
        <i x="184" s="1" nd="1"/>
        <i x="219" s="1" nd="1"/>
        <i x="22" s="1" nd="1"/>
        <i x="7" s="1" nd="1"/>
        <i x="1" s="1" nd="1"/>
        <i x="2" s="1" nd="1"/>
        <i x="8" s="1" nd="1"/>
        <i x="21" s="1" nd="1"/>
        <i x="14" s="1" nd="1"/>
        <i x="20" s="1" nd="1"/>
        <i x="10" s="1" nd="1"/>
        <i x="9" s="1" nd="1"/>
        <i x="15" s="1" nd="1"/>
        <i x="3" s="1" nd="1"/>
        <i x="19" s="1" nd="1"/>
        <i x="17" s="1" nd="1"/>
        <i x="311" s="1" nd="1"/>
        <i x="5" s="1" nd="1"/>
        <i x="4" s="1" nd="1"/>
        <i x="16" s="1" nd="1"/>
        <i x="13" s="1" nd="1"/>
        <i x="18" s="1" nd="1"/>
        <i x="0" s="1" nd="1"/>
        <i x="11" s="1" nd="1"/>
        <i x="12" s="1" nd="1"/>
        <i x="258" s="1" nd="1"/>
        <i x="341" s="1" nd="1"/>
        <i x="185"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455">
        <i x="6" s="1"/>
        <i x="39" s="1" nd="1"/>
        <i x="421" s="1" nd="1"/>
        <i x="348" s="1" nd="1"/>
        <i x="120" s="1" nd="1"/>
        <i x="341" s="1" nd="1"/>
        <i x="304" s="1" nd="1"/>
        <i x="355" s="1" nd="1"/>
        <i x="349" s="1" nd="1"/>
        <i x="317" s="1" nd="1"/>
        <i x="413" s="1" nd="1"/>
        <i x="156" s="1" nd="1"/>
        <i x="76" s="1" nd="1"/>
        <i x="350" s="1" nd="1"/>
        <i x="232" s="1" nd="1"/>
        <i x="289" s="1" nd="1"/>
        <i x="20" s="1" nd="1"/>
        <i x="64" s="1" nd="1"/>
        <i x="404" s="1" nd="1"/>
        <i x="305" s="1" nd="1"/>
        <i x="233" s="1" nd="1"/>
        <i x="356" s="1" nd="1"/>
        <i x="369" s="1" nd="1"/>
        <i x="240" s="1" nd="1"/>
        <i x="65" s="1" nd="1"/>
        <i x="318" s="1" nd="1"/>
        <i x="259" s="1" nd="1"/>
        <i x="90" s="1" nd="1"/>
        <i x="40" s="1" nd="1"/>
        <i x="18" s="1" nd="1"/>
        <i x="332" s="1" nd="1"/>
        <i x="210" s="1" nd="1"/>
        <i x="363" s="1" nd="1"/>
        <i x="385" s="1" nd="1"/>
        <i x="56" s="1" nd="1"/>
        <i x="276" s="1" nd="1"/>
        <i x="144" s="1" nd="1"/>
        <i x="31" s="1" nd="1"/>
        <i x="422" s="1" nd="1"/>
        <i x="98" s="1" nd="1"/>
        <i x="192" s="1" nd="1"/>
        <i x="46" s="1" nd="1"/>
        <i x="436" s="1" nd="1"/>
        <i x="306" s="1" nd="1"/>
        <i x="234" s="1" nd="1"/>
        <i x="177" s="1" nd="1"/>
        <i x="392" s="1" nd="1"/>
        <i x="411" s="1" nd="1"/>
        <i x="218" s="1" nd="1"/>
        <i x="437" s="1" nd="1"/>
        <i x="145" s="1" nd="1"/>
        <i x="11" s="1" nd="1"/>
        <i x="91" s="1" nd="1"/>
        <i x="47" s="1" nd="1"/>
        <i x="370" s="1" nd="1"/>
        <i x="307" s="1" nd="1"/>
        <i x="146" s="1" nd="1"/>
        <i x="138" s="1" nd="1"/>
        <i x="135" s="1" nd="1"/>
        <i x="405" s="1" nd="1"/>
        <i x="398" s="1" nd="1"/>
        <i x="147" s="1" nd="1"/>
        <i x="260" s="1" nd="1"/>
        <i x="2" s="1" nd="1"/>
        <i x="374" s="1" nd="1"/>
        <i x="34" s="1" nd="1"/>
        <i x="399" s="1" nd="1"/>
        <i x="428" s="1" nd="1"/>
        <i x="193" s="1" nd="1"/>
        <i x="364" s="1" nd="1"/>
        <i x="48" s="1" nd="1"/>
        <i x="106" s="1" nd="1"/>
        <i x="277" s="1" nd="1"/>
        <i x="152" s="1" nd="1"/>
        <i x="35" s="1" nd="1"/>
        <i x="333" s="1" nd="1"/>
        <i x="269" s="1" nd="1"/>
        <i x="127" s="1" nd="1"/>
        <i x="297" s="1" nd="1"/>
        <i x="0" s="1" nd="1"/>
        <i x="226" s="1" nd="1"/>
        <i x="386" s="1" nd="1"/>
        <i x="319" s="1" nd="1"/>
        <i x="57" s="1" nd="1"/>
        <i x="113" s="1" nd="1"/>
        <i x="163" s="1" nd="1"/>
        <i x="334" s="1" nd="1"/>
        <i x="235" s="1" nd="1"/>
        <i x="41" s="1" nd="1"/>
        <i x="58" s="1" nd="1"/>
        <i x="114" s="1" nd="1"/>
        <i x="178" s="1" nd="1"/>
        <i x="278" s="1" nd="1"/>
        <i x="414" s="1" nd="1"/>
        <i x="194" s="1" nd="1"/>
        <i x="423" s="1" nd="1"/>
        <i x="360" s="1" nd="1"/>
        <i x="227" s="1" nd="1"/>
        <i x="241" s="1" nd="1"/>
        <i x="429" s="1" nd="1"/>
        <i x="128" s="1" nd="1"/>
        <i x="298" s="1" nd="1"/>
        <i x="49" s="1" nd="1"/>
        <i x="443" s="1" nd="1"/>
        <i x="387" s="1" nd="1"/>
        <i x="308" s="1" nd="1"/>
        <i x="195" s="1" nd="1"/>
        <i x="50" s="1" nd="1"/>
        <i x="179" s="1" nd="1"/>
        <i x="279" s="1" nd="1"/>
        <i x="444" s="1" nd="1"/>
        <i x="139" s="1" nd="1"/>
        <i x="219" s="1" nd="1"/>
        <i x="201" s="1" nd="1"/>
        <i x="309" s="1" nd="1"/>
        <i x="5" s="1" nd="1"/>
        <i x="211" s="1" nd="1"/>
        <i x="312" s="1" nd="1"/>
        <i x="299" s="1" nd="1"/>
        <i x="84" s="1" nd="1"/>
        <i x="187" s="1" nd="1"/>
        <i x="406" s="1" nd="1"/>
        <i x="8" s="1" nd="1"/>
        <i x="438" s="1" nd="1"/>
        <i x="205" s="1" nd="1"/>
        <i x="249" s="1" nd="1"/>
        <i x="342" s="1" nd="1"/>
        <i x="415" s="1" nd="1"/>
        <i x="285" s="1" nd="1"/>
        <i x="400" s="1" nd="1"/>
        <i x="212" s="1" nd="1"/>
        <i x="70" s="1" nd="1"/>
        <i x="430" s="1" nd="1"/>
        <i x="22" s="1" nd="1"/>
        <i x="157" s="1" nd="1"/>
        <i x="311" s="1" nd="1"/>
        <i x="250" s="1" nd="1"/>
        <i x="188" s="1" nd="1"/>
        <i x="99" s="1" nd="1"/>
        <i x="153" s="1" nd="1"/>
        <i x="66" s="1" nd="1"/>
        <i x="357" s="1" nd="1"/>
        <i x="115" s="1" nd="1"/>
        <i x="365" s="1" nd="1"/>
        <i x="51" s="1" nd="1"/>
        <i x="264" s="1" nd="1"/>
        <i x="121" s="1" nd="1"/>
        <i x="290" s="1" nd="1"/>
        <i x="228" s="1" nd="1"/>
        <i x="154" s="1" nd="1"/>
        <i x="116" s="1" nd="1"/>
        <i x="323" s="1" nd="1"/>
        <i x="140" s="1" nd="1"/>
        <i x="189" s="1" nd="1"/>
        <i x="17" s="1" nd="1"/>
        <i x="222" s="1" nd="1"/>
        <i x="335" s="1" nd="1"/>
        <i x="92" s="1" nd="1"/>
        <i x="256" s="1" nd="1"/>
        <i x="77" s="1" nd="1"/>
        <i x="93" s="1" nd="1"/>
        <i x="180" s="1" nd="1"/>
        <i x="202" s="1" nd="1"/>
        <i x="136" s="1" nd="1"/>
        <i x="85" s="1" nd="1"/>
        <i x="206" s="1" nd="1"/>
        <i x="9" s="1" nd="1"/>
        <i x="19" s="1" nd="1"/>
        <i x="361" s="1" nd="1"/>
        <i x="213" s="1" nd="1"/>
        <i x="42" s="1" nd="1"/>
        <i x="169" s="1" nd="1"/>
        <i x="25" s="1" nd="1"/>
        <i x="129" s="1" nd="1"/>
        <i x="78" s="1" nd="1"/>
        <i x="261" s="1" nd="1"/>
        <i x="16" s="1" nd="1"/>
        <i x="375" s="1" nd="1"/>
        <i x="251" s="1" nd="1"/>
        <i x="272" s="1" nd="1"/>
        <i x="52" s="1" nd="1"/>
        <i x="320" s="1" nd="1"/>
        <i x="280" s="1" nd="1"/>
        <i x="324" s="1" nd="1"/>
        <i x="416" s="1" nd="1"/>
        <i x="445" s="1" nd="1"/>
        <i x="291" s="1" nd="1"/>
        <i x="10" s="1" nd="1"/>
        <i x="407" s="1" nd="1"/>
        <i x="24" s="1" nd="1"/>
        <i x="181" s="1" nd="1"/>
        <i x="351" s="1" nd="1"/>
        <i x="158" s="1" nd="1"/>
        <i x="86" s="1" nd="1"/>
        <i x="223" s="1" nd="1"/>
        <i x="292" s="1" nd="1"/>
        <i x="148" s="1" nd="1"/>
        <i x="71" s="1" nd="1"/>
        <i x="242" s="1" nd="1"/>
        <i x="417" s="1" nd="1"/>
        <i x="100" s="1" nd="1"/>
        <i x="366" s="1" nd="1"/>
        <i x="325" s="1" nd="1"/>
        <i x="67" s="1" nd="1"/>
        <i x="214" s="1" nd="1"/>
        <i x="313" s="1" nd="1"/>
        <i x="170" s="1" nd="1"/>
        <i x="300" s="1" nd="1"/>
        <i x="32" s="1" nd="1"/>
        <i x="137" s="1" nd="1"/>
        <i x="184" s="1" nd="1"/>
        <i x="358" s="1" nd="1"/>
        <i x="446" s="1" nd="1"/>
        <i x="376" s="1" nd="1"/>
        <i x="452" s="1" nd="1"/>
        <i x="149" s="1" nd="1"/>
        <i x="1" s="1" nd="1"/>
        <i x="196" s="1" nd="1"/>
        <i x="26" s="1" nd="1"/>
        <i x="388" s="1" nd="1"/>
        <i x="321" s="1" nd="1"/>
        <i x="87" s="1" nd="1"/>
        <i x="265" s="1" nd="1"/>
        <i x="447" s="1" nd="1"/>
        <i x="207" s="1" nd="1"/>
        <i x="68" s="1" nd="1"/>
        <i x="215" s="1" nd="1"/>
        <i x="293" s="1" nd="1"/>
        <i x="380" s="1" nd="1"/>
        <i x="229" s="1" nd="1"/>
        <i x="314" s="1" nd="1"/>
        <i x="301" s="1" nd="1"/>
        <i x="53" s="1" nd="1"/>
        <i x="236" s="1" nd="1"/>
        <i x="79" s="1" nd="1"/>
        <i x="352" s="1" nd="1"/>
        <i x="439" s="1" nd="1"/>
        <i x="371" s="1" nd="1"/>
        <i x="117" s="1" nd="1"/>
        <i x="208" s="1" nd="1"/>
        <i x="286" s="1" nd="1"/>
        <i x="453" s="1" nd="1"/>
        <i x="122" s="1" nd="1"/>
        <i x="216" s="1" nd="1"/>
        <i x="72" s="1" nd="1"/>
        <i x="431" s="1" nd="1"/>
        <i x="302" s="1" nd="1"/>
        <i x="182" s="1" nd="1"/>
        <i x="281" s="1" nd="1"/>
        <i x="159" s="1" nd="1"/>
        <i x="224" s="1" nd="1"/>
        <i x="381" s="1" nd="1"/>
        <i x="315" s="1" nd="1"/>
        <i x="171" s="1" nd="1"/>
        <i x="101" s="1" nd="1"/>
        <i x="412" s="1" nd="1"/>
        <i x="393" s="1" nd="1"/>
        <i x="418" s="1" nd="1"/>
        <i x="287" s="1" nd="1"/>
        <i x="36" s="1" nd="1"/>
        <i x="141" s="1" nd="1"/>
        <i x="123" s="1" nd="1"/>
        <i x="217" s="1" nd="1"/>
        <i x="408" s="1" nd="1"/>
        <i x="73" s="1" nd="1"/>
        <i x="102" s="1" nd="1"/>
        <i x="273" s="1" nd="1"/>
        <i x="27" s="1" nd="1"/>
        <i x="80" s="1" nd="1"/>
        <i x="107" s="1" nd="1"/>
        <i x="15" s="1" nd="1"/>
        <i x="243" s="1" nd="1"/>
        <i x="326" s="1" nd="1"/>
        <i x="336" s="1" nd="1"/>
        <i x="124" s="1" nd="1"/>
        <i x="294" s="1" nd="1"/>
        <i x="150" s="1" nd="1"/>
        <i x="172" s="1" nd="1"/>
        <i x="103" s="1" nd="1"/>
        <i x="197" s="1" nd="1"/>
        <i x="367" s="1" nd="1"/>
        <i x="389" s="1" nd="1"/>
        <i x="81" s="1" nd="1"/>
        <i x="59" s="1" nd="1"/>
        <i x="160" s="1" nd="1"/>
        <i x="327" s="1" nd="1"/>
        <i x="419" s="1" nd="1"/>
        <i x="88" s="1" nd="1"/>
        <i x="209" s="1" nd="1"/>
        <i x="401" s="1" nd="1"/>
        <i x="94" s="1" nd="1"/>
        <i x="125" s="1" nd="1"/>
        <i x="43" s="1" nd="1"/>
        <i x="343" s="1" nd="1"/>
        <i x="104" s="1" nd="1"/>
        <i x="353" s="1" nd="1"/>
        <i x="440" s="1" nd="1"/>
        <i x="108" s="1" nd="1"/>
        <i x="328" s="1" nd="1"/>
        <i x="359" s="1" nd="1"/>
        <i x="142" s="1" nd="1"/>
        <i x="164" s="1" nd="1"/>
        <i x="252" s="1" nd="1"/>
        <i x="382" s="1" nd="1"/>
        <i x="409" s="1" nd="1"/>
        <i x="74" s="1" nd="1"/>
        <i x="432" s="1" nd="1"/>
        <i x="28" s="1" nd="1"/>
        <i x="220" s="1" nd="1"/>
        <i x="390" s="1" nd="1"/>
        <i x="82" s="1" nd="1"/>
        <i x="109" s="1" nd="1"/>
        <i x="372" s="1" nd="1"/>
        <i x="394" s="1" nd="1"/>
        <i x="244" s="1" nd="1"/>
        <i x="329" s="1" nd="1"/>
        <i x="448" s="1" nd="1"/>
        <i x="402" s="1" nd="1"/>
        <i x="337" s="1" nd="1"/>
        <i x="454" s="1" nd="1"/>
        <i x="230" s="1" nd="1"/>
        <i x="173" s="1" nd="1"/>
        <i x="257" s="1" nd="1"/>
        <i x="344" s="1" nd="1"/>
        <i x="54" s="1" nd="1"/>
        <i x="83" s="1" nd="1"/>
        <i x="21" s="1" nd="1"/>
        <i x="4" s="1" nd="1"/>
        <i x="161" s="1" nd="1"/>
        <i x="245" s="1" nd="1"/>
        <i x="330" s="1" nd="1"/>
        <i x="377" s="1" nd="1"/>
        <i x="424" s="1" nd="1"/>
        <i x="95" s="1" nd="1"/>
        <i x="270" s="1" nd="1"/>
        <i x="44" s="1" nd="1"/>
        <i x="151" s="1" nd="1"/>
        <i x="316" s="1" nd="1"/>
        <i x="105" s="1" nd="1"/>
        <i x="130" s="1" nd="1"/>
        <i x="221" s="1" nd="1"/>
        <i x="237" s="1" nd="1"/>
        <i x="262" s="1" nd="1"/>
        <i x="441" s="1" nd="1"/>
        <i x="282" s="1" nd="1"/>
        <i x="395" s="1" nd="1"/>
        <i x="60" s="1" nd="1"/>
        <i x="23" s="1" nd="1"/>
        <i x="253" s="1" nd="1"/>
        <i x="295" s="1" nd="1"/>
        <i x="75" s="1" nd="1"/>
        <i x="345" s="1" nd="1"/>
        <i x="433" s="1" nd="1"/>
        <i x="131" s="1" nd="1"/>
        <i x="110" s="1" nd="1"/>
        <i x="203" s="1" nd="1"/>
        <i x="373" s="1" nd="1"/>
        <i x="396" s="1" nd="1"/>
        <i x="185" s="1" nd="1"/>
        <i x="266" s="1" nd="1"/>
        <i x="449" s="1" nd="1"/>
        <i x="383" s="1" nd="1"/>
        <i x="174" s="1" nd="1"/>
        <i x="258" s="1" nd="1"/>
        <i x="346" s="1" nd="1"/>
        <i x="183" s="1" nd="1"/>
        <i x="111" s="1" nd="1"/>
        <i x="204" s="1" nd="1"/>
        <i x="162" s="1" nd="1"/>
        <i x="7" s="1" nd="1"/>
        <i x="450" s="1" nd="1"/>
        <i x="118" s="1" nd="1"/>
        <i x="143" s="1" nd="1"/>
        <i x="425" s="1" nd="1"/>
        <i x="362" s="1" nd="1"/>
        <i x="126" s="1" nd="1"/>
        <i x="175" s="1" nd="1"/>
        <i x="434" s="1" nd="1"/>
        <i x="198" s="1" nd="1"/>
        <i x="263" s="1" nd="1"/>
        <i x="354" s="1" nd="1"/>
        <i x="33" s="1" nd="1"/>
        <i x="310" s="1" nd="1"/>
        <i x="246" s="1" nd="1"/>
        <i x="420" s="1" nd="1"/>
        <i x="165" s="1" nd="1"/>
        <i x="199" s="1" nd="1"/>
        <i x="274" s="1" nd="1"/>
        <i x="132" s="1" nd="1"/>
        <i x="55" s="1" nd="1"/>
        <i x="238" s="1" nd="1"/>
        <i x="112" s="1" nd="1"/>
        <i x="397" s="1" nd="1"/>
        <i x="61" s="1" nd="1"/>
        <i x="247" s="1" nd="1"/>
        <i x="3" s="1" nd="1"/>
        <i x="267" s="1" nd="1"/>
        <i x="451" s="1" nd="1"/>
        <i x="288" s="1" nd="1"/>
        <i x="166" s="1" nd="1"/>
        <i x="254" s="1" nd="1"/>
        <i x="338" s="1" nd="1"/>
        <i x="426" s="1" nd="1"/>
        <i x="384" s="1" nd="1"/>
        <i x="45" s="1" nd="1"/>
        <i x="176" s="1" nd="1"/>
        <i x="435" s="1" nd="1"/>
        <i x="133" s="1" nd="1"/>
        <i x="13" s="1" nd="1"/>
        <i x="283" s="1" nd="1"/>
        <i x="62" s="1" nd="1"/>
        <i x="186" s="1" nd="1"/>
        <i x="69" s="1" nd="1"/>
        <i x="96" s="1" nd="1"/>
        <i x="410" s="1" nd="1"/>
        <i x="275" s="1" nd="1"/>
        <i x="29" s="1" nd="1"/>
        <i x="14" s="1" nd="1"/>
        <i x="303" s="1" nd="1"/>
        <i x="322" s="1" nd="1"/>
        <i x="284" s="1" nd="1"/>
        <i x="12" s="1" nd="1"/>
        <i x="248" s="1" nd="1"/>
        <i x="403" s="1" nd="1"/>
        <i x="368" s="1" nd="1"/>
        <i x="30" s="1" nd="1"/>
        <i x="391" s="1" nd="1"/>
        <i x="155" s="1" nd="1"/>
        <i x="63" s="1" nd="1"/>
        <i x="89" s="1" nd="1"/>
        <i x="225" s="1" nd="1"/>
        <i x="167" s="1" nd="1"/>
        <i x="339" s="1" nd="1"/>
        <i x="190" s="1" nd="1"/>
        <i x="296" s="1" nd="1"/>
        <i x="134" s="1" nd="1"/>
        <i x="378" s="1" nd="1"/>
        <i x="37" s="1" nd="1"/>
        <i x="168" s="1" nd="1"/>
        <i x="191" s="1" nd="1"/>
        <i x="271" s="1" nd="1"/>
        <i x="239" s="1" nd="1"/>
        <i x="119" s="1" nd="1"/>
        <i x="379" s="1" nd="1"/>
        <i x="427" s="1" nd="1"/>
        <i x="231" s="1" nd="1"/>
        <i x="200" s="1" nd="1"/>
        <i x="331" s="1" nd="1"/>
        <i x="268" s="1" nd="1"/>
        <i x="38" s="1" nd="1"/>
        <i x="255" s="1" nd="1"/>
        <i x="340" s="1" nd="1"/>
        <i x="97" s="1" nd="1"/>
        <i x="442" s="1" nd="1"/>
        <i x="347"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191">
        <i x="0" s="1"/>
        <i x="184" s="1" nd="1"/>
        <i x="164" s="1" nd="1"/>
        <i x="75" s="1" nd="1"/>
        <i x="19" s="1" nd="1"/>
        <i x="62" s="1" nd="1"/>
        <i x="185" s="1" nd="1"/>
        <i x="7" s="1" nd="1"/>
        <i x="161" s="1" nd="1"/>
        <i x="46" s="1" nd="1"/>
        <i x="135" s="1" nd="1"/>
        <i x="79" s="1" nd="1"/>
        <i x="182" s="1" nd="1"/>
        <i x="68" s="1" nd="1"/>
        <i x="11" s="1" nd="1"/>
        <i x="136" s="1" nd="1"/>
        <i x="82" s="1" nd="1"/>
        <i x="143" s="1" nd="1"/>
        <i x="88" s="1" nd="1"/>
        <i x="115" s="1" nd="1"/>
        <i x="141" s="1" nd="1"/>
        <i x="34" s="1" nd="1"/>
        <i x="50" s="1" nd="1"/>
        <i x="186" s="1" nd="1"/>
        <i x="8" s="1" nd="1"/>
        <i x="179" s="1" nd="1"/>
        <i x="51" s="1" nd="1"/>
        <i x="83" s="1" nd="1"/>
        <i x="58" s="1" nd="1"/>
        <i x="91" s="1" nd="1"/>
        <i x="95" s="1" nd="1"/>
        <i x="69" s="1" nd="1"/>
        <i x="23" s="1" nd="1"/>
        <i x="156" s="1" nd="1"/>
        <i x="32" s="1" nd="1"/>
        <i x="35" s="1" nd="1"/>
        <i x="146" s="1" nd="1"/>
        <i x="99" s="1" nd="1"/>
        <i x="63" s="1" nd="1"/>
        <i x="187" s="1" nd="1"/>
        <i x="147" s="1" nd="1"/>
        <i x="100" s="1" nd="1"/>
        <i x="168" s="1" nd="1"/>
        <i x="44" s="1" nd="1"/>
        <i x="12" s="1" nd="1"/>
        <i x="20" s="1" nd="1"/>
        <i x="128" s="1" nd="1"/>
        <i x="109" s="1" nd="1"/>
        <i x="148" s="1" nd="1"/>
        <i x="111" s="1" nd="1"/>
        <i x="80" s="1" nd="1"/>
        <i x="92" s="1" nd="1"/>
        <i x="89" s="1" nd="1"/>
        <i x="66" s="1" nd="1"/>
        <i x="180" s="1" nd="1"/>
        <i x="4" s="1" nd="1"/>
        <i x="188" s="1" nd="1"/>
        <i x="116" s="1" nd="1"/>
        <i x="5" s="1" nd="1"/>
        <i x="84" s="1" nd="1"/>
        <i x="153" s="1" nd="1"/>
        <i x="151" s="1" nd="1"/>
        <i x="21" s="1" nd="1"/>
        <i x="93" s="1" nd="1"/>
        <i x="67" s="1" nd="1"/>
        <i x="142" s="1" nd="1"/>
        <i x="40" s="1" nd="1"/>
        <i x="162" s="1" nd="1"/>
        <i x="173" s="1" nd="1"/>
        <i x="24" s="1" nd="1"/>
        <i x="120" s="1" nd="1"/>
        <i x="138" s="1" nd="1"/>
        <i x="169" s="1" nd="1"/>
        <i x="160" s="1" nd="1"/>
        <i x="104" s="1" nd="1"/>
        <i x="131" s="1" nd="1"/>
        <i x="165" s="1" nd="1"/>
        <i x="52" s="1" nd="1"/>
        <i x="36" s="1" nd="1"/>
        <i x="70" s="1" nd="1"/>
        <i x="105" s="1" nd="1"/>
        <i x="101" s="1" nd="1"/>
        <i x="41" s="1" nd="1"/>
        <i x="150" s="1" nd="1"/>
        <i x="37" s="1" nd="1"/>
        <i x="152" s="1" nd="1"/>
        <i x="72" s="1" nd="1"/>
        <i x="64" s="1" nd="1"/>
        <i x="174" s="1" nd="1"/>
        <i x="189" s="1" nd="1"/>
        <i x="1" s="1" nd="1"/>
        <i x="170" s="1" nd="1"/>
        <i x="190" s="1" nd="1"/>
        <i x="132" s="1" nd="1"/>
        <i x="139" s="1" nd="1"/>
        <i x="27" s="1" nd="1"/>
        <i x="157" s="1" nd="1"/>
        <i x="134" s="1" nd="1"/>
        <i x="47" s="1" nd="1"/>
        <i x="73" s="1" nd="1"/>
        <i x="117" s="1" nd="1"/>
        <i x="129" s="1" nd="1"/>
        <i x="90" s="1" nd="1"/>
        <i x="76" s="1" nd="1"/>
        <i x="48" s="1" nd="1"/>
        <i x="14" s="1" nd="1"/>
        <i x="118" s="1" nd="1"/>
        <i x="59" s="1" nd="1"/>
        <i x="158" s="1" nd="1"/>
        <i x="85" s="1" nd="1"/>
        <i x="56" s="1" nd="1"/>
        <i x="28" s="1" nd="1"/>
        <i x="60" s="1" nd="1"/>
        <i x="2" s="1" nd="1"/>
        <i x="33" s="1" nd="1"/>
        <i x="22" s="1" nd="1"/>
        <i x="6" s="1" nd="1"/>
        <i x="124" s="1" nd="1"/>
        <i x="86" s="1" nd="1"/>
        <i x="49" s="1" nd="1"/>
        <i x="30" s="1" nd="1"/>
        <i x="38" s="1" nd="1"/>
        <i x="130" s="1" nd="1"/>
        <i x="163" s="1" nd="1"/>
        <i x="29" s="1" nd="1"/>
        <i x="125" s="1" nd="1"/>
        <i x="13" s="1" nd="1"/>
        <i x="42" s="1" nd="1"/>
        <i x="17" s="1" nd="1"/>
        <i x="102" s="1" nd="1"/>
        <i x="74" s="1" nd="1"/>
        <i x="77" s="1" nd="1"/>
        <i x="16" s="1" nd="1"/>
        <i x="175" s="1" nd="1"/>
        <i x="176" s="1" nd="1"/>
        <i x="110" s="1" nd="1"/>
        <i x="144" s="1" nd="1"/>
        <i x="53" s="1" nd="1"/>
        <i x="25" s="1" nd="1"/>
        <i x="106" s="1" nd="1"/>
        <i x="149" s="1" nd="1"/>
        <i x="121" s="1" nd="1"/>
        <i x="39" s="1" nd="1"/>
        <i x="177" s="1" nd="1"/>
        <i x="112" s="1" nd="1"/>
        <i x="9" s="1" nd="1"/>
        <i x="166" s="1" nd="1"/>
        <i x="18" s="1" nd="1"/>
        <i x="45" s="1" nd="1"/>
        <i x="96" s="1" nd="1"/>
        <i x="71" s="1" nd="1"/>
        <i x="126" s="1" nd="1"/>
        <i x="159" s="1" nd="1"/>
        <i x="103" s="1" nd="1"/>
        <i x="113" s="1" nd="1"/>
        <i x="54" s="1" nd="1"/>
        <i x="15" s="1" nd="1"/>
        <i x="43" s="1" nd="1"/>
        <i x="55" s="1" nd="1"/>
        <i x="107" s="1" nd="1"/>
        <i x="122" s="1" nd="1"/>
        <i x="133" s="1" nd="1"/>
        <i x="127" s="1" nd="1"/>
        <i x="78" s="1" nd="1"/>
        <i x="94" s="1" nd="1"/>
        <i x="26" s="1" nd="1"/>
        <i x="57" s="1" nd="1"/>
        <i x="167" s="1" nd="1"/>
        <i x="97" s="1" nd="1"/>
        <i x="3" s="1" nd="1"/>
        <i x="145" s="1" nd="1"/>
        <i x="183" s="1" nd="1"/>
        <i x="65" s="1" nd="1"/>
        <i x="119" s="1" nd="1"/>
        <i x="137" s="1" nd="1"/>
        <i x="81" s="1" nd="1"/>
        <i x="98" s="1" nd="1"/>
        <i x="114" s="1" nd="1"/>
        <i x="123" s="1" nd="1"/>
        <i x="171" s="1" nd="1"/>
        <i x="10" s="1" nd="1"/>
        <i x="140" s="1" nd="1"/>
        <i x="178" s="1" nd="1"/>
        <i x="181" s="1" nd="1"/>
        <i x="31" s="1" nd="1"/>
        <i x="61" s="1" nd="1"/>
        <i x="154" s="1" nd="1"/>
        <i x="172" s="1" nd="1"/>
        <i x="155" s="1" nd="1"/>
        <i x="87" s="1" nd="1"/>
        <i x="10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440">
        <i x="22" s="1"/>
        <i x="7" s="1"/>
        <i x="1" s="1"/>
        <i x="2" s="1"/>
        <i x="6" s="1"/>
        <i x="8" s="1"/>
        <i x="21" s="1"/>
        <i x="14" s="1"/>
        <i x="20" s="1"/>
        <i x="10" s="1"/>
        <i x="9" s="1"/>
        <i x="15" s="1"/>
        <i x="3" s="1"/>
        <i x="19" s="1"/>
        <i x="17" s="1"/>
        <i x="5" s="1"/>
        <i x="4" s="1"/>
        <i x="16" s="1"/>
        <i x="13" s="1"/>
        <i x="18" s="1"/>
        <i x="0" s="1"/>
        <i x="11" s="1"/>
        <i x="12" s="1"/>
        <i x="46" s="1" nd="1"/>
        <i x="109" s="1" nd="1"/>
        <i x="69" s="1" nd="1"/>
        <i x="173" s="1" nd="1"/>
        <i x="186" s="1" nd="1"/>
        <i x="49" s="1" nd="1"/>
        <i x="154" s="1" nd="1"/>
        <i x="102" s="1" nd="1"/>
        <i x="319" s="1" nd="1"/>
        <i x="213" s="1" nd="1"/>
        <i x="150" s="1" nd="1"/>
        <i x="272" s="1" nd="1"/>
        <i x="320" s="1" nd="1"/>
        <i x="337" s="1" nd="1"/>
        <i x="295" s="1" nd="1"/>
        <i x="230" s="1" nd="1"/>
        <i x="214" s="1" nd="1"/>
        <i x="321" s="1" nd="1"/>
        <i x="242" s="1" nd="1"/>
        <i x="114" s="1" nd="1"/>
        <i x="59" s="1" nd="1"/>
        <i x="222" s="1" nd="1"/>
        <i x="411" s="1" nd="1"/>
        <i x="39" s="1" nd="1"/>
        <i x="330" s="1" nd="1"/>
        <i x="223" s="1" nd="1"/>
        <i x="155" s="1" nd="1"/>
        <i x="281" s="1" nd="1"/>
        <i x="303" s="1" nd="1"/>
        <i x="124" s="1" nd="1"/>
        <i x="252" s="1" nd="1"/>
        <i x="199" s="1" nd="1"/>
        <i x="296" s="1" nd="1"/>
        <i x="297" s="1" nd="1"/>
        <i x="412" s="1" nd="1"/>
        <i x="151" s="1" nd="1"/>
        <i x="304" s="1" nd="1"/>
        <i x="152" s="1" nd="1"/>
        <i x="276" s="1" nd="1"/>
        <i x="23" s="1" nd="1"/>
        <i x="121" s="1" nd="1"/>
        <i x="425" s="1" nd="1"/>
        <i x="347" s="1" nd="1"/>
        <i x="253" s="1" nd="1"/>
        <i x="68" s="1" nd="1"/>
        <i x="174" s="1" nd="1"/>
        <i x="209" s="1" nd="1"/>
        <i x="110" s="1" nd="1"/>
        <i x="74" s="1" nd="1"/>
        <i x="50" s="1" nd="1"/>
        <i x="377" s="1" nd="1"/>
        <i x="175" s="1" nd="1"/>
        <i x="167" s="1" nd="1"/>
        <i x="47" s="1" nd="1"/>
        <i x="266" s="1" nd="1"/>
        <i x="111" s="1" nd="1"/>
        <i x="331" s="1" nd="1"/>
        <i x="305" s="1" nd="1"/>
        <i x="138" s="1" nd="1"/>
        <i x="282" s="1" nd="1"/>
        <i x="431" s="1" nd="1"/>
        <i x="156" s="1" nd="1"/>
        <i x="51" s="1" nd="1"/>
        <i x="215" s="1" nd="1"/>
        <i x="383" s="1" nd="1"/>
        <i x="168" s="1" nd="1"/>
        <i x="290" s="1" nd="1"/>
        <i x="176" s="1" nd="1"/>
        <i x="395" s="1" nd="1"/>
        <i x="413" s="1" nd="1"/>
        <i x="70" s="1" nd="1"/>
        <i x="277" s="1" nd="1"/>
        <i x="243" s="1" nd="1"/>
        <i x="398" s="1" nd="1"/>
        <i x="384" s="1" nd="1"/>
        <i x="177" s="1" nd="1"/>
        <i x="273" s="1" nd="1"/>
        <i x="33" s="1" nd="1"/>
        <i x="283" s="1" nd="1"/>
        <i x="231" s="1" nd="1"/>
        <i x="368" s="1" nd="1"/>
        <i x="402" s="1" nd="1"/>
        <i x="267" s="1" nd="1"/>
        <i x="224" s="1" nd="1"/>
        <i x="342" s="1" nd="1"/>
        <i x="52" s="1" nd="1"/>
        <i x="115" s="1" nd="1"/>
        <i x="238" s="1" nd="1"/>
        <i x="403" s="1" nd="1"/>
        <i x="417" s="1" nd="1"/>
        <i x="97" s="1" nd="1"/>
        <i x="157" s="1" nd="1"/>
        <i x="232" s="1" nd="1"/>
        <i x="326" s="1" nd="1"/>
        <i x="426" s="1" nd="1"/>
        <i x="244" s="1" nd="1"/>
        <i x="158" s="1" nd="1"/>
        <i x="91" s="1" nd="1"/>
        <i x="159" s="1" nd="1"/>
        <i x="254" s="1" nd="1"/>
        <i x="291" s="1" nd="1"/>
        <i x="60" s="1" nd="1"/>
        <i x="245" s="1" nd="1"/>
        <i x="40" s="1" nd="1"/>
        <i x="274" s="1" nd="1"/>
        <i x="140" s="1" nd="1"/>
        <i x="75" s="1" nd="1"/>
        <i x="200" s="1" nd="1"/>
        <i x="434" s="1" nd="1"/>
        <i x="332" s="1" nd="1"/>
        <i x="28" s="1" nd="1"/>
        <i x="298" s="1" nd="1"/>
        <i x="112" s="1" nd="1"/>
        <i x="24" s="1" nd="1"/>
        <i x="369" s="1" nd="1"/>
        <i x="233" s="1" nd="1"/>
        <i x="133" s="1" nd="1"/>
        <i x="160" s="1" nd="1"/>
        <i x="327" s="1" nd="1"/>
        <i x="306" s="1" nd="1"/>
        <i x="134" s="1" nd="1"/>
        <i x="275" s="1" nd="1"/>
        <i x="246" s="1" nd="1"/>
        <i x="76" s="1" nd="1"/>
        <i x="92" s="1" nd="1"/>
        <i x="29" s="1" nd="1"/>
        <i x="122" s="1" nd="1"/>
        <i x="34" s="1" nd="1"/>
        <i x="98" s="1" nd="1"/>
        <i x="234" s="1" nd="1"/>
        <i x="80" s="1" nd="1"/>
        <i x="278" s="1" nd="1"/>
        <i x="370" s="1" nd="1"/>
        <i x="284" s="1" nd="1"/>
        <i x="352" s="1" nd="1"/>
        <i x="312" s="1" nd="1"/>
        <i x="103" s="1" nd="1"/>
        <i x="178" s="1" nd="1"/>
        <i x="139" s="1" nd="1"/>
        <i x="179" s="1" nd="1"/>
        <i x="201" s="1" nd="1"/>
        <i x="385" s="1" nd="1"/>
        <i x="25" s="1" nd="1"/>
        <i x="255" s="1" nd="1"/>
        <i x="378" s="1" nd="1"/>
        <i x="407" s="1" nd="1"/>
        <i x="379" s="1" nd="1"/>
        <i x="386" s="1" nd="1"/>
        <i x="225" s="1" nd="1"/>
        <i x="81" s="1" nd="1"/>
        <i x="210" s="1" nd="1"/>
        <i x="418" s="1" nd="1"/>
        <i x="348" s="1" nd="1"/>
        <i x="380" s="1" nd="1"/>
        <i x="314" s="1" nd="1"/>
        <i x="359" s="1" nd="1"/>
        <i x="292" s="1" nd="1"/>
        <i x="387" s="1" nd="1"/>
        <i x="77" s="1" nd="1"/>
        <i x="322" s="1" nd="1"/>
        <i x="404" s="1" nd="1"/>
        <i x="360" s="1" nd="1"/>
        <i x="30" s="1" nd="1"/>
        <i x="381" s="1" nd="1"/>
        <i x="202" s="1" nd="1"/>
        <i x="279" s="1" nd="1"/>
        <i x="141" s="1" nd="1"/>
        <i x="247" s="1" nd="1"/>
        <i x="161" s="1" nd="1"/>
        <i x="61" s="1" nd="1"/>
        <i x="113" s="1" nd="1"/>
        <i x="371" s="1" nd="1"/>
        <i x="116" s="1" nd="1"/>
        <i x="203" s="1" nd="1"/>
        <i x="408" s="1" nd="1"/>
        <i x="93" s="1" nd="1"/>
        <i x="41" s="1" nd="1"/>
        <i x="419" s="1" nd="1"/>
        <i x="191" s="1" nd="1"/>
        <i x="372" s="1" nd="1"/>
        <i x="361" s="1" nd="1"/>
        <i x="35" s="1" nd="1"/>
        <i x="349" s="1" nd="1"/>
        <i x="125" s="1" nd="1"/>
        <i x="268" s="1" nd="1"/>
        <i x="153" s="1" nd="1"/>
        <i x="71" s="1" nd="1"/>
        <i x="414" s="1" nd="1"/>
        <i x="142" s="1" nd="1"/>
        <i x="26" s="1" nd="1"/>
        <i x="399" s="1" nd="1"/>
        <i x="388" s="1" nd="1"/>
        <i x="415" s="1" nd="1"/>
        <i x="394" s="1" nd="1"/>
        <i x="62" s="1" nd="1"/>
        <i x="181" s="1" nd="1"/>
        <i x="78" s="1" nd="1"/>
        <i x="192" s="1" nd="1"/>
        <i x="350" s="1" nd="1"/>
        <i x="362" s="1" nd="1"/>
        <i x="435" s="1" nd="1"/>
        <i x="204" s="1" nd="1"/>
        <i x="193" s="1" nd="1"/>
        <i x="117" s="1" nd="1"/>
        <i x="285" s="1" nd="1"/>
        <i x="162" s="1" nd="1"/>
        <i x="343" s="1" nd="1"/>
        <i x="344" s="1" nd="1"/>
        <i x="333" s="1" nd="1"/>
        <i x="194" s="1" nd="1"/>
        <i x="169" s="1" nd="1"/>
        <i x="143" s="1" nd="1"/>
        <i x="187" s="1" nd="1"/>
        <i x="86" s="1" nd="1"/>
        <i x="373" s="1" nd="1"/>
        <i x="353" s="1" nd="1"/>
        <i x="87" s="1" nd="1"/>
        <i x="220" s="1" nd="1"/>
        <i x="211" s="1" nd="1"/>
        <i x="307" s="1" nd="1"/>
        <i x="196" s="1" nd="1"/>
        <i x="135" s="1" nd="1"/>
        <i x="31" s="1" nd="1"/>
        <i x="308" s="1" nd="1"/>
        <i x="53" s="1" nd="1"/>
        <i x="79" s="1" nd="1"/>
        <i x="309" s="1" nd="1"/>
        <i x="126" s="1" nd="1"/>
        <i x="72" s="1" nd="1"/>
        <i x="400" s="1" nd="1"/>
        <i x="315" s="1" nd="1"/>
        <i x="299" s="1" nd="1"/>
        <i x="323" s="1" nd="1"/>
        <i x="88" s="1" nd="1"/>
        <i x="436" s="1" nd="1"/>
        <i x="197" s="1" nd="1"/>
        <i x="123" s="1" nd="1"/>
        <i x="221" s="1" nd="1"/>
        <i x="63" s="1" nd="1"/>
        <i x="432" s="1" nd="1"/>
        <i x="239" s="1" nd="1"/>
        <i x="351" s="1" nd="1"/>
        <i x="363" s="1" nd="1"/>
        <i x="240" s="1" nd="1"/>
        <i x="82" s="1" nd="1"/>
        <i x="405" s="1" nd="1"/>
        <i x="144" s="1" nd="1"/>
        <i x="316" s="1" nd="1"/>
        <i x="259" s="1" nd="1"/>
        <i x="324" s="1" nd="1"/>
        <i x="420" s="1" nd="1"/>
        <i x="241" s="1" nd="1"/>
        <i x="364" s="1" nd="1"/>
        <i x="136" s="1" nd="1"/>
        <i x="99" s="1" nd="1"/>
        <i x="374" s="1" nd="1"/>
        <i x="248" s="1" nd="1"/>
        <i x="345" s="1" nd="1"/>
        <i x="127" s="1" nd="1"/>
        <i x="64" s="1" nd="1"/>
        <i x="42" s="1" nd="1"/>
        <i x="421" s="1" nd="1"/>
        <i x="118" s="1" nd="1"/>
        <i x="54" s="1" nd="1"/>
        <i x="260" s="1" nd="1"/>
        <i x="269" s="1" nd="1"/>
        <i x="375" s="1" nd="1"/>
        <i x="354" s="1" nd="1"/>
        <i x="334" s="1" nd="1"/>
        <i x="73" s="1" nd="1"/>
        <i x="422" s="1" nd="1"/>
        <i x="128" s="1" nd="1"/>
        <i x="235" s="1" nd="1"/>
        <i x="129" s="1" nd="1"/>
        <i x="338" s="1" nd="1"/>
        <i x="409" s="1" nd="1"/>
        <i x="36" s="1" nd="1"/>
        <i x="389" s="1" nd="1"/>
        <i x="236" s="1" nd="1"/>
        <i x="355" s="1" nd="1"/>
        <i x="256" s="1" nd="1"/>
        <i x="390" s="1" nd="1"/>
        <i x="83" s="1" nd="1"/>
        <i x="145" s="1" nd="1"/>
        <i x="317" s="1" nd="1"/>
        <i x="401" s="1" nd="1"/>
        <i x="104" s="1" nd="1"/>
        <i x="293" s="1" nd="1"/>
        <i x="65" s="1" nd="1"/>
        <i x="423" s="1" nd="1"/>
        <i x="32" s="1" nd="1"/>
        <i x="146" s="1" nd="1"/>
        <i x="105" s="1" nd="1"/>
        <i x="163" s="1" nd="1"/>
        <i x="280" s="1" nd="1"/>
        <i x="437" s="1" nd="1"/>
        <i x="261" s="1" nd="1"/>
        <i x="382" s="1" nd="1"/>
        <i x="335" s="1" nd="1"/>
        <i x="286" s="1" nd="1"/>
        <i x="325" s="1" nd="1"/>
        <i x="365" s="1" nd="1"/>
        <i x="249" s="1" nd="1"/>
        <i x="188" s="1" nd="1"/>
        <i x="356" s="1" nd="1"/>
        <i x="366" s="1" nd="1"/>
        <i x="147" s="1" nd="1"/>
        <i x="137" s="1" nd="1"/>
        <i x="164" s="1" nd="1"/>
        <i x="262" s="1" nd="1"/>
        <i x="84" s="1" nd="1"/>
        <i x="416" s="1" nd="1"/>
        <i x="205" s="1" nd="1"/>
        <i x="310" s="1" nd="1"/>
        <i x="410" s="1" nd="1"/>
        <i x="165" s="1" nd="1"/>
        <i x="106" s="1" nd="1"/>
        <i x="55" s="1" nd="1"/>
        <i x="198" s="1" nd="1"/>
        <i x="119" s="1" nd="1"/>
        <i x="43" s="1" nd="1"/>
        <i x="130" s="1" nd="1"/>
        <i x="328" s="1" nd="1"/>
        <i x="48" s="1" nd="1"/>
        <i x="212" s="1" nd="1"/>
        <i x="270" s="1" nd="1"/>
        <i x="336" s="1" nd="1"/>
        <i x="37" s="1" nd="1"/>
        <i x="100" s="1" nd="1"/>
        <i x="170" s="1" nd="1"/>
        <i x="250" s="1" nd="1"/>
        <i x="226" s="1" nd="1"/>
        <i x="131" s="1" nd="1"/>
        <i x="376" s="1" nd="1"/>
        <i x="257" s="1" nd="1"/>
        <i x="216" s="1" nd="1"/>
        <i x="251" s="1" nd="1"/>
        <i x="391" s="1" nd="1"/>
        <i x="227" s="1" nd="1"/>
        <i x="271" s="1" nd="1"/>
        <i x="189" s="1" nd="1"/>
        <i x="438" s="1" nd="1"/>
        <i x="56" s="1" nd="1"/>
        <i x="300" s="1" nd="1"/>
        <i x="301" s="1" nd="1"/>
        <i x="313" s="1" nd="1"/>
        <i x="263" s="1" nd="1"/>
        <i x="107" s="1" nd="1"/>
        <i x="171" s="1" nd="1"/>
        <i x="357" s="1" nd="1"/>
        <i x="132" s="1" nd="1"/>
        <i x="329" s="1" nd="1"/>
        <i x="406" s="1" nd="1"/>
        <i x="94" s="1" nd="1"/>
        <i x="180" s="1" nd="1"/>
        <i x="38" s="1" nd="1"/>
        <i x="264" s="1" nd="1"/>
        <i x="439" s="1" nd="1"/>
        <i x="217" s="1" nd="1"/>
        <i x="95" s="1" nd="1"/>
        <i x="66" s="1" nd="1"/>
        <i x="67" s="1" nd="1"/>
        <i x="108" s="1" nd="1"/>
        <i x="44" s="1" nd="1"/>
        <i x="427" s="1" nd="1"/>
        <i x="57" s="1" nd="1"/>
        <i x="190" s="1" nd="1"/>
        <i x="206" s="1" nd="1"/>
        <i x="358" s="1" nd="1"/>
        <i x="207" s="1" nd="1"/>
        <i x="392" s="1" nd="1"/>
        <i x="346" s="1" nd="1"/>
        <i x="166" s="1" nd="1"/>
        <i x="182" s="1" nd="1"/>
        <i x="396" s="1" nd="1"/>
        <i x="318" s="1" nd="1"/>
        <i x="428" s="1" nd="1"/>
        <i x="101" s="1" nd="1"/>
        <i x="287" s="1" nd="1"/>
        <i x="237" s="1" nd="1"/>
        <i x="96" s="1" nd="1"/>
        <i x="429" s="1" nd="1"/>
        <i x="85" s="1" nd="1"/>
        <i x="302" s="1" nd="1"/>
        <i x="228" s="1" nd="1"/>
        <i x="58" s="1" nd="1"/>
        <i x="424" s="1" nd="1"/>
        <i x="45" s="1" nd="1"/>
        <i x="430" s="1" nd="1"/>
        <i x="148" s="1" nd="1"/>
        <i x="229" s="1" nd="1"/>
        <i x="288" s="1" nd="1"/>
        <i x="183" s="1" nd="1"/>
        <i x="89" s="1" nd="1"/>
        <i x="195" s="1" nd="1"/>
        <i x="294" s="1" nd="1"/>
        <i x="172" s="1" nd="1"/>
        <i x="149" s="1" nd="1"/>
        <i x="120" s="1" nd="1"/>
        <i x="367" s="1" nd="1"/>
        <i x="339" s="1" nd="1"/>
        <i x="208" s="1" nd="1"/>
        <i x="265" s="1" nd="1"/>
        <i x="289" s="1" nd="1"/>
        <i x="218" s="1" nd="1"/>
        <i x="27" s="1" nd="1"/>
        <i x="433" s="1" nd="1"/>
        <i x="397" s="1" nd="1"/>
        <i x="340" s="1" nd="1"/>
        <i x="393" s="1" nd="1"/>
        <i x="90" s="1" nd="1"/>
        <i x="184" s="1" nd="1"/>
        <i x="219" s="1" nd="1"/>
        <i x="311" s="1" nd="1"/>
        <i x="258" s="1" nd="1"/>
        <i x="341" s="1" nd="1"/>
        <i x="185"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455">
        <i x="20" s="1"/>
        <i x="18" s="1"/>
        <i x="11" s="1"/>
        <i x="2" s="1"/>
        <i x="0" s="1"/>
        <i x="5" s="1"/>
        <i x="8" s="1"/>
        <i x="22" s="1"/>
        <i x="17" s="1"/>
        <i x="9" s="1"/>
        <i x="19" s="1"/>
        <i x="16" s="1"/>
        <i x="10" s="1"/>
        <i x="24" s="1"/>
        <i x="1" s="1"/>
        <i x="15" s="1"/>
        <i x="21" s="1"/>
        <i x="4" s="1"/>
        <i x="23" s="1"/>
        <i x="6" s="1"/>
        <i x="7" s="1"/>
        <i x="3" s="1"/>
        <i x="13" s="1"/>
        <i x="14" s="1"/>
        <i x="12" s="1"/>
        <i x="39" s="1" nd="1"/>
        <i x="421" s="1" nd="1"/>
        <i x="348" s="1" nd="1"/>
        <i x="120" s="1" nd="1"/>
        <i x="341" s="1" nd="1"/>
        <i x="304" s="1" nd="1"/>
        <i x="355" s="1" nd="1"/>
        <i x="349" s="1" nd="1"/>
        <i x="317" s="1" nd="1"/>
        <i x="413" s="1" nd="1"/>
        <i x="156" s="1" nd="1"/>
        <i x="76" s="1" nd="1"/>
        <i x="350" s="1" nd="1"/>
        <i x="232" s="1" nd="1"/>
        <i x="289" s="1" nd="1"/>
        <i x="64" s="1" nd="1"/>
        <i x="404" s="1" nd="1"/>
        <i x="305" s="1" nd="1"/>
        <i x="233" s="1" nd="1"/>
        <i x="356" s="1" nd="1"/>
        <i x="369" s="1" nd="1"/>
        <i x="240" s="1" nd="1"/>
        <i x="65" s="1" nd="1"/>
        <i x="318" s="1" nd="1"/>
        <i x="259" s="1" nd="1"/>
        <i x="90" s="1" nd="1"/>
        <i x="40" s="1" nd="1"/>
        <i x="332" s="1" nd="1"/>
        <i x="210" s="1" nd="1"/>
        <i x="363" s="1" nd="1"/>
        <i x="385" s="1" nd="1"/>
        <i x="56" s="1" nd="1"/>
        <i x="276" s="1" nd="1"/>
        <i x="144" s="1" nd="1"/>
        <i x="31" s="1" nd="1"/>
        <i x="422" s="1" nd="1"/>
        <i x="98" s="1" nd="1"/>
        <i x="192" s="1" nd="1"/>
        <i x="46" s="1" nd="1"/>
        <i x="436" s="1" nd="1"/>
        <i x="306" s="1" nd="1"/>
        <i x="234" s="1" nd="1"/>
        <i x="177" s="1" nd="1"/>
        <i x="392" s="1" nd="1"/>
        <i x="411" s="1" nd="1"/>
        <i x="218" s="1" nd="1"/>
        <i x="437" s="1" nd="1"/>
        <i x="145" s="1" nd="1"/>
        <i x="91" s="1" nd="1"/>
        <i x="47" s="1" nd="1"/>
        <i x="370" s="1" nd="1"/>
        <i x="307" s="1" nd="1"/>
        <i x="146" s="1" nd="1"/>
        <i x="138" s="1" nd="1"/>
        <i x="135" s="1" nd="1"/>
        <i x="405" s="1" nd="1"/>
        <i x="398" s="1" nd="1"/>
        <i x="147" s="1" nd="1"/>
        <i x="260" s="1" nd="1"/>
        <i x="374" s="1" nd="1"/>
        <i x="34" s="1" nd="1"/>
        <i x="399" s="1" nd="1"/>
        <i x="428" s="1" nd="1"/>
        <i x="193" s="1" nd="1"/>
        <i x="364" s="1" nd="1"/>
        <i x="48" s="1" nd="1"/>
        <i x="106" s="1" nd="1"/>
        <i x="277" s="1" nd="1"/>
        <i x="152" s="1" nd="1"/>
        <i x="35" s="1" nd="1"/>
        <i x="333" s="1" nd="1"/>
        <i x="269" s="1" nd="1"/>
        <i x="127" s="1" nd="1"/>
        <i x="297" s="1" nd="1"/>
        <i x="226" s="1" nd="1"/>
        <i x="386" s="1" nd="1"/>
        <i x="319" s="1" nd="1"/>
        <i x="57" s="1" nd="1"/>
        <i x="113" s="1" nd="1"/>
        <i x="163" s="1" nd="1"/>
        <i x="334" s="1" nd="1"/>
        <i x="235" s="1" nd="1"/>
        <i x="41" s="1" nd="1"/>
        <i x="58" s="1" nd="1"/>
        <i x="114" s="1" nd="1"/>
        <i x="178" s="1" nd="1"/>
        <i x="278" s="1" nd="1"/>
        <i x="414" s="1" nd="1"/>
        <i x="194" s="1" nd="1"/>
        <i x="423" s="1" nd="1"/>
        <i x="360" s="1" nd="1"/>
        <i x="227" s="1" nd="1"/>
        <i x="241" s="1" nd="1"/>
        <i x="429" s="1" nd="1"/>
        <i x="128" s="1" nd="1"/>
        <i x="298" s="1" nd="1"/>
        <i x="49" s="1" nd="1"/>
        <i x="443" s="1" nd="1"/>
        <i x="387" s="1" nd="1"/>
        <i x="308" s="1" nd="1"/>
        <i x="195" s="1" nd="1"/>
        <i x="50" s="1" nd="1"/>
        <i x="179" s="1" nd="1"/>
        <i x="279" s="1" nd="1"/>
        <i x="444" s="1" nd="1"/>
        <i x="139" s="1" nd="1"/>
        <i x="219" s="1" nd="1"/>
        <i x="201" s="1" nd="1"/>
        <i x="309" s="1" nd="1"/>
        <i x="211" s="1" nd="1"/>
        <i x="312" s="1" nd="1"/>
        <i x="299" s="1" nd="1"/>
        <i x="84" s="1" nd="1"/>
        <i x="187" s="1" nd="1"/>
        <i x="406" s="1" nd="1"/>
        <i x="438" s="1" nd="1"/>
        <i x="205" s="1" nd="1"/>
        <i x="249" s="1" nd="1"/>
        <i x="342" s="1" nd="1"/>
        <i x="415" s="1" nd="1"/>
        <i x="285" s="1" nd="1"/>
        <i x="400" s="1" nd="1"/>
        <i x="212" s="1" nd="1"/>
        <i x="70" s="1" nd="1"/>
        <i x="430" s="1" nd="1"/>
        <i x="157" s="1" nd="1"/>
        <i x="311" s="1" nd="1"/>
        <i x="250" s="1" nd="1"/>
        <i x="188" s="1" nd="1"/>
        <i x="99" s="1" nd="1"/>
        <i x="153" s="1" nd="1"/>
        <i x="66" s="1" nd="1"/>
        <i x="357" s="1" nd="1"/>
        <i x="115" s="1" nd="1"/>
        <i x="365" s="1" nd="1"/>
        <i x="51" s="1" nd="1"/>
        <i x="264" s="1" nd="1"/>
        <i x="121" s="1" nd="1"/>
        <i x="290" s="1" nd="1"/>
        <i x="228" s="1" nd="1"/>
        <i x="154" s="1" nd="1"/>
        <i x="116" s="1" nd="1"/>
        <i x="323" s="1" nd="1"/>
        <i x="140" s="1" nd="1"/>
        <i x="189" s="1" nd="1"/>
        <i x="222" s="1" nd="1"/>
        <i x="335" s="1" nd="1"/>
        <i x="92" s="1" nd="1"/>
        <i x="256" s="1" nd="1"/>
        <i x="77" s="1" nd="1"/>
        <i x="93" s="1" nd="1"/>
        <i x="180" s="1" nd="1"/>
        <i x="202" s="1" nd="1"/>
        <i x="136" s="1" nd="1"/>
        <i x="85" s="1" nd="1"/>
        <i x="206" s="1" nd="1"/>
        <i x="361" s="1" nd="1"/>
        <i x="213" s="1" nd="1"/>
        <i x="42" s="1" nd="1"/>
        <i x="169" s="1" nd="1"/>
        <i x="25" s="1" nd="1"/>
        <i x="129" s="1" nd="1"/>
        <i x="78" s="1" nd="1"/>
        <i x="261" s="1" nd="1"/>
        <i x="375" s="1" nd="1"/>
        <i x="251" s="1" nd="1"/>
        <i x="272" s="1" nd="1"/>
        <i x="52" s="1" nd="1"/>
        <i x="320" s="1" nd="1"/>
        <i x="280" s="1" nd="1"/>
        <i x="324" s="1" nd="1"/>
        <i x="416" s="1" nd="1"/>
        <i x="445" s="1" nd="1"/>
        <i x="291" s="1" nd="1"/>
        <i x="407" s="1" nd="1"/>
        <i x="181" s="1" nd="1"/>
        <i x="351" s="1" nd="1"/>
        <i x="158" s="1" nd="1"/>
        <i x="86" s="1" nd="1"/>
        <i x="223" s="1" nd="1"/>
        <i x="292" s="1" nd="1"/>
        <i x="148" s="1" nd="1"/>
        <i x="71" s="1" nd="1"/>
        <i x="242" s="1" nd="1"/>
        <i x="417" s="1" nd="1"/>
        <i x="100" s="1" nd="1"/>
        <i x="366" s="1" nd="1"/>
        <i x="325" s="1" nd="1"/>
        <i x="67" s="1" nd="1"/>
        <i x="214" s="1" nd="1"/>
        <i x="313" s="1" nd="1"/>
        <i x="170" s="1" nd="1"/>
        <i x="300" s="1" nd="1"/>
        <i x="32" s="1" nd="1"/>
        <i x="137" s="1" nd="1"/>
        <i x="184" s="1" nd="1"/>
        <i x="358" s="1" nd="1"/>
        <i x="446" s="1" nd="1"/>
        <i x="376" s="1" nd="1"/>
        <i x="452" s="1" nd="1"/>
        <i x="149" s="1" nd="1"/>
        <i x="196" s="1" nd="1"/>
        <i x="26" s="1" nd="1"/>
        <i x="388" s="1" nd="1"/>
        <i x="321" s="1" nd="1"/>
        <i x="87" s="1" nd="1"/>
        <i x="265" s="1" nd="1"/>
        <i x="447" s="1" nd="1"/>
        <i x="207" s="1" nd="1"/>
        <i x="68" s="1" nd="1"/>
        <i x="215" s="1" nd="1"/>
        <i x="293" s="1" nd="1"/>
        <i x="380" s="1" nd="1"/>
        <i x="229" s="1" nd="1"/>
        <i x="314" s="1" nd="1"/>
        <i x="301" s="1" nd="1"/>
        <i x="53" s="1" nd="1"/>
        <i x="236" s="1" nd="1"/>
        <i x="79" s="1" nd="1"/>
        <i x="352" s="1" nd="1"/>
        <i x="439" s="1" nd="1"/>
        <i x="371" s="1" nd="1"/>
        <i x="117" s="1" nd="1"/>
        <i x="208" s="1" nd="1"/>
        <i x="286" s="1" nd="1"/>
        <i x="453" s="1" nd="1"/>
        <i x="122" s="1" nd="1"/>
        <i x="216" s="1" nd="1"/>
        <i x="72" s="1" nd="1"/>
        <i x="431" s="1" nd="1"/>
        <i x="302" s="1" nd="1"/>
        <i x="182" s="1" nd="1"/>
        <i x="281" s="1" nd="1"/>
        <i x="159" s="1" nd="1"/>
        <i x="224" s="1" nd="1"/>
        <i x="381" s="1" nd="1"/>
        <i x="315" s="1" nd="1"/>
        <i x="171" s="1" nd="1"/>
        <i x="101" s="1" nd="1"/>
        <i x="412" s="1" nd="1"/>
        <i x="393" s="1" nd="1"/>
        <i x="418" s="1" nd="1"/>
        <i x="287" s="1" nd="1"/>
        <i x="36" s="1" nd="1"/>
        <i x="141" s="1" nd="1"/>
        <i x="123" s="1" nd="1"/>
        <i x="217" s="1" nd="1"/>
        <i x="408" s="1" nd="1"/>
        <i x="73" s="1" nd="1"/>
        <i x="102" s="1" nd="1"/>
        <i x="273" s="1" nd="1"/>
        <i x="27" s="1" nd="1"/>
        <i x="80" s="1" nd="1"/>
        <i x="107" s="1" nd="1"/>
        <i x="243" s="1" nd="1"/>
        <i x="326" s="1" nd="1"/>
        <i x="336" s="1" nd="1"/>
        <i x="124" s="1" nd="1"/>
        <i x="294" s="1" nd="1"/>
        <i x="150" s="1" nd="1"/>
        <i x="172" s="1" nd="1"/>
        <i x="103" s="1" nd="1"/>
        <i x="197" s="1" nd="1"/>
        <i x="367" s="1" nd="1"/>
        <i x="389" s="1" nd="1"/>
        <i x="81" s="1" nd="1"/>
        <i x="59" s="1" nd="1"/>
        <i x="160" s="1" nd="1"/>
        <i x="327" s="1" nd="1"/>
        <i x="419" s="1" nd="1"/>
        <i x="88" s="1" nd="1"/>
        <i x="209" s="1" nd="1"/>
        <i x="401" s="1" nd="1"/>
        <i x="94" s="1" nd="1"/>
        <i x="125" s="1" nd="1"/>
        <i x="43" s="1" nd="1"/>
        <i x="343" s="1" nd="1"/>
        <i x="104" s="1" nd="1"/>
        <i x="353" s="1" nd="1"/>
        <i x="440" s="1" nd="1"/>
        <i x="108" s="1" nd="1"/>
        <i x="328" s="1" nd="1"/>
        <i x="359" s="1" nd="1"/>
        <i x="142" s="1" nd="1"/>
        <i x="164" s="1" nd="1"/>
        <i x="252" s="1" nd="1"/>
        <i x="382" s="1" nd="1"/>
        <i x="409" s="1" nd="1"/>
        <i x="74" s="1" nd="1"/>
        <i x="432" s="1" nd="1"/>
        <i x="28" s="1" nd="1"/>
        <i x="220" s="1" nd="1"/>
        <i x="390" s="1" nd="1"/>
        <i x="82" s="1" nd="1"/>
        <i x="109" s="1" nd="1"/>
        <i x="372" s="1" nd="1"/>
        <i x="394" s="1" nd="1"/>
        <i x="244" s="1" nd="1"/>
        <i x="329" s="1" nd="1"/>
        <i x="448" s="1" nd="1"/>
        <i x="402" s="1" nd="1"/>
        <i x="337" s="1" nd="1"/>
        <i x="454" s="1" nd="1"/>
        <i x="230" s="1" nd="1"/>
        <i x="173" s="1" nd="1"/>
        <i x="257" s="1" nd="1"/>
        <i x="344" s="1" nd="1"/>
        <i x="54" s="1" nd="1"/>
        <i x="83" s="1" nd="1"/>
        <i x="161" s="1" nd="1"/>
        <i x="245" s="1" nd="1"/>
        <i x="330" s="1" nd="1"/>
        <i x="377" s="1" nd="1"/>
        <i x="424" s="1" nd="1"/>
        <i x="95" s="1" nd="1"/>
        <i x="270" s="1" nd="1"/>
        <i x="44" s="1" nd="1"/>
        <i x="151" s="1" nd="1"/>
        <i x="316" s="1" nd="1"/>
        <i x="105" s="1" nd="1"/>
        <i x="130" s="1" nd="1"/>
        <i x="221" s="1" nd="1"/>
        <i x="237" s="1" nd="1"/>
        <i x="262" s="1" nd="1"/>
        <i x="441" s="1" nd="1"/>
        <i x="282" s="1" nd="1"/>
        <i x="395" s="1" nd="1"/>
        <i x="60" s="1" nd="1"/>
        <i x="253" s="1" nd="1"/>
        <i x="295" s="1" nd="1"/>
        <i x="75" s="1" nd="1"/>
        <i x="345" s="1" nd="1"/>
        <i x="433" s="1" nd="1"/>
        <i x="131" s="1" nd="1"/>
        <i x="110" s="1" nd="1"/>
        <i x="203" s="1" nd="1"/>
        <i x="373" s="1" nd="1"/>
        <i x="396" s="1" nd="1"/>
        <i x="185" s="1" nd="1"/>
        <i x="266" s="1" nd="1"/>
        <i x="449" s="1" nd="1"/>
        <i x="383" s="1" nd="1"/>
        <i x="174" s="1" nd="1"/>
        <i x="258" s="1" nd="1"/>
        <i x="346" s="1" nd="1"/>
        <i x="183" s="1" nd="1"/>
        <i x="111" s="1" nd="1"/>
        <i x="204" s="1" nd="1"/>
        <i x="162" s="1" nd="1"/>
        <i x="450" s="1" nd="1"/>
        <i x="118" s="1" nd="1"/>
        <i x="143" s="1" nd="1"/>
        <i x="425" s="1" nd="1"/>
        <i x="362" s="1" nd="1"/>
        <i x="126" s="1" nd="1"/>
        <i x="175" s="1" nd="1"/>
        <i x="434" s="1" nd="1"/>
        <i x="198" s="1" nd="1"/>
        <i x="263" s="1" nd="1"/>
        <i x="354" s="1" nd="1"/>
        <i x="33" s="1" nd="1"/>
        <i x="310" s="1" nd="1"/>
        <i x="246" s="1" nd="1"/>
        <i x="420" s="1" nd="1"/>
        <i x="165" s="1" nd="1"/>
        <i x="199" s="1" nd="1"/>
        <i x="274" s="1" nd="1"/>
        <i x="132" s="1" nd="1"/>
        <i x="55" s="1" nd="1"/>
        <i x="238" s="1" nd="1"/>
        <i x="112" s="1" nd="1"/>
        <i x="397" s="1" nd="1"/>
        <i x="61" s="1" nd="1"/>
        <i x="247" s="1" nd="1"/>
        <i x="267" s="1" nd="1"/>
        <i x="451" s="1" nd="1"/>
        <i x="288" s="1" nd="1"/>
        <i x="166" s="1" nd="1"/>
        <i x="254" s="1" nd="1"/>
        <i x="338" s="1" nd="1"/>
        <i x="426" s="1" nd="1"/>
        <i x="384" s="1" nd="1"/>
        <i x="45" s="1" nd="1"/>
        <i x="176" s="1" nd="1"/>
        <i x="435" s="1" nd="1"/>
        <i x="133" s="1" nd="1"/>
        <i x="283" s="1" nd="1"/>
        <i x="62" s="1" nd="1"/>
        <i x="186" s="1" nd="1"/>
        <i x="69" s="1" nd="1"/>
        <i x="96" s="1" nd="1"/>
        <i x="410" s="1" nd="1"/>
        <i x="275" s="1" nd="1"/>
        <i x="29" s="1" nd="1"/>
        <i x="303" s="1" nd="1"/>
        <i x="322" s="1" nd="1"/>
        <i x="284" s="1" nd="1"/>
        <i x="248" s="1" nd="1"/>
        <i x="403" s="1" nd="1"/>
        <i x="368" s="1" nd="1"/>
        <i x="30" s="1" nd="1"/>
        <i x="391" s="1" nd="1"/>
        <i x="155" s="1" nd="1"/>
        <i x="63" s="1" nd="1"/>
        <i x="89" s="1" nd="1"/>
        <i x="225" s="1" nd="1"/>
        <i x="167" s="1" nd="1"/>
        <i x="339" s="1" nd="1"/>
        <i x="190" s="1" nd="1"/>
        <i x="296" s="1" nd="1"/>
        <i x="134" s="1" nd="1"/>
        <i x="378" s="1" nd="1"/>
        <i x="37" s="1" nd="1"/>
        <i x="168" s="1" nd="1"/>
        <i x="191" s="1" nd="1"/>
        <i x="271" s="1" nd="1"/>
        <i x="239" s="1" nd="1"/>
        <i x="119" s="1" nd="1"/>
        <i x="379" s="1" nd="1"/>
        <i x="427" s="1" nd="1"/>
        <i x="231" s="1" nd="1"/>
        <i x="200" s="1" nd="1"/>
        <i x="331" s="1" nd="1"/>
        <i x="268" s="1" nd="1"/>
        <i x="38" s="1" nd="1"/>
        <i x="255" s="1" nd="1"/>
        <i x="340" s="1" nd="1"/>
        <i x="97" s="1" nd="1"/>
        <i x="442" s="1" nd="1"/>
        <i x="347"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26">
        <i x="0" s="1"/>
        <i x="1" s="1" nd="1"/>
        <i x="120" s="1" nd="1"/>
        <i x="110" s="1" nd="1"/>
        <i x="8" s="1" nd="1"/>
        <i x="121" s="1" nd="1"/>
        <i x="4" s="1" nd="1"/>
        <i x="27" s="1" nd="1"/>
        <i x="92" s="1" nd="1"/>
        <i x="49" s="1" nd="1"/>
        <i x="118" s="1" nd="1"/>
        <i x="40" s="1" nd="1"/>
        <i x="6" s="1" nd="1"/>
        <i x="93" s="1" nd="1"/>
        <i x="52" s="1" nd="1"/>
        <i x="57" s="1" nd="1"/>
        <i x="19" s="1" nd="1"/>
        <i x="122" s="1" nd="1"/>
        <i x="5" s="1" nd="1"/>
        <i x="116" s="1" nd="1"/>
        <i x="53" s="1" nd="1"/>
        <i x="60" s="1" nd="1"/>
        <i x="64" s="1" nd="1"/>
        <i x="41" s="1" nd="1"/>
        <i x="10" s="1" nd="1"/>
        <i x="105" s="1" nd="1"/>
        <i x="98" s="1" nd="1"/>
        <i x="67" s="1" nd="1"/>
        <i x="123" s="1" nd="1"/>
        <i x="68" s="1" nd="1"/>
        <i x="113" s="1" nd="1"/>
        <i x="87" s="1" nd="1"/>
        <i x="75" s="1" nd="1"/>
        <i x="77" s="1" nd="1"/>
        <i x="50" s="1" nd="1"/>
        <i x="61" s="1" nd="1"/>
        <i x="58" s="1" nd="1"/>
        <i x="38" s="1" nd="1"/>
        <i x="117" s="1" nd="1"/>
        <i x="124" s="1" nd="1"/>
        <i x="80" s="1" nd="1"/>
        <i x="102" s="1" nd="1"/>
        <i x="101" s="1" nd="1"/>
        <i x="9" s="1" nd="1"/>
        <i x="62" s="1" nd="1"/>
        <i x="39" s="1" nd="1"/>
        <i x="96" s="1" nd="1"/>
        <i x="23" s="1" nd="1"/>
        <i x="109" s="1" nd="1"/>
        <i x="11" s="1" nd="1"/>
        <i x="82" s="1" nd="1"/>
        <i x="94" s="1" nd="1"/>
        <i x="114" s="1" nd="1"/>
        <i x="90" s="1" nd="1"/>
        <i x="20" s="1" nd="1"/>
        <i x="72" s="1" nd="1"/>
        <i x="69" s="1" nd="1"/>
        <i x="24" s="1" nd="1"/>
        <i x="100" s="1" nd="1"/>
        <i x="21" s="1" nd="1"/>
        <i x="43" s="1" nd="1"/>
        <i x="36" s="1" nd="1"/>
        <i x="125" s="1" nd="1"/>
        <i x="2" s="1" nd="1"/>
        <i x="95" s="1" nd="1"/>
        <i x="14" s="1" nd="1"/>
        <i x="106" s="1" nd="1"/>
        <i x="44" s="1" nd="1"/>
        <i x="88" s="1" nd="1"/>
        <i x="59" s="1" nd="1"/>
        <i x="46" s="1" nd="1"/>
        <i x="28" s="1" nd="1"/>
        <i x="33" s="1" nd="1"/>
        <i x="107" s="1" nd="1"/>
        <i x="54" s="1" nd="1"/>
        <i x="31" s="1" nd="1"/>
        <i x="15" s="1" nd="1"/>
        <i x="34" s="1" nd="1"/>
        <i x="3" s="1" nd="1"/>
        <i x="84" s="1" nd="1"/>
        <i x="55" s="1" nd="1"/>
        <i x="17" s="1" nd="1"/>
        <i x="22" s="1" nd="1"/>
        <i x="89" s="1" nd="1"/>
        <i x="16" s="1" nd="1"/>
        <i x="85" s="1" nd="1"/>
        <i x="25" s="1" nd="1"/>
        <i x="70" s="1" nd="1"/>
        <i x="45" s="1" nd="1"/>
        <i x="47" s="1" nd="1"/>
        <i x="76" s="1" nd="1"/>
        <i x="97" s="1" nd="1"/>
        <i x="29" s="1" nd="1"/>
        <i x="12" s="1" nd="1"/>
        <i x="99" s="1" nd="1"/>
        <i x="83" s="1" nd="1"/>
        <i x="115" s="1" nd="1"/>
        <i x="78" s="1" nd="1"/>
        <i x="111" s="1" nd="1"/>
        <i x="7" s="1" nd="1"/>
        <i x="26" s="1" nd="1"/>
        <i x="65" s="1" nd="1"/>
        <i x="42" s="1" nd="1"/>
        <i x="86" s="1" nd="1"/>
        <i x="108" s="1" nd="1"/>
        <i x="71" s="1" nd="1"/>
        <i x="79" s="1" nd="1"/>
        <i x="30" s="1" nd="1"/>
        <i x="73" s="1" nd="1"/>
        <i x="91" s="1" nd="1"/>
        <i x="48" s="1" nd="1"/>
        <i x="63" s="1" nd="1"/>
        <i x="13" s="1" nd="1"/>
        <i x="32" s="1" nd="1"/>
        <i x="112" s="1" nd="1"/>
        <i x="119" s="1" nd="1"/>
        <i x="37" s="1" nd="1"/>
        <i x="81" s="1" nd="1"/>
        <i x="51" s="1" nd="1"/>
        <i x="66" s="1" nd="1"/>
        <i x="18" s="1" nd="1"/>
        <i x="35" s="1" nd="1"/>
        <i x="103" s="1" nd="1"/>
        <i x="104" s="1" nd="1"/>
        <i x="56" s="1" nd="1"/>
        <i x="74"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25">
        <i x="0"/>
        <i x="1"/>
        <i x="2"/>
        <i x="3"/>
        <i x="4"/>
        <i x="5"/>
        <i x="6" s="1"/>
        <i x="7"/>
        <i x="8"/>
        <i x="9"/>
        <i x="10"/>
        <i x="11"/>
        <i x="12"/>
        <i x="13"/>
        <i x="14"/>
        <i x="15"/>
        <i x="16"/>
        <i x="17"/>
        <i x="18"/>
        <i x="19"/>
        <i x="20"/>
        <i x="21"/>
        <i x="22"/>
        <i x="23"/>
        <i x="2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188" tableType="queryTable" totalsRowShown="0">
  <autoFilter ref="A1:J188"/>
  <sortState ref="A2:J188">
    <sortCondition descending="1" ref="F2:F175"/>
    <sortCondition ref="E2:E175"/>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41" tableType="queryTable" totalsRowShown="0">
  <autoFilter ref="A1:O41">
    <filterColumn colId="0">
      <filters>
        <filter val="7232"/>
        <filter val="13568"/>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307</v>
      </c>
      <c r="B1" s="35">
        <v>10</v>
      </c>
    </row>
    <row r="2" spans="1:8" x14ac:dyDescent="0.25">
      <c r="A2" t="s">
        <v>306</v>
      </c>
      <c r="B2" s="35">
        <v>3</v>
      </c>
    </row>
    <row r="3" spans="1:8" x14ac:dyDescent="0.25">
      <c r="A3" t="s">
        <v>305</v>
      </c>
      <c r="B3" s="35">
        <v>4</v>
      </c>
    </row>
    <row r="4" spans="1:8" x14ac:dyDescent="0.25">
      <c r="A4" t="s">
        <v>304</v>
      </c>
      <c r="B4" s="35">
        <v>20</v>
      </c>
    </row>
    <row r="5" spans="1:8" x14ac:dyDescent="0.25">
      <c r="A5" t="s">
        <v>303</v>
      </c>
      <c r="B5" s="35" t="b">
        <v>1</v>
      </c>
    </row>
    <row r="6" spans="1:8" x14ac:dyDescent="0.25">
      <c r="A6" t="s">
        <v>302</v>
      </c>
      <c r="B6" s="35" t="b">
        <v>1</v>
      </c>
      <c r="F6" s="5" t="s">
        <v>301</v>
      </c>
      <c r="G6" s="36">
        <f>SUM(G8:G15)</f>
        <v>3123</v>
      </c>
      <c r="H6" s="36">
        <f>SUM(H8:H15)</f>
        <v>2167362</v>
      </c>
    </row>
    <row r="7" spans="1:8" x14ac:dyDescent="0.25">
      <c r="C7" t="s">
        <v>300</v>
      </c>
      <c r="E7" t="s">
        <v>299</v>
      </c>
      <c r="F7" t="s">
        <v>298</v>
      </c>
      <c r="G7" s="36" t="s">
        <v>297</v>
      </c>
      <c r="H7" s="36" t="s">
        <v>296</v>
      </c>
    </row>
    <row r="8" spans="1:8" x14ac:dyDescent="0.25">
      <c r="A8" t="s">
        <v>295</v>
      </c>
      <c r="B8">
        <f>COUNT(C8:C24)+2</f>
        <v>3</v>
      </c>
      <c r="C8" s="35">
        <v>1</v>
      </c>
      <c r="E8">
        <v>0</v>
      </c>
      <c r="F8">
        <f>+B1*B3*B4+IF(B6,1,0)</f>
        <v>801</v>
      </c>
      <c r="G8" s="34">
        <f t="shared" ref="G8:G14" si="0">F8+IF($B$5,G9,0)</f>
        <v>1842</v>
      </c>
      <c r="H8" s="34"/>
    </row>
    <row r="9" spans="1:8" x14ac:dyDescent="0.25">
      <c r="A9" t="s">
        <v>294</v>
      </c>
      <c r="B9">
        <f>B2*B3*B4</f>
        <v>240</v>
      </c>
      <c r="C9" s="35"/>
      <c r="E9">
        <v>1</v>
      </c>
      <c r="F9">
        <f t="shared" ref="F9:F15" si="1">IF(E9&gt;($B$8-1),0,IF(C8&gt;0,F8*C8,$B$9))</f>
        <v>801</v>
      </c>
      <c r="G9" s="34">
        <f t="shared" si="0"/>
        <v>1041</v>
      </c>
      <c r="H9" s="34">
        <f t="shared" ref="H9:H15" si="2">+G9*G8</f>
        <v>1917522</v>
      </c>
    </row>
    <row r="10" spans="1:8" x14ac:dyDescent="0.25">
      <c r="C10" s="35"/>
      <c r="E10">
        <v>2</v>
      </c>
      <c r="F10">
        <f t="shared" si="1"/>
        <v>240</v>
      </c>
      <c r="G10" s="34">
        <f t="shared" si="0"/>
        <v>240</v>
      </c>
      <c r="H10" s="34">
        <f t="shared" si="2"/>
        <v>249840</v>
      </c>
    </row>
    <row r="11" spans="1:8" x14ac:dyDescent="0.25">
      <c r="C11" s="35"/>
      <c r="E11">
        <v>3</v>
      </c>
      <c r="F11">
        <f t="shared" si="1"/>
        <v>0</v>
      </c>
      <c r="G11" s="34">
        <f t="shared" si="0"/>
        <v>0</v>
      </c>
      <c r="H11" s="34">
        <f t="shared" si="2"/>
        <v>0</v>
      </c>
    </row>
    <row r="12" spans="1:8" x14ac:dyDescent="0.25">
      <c r="C12" s="35"/>
      <c r="E12">
        <v>4</v>
      </c>
      <c r="F12">
        <f t="shared" si="1"/>
        <v>0</v>
      </c>
      <c r="G12" s="34">
        <f t="shared" si="0"/>
        <v>0</v>
      </c>
      <c r="H12" s="34">
        <f t="shared" si="2"/>
        <v>0</v>
      </c>
    </row>
    <row r="13" spans="1:8" x14ac:dyDescent="0.25">
      <c r="C13" s="35"/>
      <c r="E13">
        <v>5</v>
      </c>
      <c r="F13">
        <f t="shared" si="1"/>
        <v>0</v>
      </c>
      <c r="G13" s="34">
        <f t="shared" si="0"/>
        <v>0</v>
      </c>
      <c r="H13" s="34">
        <f t="shared" si="2"/>
        <v>0</v>
      </c>
    </row>
    <row r="14" spans="1:8" x14ac:dyDescent="0.25">
      <c r="E14">
        <v>6</v>
      </c>
      <c r="F14">
        <f t="shared" si="1"/>
        <v>0</v>
      </c>
      <c r="G14" s="34">
        <f t="shared" si="0"/>
        <v>0</v>
      </c>
      <c r="H14" s="34">
        <f t="shared" si="2"/>
        <v>0</v>
      </c>
    </row>
    <row r="15" spans="1:8" x14ac:dyDescent="0.25">
      <c r="E15">
        <v>7</v>
      </c>
      <c r="F15">
        <f t="shared" si="1"/>
        <v>0</v>
      </c>
      <c r="G15" s="34">
        <f>F15+IF($B$5,G17,0)</f>
        <v>0</v>
      </c>
      <c r="H15" s="34">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4"/>
  <sheetViews>
    <sheetView zoomScale="85" zoomScaleNormal="85" workbookViewId="0">
      <selection activeCell="C7" sqref="C7"/>
    </sheetView>
  </sheetViews>
  <sheetFormatPr defaultRowHeight="15" x14ac:dyDescent="0.25"/>
  <cols>
    <col min="1" max="1" width="13.42578125" bestFit="1" customWidth="1"/>
    <col min="2" max="2" width="8.28515625" customWidth="1"/>
    <col min="3" max="3" width="20.85546875" bestFit="1" customWidth="1"/>
    <col min="5" max="5" width="18.28515625" bestFit="1" customWidth="1"/>
    <col min="6" max="6" width="12.28515625" bestFit="1" customWidth="1"/>
  </cols>
  <sheetData>
    <row r="1" spans="1:6" ht="18.75" x14ac:dyDescent="0.3">
      <c r="A1" s="1" t="s">
        <v>0</v>
      </c>
      <c r="B1" t="s">
        <v>2</v>
      </c>
      <c r="C1" t="s">
        <v>117</v>
      </c>
      <c r="E1" s="5" t="s">
        <v>11</v>
      </c>
      <c r="F1" s="33">
        <f>VLOOKUP(COUNT($B:$B)-2,$A:$B,2,FALSE)</f>
        <v>2.3797225730959299E-4</v>
      </c>
    </row>
    <row r="2" spans="1:6" x14ac:dyDescent="0.25">
      <c r="A2" s="2">
        <v>0</v>
      </c>
      <c r="B2" s="3">
        <v>1.7526923911646E-3</v>
      </c>
      <c r="C2" s="4">
        <v>10629</v>
      </c>
      <c r="E2" s="5" t="s">
        <v>118</v>
      </c>
      <c r="F2" s="4">
        <f>GETPIVOTDATA("Average of DURATION",$A$1)</f>
        <v>10705.318181818182</v>
      </c>
    </row>
    <row r="3" spans="1:6" x14ac:dyDescent="0.25">
      <c r="A3" s="2">
        <v>1</v>
      </c>
      <c r="B3" s="3">
        <v>1.2076594866812201E-3</v>
      </c>
      <c r="C3" s="4">
        <v>10640</v>
      </c>
    </row>
    <row r="4" spans="1:6" x14ac:dyDescent="0.25">
      <c r="A4" s="2">
        <v>2</v>
      </c>
      <c r="B4" s="3">
        <v>9.3854742590338003E-4</v>
      </c>
      <c r="C4" s="4">
        <v>10645</v>
      </c>
    </row>
    <row r="5" spans="1:6" x14ac:dyDescent="0.25">
      <c r="A5" s="2">
        <v>3</v>
      </c>
      <c r="B5" s="3">
        <v>7.7149580465629697E-4</v>
      </c>
      <c r="C5" s="4">
        <v>10683</v>
      </c>
    </row>
    <row r="6" spans="1:6" x14ac:dyDescent="0.25">
      <c r="A6" s="2">
        <v>4</v>
      </c>
      <c r="B6" s="3">
        <v>6.6001620143651995E-4</v>
      </c>
      <c r="C6" s="4">
        <v>10689</v>
      </c>
    </row>
    <row r="7" spans="1:6" x14ac:dyDescent="0.25">
      <c r="A7" s="2">
        <v>5</v>
      </c>
      <c r="B7" s="3">
        <v>5.80693653319031E-4</v>
      </c>
      <c r="C7" s="4">
        <v>10682</v>
      </c>
    </row>
    <row r="8" spans="1:6" x14ac:dyDescent="0.25">
      <c r="A8" s="2">
        <v>6</v>
      </c>
      <c r="B8" s="3">
        <v>5.2116008009761604E-4</v>
      </c>
      <c r="C8" s="4">
        <v>10699</v>
      </c>
    </row>
    <row r="9" spans="1:6" x14ac:dyDescent="0.25">
      <c r="A9" s="2">
        <v>7</v>
      </c>
      <c r="B9" s="3">
        <v>4.7453781007789102E-4</v>
      </c>
      <c r="C9" s="4">
        <v>10692</v>
      </c>
    </row>
    <row r="10" spans="1:6" x14ac:dyDescent="0.25">
      <c r="A10" s="2">
        <v>8</v>
      </c>
      <c r="B10" s="3">
        <v>4.3682078830897803E-4</v>
      </c>
      <c r="C10" s="4">
        <v>10685</v>
      </c>
    </row>
    <row r="11" spans="1:6" x14ac:dyDescent="0.25">
      <c r="A11" s="2">
        <v>9</v>
      </c>
      <c r="B11" s="3">
        <v>4.0557520696893302E-4</v>
      </c>
      <c r="C11" s="4">
        <v>10686</v>
      </c>
    </row>
    <row r="12" spans="1:6" x14ac:dyDescent="0.25">
      <c r="A12" s="2">
        <v>10</v>
      </c>
      <c r="B12" s="3">
        <v>3.7924878415651598E-4</v>
      </c>
      <c r="C12" s="4">
        <v>10686</v>
      </c>
    </row>
    <row r="13" spans="1:6" x14ac:dyDescent="0.25">
      <c r="A13" s="2">
        <v>11</v>
      </c>
      <c r="B13" s="3">
        <v>3.5678903805091999E-4</v>
      </c>
      <c r="C13" s="4">
        <v>10687</v>
      </c>
    </row>
    <row r="14" spans="1:6" x14ac:dyDescent="0.25">
      <c r="A14" s="2">
        <v>12</v>
      </c>
      <c r="B14" s="3">
        <v>3.3743688254617198E-4</v>
      </c>
      <c r="C14" s="4">
        <v>10695</v>
      </c>
    </row>
    <row r="15" spans="1:6" x14ac:dyDescent="0.25">
      <c r="A15" s="2">
        <v>13</v>
      </c>
      <c r="B15" s="3">
        <v>3.20616672979668E-4</v>
      </c>
      <c r="C15" s="4">
        <v>10696</v>
      </c>
    </row>
    <row r="16" spans="1:6" x14ac:dyDescent="0.25">
      <c r="A16" s="2">
        <v>14</v>
      </c>
      <c r="B16" s="3">
        <v>3.0587715446017699E-4</v>
      </c>
      <c r="C16" s="4">
        <v>10762</v>
      </c>
    </row>
    <row r="17" spans="1:3" x14ac:dyDescent="0.25">
      <c r="A17" s="2">
        <v>15</v>
      </c>
      <c r="B17" s="3">
        <v>2.9285805067047498E-4</v>
      </c>
      <c r="C17" s="4">
        <v>10753</v>
      </c>
    </row>
    <row r="18" spans="1:3" x14ac:dyDescent="0.25">
      <c r="A18" s="2">
        <v>16</v>
      </c>
      <c r="B18" s="3">
        <v>2.81268876278773E-4</v>
      </c>
      <c r="C18" s="4">
        <v>10755</v>
      </c>
    </row>
    <row r="19" spans="1:3" x14ac:dyDescent="0.25">
      <c r="A19" s="2">
        <v>17</v>
      </c>
      <c r="B19" s="3">
        <v>2.70875578280538E-4</v>
      </c>
      <c r="C19" s="4">
        <v>10756</v>
      </c>
    </row>
    <row r="20" spans="1:3" x14ac:dyDescent="0.25">
      <c r="A20" s="2">
        <v>18</v>
      </c>
      <c r="B20" s="3">
        <v>2.6148819597437999E-4</v>
      </c>
      <c r="C20" s="4">
        <v>10752</v>
      </c>
    </row>
    <row r="21" spans="1:3" x14ac:dyDescent="0.25">
      <c r="A21" s="2">
        <v>19</v>
      </c>
      <c r="B21" s="3">
        <v>2.5295355590060402E-4</v>
      </c>
      <c r="C21" s="4">
        <v>10748</v>
      </c>
    </row>
    <row r="22" spans="1:3" x14ac:dyDescent="0.25">
      <c r="A22" s="2">
        <v>20</v>
      </c>
      <c r="B22" s="3">
        <v>2.45148286921903E-4</v>
      </c>
      <c r="C22" s="4">
        <v>10748</v>
      </c>
    </row>
    <row r="23" spans="1:3" x14ac:dyDescent="0.25">
      <c r="A23" s="2">
        <v>21</v>
      </c>
      <c r="B23" s="3">
        <v>2.3797225730959299E-4</v>
      </c>
      <c r="C23" s="4">
        <v>10749</v>
      </c>
    </row>
    <row r="24" spans="1:3" x14ac:dyDescent="0.25">
      <c r="A24" s="2" t="s">
        <v>1</v>
      </c>
      <c r="B24" s="3">
        <v>5.1326055373382656E-4</v>
      </c>
      <c r="C24" s="4">
        <v>10705.318181818182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
  <sheetViews>
    <sheetView topLeftCell="B1" zoomScale="85" zoomScaleNormal="85" workbookViewId="0">
      <selection activeCell="A3" sqref="A3"/>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140</v>
      </c>
      <c r="B1">
        <f>MIN(B4:B5025)</f>
        <v>1.6524476381018758E-2</v>
      </c>
      <c r="C1">
        <f>MIN(C4:C5025)</f>
        <v>3.4321795947616918E-2</v>
      </c>
    </row>
    <row r="2" spans="1:8" x14ac:dyDescent="0.25">
      <c r="A2" t="s">
        <v>141</v>
      </c>
      <c r="B2">
        <f>MAX(B4:B5025)</f>
        <v>4.9957140758633577E-2</v>
      </c>
      <c r="C2">
        <f>MAX(C4:C5025)</f>
        <v>5.0518249209271733E-2</v>
      </c>
      <c r="D2">
        <f>GETPIVOTDATA("Average of ERRORTRS",$A$3)</f>
        <v>5.4374793753346525E-3</v>
      </c>
    </row>
    <row r="3" spans="1:8" x14ac:dyDescent="0.25">
      <c r="A3" s="1" t="s">
        <v>0</v>
      </c>
      <c r="B3" t="s">
        <v>20</v>
      </c>
      <c r="C3" t="s">
        <v>21</v>
      </c>
      <c r="D3" t="s">
        <v>150</v>
      </c>
      <c r="H3" s="5"/>
    </row>
    <row r="4" spans="1:8" x14ac:dyDescent="0.25">
      <c r="A4" s="2">
        <v>0</v>
      </c>
      <c r="B4" s="22">
        <v>4.646347703412175E-2</v>
      </c>
      <c r="C4" s="22"/>
      <c r="D4" s="22"/>
    </row>
    <row r="5" spans="1:8" x14ac:dyDescent="0.25">
      <c r="A5" s="2">
        <v>1</v>
      </c>
      <c r="B5" s="22">
        <v>4.622309600934385E-2</v>
      </c>
      <c r="C5" s="22"/>
      <c r="D5" s="22"/>
    </row>
    <row r="6" spans="1:8" x14ac:dyDescent="0.25">
      <c r="A6" s="2">
        <v>2</v>
      </c>
      <c r="B6" s="22">
        <v>4.5539927706122391E-2</v>
      </c>
      <c r="C6" s="22"/>
      <c r="D6" s="22"/>
    </row>
    <row r="7" spans="1:8" x14ac:dyDescent="0.25">
      <c r="A7" s="2">
        <v>3</v>
      </c>
      <c r="B7" s="22">
        <v>4.4820592552423474E-2</v>
      </c>
      <c r="C7" s="22"/>
      <c r="D7" s="22"/>
    </row>
    <row r="8" spans="1:8" x14ac:dyDescent="0.25">
      <c r="A8" s="2">
        <v>4</v>
      </c>
      <c r="B8" s="22">
        <v>4.6110559217631818E-2</v>
      </c>
      <c r="C8" s="22"/>
      <c r="D8" s="22"/>
    </row>
    <row r="9" spans="1:8" x14ac:dyDescent="0.25">
      <c r="A9" s="2">
        <v>5</v>
      </c>
      <c r="B9" s="22">
        <v>4.6148929689079535E-2</v>
      </c>
      <c r="C9" s="22"/>
      <c r="D9" s="22"/>
    </row>
    <row r="10" spans="1:8" x14ac:dyDescent="0.25">
      <c r="A10" s="2">
        <v>6</v>
      </c>
      <c r="B10" s="22">
        <v>4.6495366338640459E-2</v>
      </c>
      <c r="C10" s="22"/>
      <c r="D10" s="22"/>
    </row>
    <row r="11" spans="1:8" x14ac:dyDescent="0.25">
      <c r="A11" s="2">
        <v>7</v>
      </c>
      <c r="B11" s="22">
        <v>4.5404060538858176E-2</v>
      </c>
      <c r="C11" s="22"/>
      <c r="D11" s="22"/>
    </row>
    <row r="12" spans="1:8" x14ac:dyDescent="0.25">
      <c r="A12" s="2">
        <v>8</v>
      </c>
      <c r="B12" s="22">
        <v>4.3172463402152063E-2</v>
      </c>
      <c r="C12" s="22"/>
      <c r="D12" s="22"/>
    </row>
    <row r="13" spans="1:8" x14ac:dyDescent="0.25">
      <c r="A13" s="2">
        <v>9</v>
      </c>
      <c r="B13" s="22">
        <v>4.1112079694867118E-2</v>
      </c>
      <c r="C13" s="22"/>
      <c r="D13" s="22"/>
    </row>
    <row r="14" spans="1:8" x14ac:dyDescent="0.25">
      <c r="A14" s="2">
        <v>10</v>
      </c>
      <c r="B14" s="22">
        <v>4.0071532800793619E-2</v>
      </c>
      <c r="C14" s="22"/>
      <c r="D14" s="22"/>
    </row>
    <row r="15" spans="1:8" x14ac:dyDescent="0.25">
      <c r="A15" s="2">
        <v>11</v>
      </c>
      <c r="B15" s="22">
        <v>3.8122794553637492E-2</v>
      </c>
      <c r="C15" s="22"/>
      <c r="D15" s="22"/>
    </row>
    <row r="16" spans="1:8" x14ac:dyDescent="0.25">
      <c r="A16" s="2">
        <v>12</v>
      </c>
      <c r="B16" s="22">
        <v>3.8372725658118709E-2</v>
      </c>
      <c r="C16" s="22"/>
      <c r="D16" s="22"/>
    </row>
    <row r="17" spans="1:4" x14ac:dyDescent="0.25">
      <c r="A17" s="2">
        <v>13</v>
      </c>
      <c r="B17" s="22">
        <v>3.7960034739226087E-2</v>
      </c>
      <c r="C17" s="22"/>
      <c r="D17" s="22"/>
    </row>
    <row r="18" spans="1:4" x14ac:dyDescent="0.25">
      <c r="A18" s="2">
        <v>14</v>
      </c>
      <c r="B18" s="22">
        <v>3.3859543856233333E-2</v>
      </c>
      <c r="C18" s="22"/>
      <c r="D18" s="22"/>
    </row>
    <row r="19" spans="1:4" x14ac:dyDescent="0.25">
      <c r="A19" s="2">
        <v>15</v>
      </c>
      <c r="B19" s="22">
        <v>2.8861979562789183E-2</v>
      </c>
      <c r="C19" s="22"/>
      <c r="D19" s="22"/>
    </row>
    <row r="20" spans="1:4" x14ac:dyDescent="0.25">
      <c r="A20" s="2">
        <v>16</v>
      </c>
      <c r="B20" s="22">
        <v>2.9991579316556435E-2</v>
      </c>
      <c r="C20" s="22"/>
      <c r="D20" s="22"/>
    </row>
    <row r="21" spans="1:4" x14ac:dyDescent="0.25">
      <c r="A21" s="2">
        <v>17</v>
      </c>
      <c r="B21" s="22">
        <v>3.235475866124031E-2</v>
      </c>
      <c r="C21" s="22"/>
      <c r="D21" s="22"/>
    </row>
    <row r="22" spans="1:4" x14ac:dyDescent="0.25">
      <c r="A22" s="2">
        <v>18</v>
      </c>
      <c r="B22" s="22">
        <v>3.2034910563379496E-2</v>
      </c>
      <c r="C22" s="22"/>
      <c r="D22" s="22"/>
    </row>
    <row r="23" spans="1:4" x14ac:dyDescent="0.25">
      <c r="A23" s="2">
        <v>19</v>
      </c>
      <c r="B23" s="22">
        <v>2.7570817116647932E-2</v>
      </c>
      <c r="C23" s="22"/>
      <c r="D23" s="22"/>
    </row>
    <row r="24" spans="1:4" x14ac:dyDescent="0.25">
      <c r="A24" s="2">
        <v>20</v>
      </c>
      <c r="B24" s="22">
        <v>2.3795842584222519E-2</v>
      </c>
      <c r="C24" s="22"/>
      <c r="D24" s="22"/>
    </row>
    <row r="25" spans="1:4" x14ac:dyDescent="0.25">
      <c r="A25" s="2">
        <v>21</v>
      </c>
      <c r="B25" s="22">
        <v>2.0533241648226945E-2</v>
      </c>
      <c r="C25" s="22"/>
      <c r="D25" s="22"/>
    </row>
    <row r="26" spans="1:4" x14ac:dyDescent="0.25">
      <c r="A26" s="2">
        <v>22</v>
      </c>
      <c r="B26" s="22">
        <v>1.7728781718760699E-2</v>
      </c>
      <c r="C26" s="22"/>
      <c r="D26" s="22"/>
    </row>
    <row r="27" spans="1:4" x14ac:dyDescent="0.25">
      <c r="A27" s="2">
        <v>23</v>
      </c>
      <c r="B27" s="22">
        <v>1.7953507099300596E-2</v>
      </c>
      <c r="C27" s="22"/>
      <c r="D27" s="22"/>
    </row>
    <row r="28" spans="1:4" x14ac:dyDescent="0.25">
      <c r="A28" s="2">
        <v>24</v>
      </c>
      <c r="B28" s="22">
        <v>1.8120174687355738E-2</v>
      </c>
      <c r="C28" s="22"/>
      <c r="D28" s="22"/>
    </row>
    <row r="29" spans="1:4" x14ac:dyDescent="0.25">
      <c r="A29" s="2">
        <v>25</v>
      </c>
      <c r="B29" s="22">
        <v>1.662515154108404E-2</v>
      </c>
      <c r="C29" s="22"/>
      <c r="D29" s="22"/>
    </row>
    <row r="30" spans="1:4" x14ac:dyDescent="0.25">
      <c r="A30" s="2">
        <v>26</v>
      </c>
      <c r="B30" s="22">
        <v>1.6599459666758767E-2</v>
      </c>
      <c r="C30" s="22"/>
      <c r="D30" s="22"/>
    </row>
    <row r="31" spans="1:4" x14ac:dyDescent="0.25">
      <c r="A31" s="2">
        <v>27</v>
      </c>
      <c r="B31" s="22">
        <v>1.7563037909567352E-2</v>
      </c>
      <c r="C31" s="22"/>
      <c r="D31" s="22"/>
    </row>
    <row r="32" spans="1:4" x14ac:dyDescent="0.25">
      <c r="A32" s="2">
        <v>28</v>
      </c>
      <c r="B32" s="22">
        <v>1.8542313352227197E-2</v>
      </c>
      <c r="C32" s="22"/>
      <c r="D32" s="22"/>
    </row>
    <row r="33" spans="1:4" x14ac:dyDescent="0.25">
      <c r="A33" s="2">
        <v>29</v>
      </c>
      <c r="B33" s="22">
        <v>1.8032647063955656E-2</v>
      </c>
      <c r="C33" s="22"/>
      <c r="D33" s="22"/>
    </row>
    <row r="34" spans="1:4" x14ac:dyDescent="0.25">
      <c r="A34" s="2">
        <v>30</v>
      </c>
      <c r="B34" s="22">
        <v>1.7954120924696317E-2</v>
      </c>
      <c r="C34" s="22"/>
      <c r="D34" s="22"/>
    </row>
    <row r="35" spans="1:4" x14ac:dyDescent="0.25">
      <c r="A35" s="2">
        <v>31</v>
      </c>
      <c r="B35" s="22">
        <v>1.7612842088565221E-2</v>
      </c>
      <c r="C35" s="22"/>
      <c r="D35" s="22"/>
    </row>
    <row r="36" spans="1:4" x14ac:dyDescent="0.25">
      <c r="A36" s="2">
        <v>32</v>
      </c>
      <c r="B36" s="22">
        <v>1.8517440417781462E-2</v>
      </c>
      <c r="C36" s="22"/>
      <c r="D36" s="22"/>
    </row>
    <row r="37" spans="1:4" x14ac:dyDescent="0.25">
      <c r="A37" s="2">
        <v>33</v>
      </c>
      <c r="B37" s="22">
        <v>1.6542151691392053E-2</v>
      </c>
      <c r="C37" s="22"/>
      <c r="D37" s="22"/>
    </row>
    <row r="38" spans="1:4" x14ac:dyDescent="0.25">
      <c r="A38" s="2">
        <v>34</v>
      </c>
      <c r="B38" s="22">
        <v>1.6524476381018758E-2</v>
      </c>
      <c r="C38" s="22"/>
      <c r="D38" s="22"/>
    </row>
    <row r="39" spans="1:4" x14ac:dyDescent="0.25">
      <c r="A39" s="2">
        <v>35</v>
      </c>
      <c r="B39" s="22">
        <v>1.805686318315565E-2</v>
      </c>
      <c r="C39" s="22"/>
      <c r="D39" s="22"/>
    </row>
    <row r="40" spans="1:4" x14ac:dyDescent="0.25">
      <c r="A40" s="2">
        <v>36</v>
      </c>
      <c r="B40" s="22">
        <v>1.8007320826873178E-2</v>
      </c>
      <c r="C40" s="22"/>
      <c r="D40" s="22"/>
    </row>
    <row r="41" spans="1:4" x14ac:dyDescent="0.25">
      <c r="A41" s="2">
        <v>37</v>
      </c>
      <c r="B41" s="22">
        <v>1.9246988249942653E-2</v>
      </c>
      <c r="C41" s="22"/>
      <c r="D41" s="22"/>
    </row>
    <row r="42" spans="1:4" x14ac:dyDescent="0.25">
      <c r="A42" s="2">
        <v>38</v>
      </c>
      <c r="B42" s="22">
        <v>2.3310771184042088E-2</v>
      </c>
      <c r="C42" s="22"/>
      <c r="D42" s="22"/>
    </row>
    <row r="43" spans="1:4" x14ac:dyDescent="0.25">
      <c r="A43" s="2">
        <v>39</v>
      </c>
      <c r="B43" s="22">
        <v>2.9058355810120697E-2</v>
      </c>
      <c r="C43" s="22"/>
      <c r="D43" s="22"/>
    </row>
    <row r="44" spans="1:4" x14ac:dyDescent="0.25">
      <c r="A44" s="2">
        <v>40</v>
      </c>
      <c r="B44" s="22">
        <v>3.2932738559320565E-2</v>
      </c>
      <c r="C44" s="22"/>
      <c r="D44" s="22"/>
    </row>
    <row r="45" spans="1:4" x14ac:dyDescent="0.25">
      <c r="A45" s="2">
        <v>41</v>
      </c>
      <c r="B45" s="22">
        <v>3.5293901236727827E-2</v>
      </c>
      <c r="C45" s="22"/>
      <c r="D45" s="22"/>
    </row>
    <row r="46" spans="1:4" x14ac:dyDescent="0.25">
      <c r="A46" s="2">
        <v>42</v>
      </c>
      <c r="B46" s="22">
        <v>3.539519789628684E-2</v>
      </c>
      <c r="C46" s="22"/>
      <c r="D46" s="22"/>
    </row>
    <row r="47" spans="1:4" x14ac:dyDescent="0.25">
      <c r="A47" s="2">
        <v>43</v>
      </c>
      <c r="B47" s="22">
        <v>3.5177587186917651E-2</v>
      </c>
      <c r="C47" s="22"/>
      <c r="D47" s="22"/>
    </row>
    <row r="48" spans="1:4" x14ac:dyDescent="0.25">
      <c r="A48" s="2">
        <v>44</v>
      </c>
      <c r="B48" s="22">
        <v>3.753955683670937E-2</v>
      </c>
      <c r="C48" s="22"/>
      <c r="D48" s="22"/>
    </row>
    <row r="49" spans="1:4" x14ac:dyDescent="0.25">
      <c r="A49" s="2">
        <v>45</v>
      </c>
      <c r="B49" s="22">
        <v>3.8365962291136375E-2</v>
      </c>
      <c r="C49" s="22"/>
      <c r="D49" s="22"/>
    </row>
    <row r="50" spans="1:4" x14ac:dyDescent="0.25">
      <c r="A50" s="2">
        <v>46</v>
      </c>
      <c r="B50" s="22">
        <v>3.8278783736750463E-2</v>
      </c>
      <c r="C50" s="22"/>
      <c r="D50" s="22"/>
    </row>
    <row r="51" spans="1:4" x14ac:dyDescent="0.25">
      <c r="A51" s="2">
        <v>47</v>
      </c>
      <c r="B51" s="22">
        <v>3.9211904099211083E-2</v>
      </c>
      <c r="C51" s="22"/>
      <c r="D51" s="22"/>
    </row>
    <row r="52" spans="1:4" x14ac:dyDescent="0.25">
      <c r="A52" s="2">
        <v>48</v>
      </c>
      <c r="B52" s="22">
        <v>3.9512970400974137E-2</v>
      </c>
      <c r="C52" s="22"/>
      <c r="D52" s="22"/>
    </row>
    <row r="53" spans="1:4" x14ac:dyDescent="0.25">
      <c r="A53" s="2">
        <v>49</v>
      </c>
      <c r="B53" s="22">
        <v>3.9239384187385422E-2</v>
      </c>
      <c r="C53" s="22"/>
      <c r="D53" s="22"/>
    </row>
    <row r="54" spans="1:4" x14ac:dyDescent="0.25">
      <c r="A54" s="2">
        <v>50</v>
      </c>
      <c r="B54" s="22">
        <v>3.8662355085834835E-2</v>
      </c>
      <c r="C54" s="22">
        <v>3.8670029449276631E-2</v>
      </c>
      <c r="D54" s="22">
        <v>3.5659580444916948E-3</v>
      </c>
    </row>
    <row r="55" spans="1:4" x14ac:dyDescent="0.25">
      <c r="A55" s="2">
        <v>51</v>
      </c>
      <c r="B55" s="22">
        <v>3.7907867180183498E-2</v>
      </c>
      <c r="C55" s="22">
        <v>3.6843250733800216E-2</v>
      </c>
      <c r="D55" s="22">
        <v>3.6986407404765438E-3</v>
      </c>
    </row>
    <row r="56" spans="1:4" x14ac:dyDescent="0.25">
      <c r="A56" s="2">
        <v>52</v>
      </c>
      <c r="B56" s="22">
        <v>3.6544947801157808E-2</v>
      </c>
      <c r="C56" s="22">
        <v>3.7716155713424071E-2</v>
      </c>
      <c r="D56" s="22">
        <v>3.9235719665884792E-3</v>
      </c>
    </row>
    <row r="57" spans="1:4" x14ac:dyDescent="0.25">
      <c r="A57" s="2">
        <v>53</v>
      </c>
      <c r="B57" s="22">
        <v>3.6309433905407765E-2</v>
      </c>
      <c r="C57" s="22">
        <v>3.5343008106574411E-2</v>
      </c>
      <c r="D57" s="22">
        <v>3.8149556331336532E-3</v>
      </c>
    </row>
    <row r="58" spans="1:4" x14ac:dyDescent="0.25">
      <c r="A58" s="2">
        <v>54</v>
      </c>
      <c r="B58" s="22">
        <v>3.7768573537468882E-2</v>
      </c>
      <c r="C58" s="22">
        <v>3.8047449995647166E-2</v>
      </c>
      <c r="D58" s="22">
        <v>3.6523296701489022E-3</v>
      </c>
    </row>
    <row r="59" spans="1:4" x14ac:dyDescent="0.25">
      <c r="A59" s="2">
        <v>55</v>
      </c>
      <c r="B59" s="22">
        <v>3.807293912395833E-2</v>
      </c>
      <c r="C59" s="22">
        <v>3.8830558364279573E-2</v>
      </c>
      <c r="D59" s="22">
        <v>3.5648872563615736E-3</v>
      </c>
    </row>
    <row r="60" spans="1:4" x14ac:dyDescent="0.25">
      <c r="A60" s="2">
        <v>56</v>
      </c>
      <c r="B60" s="22">
        <v>3.8912696670740814E-2</v>
      </c>
      <c r="C60" s="22">
        <v>3.8710695414338289E-2</v>
      </c>
      <c r="D60" s="22">
        <v>3.5194844123907559E-3</v>
      </c>
    </row>
    <row r="61" spans="1:4" x14ac:dyDescent="0.25">
      <c r="A61" s="2">
        <v>57</v>
      </c>
      <c r="B61" s="22">
        <v>4.0396607406437371E-2</v>
      </c>
      <c r="C61" s="22">
        <v>4.1574596050195402E-2</v>
      </c>
      <c r="D61" s="22">
        <v>4.0315371146425584E-3</v>
      </c>
    </row>
    <row r="62" spans="1:4" x14ac:dyDescent="0.25">
      <c r="A62" s="2">
        <v>58</v>
      </c>
      <c r="B62" s="22">
        <v>4.5138328801840516E-2</v>
      </c>
      <c r="C62" s="22">
        <v>4.5792562420247103E-2</v>
      </c>
      <c r="D62" s="22">
        <v>3.6100277712103248E-3</v>
      </c>
    </row>
    <row r="63" spans="1:4" x14ac:dyDescent="0.25">
      <c r="A63" s="2">
        <v>59</v>
      </c>
      <c r="B63" s="22">
        <v>4.6987219639122453E-2</v>
      </c>
      <c r="C63" s="22">
        <v>4.7446382145863046E-2</v>
      </c>
      <c r="D63" s="22">
        <v>4.2886057379655325E-3</v>
      </c>
    </row>
    <row r="64" spans="1:4" x14ac:dyDescent="0.25">
      <c r="A64" s="2">
        <v>60</v>
      </c>
      <c r="B64" s="22">
        <v>4.6808293126523466E-2</v>
      </c>
      <c r="C64" s="22">
        <v>4.757731758523729E-2</v>
      </c>
      <c r="D64" s="22">
        <v>4.4263361068442439E-3</v>
      </c>
    </row>
    <row r="65" spans="1:4" x14ac:dyDescent="0.25">
      <c r="A65" s="2">
        <v>61</v>
      </c>
      <c r="B65" s="22">
        <v>4.8025425858795608E-2</v>
      </c>
      <c r="C65" s="22">
        <v>4.7012714282609537E-2</v>
      </c>
      <c r="D65" s="22">
        <v>5.0997675443068147E-3</v>
      </c>
    </row>
    <row r="66" spans="1:4" x14ac:dyDescent="0.25">
      <c r="A66" s="2">
        <v>62</v>
      </c>
      <c r="B66" s="22">
        <v>4.9957140758633577E-2</v>
      </c>
      <c r="C66" s="22">
        <v>5.0518249209271733E-2</v>
      </c>
      <c r="D66" s="22">
        <v>5.1119905442465405E-3</v>
      </c>
    </row>
    <row r="67" spans="1:4" x14ac:dyDescent="0.25">
      <c r="A67" s="2">
        <v>63</v>
      </c>
      <c r="B67" s="22">
        <v>4.8349588140845265E-2</v>
      </c>
      <c r="C67" s="22">
        <v>4.8214991670101882E-2</v>
      </c>
      <c r="D67" s="22">
        <v>5.5648502521216713E-3</v>
      </c>
    </row>
    <row r="68" spans="1:4" x14ac:dyDescent="0.25">
      <c r="A68" s="2">
        <v>64</v>
      </c>
      <c r="B68" s="22">
        <v>4.764230884611604E-2</v>
      </c>
      <c r="C68" s="22">
        <v>4.8207113650278167E-2</v>
      </c>
      <c r="D68" s="22">
        <v>7.3479163466254474E-3</v>
      </c>
    </row>
    <row r="69" spans="1:4" x14ac:dyDescent="0.25">
      <c r="A69" s="2">
        <v>65</v>
      </c>
      <c r="B69" s="22">
        <v>4.7944167330861064E-2</v>
      </c>
      <c r="C69" s="22">
        <v>4.785416557919233E-2</v>
      </c>
      <c r="D69" s="22">
        <v>7.2395690763369181E-3</v>
      </c>
    </row>
    <row r="70" spans="1:4" x14ac:dyDescent="0.25">
      <c r="A70" s="2">
        <v>66</v>
      </c>
      <c r="B70" s="22">
        <v>4.730267338454721E-2</v>
      </c>
      <c r="C70" s="22">
        <v>4.5532308187102896E-2</v>
      </c>
      <c r="D70" s="22">
        <v>7.4869806680362798E-3</v>
      </c>
    </row>
    <row r="71" spans="1:4" x14ac:dyDescent="0.25">
      <c r="A71" s="2">
        <v>67</v>
      </c>
      <c r="B71" s="22">
        <v>4.6611322388052913E-2</v>
      </c>
      <c r="C71" s="22">
        <v>4.7509568012319522E-2</v>
      </c>
      <c r="D71" s="22">
        <v>9.639819315634672E-3</v>
      </c>
    </row>
    <row r="72" spans="1:4" x14ac:dyDescent="0.25">
      <c r="A72" s="2">
        <v>68</v>
      </c>
      <c r="B72" s="22">
        <v>4.5686545353382797E-2</v>
      </c>
      <c r="C72" s="22">
        <v>4.2800158001482458E-2</v>
      </c>
      <c r="D72" s="22">
        <v>1.3724879929795857E-2</v>
      </c>
    </row>
    <row r="73" spans="1:4" x14ac:dyDescent="0.25">
      <c r="A73" s="2">
        <v>69</v>
      </c>
      <c r="B73" s="22"/>
      <c r="C73" s="22">
        <v>3.4321795947616918E-2</v>
      </c>
      <c r="D73" s="22"/>
    </row>
    <row r="74" spans="1:4" x14ac:dyDescent="0.25">
      <c r="A74" s="2">
        <v>70</v>
      </c>
      <c r="B74" s="22"/>
      <c r="C74" s="22">
        <v>4.1479168499354284E-2</v>
      </c>
      <c r="D74" s="22"/>
    </row>
    <row r="75" spans="1:4" x14ac:dyDescent="0.25">
      <c r="A75" s="2">
        <v>71</v>
      </c>
      <c r="B75" s="22"/>
      <c r="C75" s="22">
        <v>4.1848098438349551E-2</v>
      </c>
      <c r="D75" s="22"/>
    </row>
    <row r="76" spans="1:4" x14ac:dyDescent="0.25">
      <c r="A76" s="2" t="s">
        <v>1</v>
      </c>
      <c r="B76" s="22">
        <v>3.4304248374090462E-2</v>
      </c>
      <c r="C76" s="22">
        <v>4.2811378975298298E-2</v>
      </c>
      <c r="D76" s="22">
        <v>5.4374793753346525E-3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802"/>
  <sheetViews>
    <sheetView topLeftCell="A22" zoomScale="85" zoomScaleNormal="85" workbookViewId="0">
      <selection activeCell="B23" sqref="B23:B30"/>
    </sheetView>
  </sheetViews>
  <sheetFormatPr defaultRowHeight="15" x14ac:dyDescent="0.25"/>
  <cols>
    <col min="1" max="1" width="19.7109375" customWidth="1"/>
    <col min="2" max="2" width="20.42578125" bestFit="1" customWidth="1"/>
    <col min="3" max="3" width="23.140625" bestFit="1" customWidth="1"/>
    <col min="4" max="4" width="19.28515625" bestFit="1" customWidth="1"/>
  </cols>
  <sheetData>
    <row r="1" spans="1:8" x14ac:dyDescent="0.25">
      <c r="A1" s="1" t="s">
        <v>0</v>
      </c>
      <c r="B1" t="s">
        <v>132</v>
      </c>
      <c r="C1" t="s">
        <v>133</v>
      </c>
      <c r="D1" t="s">
        <v>134</v>
      </c>
      <c r="G1" t="s">
        <v>149</v>
      </c>
      <c r="H1" s="5">
        <f>GETPIVOTDATA("Average of ERRORTR",$A$1)</f>
        <v>1.0566919907011285E-4</v>
      </c>
    </row>
    <row r="2" spans="1:8" x14ac:dyDescent="0.25">
      <c r="A2" s="2">
        <v>0</v>
      </c>
      <c r="B2" s="22">
        <v>2.1200060422415829E-4</v>
      </c>
      <c r="C2" s="22"/>
      <c r="D2" s="22"/>
    </row>
    <row r="3" spans="1:8" x14ac:dyDescent="0.25">
      <c r="A3" s="37" t="s">
        <v>349</v>
      </c>
      <c r="B3" s="22">
        <v>1.6251205488515549E-4</v>
      </c>
      <c r="C3" s="22"/>
      <c r="D3" s="22"/>
    </row>
    <row r="4" spans="1:8" x14ac:dyDescent="0.25">
      <c r="A4" s="37" t="s">
        <v>350</v>
      </c>
      <c r="B4" s="22">
        <v>3.8498637513839629E-4</v>
      </c>
      <c r="C4" s="22"/>
      <c r="D4" s="22"/>
    </row>
    <row r="5" spans="1:8" x14ac:dyDescent="0.25">
      <c r="A5" s="37" t="s">
        <v>342</v>
      </c>
      <c r="B5" s="22">
        <v>1.8751623792923045E-4</v>
      </c>
      <c r="C5" s="22"/>
      <c r="D5" s="22"/>
    </row>
    <row r="6" spans="1:8" x14ac:dyDescent="0.25">
      <c r="A6" s="37" t="s">
        <v>351</v>
      </c>
      <c r="B6" s="22">
        <v>-6.2748789423494578E-4</v>
      </c>
      <c r="C6" s="22"/>
      <c r="D6" s="22"/>
    </row>
    <row r="7" spans="1:8" x14ac:dyDescent="0.25">
      <c r="A7" s="37" t="s">
        <v>352</v>
      </c>
      <c r="B7" s="22">
        <v>-2.0751359625137403E-4</v>
      </c>
      <c r="C7" s="22"/>
      <c r="D7" s="22"/>
    </row>
    <row r="8" spans="1:8" x14ac:dyDescent="0.25">
      <c r="A8" s="37" t="s">
        <v>353</v>
      </c>
      <c r="B8" s="22">
        <v>-1.5503169925068489E-4</v>
      </c>
      <c r="C8" s="22"/>
      <c r="D8" s="22"/>
    </row>
    <row r="9" spans="1:8" x14ac:dyDescent="0.25">
      <c r="A9" s="37" t="s">
        <v>354</v>
      </c>
      <c r="B9" s="22">
        <v>3.9756294427206729E-4</v>
      </c>
      <c r="C9" s="22"/>
      <c r="D9" s="22"/>
    </row>
    <row r="10" spans="1:8" x14ac:dyDescent="0.25">
      <c r="A10" s="37" t="s">
        <v>355</v>
      </c>
      <c r="B10" s="22">
        <v>8.2248451508348721E-4</v>
      </c>
      <c r="C10" s="22"/>
      <c r="D10" s="22"/>
    </row>
    <row r="11" spans="1:8" x14ac:dyDescent="0.25">
      <c r="A11" s="37" t="s">
        <v>356</v>
      </c>
      <c r="B11" s="22">
        <v>1.3750789548794214E-4</v>
      </c>
      <c r="C11" s="22"/>
      <c r="D11" s="22"/>
    </row>
    <row r="12" spans="1:8" x14ac:dyDescent="0.25">
      <c r="A12" s="37" t="s">
        <v>346</v>
      </c>
      <c r="B12" s="22">
        <v>-1.9255278675700549E-4</v>
      </c>
      <c r="C12" s="22"/>
      <c r="D12" s="22"/>
    </row>
    <row r="13" spans="1:8" x14ac:dyDescent="0.25">
      <c r="A13" s="37" t="s">
        <v>357</v>
      </c>
      <c r="B13" s="22">
        <v>9.0003010700456766E-4</v>
      </c>
      <c r="C13" s="22"/>
      <c r="D13" s="22"/>
    </row>
    <row r="14" spans="1:8" x14ac:dyDescent="0.25">
      <c r="A14" s="37" t="s">
        <v>358</v>
      </c>
      <c r="B14" s="22">
        <v>-2.2000069384375825E-4</v>
      </c>
      <c r="C14" s="22"/>
      <c r="D14" s="22"/>
    </row>
    <row r="15" spans="1:8" x14ac:dyDescent="0.25">
      <c r="A15" s="37" t="s">
        <v>340</v>
      </c>
      <c r="B15" s="22">
        <v>-3.2249088690150551E-4</v>
      </c>
      <c r="C15" s="22"/>
      <c r="D15" s="22"/>
    </row>
    <row r="16" spans="1:8" x14ac:dyDescent="0.25">
      <c r="A16" s="37" t="s">
        <v>359</v>
      </c>
      <c r="B16" s="22">
        <v>5.9962257182633283E-5</v>
      </c>
      <c r="C16" s="22"/>
      <c r="D16" s="22"/>
    </row>
    <row r="17" spans="1:4" x14ac:dyDescent="0.25">
      <c r="A17" s="37" t="s">
        <v>360</v>
      </c>
      <c r="B17" s="22">
        <v>5.4252150584943603E-4</v>
      </c>
      <c r="C17" s="22"/>
      <c r="D17" s="22"/>
    </row>
    <row r="18" spans="1:4" x14ac:dyDescent="0.25">
      <c r="A18" s="37" t="s">
        <v>361</v>
      </c>
      <c r="B18" s="22">
        <v>-1.52251124382019E-3</v>
      </c>
      <c r="C18" s="22"/>
      <c r="D18" s="22"/>
    </row>
    <row r="19" spans="1:4" x14ac:dyDescent="0.25">
      <c r="A19" s="37" t="s">
        <v>362</v>
      </c>
      <c r="B19" s="22">
        <v>-1.1375248759577516E-3</v>
      </c>
      <c r="C19" s="22"/>
      <c r="D19" s="22"/>
    </row>
    <row r="20" spans="1:4" x14ac:dyDescent="0.25">
      <c r="A20" s="37" t="s">
        <v>364</v>
      </c>
      <c r="B20" s="22">
        <v>1.1675059722620058E-3</v>
      </c>
      <c r="C20" s="22"/>
      <c r="D20" s="22"/>
    </row>
    <row r="21" spans="1:4" x14ac:dyDescent="0.25">
      <c r="A21" s="37" t="s">
        <v>338</v>
      </c>
      <c r="B21" s="22">
        <v>1.3024806612520466E-3</v>
      </c>
      <c r="C21" s="22"/>
      <c r="D21" s="22"/>
    </row>
    <row r="22" spans="1:4" x14ac:dyDescent="0.25">
      <c r="A22" s="37" t="s">
        <v>365</v>
      </c>
      <c r="B22" s="22">
        <v>1.5850067102292074E-3</v>
      </c>
      <c r="C22" s="22"/>
      <c r="D22" s="22"/>
    </row>
    <row r="23" spans="1:4" x14ac:dyDescent="0.25">
      <c r="A23" s="37" t="s">
        <v>366</v>
      </c>
      <c r="B23" s="22">
        <v>1.117497646191622E-3</v>
      </c>
      <c r="C23" s="22"/>
      <c r="D23" s="22"/>
    </row>
    <row r="24" spans="1:4" x14ac:dyDescent="0.25">
      <c r="A24" s="37" t="s">
        <v>367</v>
      </c>
      <c r="B24" s="22">
        <v>-2.1499398280866425E-4</v>
      </c>
      <c r="C24" s="22"/>
      <c r="D24" s="22"/>
    </row>
    <row r="25" spans="1:4" x14ac:dyDescent="0.25">
      <c r="A25" s="37" t="s">
        <v>368</v>
      </c>
      <c r="B25" s="22">
        <v>7.2479238951927874E-5</v>
      </c>
      <c r="C25" s="22"/>
      <c r="D25" s="22"/>
    </row>
    <row r="26" spans="1:4" x14ac:dyDescent="0.25">
      <c r="A26" s="37" t="s">
        <v>369</v>
      </c>
      <c r="B26" s="22">
        <v>7.8251963714137673E-4</v>
      </c>
      <c r="C26" s="22"/>
      <c r="D26" s="22"/>
    </row>
    <row r="27" spans="1:4" x14ac:dyDescent="0.25">
      <c r="A27" s="37" t="s">
        <v>363</v>
      </c>
      <c r="B27" s="22">
        <v>2.7754900656873377E-4</v>
      </c>
      <c r="C27" s="22"/>
      <c r="D27" s="22"/>
    </row>
    <row r="28" spans="1:4" x14ac:dyDescent="0.25">
      <c r="A28" s="2">
        <v>1</v>
      </c>
      <c r="B28" s="22">
        <v>2.0839929358771749E-4</v>
      </c>
      <c r="C28" s="22"/>
      <c r="D28" s="22"/>
    </row>
    <row r="29" spans="1:4" x14ac:dyDescent="0.25">
      <c r="A29" s="37" t="s">
        <v>350</v>
      </c>
      <c r="B29" s="22">
        <v>3.8498637513839629E-4</v>
      </c>
      <c r="C29" s="22"/>
      <c r="D29" s="22"/>
    </row>
    <row r="30" spans="1:4" x14ac:dyDescent="0.25">
      <c r="A30" s="37" t="s">
        <v>342</v>
      </c>
      <c r="B30" s="22">
        <v>1.8751623792923045E-4</v>
      </c>
      <c r="C30" s="22"/>
      <c r="D30" s="22"/>
    </row>
    <row r="31" spans="1:4" x14ac:dyDescent="0.25">
      <c r="A31" s="37" t="s">
        <v>351</v>
      </c>
      <c r="B31" s="22">
        <v>-6.2748789423494578E-4</v>
      </c>
      <c r="C31" s="22"/>
      <c r="D31" s="22"/>
    </row>
    <row r="32" spans="1:4" x14ac:dyDescent="0.25">
      <c r="A32" s="37" t="s">
        <v>352</v>
      </c>
      <c r="B32" s="22">
        <v>-2.0751359625137403E-4</v>
      </c>
      <c r="C32" s="22"/>
      <c r="D32" s="22"/>
    </row>
    <row r="33" spans="1:4" x14ac:dyDescent="0.25">
      <c r="A33" s="37" t="s">
        <v>353</v>
      </c>
      <c r="B33" s="22">
        <v>-1.5503169925068489E-4</v>
      </c>
      <c r="C33" s="22"/>
      <c r="D33" s="22"/>
    </row>
    <row r="34" spans="1:4" x14ac:dyDescent="0.25">
      <c r="A34" s="37" t="s">
        <v>354</v>
      </c>
      <c r="B34" s="22">
        <v>3.9756294427206729E-4</v>
      </c>
      <c r="C34" s="22"/>
      <c r="D34" s="22"/>
    </row>
    <row r="35" spans="1:4" x14ac:dyDescent="0.25">
      <c r="A35" s="37" t="s">
        <v>355</v>
      </c>
      <c r="B35" s="22">
        <v>8.2248451508348721E-4</v>
      </c>
      <c r="C35" s="22"/>
      <c r="D35" s="22"/>
    </row>
    <row r="36" spans="1:4" x14ac:dyDescent="0.25">
      <c r="A36" s="37" t="s">
        <v>356</v>
      </c>
      <c r="B36" s="22">
        <v>1.3750789548794214E-4</v>
      </c>
      <c r="C36" s="22"/>
      <c r="D36" s="22"/>
    </row>
    <row r="37" spans="1:4" x14ac:dyDescent="0.25">
      <c r="A37" s="37" t="s">
        <v>346</v>
      </c>
      <c r="B37" s="22">
        <v>-1.9255278675700549E-4</v>
      </c>
      <c r="C37" s="22"/>
      <c r="D37" s="22"/>
    </row>
    <row r="38" spans="1:4" x14ac:dyDescent="0.25">
      <c r="A38" s="37" t="s">
        <v>357</v>
      </c>
      <c r="B38" s="22">
        <v>9.0003010700456766E-4</v>
      </c>
      <c r="C38" s="22"/>
      <c r="D38" s="22"/>
    </row>
    <row r="39" spans="1:4" x14ac:dyDescent="0.25">
      <c r="A39" s="37" t="s">
        <v>358</v>
      </c>
      <c r="B39" s="22">
        <v>-2.2000069384375825E-4</v>
      </c>
      <c r="C39" s="22"/>
      <c r="D39" s="22"/>
    </row>
    <row r="40" spans="1:4" x14ac:dyDescent="0.25">
      <c r="A40" s="37" t="s">
        <v>340</v>
      </c>
      <c r="B40" s="22">
        <v>-3.2249088690150551E-4</v>
      </c>
      <c r="C40" s="22"/>
      <c r="D40" s="22"/>
    </row>
    <row r="41" spans="1:4" x14ac:dyDescent="0.25">
      <c r="A41" s="37" t="s">
        <v>359</v>
      </c>
      <c r="B41" s="22">
        <v>5.9962257182633283E-5</v>
      </c>
      <c r="C41" s="22"/>
      <c r="D41" s="22"/>
    </row>
    <row r="42" spans="1:4" x14ac:dyDescent="0.25">
      <c r="A42" s="37" t="s">
        <v>360</v>
      </c>
      <c r="B42" s="22">
        <v>5.4252150584943603E-4</v>
      </c>
      <c r="C42" s="22"/>
      <c r="D42" s="22"/>
    </row>
    <row r="43" spans="1:4" x14ac:dyDescent="0.25">
      <c r="A43" s="37" t="s">
        <v>361</v>
      </c>
      <c r="B43" s="22">
        <v>-1.52251124382019E-3</v>
      </c>
      <c r="C43" s="22"/>
      <c r="D43" s="22"/>
    </row>
    <row r="44" spans="1:4" x14ac:dyDescent="0.25">
      <c r="A44" s="37" t="s">
        <v>362</v>
      </c>
      <c r="B44" s="22">
        <v>-1.1375248759577516E-3</v>
      </c>
      <c r="C44" s="22"/>
      <c r="D44" s="22"/>
    </row>
    <row r="45" spans="1:4" x14ac:dyDescent="0.25">
      <c r="A45" s="37" t="s">
        <v>364</v>
      </c>
      <c r="B45" s="22">
        <v>1.1675059722620058E-3</v>
      </c>
      <c r="C45" s="22"/>
      <c r="D45" s="22"/>
    </row>
    <row r="46" spans="1:4" x14ac:dyDescent="0.25">
      <c r="A46" s="37" t="s">
        <v>338</v>
      </c>
      <c r="B46" s="22">
        <v>1.3024806612520466E-3</v>
      </c>
      <c r="C46" s="22"/>
      <c r="D46" s="22"/>
    </row>
    <row r="47" spans="1:4" x14ac:dyDescent="0.25">
      <c r="A47" s="37" t="s">
        <v>365</v>
      </c>
      <c r="B47" s="22">
        <v>1.5850067102292074E-3</v>
      </c>
      <c r="C47" s="22"/>
      <c r="D47" s="22"/>
    </row>
    <row r="48" spans="1:4" x14ac:dyDescent="0.25">
      <c r="A48" s="37" t="s">
        <v>366</v>
      </c>
      <c r="B48" s="22">
        <v>1.117497646191622E-3</v>
      </c>
      <c r="C48" s="22"/>
      <c r="D48" s="22"/>
    </row>
    <row r="49" spans="1:4" x14ac:dyDescent="0.25">
      <c r="A49" s="37" t="s">
        <v>367</v>
      </c>
      <c r="B49" s="22">
        <v>-2.1499398280866425E-4</v>
      </c>
      <c r="C49" s="22"/>
      <c r="D49" s="22"/>
    </row>
    <row r="50" spans="1:4" x14ac:dyDescent="0.25">
      <c r="A50" s="37" t="s">
        <v>368</v>
      </c>
      <c r="B50" s="22">
        <v>7.2479238951927874E-5</v>
      </c>
      <c r="C50" s="22"/>
      <c r="D50" s="22"/>
    </row>
    <row r="51" spans="1:4" x14ac:dyDescent="0.25">
      <c r="A51" s="37" t="s">
        <v>369</v>
      </c>
      <c r="B51" s="22">
        <v>7.8251963714137673E-4</v>
      </c>
      <c r="C51" s="22"/>
      <c r="D51" s="22"/>
    </row>
    <row r="52" spans="1:4" x14ac:dyDescent="0.25">
      <c r="A52" s="37" t="s">
        <v>370</v>
      </c>
      <c r="B52" s="22">
        <v>7.2479288974136648E-5</v>
      </c>
      <c r="C52" s="22"/>
      <c r="D52" s="22"/>
    </row>
    <row r="53" spans="1:4" x14ac:dyDescent="0.25">
      <c r="A53" s="37" t="s">
        <v>363</v>
      </c>
      <c r="B53" s="22">
        <v>2.7754900656873377E-4</v>
      </c>
      <c r="C53" s="22"/>
      <c r="D53" s="22"/>
    </row>
    <row r="54" spans="1:4" x14ac:dyDescent="0.25">
      <c r="A54" s="2">
        <v>2</v>
      </c>
      <c r="B54" s="22">
        <v>1.9439935708760438E-4</v>
      </c>
      <c r="C54" s="22"/>
      <c r="D54" s="22"/>
    </row>
    <row r="55" spans="1:4" x14ac:dyDescent="0.25">
      <c r="A55" s="37" t="s">
        <v>342</v>
      </c>
      <c r="B55" s="22">
        <v>1.8751623792923045E-4</v>
      </c>
      <c r="C55" s="22"/>
      <c r="D55" s="22"/>
    </row>
    <row r="56" spans="1:4" x14ac:dyDescent="0.25">
      <c r="A56" s="37" t="s">
        <v>351</v>
      </c>
      <c r="B56" s="22">
        <v>-6.2748789423494578E-4</v>
      </c>
      <c r="C56" s="22"/>
      <c r="D56" s="22"/>
    </row>
    <row r="57" spans="1:4" x14ac:dyDescent="0.25">
      <c r="A57" s="37" t="s">
        <v>352</v>
      </c>
      <c r="B57" s="22">
        <v>-2.0751359625137403E-4</v>
      </c>
      <c r="C57" s="22"/>
      <c r="D57" s="22"/>
    </row>
    <row r="58" spans="1:4" x14ac:dyDescent="0.25">
      <c r="A58" s="37" t="s">
        <v>353</v>
      </c>
      <c r="B58" s="22">
        <v>-1.5503169925068489E-4</v>
      </c>
      <c r="C58" s="22"/>
      <c r="D58" s="22"/>
    </row>
    <row r="59" spans="1:4" x14ac:dyDescent="0.25">
      <c r="A59" s="37" t="s">
        <v>354</v>
      </c>
      <c r="B59" s="22">
        <v>3.9756294427206729E-4</v>
      </c>
      <c r="C59" s="22"/>
      <c r="D59" s="22"/>
    </row>
    <row r="60" spans="1:4" x14ac:dyDescent="0.25">
      <c r="A60" s="37" t="s">
        <v>355</v>
      </c>
      <c r="B60" s="22">
        <v>8.2248451508348721E-4</v>
      </c>
      <c r="C60" s="22"/>
      <c r="D60" s="22"/>
    </row>
    <row r="61" spans="1:4" x14ac:dyDescent="0.25">
      <c r="A61" s="37" t="s">
        <v>356</v>
      </c>
      <c r="B61" s="22">
        <v>1.3750789548794214E-4</v>
      </c>
      <c r="C61" s="22"/>
      <c r="D61" s="22"/>
    </row>
    <row r="62" spans="1:4" x14ac:dyDescent="0.25">
      <c r="A62" s="37" t="s">
        <v>346</v>
      </c>
      <c r="B62" s="22">
        <v>-1.9255278675700549E-4</v>
      </c>
      <c r="C62" s="22"/>
      <c r="D62" s="22"/>
    </row>
    <row r="63" spans="1:4" x14ac:dyDescent="0.25">
      <c r="A63" s="37" t="s">
        <v>357</v>
      </c>
      <c r="B63" s="22">
        <v>9.0003010700456766E-4</v>
      </c>
      <c r="C63" s="22"/>
      <c r="D63" s="22"/>
    </row>
    <row r="64" spans="1:4" x14ac:dyDescent="0.25">
      <c r="A64" s="37" t="s">
        <v>358</v>
      </c>
      <c r="B64" s="22">
        <v>-2.2000069384375825E-4</v>
      </c>
      <c r="C64" s="22"/>
      <c r="D64" s="22"/>
    </row>
    <row r="65" spans="1:4" x14ac:dyDescent="0.25">
      <c r="A65" s="37" t="s">
        <v>340</v>
      </c>
      <c r="B65" s="22">
        <v>-3.2249088690150551E-4</v>
      </c>
      <c r="C65" s="22"/>
      <c r="D65" s="22"/>
    </row>
    <row r="66" spans="1:4" x14ac:dyDescent="0.25">
      <c r="A66" s="37" t="s">
        <v>359</v>
      </c>
      <c r="B66" s="22">
        <v>5.9962257182633283E-5</v>
      </c>
      <c r="C66" s="22"/>
      <c r="D66" s="22"/>
    </row>
    <row r="67" spans="1:4" x14ac:dyDescent="0.25">
      <c r="A67" s="37" t="s">
        <v>360</v>
      </c>
      <c r="B67" s="22">
        <v>5.4252150584943603E-4</v>
      </c>
      <c r="C67" s="22"/>
      <c r="D67" s="22"/>
    </row>
    <row r="68" spans="1:4" x14ac:dyDescent="0.25">
      <c r="A68" s="37" t="s">
        <v>361</v>
      </c>
      <c r="B68" s="22">
        <v>-1.52251124382019E-3</v>
      </c>
      <c r="C68" s="22"/>
      <c r="D68" s="22"/>
    </row>
    <row r="69" spans="1:4" x14ac:dyDescent="0.25">
      <c r="A69" s="37" t="s">
        <v>362</v>
      </c>
      <c r="B69" s="22">
        <v>-1.1375248759577516E-3</v>
      </c>
      <c r="C69" s="22"/>
      <c r="D69" s="22"/>
    </row>
    <row r="70" spans="1:4" x14ac:dyDescent="0.25">
      <c r="A70" s="37" t="s">
        <v>364</v>
      </c>
      <c r="B70" s="22">
        <v>1.1675059722620058E-3</v>
      </c>
      <c r="C70" s="22"/>
      <c r="D70" s="22"/>
    </row>
    <row r="71" spans="1:4" x14ac:dyDescent="0.25">
      <c r="A71" s="37" t="s">
        <v>338</v>
      </c>
      <c r="B71" s="22">
        <v>1.3024806612520466E-3</v>
      </c>
      <c r="C71" s="22"/>
      <c r="D71" s="22"/>
    </row>
    <row r="72" spans="1:4" x14ac:dyDescent="0.25">
      <c r="A72" s="37" t="s">
        <v>365</v>
      </c>
      <c r="B72" s="22">
        <v>1.5850067102292074E-3</v>
      </c>
      <c r="C72" s="22"/>
      <c r="D72" s="22"/>
    </row>
    <row r="73" spans="1:4" x14ac:dyDescent="0.25">
      <c r="A73" s="37" t="s">
        <v>366</v>
      </c>
      <c r="B73" s="22">
        <v>1.117497646191622E-3</v>
      </c>
      <c r="C73" s="22"/>
      <c r="D73" s="22"/>
    </row>
    <row r="74" spans="1:4" x14ac:dyDescent="0.25">
      <c r="A74" s="37" t="s">
        <v>367</v>
      </c>
      <c r="B74" s="22">
        <v>-2.1499398280866425E-4</v>
      </c>
      <c r="C74" s="22"/>
      <c r="D74" s="22"/>
    </row>
    <row r="75" spans="1:4" x14ac:dyDescent="0.25">
      <c r="A75" s="37" t="s">
        <v>368</v>
      </c>
      <c r="B75" s="22">
        <v>7.2479238951927874E-5</v>
      </c>
      <c r="C75" s="22"/>
      <c r="D75" s="22"/>
    </row>
    <row r="76" spans="1:4" x14ac:dyDescent="0.25">
      <c r="A76" s="37" t="s">
        <v>369</v>
      </c>
      <c r="B76" s="22">
        <v>7.8251963714137673E-4</v>
      </c>
      <c r="C76" s="22"/>
      <c r="D76" s="22"/>
    </row>
    <row r="77" spans="1:4" x14ac:dyDescent="0.25">
      <c r="A77" s="37" t="s">
        <v>370</v>
      </c>
      <c r="B77" s="22">
        <v>7.2479288974136648E-5</v>
      </c>
      <c r="C77" s="22"/>
      <c r="D77" s="22"/>
    </row>
    <row r="78" spans="1:4" x14ac:dyDescent="0.25">
      <c r="A78" s="37" t="s">
        <v>371</v>
      </c>
      <c r="B78" s="22">
        <v>3.4987962635568665E-5</v>
      </c>
      <c r="C78" s="22"/>
      <c r="D78" s="22"/>
    </row>
    <row r="79" spans="1:4" x14ac:dyDescent="0.25">
      <c r="A79" s="37" t="s">
        <v>363</v>
      </c>
      <c r="B79" s="22">
        <v>2.7754900656873377E-4</v>
      </c>
      <c r="C79" s="22"/>
      <c r="D79" s="22"/>
    </row>
    <row r="80" spans="1:4" x14ac:dyDescent="0.25">
      <c r="A80" s="2">
        <v>3</v>
      </c>
      <c r="B80" s="22">
        <v>1.803994169586074E-4</v>
      </c>
      <c r="C80" s="22"/>
      <c r="D80" s="22"/>
    </row>
    <row r="81" spans="1:4" x14ac:dyDescent="0.25">
      <c r="A81" s="37" t="s">
        <v>351</v>
      </c>
      <c r="B81" s="22">
        <v>-6.2748789423494578E-4</v>
      </c>
      <c r="C81" s="22"/>
      <c r="D81" s="22"/>
    </row>
    <row r="82" spans="1:4" x14ac:dyDescent="0.25">
      <c r="A82" s="37" t="s">
        <v>352</v>
      </c>
      <c r="B82" s="22">
        <v>-2.0751359625137403E-4</v>
      </c>
      <c r="C82" s="22"/>
      <c r="D82" s="22"/>
    </row>
    <row r="83" spans="1:4" x14ac:dyDescent="0.25">
      <c r="A83" s="37" t="s">
        <v>353</v>
      </c>
      <c r="B83" s="22">
        <v>-1.5503169925068489E-4</v>
      </c>
      <c r="C83" s="22"/>
      <c r="D83" s="22"/>
    </row>
    <row r="84" spans="1:4" x14ac:dyDescent="0.25">
      <c r="A84" s="37" t="s">
        <v>354</v>
      </c>
      <c r="B84" s="22">
        <v>3.9756294427206729E-4</v>
      </c>
      <c r="C84" s="22"/>
      <c r="D84" s="22"/>
    </row>
    <row r="85" spans="1:4" x14ac:dyDescent="0.25">
      <c r="A85" s="37" t="s">
        <v>355</v>
      </c>
      <c r="B85" s="22">
        <v>8.2248451508348721E-4</v>
      </c>
      <c r="C85" s="22"/>
      <c r="D85" s="22"/>
    </row>
    <row r="86" spans="1:4" x14ac:dyDescent="0.25">
      <c r="A86" s="37" t="s">
        <v>356</v>
      </c>
      <c r="B86" s="22">
        <v>1.3750789548794214E-4</v>
      </c>
      <c r="C86" s="22"/>
      <c r="D86" s="22"/>
    </row>
    <row r="87" spans="1:4" x14ac:dyDescent="0.25">
      <c r="A87" s="37" t="s">
        <v>346</v>
      </c>
      <c r="B87" s="22">
        <v>-1.9255278675700549E-4</v>
      </c>
      <c r="C87" s="22"/>
      <c r="D87" s="22"/>
    </row>
    <row r="88" spans="1:4" x14ac:dyDescent="0.25">
      <c r="A88" s="37" t="s">
        <v>357</v>
      </c>
      <c r="B88" s="22">
        <v>9.0003010700456766E-4</v>
      </c>
      <c r="C88" s="22"/>
      <c r="D88" s="22"/>
    </row>
    <row r="89" spans="1:4" x14ac:dyDescent="0.25">
      <c r="A89" s="37" t="s">
        <v>358</v>
      </c>
      <c r="B89" s="22">
        <v>-2.2000069384375825E-4</v>
      </c>
      <c r="C89" s="22"/>
      <c r="D89" s="22"/>
    </row>
    <row r="90" spans="1:4" x14ac:dyDescent="0.25">
      <c r="A90" s="37" t="s">
        <v>340</v>
      </c>
      <c r="B90" s="22">
        <v>-3.2249088690150551E-4</v>
      </c>
      <c r="C90" s="22"/>
      <c r="D90" s="22"/>
    </row>
    <row r="91" spans="1:4" x14ac:dyDescent="0.25">
      <c r="A91" s="37" t="s">
        <v>359</v>
      </c>
      <c r="B91" s="22">
        <v>5.9962257182633283E-5</v>
      </c>
      <c r="C91" s="22"/>
      <c r="D91" s="22"/>
    </row>
    <row r="92" spans="1:4" x14ac:dyDescent="0.25">
      <c r="A92" s="37" t="s">
        <v>360</v>
      </c>
      <c r="B92" s="22">
        <v>5.4252150584943603E-4</v>
      </c>
      <c r="C92" s="22"/>
      <c r="D92" s="22"/>
    </row>
    <row r="93" spans="1:4" x14ac:dyDescent="0.25">
      <c r="A93" s="37" t="s">
        <v>361</v>
      </c>
      <c r="B93" s="22">
        <v>-1.52251124382019E-3</v>
      </c>
      <c r="C93" s="22"/>
      <c r="D93" s="22"/>
    </row>
    <row r="94" spans="1:4" x14ac:dyDescent="0.25">
      <c r="A94" s="37" t="s">
        <v>362</v>
      </c>
      <c r="B94" s="22">
        <v>-1.1375248759577516E-3</v>
      </c>
      <c r="C94" s="22"/>
      <c r="D94" s="22"/>
    </row>
    <row r="95" spans="1:4" x14ac:dyDescent="0.25">
      <c r="A95" s="37" t="s">
        <v>364</v>
      </c>
      <c r="B95" s="22">
        <v>1.1675059722620058E-3</v>
      </c>
      <c r="C95" s="22"/>
      <c r="D95" s="22"/>
    </row>
    <row r="96" spans="1:4" x14ac:dyDescent="0.25">
      <c r="A96" s="37" t="s">
        <v>338</v>
      </c>
      <c r="B96" s="22">
        <v>1.3024806612520466E-3</v>
      </c>
      <c r="C96" s="22"/>
      <c r="D96" s="22"/>
    </row>
    <row r="97" spans="1:4" x14ac:dyDescent="0.25">
      <c r="A97" s="37" t="s">
        <v>365</v>
      </c>
      <c r="B97" s="22">
        <v>1.5850067102292074E-3</v>
      </c>
      <c r="C97" s="22"/>
      <c r="D97" s="22"/>
    </row>
    <row r="98" spans="1:4" x14ac:dyDescent="0.25">
      <c r="A98" s="37" t="s">
        <v>366</v>
      </c>
      <c r="B98" s="22">
        <v>1.117497646191622E-3</v>
      </c>
      <c r="C98" s="22"/>
      <c r="D98" s="22"/>
    </row>
    <row r="99" spans="1:4" x14ac:dyDescent="0.25">
      <c r="A99" s="37" t="s">
        <v>367</v>
      </c>
      <c r="B99" s="22">
        <v>-2.1499398280866425E-4</v>
      </c>
      <c r="C99" s="22"/>
      <c r="D99" s="22"/>
    </row>
    <row r="100" spans="1:4" x14ac:dyDescent="0.25">
      <c r="A100" s="37" t="s">
        <v>368</v>
      </c>
      <c r="B100" s="22">
        <v>7.2479238951927874E-5</v>
      </c>
      <c r="C100" s="22"/>
      <c r="D100" s="22"/>
    </row>
    <row r="101" spans="1:4" x14ac:dyDescent="0.25">
      <c r="A101" s="37" t="s">
        <v>369</v>
      </c>
      <c r="B101" s="22">
        <v>7.8251963714137673E-4</v>
      </c>
      <c r="C101" s="22"/>
      <c r="D101" s="22"/>
    </row>
    <row r="102" spans="1:4" x14ac:dyDescent="0.25">
      <c r="A102" s="37" t="s">
        <v>370</v>
      </c>
      <c r="B102" s="22">
        <v>7.2479288974136648E-5</v>
      </c>
      <c r="C102" s="22"/>
      <c r="D102" s="22"/>
    </row>
    <row r="103" spans="1:4" x14ac:dyDescent="0.25">
      <c r="A103" s="37" t="s">
        <v>371</v>
      </c>
      <c r="B103" s="22">
        <v>3.4987962635568665E-5</v>
      </c>
      <c r="C103" s="22"/>
      <c r="D103" s="22"/>
    </row>
    <row r="104" spans="1:4" x14ac:dyDescent="0.25">
      <c r="A104" s="37" t="s">
        <v>372</v>
      </c>
      <c r="B104" s="22">
        <v>-1.6248226529569376E-4</v>
      </c>
      <c r="C104" s="22"/>
      <c r="D104" s="22"/>
    </row>
    <row r="105" spans="1:4" x14ac:dyDescent="0.25">
      <c r="A105" s="37" t="s">
        <v>363</v>
      </c>
      <c r="B105" s="22">
        <v>2.7754900656873377E-4</v>
      </c>
      <c r="C105" s="22"/>
      <c r="D105" s="22"/>
    </row>
    <row r="106" spans="1:4" x14ac:dyDescent="0.25">
      <c r="A106" s="2">
        <v>4</v>
      </c>
      <c r="B106" s="22">
        <v>2.0479917416196241E-4</v>
      </c>
      <c r="C106" s="22"/>
      <c r="D106" s="22"/>
    </row>
    <row r="107" spans="1:4" x14ac:dyDescent="0.25">
      <c r="A107" s="37" t="s">
        <v>352</v>
      </c>
      <c r="B107" s="22">
        <v>-2.0751359625137403E-4</v>
      </c>
      <c r="C107" s="22"/>
      <c r="D107" s="22"/>
    </row>
    <row r="108" spans="1:4" x14ac:dyDescent="0.25">
      <c r="A108" s="37" t="s">
        <v>353</v>
      </c>
      <c r="B108" s="22">
        <v>-1.5503169925068489E-4</v>
      </c>
      <c r="C108" s="22"/>
      <c r="D108" s="22"/>
    </row>
    <row r="109" spans="1:4" x14ac:dyDescent="0.25">
      <c r="A109" s="37" t="s">
        <v>354</v>
      </c>
      <c r="B109" s="22">
        <v>3.9756294427206729E-4</v>
      </c>
      <c r="C109" s="22"/>
      <c r="D109" s="22"/>
    </row>
    <row r="110" spans="1:4" x14ac:dyDescent="0.25">
      <c r="A110" s="37" t="s">
        <v>355</v>
      </c>
      <c r="B110" s="22">
        <v>8.2248451508348721E-4</v>
      </c>
      <c r="C110" s="22"/>
      <c r="D110" s="22"/>
    </row>
    <row r="111" spans="1:4" x14ac:dyDescent="0.25">
      <c r="A111" s="37" t="s">
        <v>356</v>
      </c>
      <c r="B111" s="22">
        <v>1.3750789548794214E-4</v>
      </c>
      <c r="C111" s="22"/>
      <c r="D111" s="22"/>
    </row>
    <row r="112" spans="1:4" x14ac:dyDescent="0.25">
      <c r="A112" s="37" t="s">
        <v>346</v>
      </c>
      <c r="B112" s="22">
        <v>-1.9255278675700549E-4</v>
      </c>
      <c r="C112" s="22"/>
      <c r="D112" s="22"/>
    </row>
    <row r="113" spans="1:4" x14ac:dyDescent="0.25">
      <c r="A113" s="37" t="s">
        <v>357</v>
      </c>
      <c r="B113" s="22">
        <v>9.0003010700456766E-4</v>
      </c>
      <c r="C113" s="22"/>
      <c r="D113" s="22"/>
    </row>
    <row r="114" spans="1:4" x14ac:dyDescent="0.25">
      <c r="A114" s="37" t="s">
        <v>358</v>
      </c>
      <c r="B114" s="22">
        <v>-2.2000069384375825E-4</v>
      </c>
      <c r="C114" s="22"/>
      <c r="D114" s="22"/>
    </row>
    <row r="115" spans="1:4" x14ac:dyDescent="0.25">
      <c r="A115" s="37" t="s">
        <v>340</v>
      </c>
      <c r="B115" s="22">
        <v>-3.2249088690150551E-4</v>
      </c>
      <c r="C115" s="22"/>
      <c r="D115" s="22"/>
    </row>
    <row r="116" spans="1:4" x14ac:dyDescent="0.25">
      <c r="A116" s="37" t="s">
        <v>359</v>
      </c>
      <c r="B116" s="22">
        <v>5.9962257182633283E-5</v>
      </c>
      <c r="C116" s="22"/>
      <c r="D116" s="22"/>
    </row>
    <row r="117" spans="1:4" x14ac:dyDescent="0.25">
      <c r="A117" s="37" t="s">
        <v>360</v>
      </c>
      <c r="B117" s="22">
        <v>5.4252150584943603E-4</v>
      </c>
      <c r="C117" s="22"/>
      <c r="D117" s="22"/>
    </row>
    <row r="118" spans="1:4" x14ac:dyDescent="0.25">
      <c r="A118" s="37" t="s">
        <v>361</v>
      </c>
      <c r="B118" s="22">
        <v>-1.52251124382019E-3</v>
      </c>
      <c r="C118" s="22"/>
      <c r="D118" s="22"/>
    </row>
    <row r="119" spans="1:4" x14ac:dyDescent="0.25">
      <c r="A119" s="37" t="s">
        <v>362</v>
      </c>
      <c r="B119" s="22">
        <v>-1.1375248759577516E-3</v>
      </c>
      <c r="C119" s="22"/>
      <c r="D119" s="22"/>
    </row>
    <row r="120" spans="1:4" x14ac:dyDescent="0.25">
      <c r="A120" s="37" t="s">
        <v>364</v>
      </c>
      <c r="B120" s="22">
        <v>1.1675059722620058E-3</v>
      </c>
      <c r="C120" s="22"/>
      <c r="D120" s="22"/>
    </row>
    <row r="121" spans="1:4" x14ac:dyDescent="0.25">
      <c r="A121" s="37" t="s">
        <v>338</v>
      </c>
      <c r="B121" s="22">
        <v>1.3024806612520466E-3</v>
      </c>
      <c r="C121" s="22"/>
      <c r="D121" s="22"/>
    </row>
    <row r="122" spans="1:4" x14ac:dyDescent="0.25">
      <c r="A122" s="37" t="s">
        <v>365</v>
      </c>
      <c r="B122" s="22">
        <v>1.5850067102292074E-3</v>
      </c>
      <c r="C122" s="22"/>
      <c r="D122" s="22"/>
    </row>
    <row r="123" spans="1:4" x14ac:dyDescent="0.25">
      <c r="A123" s="37" t="s">
        <v>366</v>
      </c>
      <c r="B123" s="22">
        <v>1.117497646191622E-3</v>
      </c>
      <c r="C123" s="22"/>
      <c r="D123" s="22"/>
    </row>
    <row r="124" spans="1:4" x14ac:dyDescent="0.25">
      <c r="A124" s="37" t="s">
        <v>367</v>
      </c>
      <c r="B124" s="22">
        <v>-2.1499398280866425E-4</v>
      </c>
      <c r="C124" s="22"/>
      <c r="D124" s="22"/>
    </row>
    <row r="125" spans="1:4" x14ac:dyDescent="0.25">
      <c r="A125" s="37" t="s">
        <v>368</v>
      </c>
      <c r="B125" s="22">
        <v>7.2479238951927874E-5</v>
      </c>
      <c r="C125" s="22"/>
      <c r="D125" s="22"/>
    </row>
    <row r="126" spans="1:4" x14ac:dyDescent="0.25">
      <c r="A126" s="37" t="s">
        <v>369</v>
      </c>
      <c r="B126" s="22">
        <v>7.8251963714137673E-4</v>
      </c>
      <c r="C126" s="22"/>
      <c r="D126" s="22"/>
    </row>
    <row r="127" spans="1:4" x14ac:dyDescent="0.25">
      <c r="A127" s="37" t="s">
        <v>370</v>
      </c>
      <c r="B127" s="22">
        <v>7.2479288974136648E-5</v>
      </c>
      <c r="C127" s="22"/>
      <c r="D127" s="22"/>
    </row>
    <row r="128" spans="1:4" x14ac:dyDescent="0.25">
      <c r="A128" s="37" t="s">
        <v>371</v>
      </c>
      <c r="B128" s="22">
        <v>3.4987962635568665E-5</v>
      </c>
      <c r="C128" s="22"/>
      <c r="D128" s="22"/>
    </row>
    <row r="129" spans="1:4" x14ac:dyDescent="0.25">
      <c r="A129" s="37" t="s">
        <v>372</v>
      </c>
      <c r="B129" s="22">
        <v>-1.6248226529569376E-4</v>
      </c>
      <c r="C129" s="22"/>
      <c r="D129" s="22"/>
    </row>
    <row r="130" spans="1:4" x14ac:dyDescent="0.25">
      <c r="A130" s="37" t="s">
        <v>373</v>
      </c>
      <c r="B130" s="22">
        <v>-1.7493964151072053E-5</v>
      </c>
      <c r="C130" s="22"/>
      <c r="D130" s="22"/>
    </row>
    <row r="131" spans="1:4" x14ac:dyDescent="0.25">
      <c r="A131" s="37" t="s">
        <v>363</v>
      </c>
      <c r="B131" s="22">
        <v>2.7754900656873377E-4</v>
      </c>
      <c r="C131" s="22"/>
      <c r="D131" s="22"/>
    </row>
    <row r="132" spans="1:4" x14ac:dyDescent="0.25">
      <c r="A132" s="2">
        <v>5</v>
      </c>
      <c r="B132" s="22">
        <v>2.051997170019602E-4</v>
      </c>
      <c r="C132" s="22"/>
      <c r="D132" s="22"/>
    </row>
    <row r="133" spans="1:4" x14ac:dyDescent="0.25">
      <c r="A133" s="37" t="s">
        <v>353</v>
      </c>
      <c r="B133" s="22">
        <v>-1.5503169925068489E-4</v>
      </c>
      <c r="C133" s="22"/>
      <c r="D133" s="22"/>
    </row>
    <row r="134" spans="1:4" x14ac:dyDescent="0.25">
      <c r="A134" s="37" t="s">
        <v>354</v>
      </c>
      <c r="B134" s="22">
        <v>3.9756294427206729E-4</v>
      </c>
      <c r="C134" s="22"/>
      <c r="D134" s="22"/>
    </row>
    <row r="135" spans="1:4" x14ac:dyDescent="0.25">
      <c r="A135" s="37" t="s">
        <v>355</v>
      </c>
      <c r="B135" s="22">
        <v>8.2248451508348721E-4</v>
      </c>
      <c r="C135" s="22"/>
      <c r="D135" s="22"/>
    </row>
    <row r="136" spans="1:4" x14ac:dyDescent="0.25">
      <c r="A136" s="37" t="s">
        <v>356</v>
      </c>
      <c r="B136" s="22">
        <v>1.3750789548794214E-4</v>
      </c>
      <c r="C136" s="22"/>
      <c r="D136" s="22"/>
    </row>
    <row r="137" spans="1:4" x14ac:dyDescent="0.25">
      <c r="A137" s="37" t="s">
        <v>346</v>
      </c>
      <c r="B137" s="22">
        <v>-1.9255278675700549E-4</v>
      </c>
      <c r="C137" s="22"/>
      <c r="D137" s="22"/>
    </row>
    <row r="138" spans="1:4" x14ac:dyDescent="0.25">
      <c r="A138" s="37" t="s">
        <v>357</v>
      </c>
      <c r="B138" s="22">
        <v>9.0003010700456766E-4</v>
      </c>
      <c r="C138" s="22"/>
      <c r="D138" s="22"/>
    </row>
    <row r="139" spans="1:4" x14ac:dyDescent="0.25">
      <c r="A139" s="37" t="s">
        <v>358</v>
      </c>
      <c r="B139" s="22">
        <v>-2.2000069384375825E-4</v>
      </c>
      <c r="C139" s="22"/>
      <c r="D139" s="22"/>
    </row>
    <row r="140" spans="1:4" x14ac:dyDescent="0.25">
      <c r="A140" s="37" t="s">
        <v>340</v>
      </c>
      <c r="B140" s="22">
        <v>-3.2249088690150551E-4</v>
      </c>
      <c r="C140" s="22"/>
      <c r="D140" s="22"/>
    </row>
    <row r="141" spans="1:4" x14ac:dyDescent="0.25">
      <c r="A141" s="37" t="s">
        <v>359</v>
      </c>
      <c r="B141" s="22">
        <v>5.9962257182633283E-5</v>
      </c>
      <c r="C141" s="22"/>
      <c r="D141" s="22"/>
    </row>
    <row r="142" spans="1:4" x14ac:dyDescent="0.25">
      <c r="A142" s="37" t="s">
        <v>360</v>
      </c>
      <c r="B142" s="22">
        <v>5.4252150584943603E-4</v>
      </c>
      <c r="C142" s="22"/>
      <c r="D142" s="22"/>
    </row>
    <row r="143" spans="1:4" x14ac:dyDescent="0.25">
      <c r="A143" s="37" t="s">
        <v>361</v>
      </c>
      <c r="B143" s="22">
        <v>-1.52251124382019E-3</v>
      </c>
      <c r="C143" s="22"/>
      <c r="D143" s="22"/>
    </row>
    <row r="144" spans="1:4" x14ac:dyDescent="0.25">
      <c r="A144" s="37" t="s">
        <v>362</v>
      </c>
      <c r="B144" s="22">
        <v>-1.1375248759577516E-3</v>
      </c>
      <c r="C144" s="22"/>
      <c r="D144" s="22"/>
    </row>
    <row r="145" spans="1:4" x14ac:dyDescent="0.25">
      <c r="A145" s="37" t="s">
        <v>364</v>
      </c>
      <c r="B145" s="22">
        <v>1.1675059722620058E-3</v>
      </c>
      <c r="C145" s="22"/>
      <c r="D145" s="22"/>
    </row>
    <row r="146" spans="1:4" x14ac:dyDescent="0.25">
      <c r="A146" s="37" t="s">
        <v>338</v>
      </c>
      <c r="B146" s="22">
        <v>1.3024806612520466E-3</v>
      </c>
      <c r="C146" s="22"/>
      <c r="D146" s="22"/>
    </row>
    <row r="147" spans="1:4" x14ac:dyDescent="0.25">
      <c r="A147" s="37" t="s">
        <v>365</v>
      </c>
      <c r="B147" s="22">
        <v>1.5850067102292074E-3</v>
      </c>
      <c r="C147" s="22"/>
      <c r="D147" s="22"/>
    </row>
    <row r="148" spans="1:4" x14ac:dyDescent="0.25">
      <c r="A148" s="37" t="s">
        <v>366</v>
      </c>
      <c r="B148" s="22">
        <v>1.117497646191622E-3</v>
      </c>
      <c r="C148" s="22"/>
      <c r="D148" s="22"/>
    </row>
    <row r="149" spans="1:4" x14ac:dyDescent="0.25">
      <c r="A149" s="37" t="s">
        <v>367</v>
      </c>
      <c r="B149" s="22">
        <v>-2.1499398280866425E-4</v>
      </c>
      <c r="C149" s="22"/>
      <c r="D149" s="22"/>
    </row>
    <row r="150" spans="1:4" x14ac:dyDescent="0.25">
      <c r="A150" s="37" t="s">
        <v>368</v>
      </c>
      <c r="B150" s="22">
        <v>7.2479238951927874E-5</v>
      </c>
      <c r="C150" s="22"/>
      <c r="D150" s="22"/>
    </row>
    <row r="151" spans="1:4" x14ac:dyDescent="0.25">
      <c r="A151" s="37" t="s">
        <v>369</v>
      </c>
      <c r="B151" s="22">
        <v>7.8251963714137673E-4</v>
      </c>
      <c r="C151" s="22"/>
      <c r="D151" s="22"/>
    </row>
    <row r="152" spans="1:4" x14ac:dyDescent="0.25">
      <c r="A152" s="37" t="s">
        <v>370</v>
      </c>
      <c r="B152" s="22">
        <v>7.2479288974136648E-5</v>
      </c>
      <c r="C152" s="22"/>
      <c r="D152" s="22"/>
    </row>
    <row r="153" spans="1:4" x14ac:dyDescent="0.25">
      <c r="A153" s="37" t="s">
        <v>371</v>
      </c>
      <c r="B153" s="22">
        <v>3.4987962635568665E-5</v>
      </c>
      <c r="C153" s="22"/>
      <c r="D153" s="22"/>
    </row>
    <row r="154" spans="1:4" x14ac:dyDescent="0.25">
      <c r="A154" s="37" t="s">
        <v>372</v>
      </c>
      <c r="B154" s="22">
        <v>-1.6248226529569376E-4</v>
      </c>
      <c r="C154" s="22"/>
      <c r="D154" s="22"/>
    </row>
    <row r="155" spans="1:4" x14ac:dyDescent="0.25">
      <c r="A155" s="37" t="s">
        <v>373</v>
      </c>
      <c r="B155" s="22">
        <v>-1.7493964151072053E-5</v>
      </c>
      <c r="C155" s="22"/>
      <c r="D155" s="22"/>
    </row>
    <row r="156" spans="1:4" x14ac:dyDescent="0.25">
      <c r="A156" s="37" t="s">
        <v>374</v>
      </c>
      <c r="B156" s="22">
        <v>-1.9750002525142907E-4</v>
      </c>
      <c r="C156" s="22"/>
      <c r="D156" s="22"/>
    </row>
    <row r="157" spans="1:4" x14ac:dyDescent="0.25">
      <c r="A157" s="37" t="s">
        <v>363</v>
      </c>
      <c r="B157" s="22">
        <v>2.7754900656873377E-4</v>
      </c>
      <c r="C157" s="22"/>
      <c r="D157" s="22"/>
    </row>
    <row r="158" spans="1:4" x14ac:dyDescent="0.25">
      <c r="A158" s="2">
        <v>6</v>
      </c>
      <c r="B158" s="22">
        <v>2.1290063768901728E-4</v>
      </c>
      <c r="C158" s="22"/>
      <c r="D158" s="22"/>
    </row>
    <row r="159" spans="1:4" x14ac:dyDescent="0.25">
      <c r="A159" s="37" t="s">
        <v>354</v>
      </c>
      <c r="B159" s="22">
        <v>3.9756294427206729E-4</v>
      </c>
      <c r="C159" s="22"/>
      <c r="D159" s="22"/>
    </row>
    <row r="160" spans="1:4" x14ac:dyDescent="0.25">
      <c r="A160" s="37" t="s">
        <v>355</v>
      </c>
      <c r="B160" s="22">
        <v>8.2248451508348721E-4</v>
      </c>
      <c r="C160" s="22"/>
      <c r="D160" s="22"/>
    </row>
    <row r="161" spans="1:4" x14ac:dyDescent="0.25">
      <c r="A161" s="37" t="s">
        <v>356</v>
      </c>
      <c r="B161" s="22">
        <v>1.3750789548794214E-4</v>
      </c>
      <c r="C161" s="22"/>
      <c r="D161" s="22"/>
    </row>
    <row r="162" spans="1:4" x14ac:dyDescent="0.25">
      <c r="A162" s="37" t="s">
        <v>346</v>
      </c>
      <c r="B162" s="22">
        <v>-1.9255278675700549E-4</v>
      </c>
      <c r="C162" s="22"/>
      <c r="D162" s="22"/>
    </row>
    <row r="163" spans="1:4" x14ac:dyDescent="0.25">
      <c r="A163" s="37" t="s">
        <v>357</v>
      </c>
      <c r="B163" s="22">
        <v>9.0003010700456766E-4</v>
      </c>
      <c r="C163" s="22"/>
      <c r="D163" s="22"/>
    </row>
    <row r="164" spans="1:4" x14ac:dyDescent="0.25">
      <c r="A164" s="37" t="s">
        <v>358</v>
      </c>
      <c r="B164" s="22">
        <v>-2.2000069384375825E-4</v>
      </c>
      <c r="C164" s="22"/>
      <c r="D164" s="22"/>
    </row>
    <row r="165" spans="1:4" x14ac:dyDescent="0.25">
      <c r="A165" s="37" t="s">
        <v>340</v>
      </c>
      <c r="B165" s="22">
        <v>-3.2249088690150551E-4</v>
      </c>
      <c r="C165" s="22"/>
      <c r="D165" s="22"/>
    </row>
    <row r="166" spans="1:4" x14ac:dyDescent="0.25">
      <c r="A166" s="37" t="s">
        <v>359</v>
      </c>
      <c r="B166" s="22">
        <v>5.9962257182633283E-5</v>
      </c>
      <c r="C166" s="22"/>
      <c r="D166" s="22"/>
    </row>
    <row r="167" spans="1:4" x14ac:dyDescent="0.25">
      <c r="A167" s="37" t="s">
        <v>360</v>
      </c>
      <c r="B167" s="22">
        <v>5.4252150584943603E-4</v>
      </c>
      <c r="C167" s="22"/>
      <c r="D167" s="22"/>
    </row>
    <row r="168" spans="1:4" x14ac:dyDescent="0.25">
      <c r="A168" s="37" t="s">
        <v>361</v>
      </c>
      <c r="B168" s="22">
        <v>-1.52251124382019E-3</v>
      </c>
      <c r="C168" s="22"/>
      <c r="D168" s="22"/>
    </row>
    <row r="169" spans="1:4" x14ac:dyDescent="0.25">
      <c r="A169" s="37" t="s">
        <v>362</v>
      </c>
      <c r="B169" s="22">
        <v>-1.1375248759577516E-3</v>
      </c>
      <c r="C169" s="22"/>
      <c r="D169" s="22"/>
    </row>
    <row r="170" spans="1:4" x14ac:dyDescent="0.25">
      <c r="A170" s="37" t="s">
        <v>364</v>
      </c>
      <c r="B170" s="22">
        <v>1.1675059722620058E-3</v>
      </c>
      <c r="C170" s="22"/>
      <c r="D170" s="22"/>
    </row>
    <row r="171" spans="1:4" x14ac:dyDescent="0.25">
      <c r="A171" s="37" t="s">
        <v>338</v>
      </c>
      <c r="B171" s="22">
        <v>1.3024806612520466E-3</v>
      </c>
      <c r="C171" s="22"/>
      <c r="D171" s="22"/>
    </row>
    <row r="172" spans="1:4" x14ac:dyDescent="0.25">
      <c r="A172" s="37" t="s">
        <v>365</v>
      </c>
      <c r="B172" s="22">
        <v>1.5850067102292074E-3</v>
      </c>
      <c r="C172" s="22"/>
      <c r="D172" s="22"/>
    </row>
    <row r="173" spans="1:4" x14ac:dyDescent="0.25">
      <c r="A173" s="37" t="s">
        <v>366</v>
      </c>
      <c r="B173" s="22">
        <v>1.117497646191622E-3</v>
      </c>
      <c r="C173" s="22"/>
      <c r="D173" s="22"/>
    </row>
    <row r="174" spans="1:4" x14ac:dyDescent="0.25">
      <c r="A174" s="37" t="s">
        <v>367</v>
      </c>
      <c r="B174" s="22">
        <v>-2.1499398280866425E-4</v>
      </c>
      <c r="C174" s="22"/>
      <c r="D174" s="22"/>
    </row>
    <row r="175" spans="1:4" x14ac:dyDescent="0.25">
      <c r="A175" s="37" t="s">
        <v>368</v>
      </c>
      <c r="B175" s="22">
        <v>7.2479238951927874E-5</v>
      </c>
      <c r="C175" s="22"/>
      <c r="D175" s="22"/>
    </row>
    <row r="176" spans="1:4" x14ac:dyDescent="0.25">
      <c r="A176" s="37" t="s">
        <v>369</v>
      </c>
      <c r="B176" s="22">
        <v>7.8251963714137673E-4</v>
      </c>
      <c r="C176" s="22"/>
      <c r="D176" s="22"/>
    </row>
    <row r="177" spans="1:4" x14ac:dyDescent="0.25">
      <c r="A177" s="37" t="s">
        <v>370</v>
      </c>
      <c r="B177" s="22">
        <v>7.2479288974136648E-5</v>
      </c>
      <c r="C177" s="22"/>
      <c r="D177" s="22"/>
    </row>
    <row r="178" spans="1:4" x14ac:dyDescent="0.25">
      <c r="A178" s="37" t="s">
        <v>371</v>
      </c>
      <c r="B178" s="22">
        <v>3.4987962635568665E-5</v>
      </c>
      <c r="C178" s="22"/>
      <c r="D178" s="22"/>
    </row>
    <row r="179" spans="1:4" x14ac:dyDescent="0.25">
      <c r="A179" s="37" t="s">
        <v>372</v>
      </c>
      <c r="B179" s="22">
        <v>-1.6248226529569376E-4</v>
      </c>
      <c r="C179" s="22"/>
      <c r="D179" s="22"/>
    </row>
    <row r="180" spans="1:4" x14ac:dyDescent="0.25">
      <c r="A180" s="37" t="s">
        <v>373</v>
      </c>
      <c r="B180" s="22">
        <v>-1.7493964151072053E-5</v>
      </c>
      <c r="C180" s="22"/>
      <c r="D180" s="22"/>
    </row>
    <row r="181" spans="1:4" x14ac:dyDescent="0.25">
      <c r="A181" s="37" t="s">
        <v>374</v>
      </c>
      <c r="B181" s="22">
        <v>-1.9750002525142907E-4</v>
      </c>
      <c r="C181" s="22"/>
      <c r="D181" s="22"/>
    </row>
    <row r="182" spans="1:4" x14ac:dyDescent="0.25">
      <c r="A182" s="37" t="s">
        <v>375</v>
      </c>
      <c r="B182" s="22">
        <v>3.7491317925741998E-5</v>
      </c>
      <c r="C182" s="22"/>
      <c r="D182" s="22"/>
    </row>
    <row r="183" spans="1:4" x14ac:dyDescent="0.25">
      <c r="A183" s="37" t="s">
        <v>363</v>
      </c>
      <c r="B183" s="22">
        <v>2.7754900656873377E-4</v>
      </c>
      <c r="C183" s="22"/>
      <c r="D183" s="22"/>
    </row>
    <row r="184" spans="1:4" x14ac:dyDescent="0.25">
      <c r="A184" s="2">
        <v>7</v>
      </c>
      <c r="B184" s="22">
        <v>1.9249797040174577E-4</v>
      </c>
      <c r="C184" s="22"/>
      <c r="D184" s="22"/>
    </row>
    <row r="185" spans="1:4" x14ac:dyDescent="0.25">
      <c r="A185" s="37" t="s">
        <v>355</v>
      </c>
      <c r="B185" s="22">
        <v>8.2248451508348721E-4</v>
      </c>
      <c r="C185" s="22"/>
      <c r="D185" s="22"/>
    </row>
    <row r="186" spans="1:4" x14ac:dyDescent="0.25">
      <c r="A186" s="37" t="s">
        <v>356</v>
      </c>
      <c r="B186" s="22">
        <v>1.3750789548794214E-4</v>
      </c>
      <c r="C186" s="22"/>
      <c r="D186" s="22"/>
    </row>
    <row r="187" spans="1:4" x14ac:dyDescent="0.25">
      <c r="A187" s="37" t="s">
        <v>346</v>
      </c>
      <c r="B187" s="22">
        <v>-1.9255278675700549E-4</v>
      </c>
      <c r="C187" s="22"/>
      <c r="D187" s="22"/>
    </row>
    <row r="188" spans="1:4" x14ac:dyDescent="0.25">
      <c r="A188" s="37" t="s">
        <v>357</v>
      </c>
      <c r="B188" s="22">
        <v>9.0003010700456766E-4</v>
      </c>
      <c r="C188" s="22"/>
      <c r="D188" s="22"/>
    </row>
    <row r="189" spans="1:4" x14ac:dyDescent="0.25">
      <c r="A189" s="37" t="s">
        <v>358</v>
      </c>
      <c r="B189" s="22">
        <v>-2.2000069384375825E-4</v>
      </c>
      <c r="C189" s="22"/>
      <c r="D189" s="22"/>
    </row>
    <row r="190" spans="1:4" x14ac:dyDescent="0.25">
      <c r="A190" s="37" t="s">
        <v>340</v>
      </c>
      <c r="B190" s="22">
        <v>-3.2249088690150551E-4</v>
      </c>
      <c r="C190" s="22"/>
      <c r="D190" s="22"/>
    </row>
    <row r="191" spans="1:4" x14ac:dyDescent="0.25">
      <c r="A191" s="37" t="s">
        <v>359</v>
      </c>
      <c r="B191" s="22">
        <v>5.9962257182633283E-5</v>
      </c>
      <c r="C191" s="22"/>
      <c r="D191" s="22"/>
    </row>
    <row r="192" spans="1:4" x14ac:dyDescent="0.25">
      <c r="A192" s="37" t="s">
        <v>360</v>
      </c>
      <c r="B192" s="22">
        <v>5.4252150584943603E-4</v>
      </c>
      <c r="C192" s="22"/>
      <c r="D192" s="22"/>
    </row>
    <row r="193" spans="1:4" x14ac:dyDescent="0.25">
      <c r="A193" s="37" t="s">
        <v>361</v>
      </c>
      <c r="B193" s="22">
        <v>-1.52251124382019E-3</v>
      </c>
      <c r="C193" s="22"/>
      <c r="D193" s="22"/>
    </row>
    <row r="194" spans="1:4" x14ac:dyDescent="0.25">
      <c r="A194" s="37" t="s">
        <v>362</v>
      </c>
      <c r="B194" s="22">
        <v>-1.1375248759577516E-3</v>
      </c>
      <c r="C194" s="22"/>
      <c r="D194" s="22"/>
    </row>
    <row r="195" spans="1:4" x14ac:dyDescent="0.25">
      <c r="A195" s="37" t="s">
        <v>364</v>
      </c>
      <c r="B195" s="22">
        <v>1.1675059722620058E-3</v>
      </c>
      <c r="C195" s="22"/>
      <c r="D195" s="22"/>
    </row>
    <row r="196" spans="1:4" x14ac:dyDescent="0.25">
      <c r="A196" s="37" t="s">
        <v>338</v>
      </c>
      <c r="B196" s="22">
        <v>1.3024806612520466E-3</v>
      </c>
      <c r="C196" s="22"/>
      <c r="D196" s="22"/>
    </row>
    <row r="197" spans="1:4" x14ac:dyDescent="0.25">
      <c r="A197" s="37" t="s">
        <v>365</v>
      </c>
      <c r="B197" s="22">
        <v>1.5850067102292074E-3</v>
      </c>
      <c r="C197" s="22"/>
      <c r="D197" s="22"/>
    </row>
    <row r="198" spans="1:4" x14ac:dyDescent="0.25">
      <c r="A198" s="37" t="s">
        <v>366</v>
      </c>
      <c r="B198" s="22">
        <v>1.117497646191622E-3</v>
      </c>
      <c r="C198" s="22"/>
      <c r="D198" s="22"/>
    </row>
    <row r="199" spans="1:4" x14ac:dyDescent="0.25">
      <c r="A199" s="37" t="s">
        <v>367</v>
      </c>
      <c r="B199" s="22">
        <v>-2.1499398280866425E-4</v>
      </c>
      <c r="C199" s="22"/>
      <c r="D199" s="22"/>
    </row>
    <row r="200" spans="1:4" x14ac:dyDescent="0.25">
      <c r="A200" s="37" t="s">
        <v>368</v>
      </c>
      <c r="B200" s="22">
        <v>7.2479238951927874E-5</v>
      </c>
      <c r="C200" s="22"/>
      <c r="D200" s="22"/>
    </row>
    <row r="201" spans="1:4" x14ac:dyDescent="0.25">
      <c r="A201" s="37" t="s">
        <v>369</v>
      </c>
      <c r="B201" s="22">
        <v>7.8251963714137673E-4</v>
      </c>
      <c r="C201" s="22"/>
      <c r="D201" s="22"/>
    </row>
    <row r="202" spans="1:4" x14ac:dyDescent="0.25">
      <c r="A202" s="37" t="s">
        <v>370</v>
      </c>
      <c r="B202" s="22">
        <v>7.2479288974136648E-5</v>
      </c>
      <c r="C202" s="22"/>
      <c r="D202" s="22"/>
    </row>
    <row r="203" spans="1:4" x14ac:dyDescent="0.25">
      <c r="A203" s="37" t="s">
        <v>371</v>
      </c>
      <c r="B203" s="22">
        <v>3.4987962635568665E-5</v>
      </c>
      <c r="C203" s="22"/>
      <c r="D203" s="22"/>
    </row>
    <row r="204" spans="1:4" x14ac:dyDescent="0.25">
      <c r="A204" s="37" t="s">
        <v>372</v>
      </c>
      <c r="B204" s="22">
        <v>-1.6248226529569376E-4</v>
      </c>
      <c r="C204" s="22"/>
      <c r="D204" s="22"/>
    </row>
    <row r="205" spans="1:4" x14ac:dyDescent="0.25">
      <c r="A205" s="37" t="s">
        <v>373</v>
      </c>
      <c r="B205" s="22">
        <v>-1.7493964151072053E-5</v>
      </c>
      <c r="C205" s="22"/>
      <c r="D205" s="22"/>
    </row>
    <row r="206" spans="1:4" x14ac:dyDescent="0.25">
      <c r="A206" s="37" t="s">
        <v>374</v>
      </c>
      <c r="B206" s="22">
        <v>-1.9750002525142907E-4</v>
      </c>
      <c r="C206" s="22"/>
      <c r="D206" s="22"/>
    </row>
    <row r="207" spans="1:4" x14ac:dyDescent="0.25">
      <c r="A207" s="37" t="s">
        <v>375</v>
      </c>
      <c r="B207" s="22">
        <v>3.7491317925741998E-5</v>
      </c>
      <c r="C207" s="22"/>
      <c r="D207" s="22"/>
    </row>
    <row r="208" spans="1:4" x14ac:dyDescent="0.25">
      <c r="A208" s="37" t="s">
        <v>376</v>
      </c>
      <c r="B208" s="22">
        <v>-1.1250373790971924E-4</v>
      </c>
      <c r="C208" s="22"/>
      <c r="D208" s="22"/>
    </row>
    <row r="209" spans="1:4" x14ac:dyDescent="0.25">
      <c r="A209" s="37" t="s">
        <v>363</v>
      </c>
      <c r="B209" s="22">
        <v>2.7754900656873377E-4</v>
      </c>
      <c r="C209" s="22"/>
      <c r="D209" s="22"/>
    </row>
    <row r="210" spans="1:4" x14ac:dyDescent="0.25">
      <c r="A210" s="2">
        <v>8</v>
      </c>
      <c r="B210" s="22">
        <v>1.4710068831845982E-4</v>
      </c>
      <c r="C210" s="22"/>
      <c r="D210" s="22"/>
    </row>
    <row r="211" spans="1:4" x14ac:dyDescent="0.25">
      <c r="A211" s="37" t="s">
        <v>356</v>
      </c>
      <c r="B211" s="22">
        <v>1.3750789548794214E-4</v>
      </c>
      <c r="C211" s="22"/>
      <c r="D211" s="22"/>
    </row>
    <row r="212" spans="1:4" x14ac:dyDescent="0.25">
      <c r="A212" s="37" t="s">
        <v>346</v>
      </c>
      <c r="B212" s="22">
        <v>-1.9255278675700549E-4</v>
      </c>
      <c r="C212" s="22"/>
      <c r="D212" s="22"/>
    </row>
    <row r="213" spans="1:4" x14ac:dyDescent="0.25">
      <c r="A213" s="37" t="s">
        <v>357</v>
      </c>
      <c r="B213" s="22">
        <v>9.0003010700456766E-4</v>
      </c>
      <c r="C213" s="22"/>
      <c r="D213" s="22"/>
    </row>
    <row r="214" spans="1:4" x14ac:dyDescent="0.25">
      <c r="A214" s="37" t="s">
        <v>358</v>
      </c>
      <c r="B214" s="22">
        <v>-2.2000069384375825E-4</v>
      </c>
      <c r="C214" s="22"/>
      <c r="D214" s="22"/>
    </row>
    <row r="215" spans="1:4" x14ac:dyDescent="0.25">
      <c r="A215" s="37" t="s">
        <v>340</v>
      </c>
      <c r="B215" s="22">
        <v>-3.2249088690150551E-4</v>
      </c>
      <c r="C215" s="22"/>
      <c r="D215" s="22"/>
    </row>
    <row r="216" spans="1:4" x14ac:dyDescent="0.25">
      <c r="A216" s="37" t="s">
        <v>359</v>
      </c>
      <c r="B216" s="22">
        <v>5.9962257182633283E-5</v>
      </c>
      <c r="C216" s="22"/>
      <c r="D216" s="22"/>
    </row>
    <row r="217" spans="1:4" x14ac:dyDescent="0.25">
      <c r="A217" s="37" t="s">
        <v>360</v>
      </c>
      <c r="B217" s="22">
        <v>5.4252150584943603E-4</v>
      </c>
      <c r="C217" s="22"/>
      <c r="D217" s="22"/>
    </row>
    <row r="218" spans="1:4" x14ac:dyDescent="0.25">
      <c r="A218" s="37" t="s">
        <v>361</v>
      </c>
      <c r="B218" s="22">
        <v>-1.52251124382019E-3</v>
      </c>
      <c r="C218" s="22"/>
      <c r="D218" s="22"/>
    </row>
    <row r="219" spans="1:4" x14ac:dyDescent="0.25">
      <c r="A219" s="37" t="s">
        <v>362</v>
      </c>
      <c r="B219" s="22">
        <v>-1.1375248759577516E-3</v>
      </c>
      <c r="C219" s="22"/>
      <c r="D219" s="22"/>
    </row>
    <row r="220" spans="1:4" x14ac:dyDescent="0.25">
      <c r="A220" s="37" t="s">
        <v>364</v>
      </c>
      <c r="B220" s="22">
        <v>1.1675059722620058E-3</v>
      </c>
      <c r="C220" s="22"/>
      <c r="D220" s="22"/>
    </row>
    <row r="221" spans="1:4" x14ac:dyDescent="0.25">
      <c r="A221" s="37" t="s">
        <v>338</v>
      </c>
      <c r="B221" s="22">
        <v>1.3024806612520466E-3</v>
      </c>
      <c r="C221" s="22"/>
      <c r="D221" s="22"/>
    </row>
    <row r="222" spans="1:4" x14ac:dyDescent="0.25">
      <c r="A222" s="37" t="s">
        <v>365</v>
      </c>
      <c r="B222" s="22">
        <v>1.5850067102292074E-3</v>
      </c>
      <c r="C222" s="22"/>
      <c r="D222" s="22"/>
    </row>
    <row r="223" spans="1:4" x14ac:dyDescent="0.25">
      <c r="A223" s="37" t="s">
        <v>366</v>
      </c>
      <c r="B223" s="22">
        <v>1.117497646191622E-3</v>
      </c>
      <c r="C223" s="22"/>
      <c r="D223" s="22"/>
    </row>
    <row r="224" spans="1:4" x14ac:dyDescent="0.25">
      <c r="A224" s="37" t="s">
        <v>367</v>
      </c>
      <c r="B224" s="22">
        <v>-2.1499398280866425E-4</v>
      </c>
      <c r="C224" s="22"/>
      <c r="D224" s="22"/>
    </row>
    <row r="225" spans="1:4" x14ac:dyDescent="0.25">
      <c r="A225" s="37" t="s">
        <v>368</v>
      </c>
      <c r="B225" s="22">
        <v>7.2479238951927874E-5</v>
      </c>
      <c r="C225" s="22"/>
      <c r="D225" s="22"/>
    </row>
    <row r="226" spans="1:4" x14ac:dyDescent="0.25">
      <c r="A226" s="37" t="s">
        <v>369</v>
      </c>
      <c r="B226" s="22">
        <v>7.8251963714137673E-4</v>
      </c>
      <c r="C226" s="22"/>
      <c r="D226" s="22"/>
    </row>
    <row r="227" spans="1:4" x14ac:dyDescent="0.25">
      <c r="A227" s="37" t="s">
        <v>370</v>
      </c>
      <c r="B227" s="22">
        <v>7.2479288974136648E-5</v>
      </c>
      <c r="C227" s="22"/>
      <c r="D227" s="22"/>
    </row>
    <row r="228" spans="1:4" x14ac:dyDescent="0.25">
      <c r="A228" s="37" t="s">
        <v>371</v>
      </c>
      <c r="B228" s="22">
        <v>3.4987962635568665E-5</v>
      </c>
      <c r="C228" s="22"/>
      <c r="D228" s="22"/>
    </row>
    <row r="229" spans="1:4" x14ac:dyDescent="0.25">
      <c r="A229" s="37" t="s">
        <v>372</v>
      </c>
      <c r="B229" s="22">
        <v>-1.6248226529569376E-4</v>
      </c>
      <c r="C229" s="22"/>
      <c r="D229" s="22"/>
    </row>
    <row r="230" spans="1:4" x14ac:dyDescent="0.25">
      <c r="A230" s="37" t="s">
        <v>373</v>
      </c>
      <c r="B230" s="22">
        <v>-1.7493964151072053E-5</v>
      </c>
      <c r="C230" s="22"/>
      <c r="D230" s="22"/>
    </row>
    <row r="231" spans="1:4" x14ac:dyDescent="0.25">
      <c r="A231" s="37" t="s">
        <v>374</v>
      </c>
      <c r="B231" s="22">
        <v>-1.9750002525142907E-4</v>
      </c>
      <c r="C231" s="22"/>
      <c r="D231" s="22"/>
    </row>
    <row r="232" spans="1:4" x14ac:dyDescent="0.25">
      <c r="A232" s="37" t="s">
        <v>375</v>
      </c>
      <c r="B232" s="22">
        <v>3.7491317925741998E-5</v>
      </c>
      <c r="C232" s="22"/>
      <c r="D232" s="22"/>
    </row>
    <row r="233" spans="1:4" x14ac:dyDescent="0.25">
      <c r="A233" s="37" t="s">
        <v>376</v>
      </c>
      <c r="B233" s="22">
        <v>-1.1250373790971924E-4</v>
      </c>
      <c r="C233" s="22"/>
      <c r="D233" s="22"/>
    </row>
    <row r="234" spans="1:4" x14ac:dyDescent="0.25">
      <c r="A234" s="37" t="s">
        <v>377</v>
      </c>
      <c r="B234" s="22">
        <v>-3.1244753699866123E-4</v>
      </c>
      <c r="C234" s="22"/>
      <c r="D234" s="22"/>
    </row>
    <row r="235" spans="1:4" x14ac:dyDescent="0.25">
      <c r="A235" s="37" t="s">
        <v>363</v>
      </c>
      <c r="B235" s="22">
        <v>2.7754900656873377E-4</v>
      </c>
      <c r="C235" s="22"/>
      <c r="D235" s="22"/>
    </row>
    <row r="236" spans="1:4" x14ac:dyDescent="0.25">
      <c r="A236" s="2">
        <v>9</v>
      </c>
      <c r="B236" s="22">
        <v>1.0819912136867043E-4</v>
      </c>
      <c r="C236" s="22"/>
      <c r="D236" s="22"/>
    </row>
    <row r="237" spans="1:4" x14ac:dyDescent="0.25">
      <c r="A237" s="37" t="s">
        <v>346</v>
      </c>
      <c r="B237" s="22">
        <v>-1.9255278675700549E-4</v>
      </c>
      <c r="C237" s="22"/>
      <c r="D237" s="22"/>
    </row>
    <row r="238" spans="1:4" x14ac:dyDescent="0.25">
      <c r="A238" s="37" t="s">
        <v>357</v>
      </c>
      <c r="B238" s="22">
        <v>9.0003010700456766E-4</v>
      </c>
      <c r="C238" s="22"/>
      <c r="D238" s="22"/>
    </row>
    <row r="239" spans="1:4" x14ac:dyDescent="0.25">
      <c r="A239" s="37" t="s">
        <v>358</v>
      </c>
      <c r="B239" s="22">
        <v>-2.2000069384375825E-4</v>
      </c>
      <c r="C239" s="22"/>
      <c r="D239" s="22"/>
    </row>
    <row r="240" spans="1:4" x14ac:dyDescent="0.25">
      <c r="A240" s="37" t="s">
        <v>340</v>
      </c>
      <c r="B240" s="22">
        <v>-3.2249088690150551E-4</v>
      </c>
      <c r="C240" s="22"/>
      <c r="D240" s="22"/>
    </row>
    <row r="241" spans="1:4" x14ac:dyDescent="0.25">
      <c r="A241" s="37" t="s">
        <v>359</v>
      </c>
      <c r="B241" s="22">
        <v>5.9962257182633283E-5</v>
      </c>
      <c r="C241" s="22"/>
      <c r="D241" s="22"/>
    </row>
    <row r="242" spans="1:4" x14ac:dyDescent="0.25">
      <c r="A242" s="37" t="s">
        <v>360</v>
      </c>
      <c r="B242" s="22">
        <v>5.4252150584943603E-4</v>
      </c>
      <c r="C242" s="22"/>
      <c r="D242" s="22"/>
    </row>
    <row r="243" spans="1:4" x14ac:dyDescent="0.25">
      <c r="A243" s="37" t="s">
        <v>361</v>
      </c>
      <c r="B243" s="22">
        <v>-1.52251124382019E-3</v>
      </c>
      <c r="C243" s="22"/>
      <c r="D243" s="22"/>
    </row>
    <row r="244" spans="1:4" x14ac:dyDescent="0.25">
      <c r="A244" s="37" t="s">
        <v>362</v>
      </c>
      <c r="B244" s="22">
        <v>-1.1375248759577516E-3</v>
      </c>
      <c r="C244" s="22"/>
      <c r="D244" s="22"/>
    </row>
    <row r="245" spans="1:4" x14ac:dyDescent="0.25">
      <c r="A245" s="37" t="s">
        <v>364</v>
      </c>
      <c r="B245" s="22">
        <v>1.1675059722620058E-3</v>
      </c>
      <c r="C245" s="22"/>
      <c r="D245" s="22"/>
    </row>
    <row r="246" spans="1:4" x14ac:dyDescent="0.25">
      <c r="A246" s="37" t="s">
        <v>338</v>
      </c>
      <c r="B246" s="22">
        <v>1.3024806612520466E-3</v>
      </c>
      <c r="C246" s="22"/>
      <c r="D246" s="22"/>
    </row>
    <row r="247" spans="1:4" x14ac:dyDescent="0.25">
      <c r="A247" s="37" t="s">
        <v>365</v>
      </c>
      <c r="B247" s="22">
        <v>1.5850067102292074E-3</v>
      </c>
      <c r="C247" s="22"/>
      <c r="D247" s="22"/>
    </row>
    <row r="248" spans="1:4" x14ac:dyDescent="0.25">
      <c r="A248" s="37" t="s">
        <v>366</v>
      </c>
      <c r="B248" s="22">
        <v>1.117497646191622E-3</v>
      </c>
      <c r="C248" s="22"/>
      <c r="D248" s="22"/>
    </row>
    <row r="249" spans="1:4" x14ac:dyDescent="0.25">
      <c r="A249" s="37" t="s">
        <v>367</v>
      </c>
      <c r="B249" s="22">
        <v>-2.1499398280866425E-4</v>
      </c>
      <c r="C249" s="22"/>
      <c r="D249" s="22"/>
    </row>
    <row r="250" spans="1:4" x14ac:dyDescent="0.25">
      <c r="A250" s="37" t="s">
        <v>368</v>
      </c>
      <c r="B250" s="22">
        <v>7.2479238951927874E-5</v>
      </c>
      <c r="C250" s="22"/>
      <c r="D250" s="22"/>
    </row>
    <row r="251" spans="1:4" x14ac:dyDescent="0.25">
      <c r="A251" s="37" t="s">
        <v>369</v>
      </c>
      <c r="B251" s="22">
        <v>7.8251963714137673E-4</v>
      </c>
      <c r="C251" s="22"/>
      <c r="D251" s="22"/>
    </row>
    <row r="252" spans="1:4" x14ac:dyDescent="0.25">
      <c r="A252" s="37" t="s">
        <v>370</v>
      </c>
      <c r="B252" s="22">
        <v>7.2479288974136648E-5</v>
      </c>
      <c r="C252" s="22"/>
      <c r="D252" s="22"/>
    </row>
    <row r="253" spans="1:4" x14ac:dyDescent="0.25">
      <c r="A253" s="37" t="s">
        <v>371</v>
      </c>
      <c r="B253" s="22">
        <v>3.4987962635568665E-5</v>
      </c>
      <c r="C253" s="22"/>
      <c r="D253" s="22"/>
    </row>
    <row r="254" spans="1:4" x14ac:dyDescent="0.25">
      <c r="A254" s="37" t="s">
        <v>372</v>
      </c>
      <c r="B254" s="22">
        <v>-1.6248226529569376E-4</v>
      </c>
      <c r="C254" s="22"/>
      <c r="D254" s="22"/>
    </row>
    <row r="255" spans="1:4" x14ac:dyDescent="0.25">
      <c r="A255" s="37" t="s">
        <v>373</v>
      </c>
      <c r="B255" s="22">
        <v>-1.7493964151072053E-5</v>
      </c>
      <c r="C255" s="22"/>
      <c r="D255" s="22"/>
    </row>
    <row r="256" spans="1:4" x14ac:dyDescent="0.25">
      <c r="A256" s="37" t="s">
        <v>374</v>
      </c>
      <c r="B256" s="22">
        <v>-1.9750002525142907E-4</v>
      </c>
      <c r="C256" s="22"/>
      <c r="D256" s="22"/>
    </row>
    <row r="257" spans="1:4" x14ac:dyDescent="0.25">
      <c r="A257" s="37" t="s">
        <v>375</v>
      </c>
      <c r="B257" s="22">
        <v>3.7491317925741998E-5</v>
      </c>
      <c r="C257" s="22"/>
      <c r="D257" s="22"/>
    </row>
    <row r="258" spans="1:4" x14ac:dyDescent="0.25">
      <c r="A258" s="37" t="s">
        <v>376</v>
      </c>
      <c r="B258" s="22">
        <v>-1.1250373790971924E-4</v>
      </c>
      <c r="C258" s="22"/>
      <c r="D258" s="22"/>
    </row>
    <row r="259" spans="1:4" x14ac:dyDescent="0.25">
      <c r="A259" s="37" t="s">
        <v>377</v>
      </c>
      <c r="B259" s="22">
        <v>-3.1244753699866123E-4</v>
      </c>
      <c r="C259" s="22"/>
      <c r="D259" s="22"/>
    </row>
    <row r="260" spans="1:4" x14ac:dyDescent="0.25">
      <c r="A260" s="37" t="s">
        <v>378</v>
      </c>
      <c r="B260" s="22">
        <v>-8.3503127825679236E-4</v>
      </c>
      <c r="C260" s="22"/>
      <c r="D260" s="22"/>
    </row>
    <row r="261" spans="1:4" x14ac:dyDescent="0.25">
      <c r="A261" s="37" t="s">
        <v>363</v>
      </c>
      <c r="B261" s="22">
        <v>2.7754900656873377E-4</v>
      </c>
      <c r="C261" s="22"/>
      <c r="D261" s="22"/>
    </row>
    <row r="262" spans="1:4" x14ac:dyDescent="0.25">
      <c r="A262" s="2">
        <v>10</v>
      </c>
      <c r="B262" s="22">
        <v>8.7201595360965925E-5</v>
      </c>
      <c r="C262" s="22"/>
      <c r="D262" s="22"/>
    </row>
    <row r="263" spans="1:4" x14ac:dyDescent="0.25">
      <c r="A263" s="37" t="s">
        <v>357</v>
      </c>
      <c r="B263" s="22">
        <v>9.0003010700456766E-4</v>
      </c>
      <c r="C263" s="22"/>
      <c r="D263" s="22"/>
    </row>
    <row r="264" spans="1:4" x14ac:dyDescent="0.25">
      <c r="A264" s="37" t="s">
        <v>358</v>
      </c>
      <c r="B264" s="22">
        <v>-2.2000069384375825E-4</v>
      </c>
      <c r="C264" s="22"/>
      <c r="D264" s="22"/>
    </row>
    <row r="265" spans="1:4" x14ac:dyDescent="0.25">
      <c r="A265" s="37" t="s">
        <v>340</v>
      </c>
      <c r="B265" s="22">
        <v>-3.2249088690150551E-4</v>
      </c>
      <c r="C265" s="22"/>
      <c r="D265" s="22"/>
    </row>
    <row r="266" spans="1:4" x14ac:dyDescent="0.25">
      <c r="A266" s="37" t="s">
        <v>359</v>
      </c>
      <c r="B266" s="22">
        <v>5.9962257182633283E-5</v>
      </c>
      <c r="C266" s="22"/>
      <c r="D266" s="22"/>
    </row>
    <row r="267" spans="1:4" x14ac:dyDescent="0.25">
      <c r="A267" s="37" t="s">
        <v>360</v>
      </c>
      <c r="B267" s="22">
        <v>5.4252150584943603E-4</v>
      </c>
      <c r="C267" s="22"/>
      <c r="D267" s="22"/>
    </row>
    <row r="268" spans="1:4" x14ac:dyDescent="0.25">
      <c r="A268" s="37" t="s">
        <v>361</v>
      </c>
      <c r="B268" s="22">
        <v>-1.52251124382019E-3</v>
      </c>
      <c r="C268" s="22"/>
      <c r="D268" s="22"/>
    </row>
    <row r="269" spans="1:4" x14ac:dyDescent="0.25">
      <c r="A269" s="37" t="s">
        <v>362</v>
      </c>
      <c r="B269" s="22">
        <v>-1.1375248759577516E-3</v>
      </c>
      <c r="C269" s="22"/>
      <c r="D269" s="22"/>
    </row>
    <row r="270" spans="1:4" x14ac:dyDescent="0.25">
      <c r="A270" s="37" t="s">
        <v>364</v>
      </c>
      <c r="B270" s="22">
        <v>1.1675059722620058E-3</v>
      </c>
      <c r="C270" s="22"/>
      <c r="D270" s="22"/>
    </row>
    <row r="271" spans="1:4" x14ac:dyDescent="0.25">
      <c r="A271" s="37" t="s">
        <v>338</v>
      </c>
      <c r="B271" s="22">
        <v>1.3024806612520466E-3</v>
      </c>
      <c r="C271" s="22"/>
      <c r="D271" s="22"/>
    </row>
    <row r="272" spans="1:4" x14ac:dyDescent="0.25">
      <c r="A272" s="37" t="s">
        <v>365</v>
      </c>
      <c r="B272" s="22">
        <v>1.5850067102292074E-3</v>
      </c>
      <c r="C272" s="22"/>
      <c r="D272" s="22"/>
    </row>
    <row r="273" spans="1:4" x14ac:dyDescent="0.25">
      <c r="A273" s="37" t="s">
        <v>366</v>
      </c>
      <c r="B273" s="22">
        <v>1.117497646191622E-3</v>
      </c>
      <c r="C273" s="22"/>
      <c r="D273" s="22"/>
    </row>
    <row r="274" spans="1:4" x14ac:dyDescent="0.25">
      <c r="A274" s="37" t="s">
        <v>367</v>
      </c>
      <c r="B274" s="22">
        <v>-2.1499398280866425E-4</v>
      </c>
      <c r="C274" s="22"/>
      <c r="D274" s="22"/>
    </row>
    <row r="275" spans="1:4" x14ac:dyDescent="0.25">
      <c r="A275" s="37" t="s">
        <v>368</v>
      </c>
      <c r="B275" s="22">
        <v>7.2479238951927874E-5</v>
      </c>
      <c r="C275" s="22"/>
      <c r="D275" s="22"/>
    </row>
    <row r="276" spans="1:4" x14ac:dyDescent="0.25">
      <c r="A276" s="37" t="s">
        <v>369</v>
      </c>
      <c r="B276" s="22">
        <v>7.8251963714137673E-4</v>
      </c>
      <c r="C276" s="22"/>
      <c r="D276" s="22"/>
    </row>
    <row r="277" spans="1:4" x14ac:dyDescent="0.25">
      <c r="A277" s="37" t="s">
        <v>370</v>
      </c>
      <c r="B277" s="22">
        <v>7.2479288974136648E-5</v>
      </c>
      <c r="C277" s="22"/>
      <c r="D277" s="22"/>
    </row>
    <row r="278" spans="1:4" x14ac:dyDescent="0.25">
      <c r="A278" s="37" t="s">
        <v>371</v>
      </c>
      <c r="B278" s="22">
        <v>3.4987962635568665E-5</v>
      </c>
      <c r="C278" s="22"/>
      <c r="D278" s="22"/>
    </row>
    <row r="279" spans="1:4" x14ac:dyDescent="0.25">
      <c r="A279" s="37" t="s">
        <v>372</v>
      </c>
      <c r="B279" s="22">
        <v>-1.6248226529569376E-4</v>
      </c>
      <c r="C279" s="22"/>
      <c r="D279" s="22"/>
    </row>
    <row r="280" spans="1:4" x14ac:dyDescent="0.25">
      <c r="A280" s="37" t="s">
        <v>373</v>
      </c>
      <c r="B280" s="22">
        <v>-1.7493964151072053E-5</v>
      </c>
      <c r="C280" s="22"/>
      <c r="D280" s="22"/>
    </row>
    <row r="281" spans="1:4" x14ac:dyDescent="0.25">
      <c r="A281" s="37" t="s">
        <v>374</v>
      </c>
      <c r="B281" s="22">
        <v>-1.9750002525142907E-4</v>
      </c>
      <c r="C281" s="22"/>
      <c r="D281" s="22"/>
    </row>
    <row r="282" spans="1:4" x14ac:dyDescent="0.25">
      <c r="A282" s="37" t="s">
        <v>375</v>
      </c>
      <c r="B282" s="22">
        <v>3.7491317925741998E-5</v>
      </c>
      <c r="C282" s="22"/>
      <c r="D282" s="22"/>
    </row>
    <row r="283" spans="1:4" x14ac:dyDescent="0.25">
      <c r="A283" s="37" t="s">
        <v>376</v>
      </c>
      <c r="B283" s="22">
        <v>-1.1250373790971924E-4</v>
      </c>
      <c r="C283" s="22"/>
      <c r="D283" s="22"/>
    </row>
    <row r="284" spans="1:4" x14ac:dyDescent="0.25">
      <c r="A284" s="37" t="s">
        <v>377</v>
      </c>
      <c r="B284" s="22">
        <v>-3.1244753699866123E-4</v>
      </c>
      <c r="C284" s="22"/>
      <c r="D284" s="22"/>
    </row>
    <row r="285" spans="1:4" x14ac:dyDescent="0.25">
      <c r="A285" s="37" t="s">
        <v>378</v>
      </c>
      <c r="B285" s="22">
        <v>-8.3503127825679236E-4</v>
      </c>
      <c r="C285" s="22"/>
      <c r="D285" s="22"/>
    </row>
    <row r="286" spans="1:4" x14ac:dyDescent="0.25">
      <c r="A286" s="37" t="s">
        <v>379</v>
      </c>
      <c r="B286" s="22">
        <v>-7.1749093694961792E-4</v>
      </c>
      <c r="C286" s="22"/>
      <c r="D286" s="22"/>
    </row>
    <row r="287" spans="1:4" x14ac:dyDescent="0.25">
      <c r="A287" s="37" t="s">
        <v>363</v>
      </c>
      <c r="B287" s="22">
        <v>2.7754900656873377E-4</v>
      </c>
      <c r="C287" s="22"/>
      <c r="D287" s="22"/>
    </row>
    <row r="288" spans="1:4" x14ac:dyDescent="0.25">
      <c r="A288" s="2">
        <v>11</v>
      </c>
      <c r="B288" s="22">
        <v>5.0201417161588133E-5</v>
      </c>
      <c r="C288" s="22"/>
      <c r="D288" s="22"/>
    </row>
    <row r="289" spans="1:4" x14ac:dyDescent="0.25">
      <c r="A289" s="37" t="s">
        <v>358</v>
      </c>
      <c r="B289" s="22">
        <v>-2.2000069384375825E-4</v>
      </c>
      <c r="C289" s="22"/>
      <c r="D289" s="22"/>
    </row>
    <row r="290" spans="1:4" x14ac:dyDescent="0.25">
      <c r="A290" s="37" t="s">
        <v>340</v>
      </c>
      <c r="B290" s="22">
        <v>-3.2249088690150551E-4</v>
      </c>
      <c r="C290" s="22"/>
      <c r="D290" s="22"/>
    </row>
    <row r="291" spans="1:4" x14ac:dyDescent="0.25">
      <c r="A291" s="37" t="s">
        <v>359</v>
      </c>
      <c r="B291" s="22">
        <v>5.9962257182633283E-5</v>
      </c>
      <c r="C291" s="22"/>
      <c r="D291" s="22"/>
    </row>
    <row r="292" spans="1:4" x14ac:dyDescent="0.25">
      <c r="A292" s="37" t="s">
        <v>360</v>
      </c>
      <c r="B292" s="22">
        <v>5.4252150584943603E-4</v>
      </c>
      <c r="C292" s="22"/>
      <c r="D292" s="22"/>
    </row>
    <row r="293" spans="1:4" x14ac:dyDescent="0.25">
      <c r="A293" s="37" t="s">
        <v>361</v>
      </c>
      <c r="B293" s="22">
        <v>-1.52251124382019E-3</v>
      </c>
      <c r="C293" s="22"/>
      <c r="D293" s="22"/>
    </row>
    <row r="294" spans="1:4" x14ac:dyDescent="0.25">
      <c r="A294" s="37" t="s">
        <v>362</v>
      </c>
      <c r="B294" s="22">
        <v>-1.1375248759577516E-3</v>
      </c>
      <c r="C294" s="22"/>
      <c r="D294" s="22"/>
    </row>
    <row r="295" spans="1:4" x14ac:dyDescent="0.25">
      <c r="A295" s="37" t="s">
        <v>364</v>
      </c>
      <c r="B295" s="22">
        <v>1.1675059722620058E-3</v>
      </c>
      <c r="C295" s="22"/>
      <c r="D295" s="22"/>
    </row>
    <row r="296" spans="1:4" x14ac:dyDescent="0.25">
      <c r="A296" s="37" t="s">
        <v>338</v>
      </c>
      <c r="B296" s="22">
        <v>1.3024806612520466E-3</v>
      </c>
      <c r="C296" s="22"/>
      <c r="D296" s="22"/>
    </row>
    <row r="297" spans="1:4" x14ac:dyDescent="0.25">
      <c r="A297" s="37" t="s">
        <v>365</v>
      </c>
      <c r="B297" s="22">
        <v>1.5850067102292074E-3</v>
      </c>
      <c r="C297" s="22"/>
      <c r="D297" s="22"/>
    </row>
    <row r="298" spans="1:4" x14ac:dyDescent="0.25">
      <c r="A298" s="37" t="s">
        <v>366</v>
      </c>
      <c r="B298" s="22">
        <v>1.117497646191622E-3</v>
      </c>
      <c r="C298" s="22"/>
      <c r="D298" s="22"/>
    </row>
    <row r="299" spans="1:4" x14ac:dyDescent="0.25">
      <c r="A299" s="37" t="s">
        <v>367</v>
      </c>
      <c r="B299" s="22">
        <v>-2.1499398280866425E-4</v>
      </c>
      <c r="C299" s="22"/>
      <c r="D299" s="22"/>
    </row>
    <row r="300" spans="1:4" x14ac:dyDescent="0.25">
      <c r="A300" s="37" t="s">
        <v>368</v>
      </c>
      <c r="B300" s="22">
        <v>7.2479238951927874E-5</v>
      </c>
      <c r="C300" s="22"/>
      <c r="D300" s="22"/>
    </row>
    <row r="301" spans="1:4" x14ac:dyDescent="0.25">
      <c r="A301" s="37" t="s">
        <v>369</v>
      </c>
      <c r="B301" s="22">
        <v>7.8251963714137673E-4</v>
      </c>
      <c r="C301" s="22"/>
      <c r="D301" s="22"/>
    </row>
    <row r="302" spans="1:4" x14ac:dyDescent="0.25">
      <c r="A302" s="37" t="s">
        <v>370</v>
      </c>
      <c r="B302" s="22">
        <v>7.2479288974136648E-5</v>
      </c>
      <c r="C302" s="22"/>
      <c r="D302" s="22"/>
    </row>
    <row r="303" spans="1:4" x14ac:dyDescent="0.25">
      <c r="A303" s="37" t="s">
        <v>371</v>
      </c>
      <c r="B303" s="22">
        <v>3.4987962635568665E-5</v>
      </c>
      <c r="C303" s="22"/>
      <c r="D303" s="22"/>
    </row>
    <row r="304" spans="1:4" x14ac:dyDescent="0.25">
      <c r="A304" s="37" t="s">
        <v>372</v>
      </c>
      <c r="B304" s="22">
        <v>-1.6248226529569376E-4</v>
      </c>
      <c r="C304" s="22"/>
      <c r="D304" s="22"/>
    </row>
    <row r="305" spans="1:4" x14ac:dyDescent="0.25">
      <c r="A305" s="37" t="s">
        <v>373</v>
      </c>
      <c r="B305" s="22">
        <v>-1.7493964151072053E-5</v>
      </c>
      <c r="C305" s="22"/>
      <c r="D305" s="22"/>
    </row>
    <row r="306" spans="1:4" x14ac:dyDescent="0.25">
      <c r="A306" s="37" t="s">
        <v>374</v>
      </c>
      <c r="B306" s="22">
        <v>-1.9750002525142907E-4</v>
      </c>
      <c r="C306" s="22"/>
      <c r="D306" s="22"/>
    </row>
    <row r="307" spans="1:4" x14ac:dyDescent="0.25">
      <c r="A307" s="37" t="s">
        <v>375</v>
      </c>
      <c r="B307" s="22">
        <v>3.7491317925741998E-5</v>
      </c>
      <c r="C307" s="22"/>
      <c r="D307" s="22"/>
    </row>
    <row r="308" spans="1:4" x14ac:dyDescent="0.25">
      <c r="A308" s="37" t="s">
        <v>376</v>
      </c>
      <c r="B308" s="22">
        <v>-1.1250373790971924E-4</v>
      </c>
      <c r="C308" s="22"/>
      <c r="D308" s="22"/>
    </row>
    <row r="309" spans="1:4" x14ac:dyDescent="0.25">
      <c r="A309" s="37" t="s">
        <v>377</v>
      </c>
      <c r="B309" s="22">
        <v>-3.1244753699866123E-4</v>
      </c>
      <c r="C309" s="22"/>
      <c r="D309" s="22"/>
    </row>
    <row r="310" spans="1:4" x14ac:dyDescent="0.25">
      <c r="A310" s="37" t="s">
        <v>378</v>
      </c>
      <c r="B310" s="22">
        <v>-8.3503127825679236E-4</v>
      </c>
      <c r="C310" s="22"/>
      <c r="D310" s="22"/>
    </row>
    <row r="311" spans="1:4" x14ac:dyDescent="0.25">
      <c r="A311" s="37" t="s">
        <v>379</v>
      </c>
      <c r="B311" s="22">
        <v>-7.1749093694961792E-4</v>
      </c>
      <c r="C311" s="22"/>
      <c r="D311" s="22"/>
    </row>
    <row r="312" spans="1:4" x14ac:dyDescent="0.25">
      <c r="A312" s="37" t="s">
        <v>380</v>
      </c>
      <c r="B312" s="22">
        <v>-2.4974347979878008E-5</v>
      </c>
      <c r="C312" s="22"/>
      <c r="D312" s="22"/>
    </row>
    <row r="313" spans="1:4" x14ac:dyDescent="0.25">
      <c r="A313" s="37" t="s">
        <v>363</v>
      </c>
      <c r="B313" s="22">
        <v>2.7754900656873377E-4</v>
      </c>
      <c r="C313" s="22"/>
      <c r="D313" s="22"/>
    </row>
    <row r="314" spans="1:4" x14ac:dyDescent="0.25">
      <c r="A314" s="2">
        <v>12</v>
      </c>
      <c r="B314" s="22">
        <v>5.34009917282672E-5</v>
      </c>
      <c r="C314" s="22"/>
      <c r="D314" s="22"/>
    </row>
    <row r="315" spans="1:4" x14ac:dyDescent="0.25">
      <c r="A315" s="37" t="s">
        <v>340</v>
      </c>
      <c r="B315" s="22">
        <v>-3.2249088690150551E-4</v>
      </c>
      <c r="C315" s="22"/>
      <c r="D315" s="22"/>
    </row>
    <row r="316" spans="1:4" x14ac:dyDescent="0.25">
      <c r="A316" s="37" t="s">
        <v>359</v>
      </c>
      <c r="B316" s="22">
        <v>5.9962257182633283E-5</v>
      </c>
      <c r="C316" s="22"/>
      <c r="D316" s="22"/>
    </row>
    <row r="317" spans="1:4" x14ac:dyDescent="0.25">
      <c r="A317" s="37" t="s">
        <v>360</v>
      </c>
      <c r="B317" s="22">
        <v>5.4252150584943603E-4</v>
      </c>
      <c r="C317" s="22"/>
      <c r="D317" s="22"/>
    </row>
    <row r="318" spans="1:4" x14ac:dyDescent="0.25">
      <c r="A318" s="37" t="s">
        <v>361</v>
      </c>
      <c r="B318" s="22">
        <v>-1.52251124382019E-3</v>
      </c>
      <c r="C318" s="22"/>
      <c r="D318" s="22"/>
    </row>
    <row r="319" spans="1:4" x14ac:dyDescent="0.25">
      <c r="A319" s="37" t="s">
        <v>362</v>
      </c>
      <c r="B319" s="22">
        <v>-1.1375248759577516E-3</v>
      </c>
      <c r="C319" s="22"/>
      <c r="D319" s="22"/>
    </row>
    <row r="320" spans="1:4" x14ac:dyDescent="0.25">
      <c r="A320" s="37" t="s">
        <v>364</v>
      </c>
      <c r="B320" s="22">
        <v>1.1675059722620058E-3</v>
      </c>
      <c r="C320" s="22"/>
      <c r="D320" s="22"/>
    </row>
    <row r="321" spans="1:4" x14ac:dyDescent="0.25">
      <c r="A321" s="37" t="s">
        <v>338</v>
      </c>
      <c r="B321" s="22">
        <v>1.3024806612520466E-3</v>
      </c>
      <c r="C321" s="22"/>
      <c r="D321" s="22"/>
    </row>
    <row r="322" spans="1:4" x14ac:dyDescent="0.25">
      <c r="A322" s="37" t="s">
        <v>365</v>
      </c>
      <c r="B322" s="22">
        <v>1.5850067102292074E-3</v>
      </c>
      <c r="C322" s="22"/>
      <c r="D322" s="22"/>
    </row>
    <row r="323" spans="1:4" x14ac:dyDescent="0.25">
      <c r="A323" s="37" t="s">
        <v>366</v>
      </c>
      <c r="B323" s="22">
        <v>1.117497646191622E-3</v>
      </c>
      <c r="C323" s="22"/>
      <c r="D323" s="22"/>
    </row>
    <row r="324" spans="1:4" x14ac:dyDescent="0.25">
      <c r="A324" s="37" t="s">
        <v>367</v>
      </c>
      <c r="B324" s="22">
        <v>-2.1499398280866425E-4</v>
      </c>
      <c r="C324" s="22"/>
      <c r="D324" s="22"/>
    </row>
    <row r="325" spans="1:4" x14ac:dyDescent="0.25">
      <c r="A325" s="37" t="s">
        <v>368</v>
      </c>
      <c r="B325" s="22">
        <v>7.2479238951927874E-5</v>
      </c>
      <c r="C325" s="22"/>
      <c r="D325" s="22"/>
    </row>
    <row r="326" spans="1:4" x14ac:dyDescent="0.25">
      <c r="A326" s="37" t="s">
        <v>369</v>
      </c>
      <c r="B326" s="22">
        <v>7.8251963714137673E-4</v>
      </c>
      <c r="C326" s="22"/>
      <c r="D326" s="22"/>
    </row>
    <row r="327" spans="1:4" x14ac:dyDescent="0.25">
      <c r="A327" s="37" t="s">
        <v>370</v>
      </c>
      <c r="B327" s="22">
        <v>7.2479288974136648E-5</v>
      </c>
      <c r="C327" s="22"/>
      <c r="D327" s="22"/>
    </row>
    <row r="328" spans="1:4" x14ac:dyDescent="0.25">
      <c r="A328" s="37" t="s">
        <v>371</v>
      </c>
      <c r="B328" s="22">
        <v>3.4987962635568665E-5</v>
      </c>
      <c r="C328" s="22"/>
      <c r="D328" s="22"/>
    </row>
    <row r="329" spans="1:4" x14ac:dyDescent="0.25">
      <c r="A329" s="37" t="s">
        <v>372</v>
      </c>
      <c r="B329" s="22">
        <v>-1.6248226529569376E-4</v>
      </c>
      <c r="C329" s="22"/>
      <c r="D329" s="22"/>
    </row>
    <row r="330" spans="1:4" x14ac:dyDescent="0.25">
      <c r="A330" s="37" t="s">
        <v>373</v>
      </c>
      <c r="B330" s="22">
        <v>-1.7493964151072053E-5</v>
      </c>
      <c r="C330" s="22"/>
      <c r="D330" s="22"/>
    </row>
    <row r="331" spans="1:4" x14ac:dyDescent="0.25">
      <c r="A331" s="37" t="s">
        <v>374</v>
      </c>
      <c r="B331" s="22">
        <v>-1.9750002525142907E-4</v>
      </c>
      <c r="C331" s="22"/>
      <c r="D331" s="22"/>
    </row>
    <row r="332" spans="1:4" x14ac:dyDescent="0.25">
      <c r="A332" s="37" t="s">
        <v>375</v>
      </c>
      <c r="B332" s="22">
        <v>3.7491317925741998E-5</v>
      </c>
      <c r="C332" s="22"/>
      <c r="D332" s="22"/>
    </row>
    <row r="333" spans="1:4" x14ac:dyDescent="0.25">
      <c r="A333" s="37" t="s">
        <v>376</v>
      </c>
      <c r="B333" s="22">
        <v>-1.1250373790971924E-4</v>
      </c>
      <c r="C333" s="22"/>
      <c r="D333" s="22"/>
    </row>
    <row r="334" spans="1:4" x14ac:dyDescent="0.25">
      <c r="A334" s="37" t="s">
        <v>377</v>
      </c>
      <c r="B334" s="22">
        <v>-3.1244753699866123E-4</v>
      </c>
      <c r="C334" s="22"/>
      <c r="D334" s="22"/>
    </row>
    <row r="335" spans="1:4" x14ac:dyDescent="0.25">
      <c r="A335" s="37" t="s">
        <v>378</v>
      </c>
      <c r="B335" s="22">
        <v>-8.3503127825679236E-4</v>
      </c>
      <c r="C335" s="22"/>
      <c r="D335" s="22"/>
    </row>
    <row r="336" spans="1:4" x14ac:dyDescent="0.25">
      <c r="A336" s="37" t="s">
        <v>379</v>
      </c>
      <c r="B336" s="22">
        <v>-7.1749093694961792E-4</v>
      </c>
      <c r="C336" s="22"/>
      <c r="D336" s="22"/>
    </row>
    <row r="337" spans="1:4" x14ac:dyDescent="0.25">
      <c r="A337" s="37" t="s">
        <v>380</v>
      </c>
      <c r="B337" s="22">
        <v>-2.4974347979878008E-5</v>
      </c>
      <c r="C337" s="22"/>
      <c r="D337" s="22"/>
    </row>
    <row r="338" spans="1:4" x14ac:dyDescent="0.25">
      <c r="A338" s="37" t="s">
        <v>381</v>
      </c>
      <c r="B338" s="22">
        <v>-1.4001132967678113E-4</v>
      </c>
      <c r="C338" s="22"/>
      <c r="D338" s="22"/>
    </row>
    <row r="339" spans="1:4" x14ac:dyDescent="0.25">
      <c r="A339" s="37" t="s">
        <v>363</v>
      </c>
      <c r="B339" s="22">
        <v>2.7754900656873377E-4</v>
      </c>
      <c r="C339" s="22"/>
      <c r="D339" s="22"/>
    </row>
    <row r="340" spans="1:4" x14ac:dyDescent="0.25">
      <c r="A340" s="2">
        <v>13</v>
      </c>
      <c r="B340" s="22">
        <v>4.8599238780297814E-5</v>
      </c>
      <c r="C340" s="22"/>
      <c r="D340" s="22"/>
    </row>
    <row r="341" spans="1:4" x14ac:dyDescent="0.25">
      <c r="A341" s="37" t="s">
        <v>359</v>
      </c>
      <c r="B341" s="22">
        <v>5.9962257182633283E-5</v>
      </c>
      <c r="C341" s="22"/>
      <c r="D341" s="22"/>
    </row>
    <row r="342" spans="1:4" x14ac:dyDescent="0.25">
      <c r="A342" s="37" t="s">
        <v>360</v>
      </c>
      <c r="B342" s="22">
        <v>5.4252150584943603E-4</v>
      </c>
      <c r="C342" s="22"/>
      <c r="D342" s="22"/>
    </row>
    <row r="343" spans="1:4" x14ac:dyDescent="0.25">
      <c r="A343" s="37" t="s">
        <v>361</v>
      </c>
      <c r="B343" s="22">
        <v>-1.52251124382019E-3</v>
      </c>
      <c r="C343" s="22"/>
      <c r="D343" s="22"/>
    </row>
    <row r="344" spans="1:4" x14ac:dyDescent="0.25">
      <c r="A344" s="37" t="s">
        <v>362</v>
      </c>
      <c r="B344" s="22">
        <v>-1.1375248759577516E-3</v>
      </c>
      <c r="C344" s="22"/>
      <c r="D344" s="22"/>
    </row>
    <row r="345" spans="1:4" x14ac:dyDescent="0.25">
      <c r="A345" s="37" t="s">
        <v>364</v>
      </c>
      <c r="B345" s="22">
        <v>1.1675059722620058E-3</v>
      </c>
      <c r="C345" s="22"/>
      <c r="D345" s="22"/>
    </row>
    <row r="346" spans="1:4" x14ac:dyDescent="0.25">
      <c r="A346" s="37" t="s">
        <v>338</v>
      </c>
      <c r="B346" s="22">
        <v>1.3024806612520466E-3</v>
      </c>
      <c r="C346" s="22"/>
      <c r="D346" s="22"/>
    </row>
    <row r="347" spans="1:4" x14ac:dyDescent="0.25">
      <c r="A347" s="37" t="s">
        <v>365</v>
      </c>
      <c r="B347" s="22">
        <v>1.5850067102292074E-3</v>
      </c>
      <c r="C347" s="22"/>
      <c r="D347" s="22"/>
    </row>
    <row r="348" spans="1:4" x14ac:dyDescent="0.25">
      <c r="A348" s="37" t="s">
        <v>366</v>
      </c>
      <c r="B348" s="22">
        <v>1.117497646191622E-3</v>
      </c>
      <c r="C348" s="22"/>
      <c r="D348" s="22"/>
    </row>
    <row r="349" spans="1:4" x14ac:dyDescent="0.25">
      <c r="A349" s="37" t="s">
        <v>367</v>
      </c>
      <c r="B349" s="22">
        <v>-2.1499398280866425E-4</v>
      </c>
      <c r="C349" s="22"/>
      <c r="D349" s="22"/>
    </row>
    <row r="350" spans="1:4" x14ac:dyDescent="0.25">
      <c r="A350" s="37" t="s">
        <v>368</v>
      </c>
      <c r="B350" s="22">
        <v>7.2479238951927874E-5</v>
      </c>
      <c r="C350" s="22"/>
      <c r="D350" s="22"/>
    </row>
    <row r="351" spans="1:4" x14ac:dyDescent="0.25">
      <c r="A351" s="37" t="s">
        <v>369</v>
      </c>
      <c r="B351" s="22">
        <v>7.8251963714137673E-4</v>
      </c>
      <c r="C351" s="22"/>
      <c r="D351" s="22"/>
    </row>
    <row r="352" spans="1:4" x14ac:dyDescent="0.25">
      <c r="A352" s="37" t="s">
        <v>370</v>
      </c>
      <c r="B352" s="22">
        <v>7.2479288974136648E-5</v>
      </c>
      <c r="C352" s="22"/>
      <c r="D352" s="22"/>
    </row>
    <row r="353" spans="1:4" x14ac:dyDescent="0.25">
      <c r="A353" s="37" t="s">
        <v>371</v>
      </c>
      <c r="B353" s="22">
        <v>3.4987962635568665E-5</v>
      </c>
      <c r="C353" s="22"/>
      <c r="D353" s="22"/>
    </row>
    <row r="354" spans="1:4" x14ac:dyDescent="0.25">
      <c r="A354" s="37" t="s">
        <v>372</v>
      </c>
      <c r="B354" s="22">
        <v>-1.6248226529569376E-4</v>
      </c>
      <c r="C354" s="22"/>
      <c r="D354" s="22"/>
    </row>
    <row r="355" spans="1:4" x14ac:dyDescent="0.25">
      <c r="A355" s="37" t="s">
        <v>373</v>
      </c>
      <c r="B355" s="22">
        <v>-1.7493964151072053E-5</v>
      </c>
      <c r="C355" s="22"/>
      <c r="D355" s="22"/>
    </row>
    <row r="356" spans="1:4" x14ac:dyDescent="0.25">
      <c r="A356" s="37" t="s">
        <v>374</v>
      </c>
      <c r="B356" s="22">
        <v>-1.9750002525142907E-4</v>
      </c>
      <c r="C356" s="22"/>
      <c r="D356" s="22"/>
    </row>
    <row r="357" spans="1:4" x14ac:dyDescent="0.25">
      <c r="A357" s="37" t="s">
        <v>375</v>
      </c>
      <c r="B357" s="22">
        <v>3.7491317925741998E-5</v>
      </c>
      <c r="C357" s="22"/>
      <c r="D357" s="22"/>
    </row>
    <row r="358" spans="1:4" x14ac:dyDescent="0.25">
      <c r="A358" s="37" t="s">
        <v>376</v>
      </c>
      <c r="B358" s="22">
        <v>-1.1250373790971924E-4</v>
      </c>
      <c r="C358" s="22"/>
      <c r="D358" s="22"/>
    </row>
    <row r="359" spans="1:4" x14ac:dyDescent="0.25">
      <c r="A359" s="37" t="s">
        <v>377</v>
      </c>
      <c r="B359" s="22">
        <v>-3.1244753699866123E-4</v>
      </c>
      <c r="C359" s="22"/>
      <c r="D359" s="22"/>
    </row>
    <row r="360" spans="1:4" x14ac:dyDescent="0.25">
      <c r="A360" s="37" t="s">
        <v>378</v>
      </c>
      <c r="B360" s="22">
        <v>-8.3503127825679236E-4</v>
      </c>
      <c r="C360" s="22"/>
      <c r="D360" s="22"/>
    </row>
    <row r="361" spans="1:4" x14ac:dyDescent="0.25">
      <c r="A361" s="37" t="s">
        <v>379</v>
      </c>
      <c r="B361" s="22">
        <v>-7.1749093694961792E-4</v>
      </c>
      <c r="C361" s="22"/>
      <c r="D361" s="22"/>
    </row>
    <row r="362" spans="1:4" x14ac:dyDescent="0.25">
      <c r="A362" s="37" t="s">
        <v>380</v>
      </c>
      <c r="B362" s="22">
        <v>-2.4974347979878008E-5</v>
      </c>
      <c r="C362" s="22"/>
      <c r="D362" s="22"/>
    </row>
    <row r="363" spans="1:4" x14ac:dyDescent="0.25">
      <c r="A363" s="37" t="s">
        <v>381</v>
      </c>
      <c r="B363" s="22">
        <v>-1.4001132967678113E-4</v>
      </c>
      <c r="C363" s="22"/>
      <c r="D363" s="22"/>
    </row>
    <row r="364" spans="1:4" x14ac:dyDescent="0.25">
      <c r="A364" s="37" t="s">
        <v>382</v>
      </c>
      <c r="B364" s="22">
        <v>-4.4253471060073978E-4</v>
      </c>
      <c r="C364" s="22"/>
      <c r="D364" s="22"/>
    </row>
    <row r="365" spans="1:4" x14ac:dyDescent="0.25">
      <c r="A365" s="37" t="s">
        <v>363</v>
      </c>
      <c r="B365" s="22">
        <v>2.7754900656873377E-4</v>
      </c>
      <c r="C365" s="22"/>
      <c r="D365" s="22"/>
    </row>
    <row r="366" spans="1:4" x14ac:dyDescent="0.25">
      <c r="A366" s="2">
        <v>14</v>
      </c>
      <c r="B366" s="22">
        <v>-3.2099490326800299E-5</v>
      </c>
      <c r="C366" s="22"/>
      <c r="D366" s="22"/>
    </row>
    <row r="367" spans="1:4" x14ac:dyDescent="0.25">
      <c r="A367" s="37" t="s">
        <v>360</v>
      </c>
      <c r="B367" s="22">
        <v>5.4252150584943603E-4</v>
      </c>
      <c r="C367" s="22"/>
      <c r="D367" s="22"/>
    </row>
    <row r="368" spans="1:4" x14ac:dyDescent="0.25">
      <c r="A368" s="37" t="s">
        <v>361</v>
      </c>
      <c r="B368" s="22">
        <v>-1.52251124382019E-3</v>
      </c>
      <c r="C368" s="22"/>
      <c r="D368" s="22"/>
    </row>
    <row r="369" spans="1:4" x14ac:dyDescent="0.25">
      <c r="A369" s="37" t="s">
        <v>362</v>
      </c>
      <c r="B369" s="22">
        <v>-1.1375248759577516E-3</v>
      </c>
      <c r="C369" s="22"/>
      <c r="D369" s="22"/>
    </row>
    <row r="370" spans="1:4" x14ac:dyDescent="0.25">
      <c r="A370" s="37" t="s">
        <v>364</v>
      </c>
      <c r="B370" s="22">
        <v>1.1675059722620058E-3</v>
      </c>
      <c r="C370" s="22"/>
      <c r="D370" s="22"/>
    </row>
    <row r="371" spans="1:4" x14ac:dyDescent="0.25">
      <c r="A371" s="37" t="s">
        <v>338</v>
      </c>
      <c r="B371" s="22">
        <v>1.3024806612520466E-3</v>
      </c>
      <c r="C371" s="22"/>
      <c r="D371" s="22"/>
    </row>
    <row r="372" spans="1:4" x14ac:dyDescent="0.25">
      <c r="A372" s="37" t="s">
        <v>365</v>
      </c>
      <c r="B372" s="22">
        <v>1.5850067102292074E-3</v>
      </c>
      <c r="C372" s="22"/>
      <c r="D372" s="22"/>
    </row>
    <row r="373" spans="1:4" x14ac:dyDescent="0.25">
      <c r="A373" s="37" t="s">
        <v>366</v>
      </c>
      <c r="B373" s="22">
        <v>1.117497646191622E-3</v>
      </c>
      <c r="C373" s="22"/>
      <c r="D373" s="22"/>
    </row>
    <row r="374" spans="1:4" x14ac:dyDescent="0.25">
      <c r="A374" s="37" t="s">
        <v>367</v>
      </c>
      <c r="B374" s="22">
        <v>-2.1499398280866425E-4</v>
      </c>
      <c r="C374" s="22"/>
      <c r="D374" s="22"/>
    </row>
    <row r="375" spans="1:4" x14ac:dyDescent="0.25">
      <c r="A375" s="37" t="s">
        <v>368</v>
      </c>
      <c r="B375" s="22">
        <v>7.2479238951927874E-5</v>
      </c>
      <c r="C375" s="22"/>
      <c r="D375" s="22"/>
    </row>
    <row r="376" spans="1:4" x14ac:dyDescent="0.25">
      <c r="A376" s="37" t="s">
        <v>369</v>
      </c>
      <c r="B376" s="22">
        <v>7.8251963714137673E-4</v>
      </c>
      <c r="C376" s="22"/>
      <c r="D376" s="22"/>
    </row>
    <row r="377" spans="1:4" x14ac:dyDescent="0.25">
      <c r="A377" s="37" t="s">
        <v>370</v>
      </c>
      <c r="B377" s="22">
        <v>7.2479288974136648E-5</v>
      </c>
      <c r="C377" s="22"/>
      <c r="D377" s="22"/>
    </row>
    <row r="378" spans="1:4" x14ac:dyDescent="0.25">
      <c r="A378" s="37" t="s">
        <v>371</v>
      </c>
      <c r="B378" s="22">
        <v>3.4987962635568665E-5</v>
      </c>
      <c r="C378" s="22"/>
      <c r="D378" s="22"/>
    </row>
    <row r="379" spans="1:4" x14ac:dyDescent="0.25">
      <c r="A379" s="37" t="s">
        <v>372</v>
      </c>
      <c r="B379" s="22">
        <v>-1.6248226529569376E-4</v>
      </c>
      <c r="C379" s="22"/>
      <c r="D379" s="22"/>
    </row>
    <row r="380" spans="1:4" x14ac:dyDescent="0.25">
      <c r="A380" s="37" t="s">
        <v>373</v>
      </c>
      <c r="B380" s="22">
        <v>-1.7493964151072053E-5</v>
      </c>
      <c r="C380" s="22"/>
      <c r="D380" s="22"/>
    </row>
    <row r="381" spans="1:4" x14ac:dyDescent="0.25">
      <c r="A381" s="37" t="s">
        <v>374</v>
      </c>
      <c r="B381" s="22">
        <v>-1.9750002525142907E-4</v>
      </c>
      <c r="C381" s="22"/>
      <c r="D381" s="22"/>
    </row>
    <row r="382" spans="1:4" x14ac:dyDescent="0.25">
      <c r="A382" s="37" t="s">
        <v>375</v>
      </c>
      <c r="B382" s="22">
        <v>3.7491317925741998E-5</v>
      </c>
      <c r="C382" s="22"/>
      <c r="D382" s="22"/>
    </row>
    <row r="383" spans="1:4" x14ac:dyDescent="0.25">
      <c r="A383" s="37" t="s">
        <v>376</v>
      </c>
      <c r="B383" s="22">
        <v>-1.1250373790971924E-4</v>
      </c>
      <c r="C383" s="22"/>
      <c r="D383" s="22"/>
    </row>
    <row r="384" spans="1:4" x14ac:dyDescent="0.25">
      <c r="A384" s="37" t="s">
        <v>377</v>
      </c>
      <c r="B384" s="22">
        <v>-3.1244753699866123E-4</v>
      </c>
      <c r="C384" s="22"/>
      <c r="D384" s="22"/>
    </row>
    <row r="385" spans="1:4" x14ac:dyDescent="0.25">
      <c r="A385" s="37" t="s">
        <v>378</v>
      </c>
      <c r="B385" s="22">
        <v>-8.3503127825679236E-4</v>
      </c>
      <c r="C385" s="22"/>
      <c r="D385" s="22"/>
    </row>
    <row r="386" spans="1:4" x14ac:dyDescent="0.25">
      <c r="A386" s="37" t="s">
        <v>379</v>
      </c>
      <c r="B386" s="22">
        <v>-7.1749093694961792E-4</v>
      </c>
      <c r="C386" s="22"/>
      <c r="D386" s="22"/>
    </row>
    <row r="387" spans="1:4" x14ac:dyDescent="0.25">
      <c r="A387" s="37" t="s">
        <v>380</v>
      </c>
      <c r="B387" s="22">
        <v>-2.4974347979878008E-5</v>
      </c>
      <c r="C387" s="22"/>
      <c r="D387" s="22"/>
    </row>
    <row r="388" spans="1:4" x14ac:dyDescent="0.25">
      <c r="A388" s="37" t="s">
        <v>381</v>
      </c>
      <c r="B388" s="22">
        <v>-1.4001132967678113E-4</v>
      </c>
      <c r="C388" s="22"/>
      <c r="D388" s="22"/>
    </row>
    <row r="389" spans="1:4" x14ac:dyDescent="0.25">
      <c r="A389" s="37" t="s">
        <v>382</v>
      </c>
      <c r="B389" s="22">
        <v>-4.4253471060073978E-4</v>
      </c>
      <c r="C389" s="22"/>
      <c r="D389" s="22"/>
    </row>
    <row r="390" spans="1:4" x14ac:dyDescent="0.25">
      <c r="A390" s="37" t="s">
        <v>383</v>
      </c>
      <c r="B390" s="22">
        <v>-1.9575059704948199E-3</v>
      </c>
      <c r="C390" s="22"/>
      <c r="D390" s="22"/>
    </row>
    <row r="391" spans="1:4" x14ac:dyDescent="0.25">
      <c r="A391" s="37" t="s">
        <v>363</v>
      </c>
      <c r="B391" s="22">
        <v>2.7754900656873377E-4</v>
      </c>
      <c r="C391" s="22"/>
      <c r="D391" s="22"/>
    </row>
    <row r="392" spans="1:4" x14ac:dyDescent="0.25">
      <c r="A392" s="2">
        <v>15</v>
      </c>
      <c r="B392" s="22">
        <v>-1.2749910963975712E-4</v>
      </c>
      <c r="C392" s="22"/>
      <c r="D392" s="22"/>
    </row>
    <row r="393" spans="1:4" x14ac:dyDescent="0.25">
      <c r="A393" s="37" t="s">
        <v>361</v>
      </c>
      <c r="B393" s="22">
        <v>-1.52251124382019E-3</v>
      </c>
      <c r="C393" s="22"/>
      <c r="D393" s="22"/>
    </row>
    <row r="394" spans="1:4" x14ac:dyDescent="0.25">
      <c r="A394" s="37" t="s">
        <v>362</v>
      </c>
      <c r="B394" s="22">
        <v>-1.1375248759577516E-3</v>
      </c>
      <c r="C394" s="22"/>
      <c r="D394" s="22"/>
    </row>
    <row r="395" spans="1:4" x14ac:dyDescent="0.25">
      <c r="A395" s="37" t="s">
        <v>364</v>
      </c>
      <c r="B395" s="22">
        <v>1.1675059722620058E-3</v>
      </c>
      <c r="C395" s="22"/>
      <c r="D395" s="22"/>
    </row>
    <row r="396" spans="1:4" x14ac:dyDescent="0.25">
      <c r="A396" s="37" t="s">
        <v>338</v>
      </c>
      <c r="B396" s="22">
        <v>1.3024806612520466E-3</v>
      </c>
      <c r="C396" s="22"/>
      <c r="D396" s="22"/>
    </row>
    <row r="397" spans="1:4" x14ac:dyDescent="0.25">
      <c r="A397" s="37" t="s">
        <v>365</v>
      </c>
      <c r="B397" s="22">
        <v>1.5850067102292074E-3</v>
      </c>
      <c r="C397" s="22"/>
      <c r="D397" s="22"/>
    </row>
    <row r="398" spans="1:4" x14ac:dyDescent="0.25">
      <c r="A398" s="37" t="s">
        <v>366</v>
      </c>
      <c r="B398" s="22">
        <v>1.117497646191622E-3</v>
      </c>
      <c r="C398" s="22"/>
      <c r="D398" s="22"/>
    </row>
    <row r="399" spans="1:4" x14ac:dyDescent="0.25">
      <c r="A399" s="37" t="s">
        <v>367</v>
      </c>
      <c r="B399" s="22">
        <v>-2.1499398280866425E-4</v>
      </c>
      <c r="C399" s="22"/>
      <c r="D399" s="22"/>
    </row>
    <row r="400" spans="1:4" x14ac:dyDescent="0.25">
      <c r="A400" s="37" t="s">
        <v>368</v>
      </c>
      <c r="B400" s="22">
        <v>7.2479238951927874E-5</v>
      </c>
      <c r="C400" s="22"/>
      <c r="D400" s="22"/>
    </row>
    <row r="401" spans="1:4" x14ac:dyDescent="0.25">
      <c r="A401" s="37" t="s">
        <v>369</v>
      </c>
      <c r="B401" s="22">
        <v>7.8251963714137673E-4</v>
      </c>
      <c r="C401" s="22"/>
      <c r="D401" s="22"/>
    </row>
    <row r="402" spans="1:4" x14ac:dyDescent="0.25">
      <c r="A402" s="37" t="s">
        <v>370</v>
      </c>
      <c r="B402" s="22">
        <v>7.2479288974136648E-5</v>
      </c>
      <c r="C402" s="22"/>
      <c r="D402" s="22"/>
    </row>
    <row r="403" spans="1:4" x14ac:dyDescent="0.25">
      <c r="A403" s="37" t="s">
        <v>371</v>
      </c>
      <c r="B403" s="22">
        <v>3.4987962635568665E-5</v>
      </c>
      <c r="C403" s="22"/>
      <c r="D403" s="22"/>
    </row>
    <row r="404" spans="1:4" x14ac:dyDescent="0.25">
      <c r="A404" s="37" t="s">
        <v>372</v>
      </c>
      <c r="B404" s="22">
        <v>-1.6248226529569376E-4</v>
      </c>
      <c r="C404" s="22"/>
      <c r="D404" s="22"/>
    </row>
    <row r="405" spans="1:4" x14ac:dyDescent="0.25">
      <c r="A405" s="37" t="s">
        <v>373</v>
      </c>
      <c r="B405" s="22">
        <v>-1.7493964151072053E-5</v>
      </c>
      <c r="C405" s="22"/>
      <c r="D405" s="22"/>
    </row>
    <row r="406" spans="1:4" x14ac:dyDescent="0.25">
      <c r="A406" s="37" t="s">
        <v>374</v>
      </c>
      <c r="B406" s="22">
        <v>-1.9750002525142907E-4</v>
      </c>
      <c r="C406" s="22"/>
      <c r="D406" s="22"/>
    </row>
    <row r="407" spans="1:4" x14ac:dyDescent="0.25">
      <c r="A407" s="37" t="s">
        <v>375</v>
      </c>
      <c r="B407" s="22">
        <v>3.7491317925741998E-5</v>
      </c>
      <c r="C407" s="22"/>
      <c r="D407" s="22"/>
    </row>
    <row r="408" spans="1:4" x14ac:dyDescent="0.25">
      <c r="A408" s="37" t="s">
        <v>376</v>
      </c>
      <c r="B408" s="22">
        <v>-1.1250373790971924E-4</v>
      </c>
      <c r="C408" s="22"/>
      <c r="D408" s="22"/>
    </row>
    <row r="409" spans="1:4" x14ac:dyDescent="0.25">
      <c r="A409" s="37" t="s">
        <v>377</v>
      </c>
      <c r="B409" s="22">
        <v>-3.1244753699866123E-4</v>
      </c>
      <c r="C409" s="22"/>
      <c r="D409" s="22"/>
    </row>
    <row r="410" spans="1:4" x14ac:dyDescent="0.25">
      <c r="A410" s="37" t="s">
        <v>378</v>
      </c>
      <c r="B410" s="22">
        <v>-8.3503127825679236E-4</v>
      </c>
      <c r="C410" s="22"/>
      <c r="D410" s="22"/>
    </row>
    <row r="411" spans="1:4" x14ac:dyDescent="0.25">
      <c r="A411" s="37" t="s">
        <v>379</v>
      </c>
      <c r="B411" s="22">
        <v>-7.1749093694961792E-4</v>
      </c>
      <c r="C411" s="22"/>
      <c r="D411" s="22"/>
    </row>
    <row r="412" spans="1:4" x14ac:dyDescent="0.25">
      <c r="A412" s="37" t="s">
        <v>380</v>
      </c>
      <c r="B412" s="22">
        <v>-2.4974347979878008E-5</v>
      </c>
      <c r="C412" s="22"/>
      <c r="D412" s="22"/>
    </row>
    <row r="413" spans="1:4" x14ac:dyDescent="0.25">
      <c r="A413" s="37" t="s">
        <v>381</v>
      </c>
      <c r="B413" s="22">
        <v>-1.4001132967678113E-4</v>
      </c>
      <c r="C413" s="22"/>
      <c r="D413" s="22"/>
    </row>
    <row r="414" spans="1:4" x14ac:dyDescent="0.25">
      <c r="A414" s="37" t="s">
        <v>382</v>
      </c>
      <c r="B414" s="22">
        <v>-4.4253471060073978E-4</v>
      </c>
      <c r="C414" s="22"/>
      <c r="D414" s="22"/>
    </row>
    <row r="415" spans="1:4" x14ac:dyDescent="0.25">
      <c r="A415" s="37" t="s">
        <v>383</v>
      </c>
      <c r="B415" s="22">
        <v>-1.9575059704948199E-3</v>
      </c>
      <c r="C415" s="22"/>
      <c r="D415" s="22"/>
    </row>
    <row r="416" spans="1:4" x14ac:dyDescent="0.25">
      <c r="A416" s="37" t="s">
        <v>384</v>
      </c>
      <c r="B416" s="22">
        <v>-1.8424689769744847E-3</v>
      </c>
      <c r="C416" s="22"/>
      <c r="D416" s="22"/>
    </row>
    <row r="417" spans="1:4" x14ac:dyDescent="0.25">
      <c r="A417" s="37" t="s">
        <v>363</v>
      </c>
      <c r="B417" s="22">
        <v>2.7754900656873377E-4</v>
      </c>
      <c r="C417" s="22"/>
      <c r="D417" s="22"/>
    </row>
    <row r="418" spans="1:4" x14ac:dyDescent="0.25">
      <c r="A418" s="2">
        <v>16</v>
      </c>
      <c r="B418" s="22">
        <v>-1.1069894271713572E-4</v>
      </c>
      <c r="C418" s="22"/>
      <c r="D418" s="22"/>
    </row>
    <row r="419" spans="1:4" x14ac:dyDescent="0.25">
      <c r="A419" s="37" t="s">
        <v>362</v>
      </c>
      <c r="B419" s="22">
        <v>-1.1375248759577516E-3</v>
      </c>
      <c r="C419" s="22"/>
      <c r="D419" s="22"/>
    </row>
    <row r="420" spans="1:4" x14ac:dyDescent="0.25">
      <c r="A420" s="37" t="s">
        <v>364</v>
      </c>
      <c r="B420" s="22">
        <v>1.1675059722620058E-3</v>
      </c>
      <c r="C420" s="22"/>
      <c r="D420" s="22"/>
    </row>
    <row r="421" spans="1:4" x14ac:dyDescent="0.25">
      <c r="A421" s="37" t="s">
        <v>338</v>
      </c>
      <c r="B421" s="22">
        <v>1.3024806612520466E-3</v>
      </c>
      <c r="C421" s="22"/>
      <c r="D421" s="22"/>
    </row>
    <row r="422" spans="1:4" x14ac:dyDescent="0.25">
      <c r="A422" s="37" t="s">
        <v>365</v>
      </c>
      <c r="B422" s="22">
        <v>1.5850067102292074E-3</v>
      </c>
      <c r="C422" s="22"/>
      <c r="D422" s="22"/>
    </row>
    <row r="423" spans="1:4" x14ac:dyDescent="0.25">
      <c r="A423" s="37" t="s">
        <v>366</v>
      </c>
      <c r="B423" s="22">
        <v>1.117497646191622E-3</v>
      </c>
      <c r="C423" s="22"/>
      <c r="D423" s="22"/>
    </row>
    <row r="424" spans="1:4" x14ac:dyDescent="0.25">
      <c r="A424" s="37" t="s">
        <v>367</v>
      </c>
      <c r="B424" s="22">
        <v>-2.1499398280866425E-4</v>
      </c>
      <c r="C424" s="22"/>
      <c r="D424" s="22"/>
    </row>
    <row r="425" spans="1:4" x14ac:dyDescent="0.25">
      <c r="A425" s="37" t="s">
        <v>368</v>
      </c>
      <c r="B425" s="22">
        <v>7.2479238951927874E-5</v>
      </c>
      <c r="C425" s="22"/>
      <c r="D425" s="22"/>
    </row>
    <row r="426" spans="1:4" x14ac:dyDescent="0.25">
      <c r="A426" s="37" t="s">
        <v>369</v>
      </c>
      <c r="B426" s="22">
        <v>7.8251963714137673E-4</v>
      </c>
      <c r="C426" s="22"/>
      <c r="D426" s="22"/>
    </row>
    <row r="427" spans="1:4" x14ac:dyDescent="0.25">
      <c r="A427" s="37" t="s">
        <v>370</v>
      </c>
      <c r="B427" s="22">
        <v>7.2479288974136648E-5</v>
      </c>
      <c r="C427" s="22"/>
      <c r="D427" s="22"/>
    </row>
    <row r="428" spans="1:4" x14ac:dyDescent="0.25">
      <c r="A428" s="37" t="s">
        <v>371</v>
      </c>
      <c r="B428" s="22">
        <v>3.4987962635568665E-5</v>
      </c>
      <c r="C428" s="22"/>
      <c r="D428" s="22"/>
    </row>
    <row r="429" spans="1:4" x14ac:dyDescent="0.25">
      <c r="A429" s="37" t="s">
        <v>372</v>
      </c>
      <c r="B429" s="22">
        <v>-1.6248226529569376E-4</v>
      </c>
      <c r="C429" s="22"/>
      <c r="D429" s="22"/>
    </row>
    <row r="430" spans="1:4" x14ac:dyDescent="0.25">
      <c r="A430" s="37" t="s">
        <v>373</v>
      </c>
      <c r="B430" s="22">
        <v>-1.7493964151072053E-5</v>
      </c>
      <c r="C430" s="22"/>
      <c r="D430" s="22"/>
    </row>
    <row r="431" spans="1:4" x14ac:dyDescent="0.25">
      <c r="A431" s="37" t="s">
        <v>374</v>
      </c>
      <c r="B431" s="22">
        <v>-1.9750002525142907E-4</v>
      </c>
      <c r="C431" s="22"/>
      <c r="D431" s="22"/>
    </row>
    <row r="432" spans="1:4" x14ac:dyDescent="0.25">
      <c r="A432" s="37" t="s">
        <v>375</v>
      </c>
      <c r="B432" s="22">
        <v>3.7491317925741998E-5</v>
      </c>
      <c r="C432" s="22"/>
      <c r="D432" s="22"/>
    </row>
    <row r="433" spans="1:4" x14ac:dyDescent="0.25">
      <c r="A433" s="37" t="s">
        <v>376</v>
      </c>
      <c r="B433" s="22">
        <v>-1.1250373790971924E-4</v>
      </c>
      <c r="C433" s="22"/>
      <c r="D433" s="22"/>
    </row>
    <row r="434" spans="1:4" x14ac:dyDescent="0.25">
      <c r="A434" s="37" t="s">
        <v>377</v>
      </c>
      <c r="B434" s="22">
        <v>-3.1244753699866123E-4</v>
      </c>
      <c r="C434" s="22"/>
      <c r="D434" s="22"/>
    </row>
    <row r="435" spans="1:4" x14ac:dyDescent="0.25">
      <c r="A435" s="37" t="s">
        <v>378</v>
      </c>
      <c r="B435" s="22">
        <v>-8.3503127825679236E-4</v>
      </c>
      <c r="C435" s="22"/>
      <c r="D435" s="22"/>
    </row>
    <row r="436" spans="1:4" x14ac:dyDescent="0.25">
      <c r="A436" s="37" t="s">
        <v>379</v>
      </c>
      <c r="B436" s="22">
        <v>-7.1749093694961792E-4</v>
      </c>
      <c r="C436" s="22"/>
      <c r="D436" s="22"/>
    </row>
    <row r="437" spans="1:4" x14ac:dyDescent="0.25">
      <c r="A437" s="37" t="s">
        <v>380</v>
      </c>
      <c r="B437" s="22">
        <v>-2.4974347979878008E-5</v>
      </c>
      <c r="C437" s="22"/>
      <c r="D437" s="22"/>
    </row>
    <row r="438" spans="1:4" x14ac:dyDescent="0.25">
      <c r="A438" s="37" t="s">
        <v>381</v>
      </c>
      <c r="B438" s="22">
        <v>-1.4001132967678113E-4</v>
      </c>
      <c r="C438" s="22"/>
      <c r="D438" s="22"/>
    </row>
    <row r="439" spans="1:4" x14ac:dyDescent="0.25">
      <c r="A439" s="37" t="s">
        <v>382</v>
      </c>
      <c r="B439" s="22">
        <v>-4.4253471060073978E-4</v>
      </c>
      <c r="C439" s="22"/>
      <c r="D439" s="22"/>
    </row>
    <row r="440" spans="1:4" x14ac:dyDescent="0.25">
      <c r="A440" s="37" t="s">
        <v>383</v>
      </c>
      <c r="B440" s="22">
        <v>-1.9575059704948199E-3</v>
      </c>
      <c r="C440" s="22"/>
      <c r="D440" s="22"/>
    </row>
    <row r="441" spans="1:4" x14ac:dyDescent="0.25">
      <c r="A441" s="37" t="s">
        <v>384</v>
      </c>
      <c r="B441" s="22">
        <v>-1.8424689769744847E-3</v>
      </c>
      <c r="C441" s="22"/>
      <c r="D441" s="22"/>
    </row>
    <row r="442" spans="1:4" x14ac:dyDescent="0.25">
      <c r="A442" s="37" t="s">
        <v>385</v>
      </c>
      <c r="B442" s="22">
        <v>-1.1025070707546536E-3</v>
      </c>
      <c r="C442" s="22"/>
      <c r="D442" s="22"/>
    </row>
    <row r="443" spans="1:4" x14ac:dyDescent="0.25">
      <c r="A443" s="37" t="s">
        <v>363</v>
      </c>
      <c r="B443" s="22">
        <v>2.7754900656873377E-4</v>
      </c>
      <c r="C443" s="22"/>
      <c r="D443" s="22"/>
    </row>
    <row r="444" spans="1:4" x14ac:dyDescent="0.25">
      <c r="A444" s="2">
        <v>17</v>
      </c>
      <c r="B444" s="22">
        <v>-6.3399078626389424E-5</v>
      </c>
      <c r="C444" s="22"/>
      <c r="D444" s="22"/>
    </row>
    <row r="445" spans="1:4" x14ac:dyDescent="0.25">
      <c r="A445" s="37" t="s">
        <v>364</v>
      </c>
      <c r="B445" s="22">
        <v>1.1675059722620058E-3</v>
      </c>
      <c r="C445" s="22"/>
      <c r="D445" s="22"/>
    </row>
    <row r="446" spans="1:4" x14ac:dyDescent="0.25">
      <c r="A446" s="37" t="s">
        <v>338</v>
      </c>
      <c r="B446" s="22">
        <v>1.3024806612520466E-3</v>
      </c>
      <c r="C446" s="22"/>
      <c r="D446" s="22"/>
    </row>
    <row r="447" spans="1:4" x14ac:dyDescent="0.25">
      <c r="A447" s="37" t="s">
        <v>365</v>
      </c>
      <c r="B447" s="22">
        <v>1.5850067102292074E-3</v>
      </c>
      <c r="C447" s="22"/>
      <c r="D447" s="22"/>
    </row>
    <row r="448" spans="1:4" x14ac:dyDescent="0.25">
      <c r="A448" s="37" t="s">
        <v>366</v>
      </c>
      <c r="B448" s="22">
        <v>1.117497646191622E-3</v>
      </c>
      <c r="C448" s="22"/>
      <c r="D448" s="22"/>
    </row>
    <row r="449" spans="1:4" x14ac:dyDescent="0.25">
      <c r="A449" s="37" t="s">
        <v>367</v>
      </c>
      <c r="B449" s="22">
        <v>-2.1499398280866425E-4</v>
      </c>
      <c r="C449" s="22"/>
      <c r="D449" s="22"/>
    </row>
    <row r="450" spans="1:4" x14ac:dyDescent="0.25">
      <c r="A450" s="37" t="s">
        <v>368</v>
      </c>
      <c r="B450" s="22">
        <v>7.2479238951927874E-5</v>
      </c>
      <c r="C450" s="22"/>
      <c r="D450" s="22"/>
    </row>
    <row r="451" spans="1:4" x14ac:dyDescent="0.25">
      <c r="A451" s="37" t="s">
        <v>369</v>
      </c>
      <c r="B451" s="22">
        <v>7.8251963714137673E-4</v>
      </c>
      <c r="C451" s="22"/>
      <c r="D451" s="22"/>
    </row>
    <row r="452" spans="1:4" x14ac:dyDescent="0.25">
      <c r="A452" s="37" t="s">
        <v>370</v>
      </c>
      <c r="B452" s="22">
        <v>7.2479288974136648E-5</v>
      </c>
      <c r="C452" s="22"/>
      <c r="D452" s="22"/>
    </row>
    <row r="453" spans="1:4" x14ac:dyDescent="0.25">
      <c r="A453" s="37" t="s">
        <v>371</v>
      </c>
      <c r="B453" s="22">
        <v>3.4987962635568665E-5</v>
      </c>
      <c r="C453" s="22"/>
      <c r="D453" s="22"/>
    </row>
    <row r="454" spans="1:4" x14ac:dyDescent="0.25">
      <c r="A454" s="37" t="s">
        <v>372</v>
      </c>
      <c r="B454" s="22">
        <v>-1.6248226529569376E-4</v>
      </c>
      <c r="C454" s="22"/>
      <c r="D454" s="22"/>
    </row>
    <row r="455" spans="1:4" x14ac:dyDescent="0.25">
      <c r="A455" s="37" t="s">
        <v>373</v>
      </c>
      <c r="B455" s="22">
        <v>-1.7493964151072053E-5</v>
      </c>
      <c r="C455" s="22"/>
      <c r="D455" s="22"/>
    </row>
    <row r="456" spans="1:4" x14ac:dyDescent="0.25">
      <c r="A456" s="37" t="s">
        <v>374</v>
      </c>
      <c r="B456" s="22">
        <v>-1.9750002525142907E-4</v>
      </c>
      <c r="C456" s="22"/>
      <c r="D456" s="22"/>
    </row>
    <row r="457" spans="1:4" x14ac:dyDescent="0.25">
      <c r="A457" s="37" t="s">
        <v>375</v>
      </c>
      <c r="B457" s="22">
        <v>3.7491317925741998E-5</v>
      </c>
      <c r="C457" s="22"/>
      <c r="D457" s="22"/>
    </row>
    <row r="458" spans="1:4" x14ac:dyDescent="0.25">
      <c r="A458" s="37" t="s">
        <v>376</v>
      </c>
      <c r="B458" s="22">
        <v>-1.1250373790971924E-4</v>
      </c>
      <c r="C458" s="22"/>
      <c r="D458" s="22"/>
    </row>
    <row r="459" spans="1:4" x14ac:dyDescent="0.25">
      <c r="A459" s="37" t="s">
        <v>377</v>
      </c>
      <c r="B459" s="22">
        <v>-3.1244753699866123E-4</v>
      </c>
      <c r="C459" s="22"/>
      <c r="D459" s="22"/>
    </row>
    <row r="460" spans="1:4" x14ac:dyDescent="0.25">
      <c r="A460" s="37" t="s">
        <v>378</v>
      </c>
      <c r="B460" s="22">
        <v>-8.3503127825679236E-4</v>
      </c>
      <c r="C460" s="22"/>
      <c r="D460" s="22"/>
    </row>
    <row r="461" spans="1:4" x14ac:dyDescent="0.25">
      <c r="A461" s="37" t="s">
        <v>379</v>
      </c>
      <c r="B461" s="22">
        <v>-7.1749093694961792E-4</v>
      </c>
      <c r="C461" s="22"/>
      <c r="D461" s="22"/>
    </row>
    <row r="462" spans="1:4" x14ac:dyDescent="0.25">
      <c r="A462" s="37" t="s">
        <v>380</v>
      </c>
      <c r="B462" s="22">
        <v>-2.4974347979878008E-5</v>
      </c>
      <c r="C462" s="22"/>
      <c r="D462" s="22"/>
    </row>
    <row r="463" spans="1:4" x14ac:dyDescent="0.25">
      <c r="A463" s="37" t="s">
        <v>381</v>
      </c>
      <c r="B463" s="22">
        <v>-1.4001132967678113E-4</v>
      </c>
      <c r="C463" s="22"/>
      <c r="D463" s="22"/>
    </row>
    <row r="464" spans="1:4" x14ac:dyDescent="0.25">
      <c r="A464" s="37" t="s">
        <v>382</v>
      </c>
      <c r="B464" s="22">
        <v>-4.4253471060073978E-4</v>
      </c>
      <c r="C464" s="22"/>
      <c r="D464" s="22"/>
    </row>
    <row r="465" spans="1:4" x14ac:dyDescent="0.25">
      <c r="A465" s="37" t="s">
        <v>383</v>
      </c>
      <c r="B465" s="22">
        <v>-1.9575059704948199E-3</v>
      </c>
      <c r="C465" s="22"/>
      <c r="D465" s="22"/>
    </row>
    <row r="466" spans="1:4" x14ac:dyDescent="0.25">
      <c r="A466" s="37" t="s">
        <v>384</v>
      </c>
      <c r="B466" s="22">
        <v>-1.8424689769744847E-3</v>
      </c>
      <c r="C466" s="22"/>
      <c r="D466" s="22"/>
    </row>
    <row r="467" spans="1:4" x14ac:dyDescent="0.25">
      <c r="A467" s="37" t="s">
        <v>385</v>
      </c>
      <c r="B467" s="22">
        <v>-1.1025070707546536E-3</v>
      </c>
      <c r="C467" s="22"/>
      <c r="D467" s="22"/>
    </row>
    <row r="468" spans="1:4" x14ac:dyDescent="0.25">
      <c r="A468" s="37" t="s">
        <v>386</v>
      </c>
      <c r="B468" s="22">
        <v>4.4971726310905015E-5</v>
      </c>
      <c r="C468" s="22"/>
      <c r="D468" s="22"/>
    </row>
    <row r="469" spans="1:4" x14ac:dyDescent="0.25">
      <c r="A469" s="37" t="s">
        <v>363</v>
      </c>
      <c r="B469" s="22">
        <v>2.7754900656873377E-4</v>
      </c>
      <c r="C469" s="22"/>
      <c r="D469" s="22"/>
    </row>
    <row r="470" spans="1:4" x14ac:dyDescent="0.25">
      <c r="A470" s="2">
        <v>18</v>
      </c>
      <c r="B470" s="22">
        <v>-6.9199801782815541E-5</v>
      </c>
      <c r="C470" s="22"/>
      <c r="D470" s="22"/>
    </row>
    <row r="471" spans="1:4" x14ac:dyDescent="0.25">
      <c r="A471" s="37" t="s">
        <v>364</v>
      </c>
      <c r="B471" s="22">
        <v>1.1675059722620058E-3</v>
      </c>
      <c r="C471" s="22"/>
      <c r="D471" s="22"/>
    </row>
    <row r="472" spans="1:4" x14ac:dyDescent="0.25">
      <c r="A472" s="37" t="s">
        <v>338</v>
      </c>
      <c r="B472" s="22">
        <v>1.3024806612520466E-3</v>
      </c>
      <c r="C472" s="22"/>
      <c r="D472" s="22"/>
    </row>
    <row r="473" spans="1:4" x14ac:dyDescent="0.25">
      <c r="A473" s="37" t="s">
        <v>365</v>
      </c>
      <c r="B473" s="22">
        <v>1.5850067102292074E-3</v>
      </c>
      <c r="C473" s="22"/>
      <c r="D473" s="22"/>
    </row>
    <row r="474" spans="1:4" x14ac:dyDescent="0.25">
      <c r="A474" s="37" t="s">
        <v>366</v>
      </c>
      <c r="B474" s="22">
        <v>1.117497646191622E-3</v>
      </c>
      <c r="C474" s="22"/>
      <c r="D474" s="22"/>
    </row>
    <row r="475" spans="1:4" x14ac:dyDescent="0.25">
      <c r="A475" s="37" t="s">
        <v>367</v>
      </c>
      <c r="B475" s="22">
        <v>-2.1499398280866425E-4</v>
      </c>
      <c r="C475" s="22"/>
      <c r="D475" s="22"/>
    </row>
    <row r="476" spans="1:4" x14ac:dyDescent="0.25">
      <c r="A476" s="37" t="s">
        <v>368</v>
      </c>
      <c r="B476" s="22">
        <v>7.2479238951927874E-5</v>
      </c>
      <c r="C476" s="22"/>
      <c r="D476" s="22"/>
    </row>
    <row r="477" spans="1:4" x14ac:dyDescent="0.25">
      <c r="A477" s="37" t="s">
        <v>369</v>
      </c>
      <c r="B477" s="22">
        <v>7.8251963714137673E-4</v>
      </c>
      <c r="C477" s="22"/>
      <c r="D477" s="22"/>
    </row>
    <row r="478" spans="1:4" x14ac:dyDescent="0.25">
      <c r="A478" s="37" t="s">
        <v>370</v>
      </c>
      <c r="B478" s="22">
        <v>7.2479288974136648E-5</v>
      </c>
      <c r="C478" s="22"/>
      <c r="D478" s="22"/>
    </row>
    <row r="479" spans="1:4" x14ac:dyDescent="0.25">
      <c r="A479" s="37" t="s">
        <v>371</v>
      </c>
      <c r="B479" s="22">
        <v>3.4987962635568665E-5</v>
      </c>
      <c r="C479" s="22"/>
      <c r="D479" s="22"/>
    </row>
    <row r="480" spans="1:4" x14ac:dyDescent="0.25">
      <c r="A480" s="37" t="s">
        <v>372</v>
      </c>
      <c r="B480" s="22">
        <v>-1.6248226529569376E-4</v>
      </c>
      <c r="C480" s="22"/>
      <c r="D480" s="22"/>
    </row>
    <row r="481" spans="1:4" x14ac:dyDescent="0.25">
      <c r="A481" s="37" t="s">
        <v>373</v>
      </c>
      <c r="B481" s="22">
        <v>-1.7493964151072053E-5</v>
      </c>
      <c r="C481" s="22"/>
      <c r="D481" s="22"/>
    </row>
    <row r="482" spans="1:4" x14ac:dyDescent="0.25">
      <c r="A482" s="37" t="s">
        <v>374</v>
      </c>
      <c r="B482" s="22">
        <v>-1.9750002525142907E-4</v>
      </c>
      <c r="C482" s="22"/>
      <c r="D482" s="22"/>
    </row>
    <row r="483" spans="1:4" x14ac:dyDescent="0.25">
      <c r="A483" s="37" t="s">
        <v>375</v>
      </c>
      <c r="B483" s="22">
        <v>3.7491317925741998E-5</v>
      </c>
      <c r="C483" s="22"/>
      <c r="D483" s="22"/>
    </row>
    <row r="484" spans="1:4" x14ac:dyDescent="0.25">
      <c r="A484" s="37" t="s">
        <v>376</v>
      </c>
      <c r="B484" s="22">
        <v>-1.1250373790971924E-4</v>
      </c>
      <c r="C484" s="22"/>
      <c r="D484" s="22"/>
    </row>
    <row r="485" spans="1:4" x14ac:dyDescent="0.25">
      <c r="A485" s="37" t="s">
        <v>377</v>
      </c>
      <c r="B485" s="22">
        <v>-3.1244753699866123E-4</v>
      </c>
      <c r="C485" s="22"/>
      <c r="D485" s="22"/>
    </row>
    <row r="486" spans="1:4" x14ac:dyDescent="0.25">
      <c r="A486" s="37" t="s">
        <v>378</v>
      </c>
      <c r="B486" s="22">
        <v>-8.3503127825679236E-4</v>
      </c>
      <c r="C486" s="22"/>
      <c r="D486" s="22"/>
    </row>
    <row r="487" spans="1:4" x14ac:dyDescent="0.25">
      <c r="A487" s="37" t="s">
        <v>379</v>
      </c>
      <c r="B487" s="22">
        <v>-7.1749093694961792E-4</v>
      </c>
      <c r="C487" s="22"/>
      <c r="D487" s="22"/>
    </row>
    <row r="488" spans="1:4" x14ac:dyDescent="0.25">
      <c r="A488" s="37" t="s">
        <v>380</v>
      </c>
      <c r="B488" s="22">
        <v>-2.4974347979878008E-5</v>
      </c>
      <c r="C488" s="22"/>
      <c r="D488" s="22"/>
    </row>
    <row r="489" spans="1:4" x14ac:dyDescent="0.25">
      <c r="A489" s="37" t="s">
        <v>381</v>
      </c>
      <c r="B489" s="22">
        <v>-1.4001132967678113E-4</v>
      </c>
      <c r="C489" s="22"/>
      <c r="D489" s="22"/>
    </row>
    <row r="490" spans="1:4" x14ac:dyDescent="0.25">
      <c r="A490" s="37" t="s">
        <v>382</v>
      </c>
      <c r="B490" s="22">
        <v>-4.4253471060073978E-4</v>
      </c>
      <c r="C490" s="22"/>
      <c r="D490" s="22"/>
    </row>
    <row r="491" spans="1:4" x14ac:dyDescent="0.25">
      <c r="A491" s="37" t="s">
        <v>383</v>
      </c>
      <c r="B491" s="22">
        <v>-1.9575059704948199E-3</v>
      </c>
      <c r="C491" s="22"/>
      <c r="D491" s="22"/>
    </row>
    <row r="492" spans="1:4" x14ac:dyDescent="0.25">
      <c r="A492" s="37" t="s">
        <v>384</v>
      </c>
      <c r="B492" s="22">
        <v>-1.8424689769744847E-3</v>
      </c>
      <c r="C492" s="22"/>
      <c r="D492" s="22"/>
    </row>
    <row r="493" spans="1:4" x14ac:dyDescent="0.25">
      <c r="A493" s="37" t="s">
        <v>385</v>
      </c>
      <c r="B493" s="22">
        <v>-1.1025070707546536E-3</v>
      </c>
      <c r="C493" s="22"/>
      <c r="D493" s="22"/>
    </row>
    <row r="494" spans="1:4" x14ac:dyDescent="0.25">
      <c r="A494" s="37" t="s">
        <v>386</v>
      </c>
      <c r="B494" s="22">
        <v>4.4971726310905015E-5</v>
      </c>
      <c r="C494" s="22"/>
      <c r="D494" s="22"/>
    </row>
    <row r="495" spans="1:4" x14ac:dyDescent="0.25">
      <c r="A495" s="37" t="s">
        <v>387</v>
      </c>
      <c r="B495" s="22">
        <v>1.3253092765808076E-4</v>
      </c>
      <c r="C495" s="22"/>
      <c r="D495" s="22"/>
    </row>
    <row r="496" spans="1:4" x14ac:dyDescent="0.25">
      <c r="A496" s="2">
        <v>19</v>
      </c>
      <c r="B496" s="22">
        <v>-1.5490055184272944E-4</v>
      </c>
      <c r="C496" s="22"/>
      <c r="D496" s="22"/>
    </row>
    <row r="497" spans="1:4" x14ac:dyDescent="0.25">
      <c r="A497" s="37" t="s">
        <v>338</v>
      </c>
      <c r="B497" s="22">
        <v>1.3024806612520466E-3</v>
      </c>
      <c r="C497" s="22"/>
      <c r="D497" s="22"/>
    </row>
    <row r="498" spans="1:4" x14ac:dyDescent="0.25">
      <c r="A498" s="37" t="s">
        <v>365</v>
      </c>
      <c r="B498" s="22">
        <v>1.5850067102292074E-3</v>
      </c>
      <c r="C498" s="22"/>
      <c r="D498" s="22"/>
    </row>
    <row r="499" spans="1:4" x14ac:dyDescent="0.25">
      <c r="A499" s="37" t="s">
        <v>366</v>
      </c>
      <c r="B499" s="22">
        <v>1.117497646191622E-3</v>
      </c>
      <c r="C499" s="22"/>
      <c r="D499" s="22"/>
    </row>
    <row r="500" spans="1:4" x14ac:dyDescent="0.25">
      <c r="A500" s="37" t="s">
        <v>367</v>
      </c>
      <c r="B500" s="22">
        <v>-2.1499398280866425E-4</v>
      </c>
      <c r="C500" s="22"/>
      <c r="D500" s="22"/>
    </row>
    <row r="501" spans="1:4" x14ac:dyDescent="0.25">
      <c r="A501" s="37" t="s">
        <v>368</v>
      </c>
      <c r="B501" s="22">
        <v>7.2479238951927874E-5</v>
      </c>
      <c r="C501" s="22"/>
      <c r="D501" s="22"/>
    </row>
    <row r="502" spans="1:4" x14ac:dyDescent="0.25">
      <c r="A502" s="37" t="s">
        <v>369</v>
      </c>
      <c r="B502" s="22">
        <v>7.8251963714137673E-4</v>
      </c>
      <c r="C502" s="22"/>
      <c r="D502" s="22"/>
    </row>
    <row r="503" spans="1:4" x14ac:dyDescent="0.25">
      <c r="A503" s="37" t="s">
        <v>370</v>
      </c>
      <c r="B503" s="22">
        <v>7.2479288974136648E-5</v>
      </c>
      <c r="C503" s="22"/>
      <c r="D503" s="22"/>
    </row>
    <row r="504" spans="1:4" x14ac:dyDescent="0.25">
      <c r="A504" s="37" t="s">
        <v>371</v>
      </c>
      <c r="B504" s="22">
        <v>3.4987962635568665E-5</v>
      </c>
      <c r="C504" s="22"/>
      <c r="D504" s="22"/>
    </row>
    <row r="505" spans="1:4" x14ac:dyDescent="0.25">
      <c r="A505" s="37" t="s">
        <v>372</v>
      </c>
      <c r="B505" s="22">
        <v>-1.6248226529569376E-4</v>
      </c>
      <c r="C505" s="22"/>
      <c r="D505" s="22"/>
    </row>
    <row r="506" spans="1:4" x14ac:dyDescent="0.25">
      <c r="A506" s="37" t="s">
        <v>373</v>
      </c>
      <c r="B506" s="22">
        <v>-1.7493964151072053E-5</v>
      </c>
      <c r="C506" s="22"/>
      <c r="D506" s="22"/>
    </row>
    <row r="507" spans="1:4" x14ac:dyDescent="0.25">
      <c r="A507" s="37" t="s">
        <v>374</v>
      </c>
      <c r="B507" s="22">
        <v>-1.9750002525142907E-4</v>
      </c>
      <c r="C507" s="22"/>
      <c r="D507" s="22"/>
    </row>
    <row r="508" spans="1:4" x14ac:dyDescent="0.25">
      <c r="A508" s="37" t="s">
        <v>375</v>
      </c>
      <c r="B508" s="22">
        <v>3.7491317925741998E-5</v>
      </c>
      <c r="C508" s="22"/>
      <c r="D508" s="22"/>
    </row>
    <row r="509" spans="1:4" x14ac:dyDescent="0.25">
      <c r="A509" s="37" t="s">
        <v>376</v>
      </c>
      <c r="B509" s="22">
        <v>-1.1250373790971924E-4</v>
      </c>
      <c r="C509" s="22"/>
      <c r="D509" s="22"/>
    </row>
    <row r="510" spans="1:4" x14ac:dyDescent="0.25">
      <c r="A510" s="37" t="s">
        <v>377</v>
      </c>
      <c r="B510" s="22">
        <v>-3.1244753699866123E-4</v>
      </c>
      <c r="C510" s="22"/>
      <c r="D510" s="22"/>
    </row>
    <row r="511" spans="1:4" x14ac:dyDescent="0.25">
      <c r="A511" s="37" t="s">
        <v>378</v>
      </c>
      <c r="B511" s="22">
        <v>-8.3503127825679236E-4</v>
      </c>
      <c r="C511" s="22"/>
      <c r="D511" s="22"/>
    </row>
    <row r="512" spans="1:4" x14ac:dyDescent="0.25">
      <c r="A512" s="37" t="s">
        <v>379</v>
      </c>
      <c r="B512" s="22">
        <v>-7.1749093694961792E-4</v>
      </c>
      <c r="C512" s="22"/>
      <c r="D512" s="22"/>
    </row>
    <row r="513" spans="1:4" x14ac:dyDescent="0.25">
      <c r="A513" s="37" t="s">
        <v>380</v>
      </c>
      <c r="B513" s="22">
        <v>-2.4974347979878008E-5</v>
      </c>
      <c r="C513" s="22"/>
      <c r="D513" s="22"/>
    </row>
    <row r="514" spans="1:4" x14ac:dyDescent="0.25">
      <c r="A514" s="37" t="s">
        <v>381</v>
      </c>
      <c r="B514" s="22">
        <v>-1.4001132967678113E-4</v>
      </c>
      <c r="C514" s="22"/>
      <c r="D514" s="22"/>
    </row>
    <row r="515" spans="1:4" x14ac:dyDescent="0.25">
      <c r="A515" s="37" t="s">
        <v>382</v>
      </c>
      <c r="B515" s="22">
        <v>-4.4253471060073978E-4</v>
      </c>
      <c r="C515" s="22"/>
      <c r="D515" s="22"/>
    </row>
    <row r="516" spans="1:4" x14ac:dyDescent="0.25">
      <c r="A516" s="37" t="s">
        <v>383</v>
      </c>
      <c r="B516" s="22">
        <v>-1.9575059704948199E-3</v>
      </c>
      <c r="C516" s="22"/>
      <c r="D516" s="22"/>
    </row>
    <row r="517" spans="1:4" x14ac:dyDescent="0.25">
      <c r="A517" s="37" t="s">
        <v>384</v>
      </c>
      <c r="B517" s="22">
        <v>-1.8424689769744847E-3</v>
      </c>
      <c r="C517" s="22"/>
      <c r="D517" s="22"/>
    </row>
    <row r="518" spans="1:4" x14ac:dyDescent="0.25">
      <c r="A518" s="37" t="s">
        <v>385</v>
      </c>
      <c r="B518" s="22">
        <v>-1.1025070707546536E-3</v>
      </c>
      <c r="C518" s="22"/>
      <c r="D518" s="22"/>
    </row>
    <row r="519" spans="1:4" x14ac:dyDescent="0.25">
      <c r="A519" s="37" t="s">
        <v>386</v>
      </c>
      <c r="B519" s="22">
        <v>4.4971726310905015E-5</v>
      </c>
      <c r="C519" s="22"/>
      <c r="D519" s="22"/>
    </row>
    <row r="520" spans="1:4" x14ac:dyDescent="0.25">
      <c r="A520" s="37" t="s">
        <v>387</v>
      </c>
      <c r="B520" s="22">
        <v>1.3253092765808076E-4</v>
      </c>
      <c r="C520" s="22"/>
      <c r="D520" s="22"/>
    </row>
    <row r="521" spans="1:4" x14ac:dyDescent="0.25">
      <c r="A521" s="37" t="s">
        <v>388</v>
      </c>
      <c r="B521" s="22">
        <v>-9.7501277923584114E-4</v>
      </c>
      <c r="C521" s="22"/>
      <c r="D521" s="22"/>
    </row>
    <row r="522" spans="1:4" x14ac:dyDescent="0.25">
      <c r="A522" s="2">
        <v>20</v>
      </c>
      <c r="B522" s="22">
        <v>-2.2979974595727985E-4</v>
      </c>
      <c r="C522" s="22"/>
      <c r="D522" s="22"/>
    </row>
    <row r="523" spans="1:4" x14ac:dyDescent="0.25">
      <c r="A523" s="37" t="s">
        <v>365</v>
      </c>
      <c r="B523" s="22">
        <v>1.5850067102292074E-3</v>
      </c>
      <c r="C523" s="22"/>
      <c r="D523" s="22"/>
    </row>
    <row r="524" spans="1:4" x14ac:dyDescent="0.25">
      <c r="A524" s="37" t="s">
        <v>366</v>
      </c>
      <c r="B524" s="22">
        <v>1.117497646191622E-3</v>
      </c>
      <c r="C524" s="22"/>
      <c r="D524" s="22"/>
    </row>
    <row r="525" spans="1:4" x14ac:dyDescent="0.25">
      <c r="A525" s="37" t="s">
        <v>367</v>
      </c>
      <c r="B525" s="22">
        <v>-2.1499398280866425E-4</v>
      </c>
      <c r="C525" s="22"/>
      <c r="D525" s="22"/>
    </row>
    <row r="526" spans="1:4" x14ac:dyDescent="0.25">
      <c r="A526" s="37" t="s">
        <v>368</v>
      </c>
      <c r="B526" s="22">
        <v>7.2479238951927874E-5</v>
      </c>
      <c r="C526" s="22"/>
      <c r="D526" s="22"/>
    </row>
    <row r="527" spans="1:4" x14ac:dyDescent="0.25">
      <c r="A527" s="37" t="s">
        <v>369</v>
      </c>
      <c r="B527" s="22">
        <v>7.8251963714137673E-4</v>
      </c>
      <c r="C527" s="22"/>
      <c r="D527" s="22"/>
    </row>
    <row r="528" spans="1:4" x14ac:dyDescent="0.25">
      <c r="A528" s="37" t="s">
        <v>370</v>
      </c>
      <c r="B528" s="22">
        <v>7.2479288974136648E-5</v>
      </c>
      <c r="C528" s="22"/>
      <c r="D528" s="22"/>
    </row>
    <row r="529" spans="1:4" x14ac:dyDescent="0.25">
      <c r="A529" s="37" t="s">
        <v>371</v>
      </c>
      <c r="B529" s="22">
        <v>3.4987962635568665E-5</v>
      </c>
      <c r="C529" s="22"/>
      <c r="D529" s="22"/>
    </row>
    <row r="530" spans="1:4" x14ac:dyDescent="0.25">
      <c r="A530" s="37" t="s">
        <v>372</v>
      </c>
      <c r="B530" s="22">
        <v>-1.6248226529569376E-4</v>
      </c>
      <c r="C530" s="22"/>
      <c r="D530" s="22"/>
    </row>
    <row r="531" spans="1:4" x14ac:dyDescent="0.25">
      <c r="A531" s="37" t="s">
        <v>373</v>
      </c>
      <c r="B531" s="22">
        <v>-1.7493964151072053E-5</v>
      </c>
      <c r="C531" s="22"/>
      <c r="D531" s="22"/>
    </row>
    <row r="532" spans="1:4" x14ac:dyDescent="0.25">
      <c r="A532" s="37" t="s">
        <v>374</v>
      </c>
      <c r="B532" s="22">
        <v>-1.9750002525142907E-4</v>
      </c>
      <c r="C532" s="22"/>
      <c r="D532" s="22"/>
    </row>
    <row r="533" spans="1:4" x14ac:dyDescent="0.25">
      <c r="A533" s="37" t="s">
        <v>375</v>
      </c>
      <c r="B533" s="22">
        <v>3.7491317925741998E-5</v>
      </c>
      <c r="C533" s="22"/>
      <c r="D533" s="22"/>
    </row>
    <row r="534" spans="1:4" x14ac:dyDescent="0.25">
      <c r="A534" s="37" t="s">
        <v>376</v>
      </c>
      <c r="B534" s="22">
        <v>-1.1250373790971924E-4</v>
      </c>
      <c r="C534" s="22"/>
      <c r="D534" s="22"/>
    </row>
    <row r="535" spans="1:4" x14ac:dyDescent="0.25">
      <c r="A535" s="37" t="s">
        <v>377</v>
      </c>
      <c r="B535" s="22">
        <v>-3.1244753699866123E-4</v>
      </c>
      <c r="C535" s="22"/>
      <c r="D535" s="22"/>
    </row>
    <row r="536" spans="1:4" x14ac:dyDescent="0.25">
      <c r="A536" s="37" t="s">
        <v>378</v>
      </c>
      <c r="B536" s="22">
        <v>-8.3503127825679236E-4</v>
      </c>
      <c r="C536" s="22"/>
      <c r="D536" s="22"/>
    </row>
    <row r="537" spans="1:4" x14ac:dyDescent="0.25">
      <c r="A537" s="37" t="s">
        <v>379</v>
      </c>
      <c r="B537" s="22">
        <v>-7.1749093694961792E-4</v>
      </c>
      <c r="C537" s="22"/>
      <c r="D537" s="22"/>
    </row>
    <row r="538" spans="1:4" x14ac:dyDescent="0.25">
      <c r="A538" s="37" t="s">
        <v>380</v>
      </c>
      <c r="B538" s="22">
        <v>-2.4974347979878008E-5</v>
      </c>
      <c r="C538" s="22"/>
      <c r="D538" s="22"/>
    </row>
    <row r="539" spans="1:4" x14ac:dyDescent="0.25">
      <c r="A539" s="37" t="s">
        <v>381</v>
      </c>
      <c r="B539" s="22">
        <v>-1.4001132967678113E-4</v>
      </c>
      <c r="C539" s="22"/>
      <c r="D539" s="22"/>
    </row>
    <row r="540" spans="1:4" x14ac:dyDescent="0.25">
      <c r="A540" s="37" t="s">
        <v>382</v>
      </c>
      <c r="B540" s="22">
        <v>-4.4253471060073978E-4</v>
      </c>
      <c r="C540" s="22"/>
      <c r="D540" s="22"/>
    </row>
    <row r="541" spans="1:4" x14ac:dyDescent="0.25">
      <c r="A541" s="37" t="s">
        <v>383</v>
      </c>
      <c r="B541" s="22">
        <v>-1.9575059704948199E-3</v>
      </c>
      <c r="C541" s="22"/>
      <c r="D541" s="22"/>
    </row>
    <row r="542" spans="1:4" x14ac:dyDescent="0.25">
      <c r="A542" s="37" t="s">
        <v>384</v>
      </c>
      <c r="B542" s="22">
        <v>-1.8424689769744847E-3</v>
      </c>
      <c r="C542" s="22"/>
      <c r="D542" s="22"/>
    </row>
    <row r="543" spans="1:4" x14ac:dyDescent="0.25">
      <c r="A543" s="37" t="s">
        <v>385</v>
      </c>
      <c r="B543" s="22">
        <v>-1.1025070707546536E-3</v>
      </c>
      <c r="C543" s="22"/>
      <c r="D543" s="22"/>
    </row>
    <row r="544" spans="1:4" x14ac:dyDescent="0.25">
      <c r="A544" s="37" t="s">
        <v>386</v>
      </c>
      <c r="B544" s="22">
        <v>4.4971726310905015E-5</v>
      </c>
      <c r="C544" s="22"/>
      <c r="D544" s="22"/>
    </row>
    <row r="545" spans="1:4" x14ac:dyDescent="0.25">
      <c r="A545" s="37" t="s">
        <v>387</v>
      </c>
      <c r="B545" s="22">
        <v>1.3253092765808076E-4</v>
      </c>
      <c r="C545" s="22"/>
      <c r="D545" s="22"/>
    </row>
    <row r="546" spans="1:4" x14ac:dyDescent="0.25">
      <c r="A546" s="37" t="s">
        <v>388</v>
      </c>
      <c r="B546" s="22">
        <v>-9.7501277923584114E-4</v>
      </c>
      <c r="C546" s="22"/>
      <c r="D546" s="22"/>
    </row>
    <row r="547" spans="1:4" x14ac:dyDescent="0.25">
      <c r="A547" s="37" t="s">
        <v>389</v>
      </c>
      <c r="B547" s="22">
        <v>-5.6999919161171354E-4</v>
      </c>
      <c r="C547" s="22"/>
      <c r="D547" s="22"/>
    </row>
    <row r="548" spans="1:4" x14ac:dyDescent="0.25">
      <c r="A548" s="2">
        <v>21</v>
      </c>
      <c r="B548" s="22">
        <v>-2.9459952918841736E-4</v>
      </c>
      <c r="C548" s="22"/>
      <c r="D548" s="22"/>
    </row>
    <row r="549" spans="1:4" x14ac:dyDescent="0.25">
      <c r="A549" s="37" t="s">
        <v>366</v>
      </c>
      <c r="B549" s="22">
        <v>1.117497646191622E-3</v>
      </c>
      <c r="C549" s="22"/>
      <c r="D549" s="22"/>
    </row>
    <row r="550" spans="1:4" x14ac:dyDescent="0.25">
      <c r="A550" s="37" t="s">
        <v>367</v>
      </c>
      <c r="B550" s="22">
        <v>-2.1499398280866425E-4</v>
      </c>
      <c r="C550" s="22"/>
      <c r="D550" s="22"/>
    </row>
    <row r="551" spans="1:4" x14ac:dyDescent="0.25">
      <c r="A551" s="37" t="s">
        <v>368</v>
      </c>
      <c r="B551" s="22">
        <v>7.2479238951927874E-5</v>
      </c>
      <c r="C551" s="22"/>
      <c r="D551" s="22"/>
    </row>
    <row r="552" spans="1:4" x14ac:dyDescent="0.25">
      <c r="A552" s="37" t="s">
        <v>369</v>
      </c>
      <c r="B552" s="22">
        <v>7.8251963714137673E-4</v>
      </c>
      <c r="C552" s="22"/>
      <c r="D552" s="22"/>
    </row>
    <row r="553" spans="1:4" x14ac:dyDescent="0.25">
      <c r="A553" s="37" t="s">
        <v>370</v>
      </c>
      <c r="B553" s="22">
        <v>7.2479288974136648E-5</v>
      </c>
      <c r="C553" s="22"/>
      <c r="D553" s="22"/>
    </row>
    <row r="554" spans="1:4" x14ac:dyDescent="0.25">
      <c r="A554" s="37" t="s">
        <v>371</v>
      </c>
      <c r="B554" s="22">
        <v>3.4987962635568665E-5</v>
      </c>
      <c r="C554" s="22"/>
      <c r="D554" s="22"/>
    </row>
    <row r="555" spans="1:4" x14ac:dyDescent="0.25">
      <c r="A555" s="37" t="s">
        <v>372</v>
      </c>
      <c r="B555" s="22">
        <v>-1.6248226529569376E-4</v>
      </c>
      <c r="C555" s="22"/>
      <c r="D555" s="22"/>
    </row>
    <row r="556" spans="1:4" x14ac:dyDescent="0.25">
      <c r="A556" s="37" t="s">
        <v>373</v>
      </c>
      <c r="B556" s="22">
        <v>-1.7493964151072053E-5</v>
      </c>
      <c r="C556" s="22"/>
      <c r="D556" s="22"/>
    </row>
    <row r="557" spans="1:4" x14ac:dyDescent="0.25">
      <c r="A557" s="37" t="s">
        <v>374</v>
      </c>
      <c r="B557" s="22">
        <v>-1.9750002525142907E-4</v>
      </c>
      <c r="C557" s="22"/>
      <c r="D557" s="22"/>
    </row>
    <row r="558" spans="1:4" x14ac:dyDescent="0.25">
      <c r="A558" s="37" t="s">
        <v>375</v>
      </c>
      <c r="B558" s="22">
        <v>3.7491317925741998E-5</v>
      </c>
      <c r="C558" s="22"/>
      <c r="D558" s="22"/>
    </row>
    <row r="559" spans="1:4" x14ac:dyDescent="0.25">
      <c r="A559" s="37" t="s">
        <v>376</v>
      </c>
      <c r="B559" s="22">
        <v>-1.1250373790971924E-4</v>
      </c>
      <c r="C559" s="22"/>
      <c r="D559" s="22"/>
    </row>
    <row r="560" spans="1:4" x14ac:dyDescent="0.25">
      <c r="A560" s="37" t="s">
        <v>377</v>
      </c>
      <c r="B560" s="22">
        <v>-3.1244753699866123E-4</v>
      </c>
      <c r="C560" s="22"/>
      <c r="D560" s="22"/>
    </row>
    <row r="561" spans="1:4" x14ac:dyDescent="0.25">
      <c r="A561" s="37" t="s">
        <v>378</v>
      </c>
      <c r="B561" s="22">
        <v>-8.3503127825679236E-4</v>
      </c>
      <c r="C561" s="22"/>
      <c r="D561" s="22"/>
    </row>
    <row r="562" spans="1:4" x14ac:dyDescent="0.25">
      <c r="A562" s="37" t="s">
        <v>379</v>
      </c>
      <c r="B562" s="22">
        <v>-7.1749093694961792E-4</v>
      </c>
      <c r="C562" s="22"/>
      <c r="D562" s="22"/>
    </row>
    <row r="563" spans="1:4" x14ac:dyDescent="0.25">
      <c r="A563" s="37" t="s">
        <v>380</v>
      </c>
      <c r="B563" s="22">
        <v>-2.4974347979878008E-5</v>
      </c>
      <c r="C563" s="22"/>
      <c r="D563" s="22"/>
    </row>
    <row r="564" spans="1:4" x14ac:dyDescent="0.25">
      <c r="A564" s="37" t="s">
        <v>381</v>
      </c>
      <c r="B564" s="22">
        <v>-1.4001132967678113E-4</v>
      </c>
      <c r="C564" s="22"/>
      <c r="D564" s="22"/>
    </row>
    <row r="565" spans="1:4" x14ac:dyDescent="0.25">
      <c r="A565" s="37" t="s">
        <v>382</v>
      </c>
      <c r="B565" s="22">
        <v>-4.4253471060073978E-4</v>
      </c>
      <c r="C565" s="22"/>
      <c r="D565" s="22"/>
    </row>
    <row r="566" spans="1:4" x14ac:dyDescent="0.25">
      <c r="A566" s="37" t="s">
        <v>383</v>
      </c>
      <c r="B566" s="22">
        <v>-1.9575059704948199E-3</v>
      </c>
      <c r="C566" s="22"/>
      <c r="D566" s="22"/>
    </row>
    <row r="567" spans="1:4" x14ac:dyDescent="0.25">
      <c r="A567" s="37" t="s">
        <v>384</v>
      </c>
      <c r="B567" s="22">
        <v>-1.8424689769744847E-3</v>
      </c>
      <c r="C567" s="22"/>
      <c r="D567" s="22"/>
    </row>
    <row r="568" spans="1:4" x14ac:dyDescent="0.25">
      <c r="A568" s="37" t="s">
        <v>385</v>
      </c>
      <c r="B568" s="22">
        <v>-1.1025070707546536E-3</v>
      </c>
      <c r="C568" s="22"/>
      <c r="D568" s="22"/>
    </row>
    <row r="569" spans="1:4" x14ac:dyDescent="0.25">
      <c r="A569" s="37" t="s">
        <v>386</v>
      </c>
      <c r="B569" s="22">
        <v>4.4971726310905015E-5</v>
      </c>
      <c r="C569" s="22"/>
      <c r="D569" s="22"/>
    </row>
    <row r="570" spans="1:4" x14ac:dyDescent="0.25">
      <c r="A570" s="37" t="s">
        <v>387</v>
      </c>
      <c r="B570" s="22">
        <v>1.3253092765808076E-4</v>
      </c>
      <c r="C570" s="22"/>
      <c r="D570" s="22"/>
    </row>
    <row r="571" spans="1:4" x14ac:dyDescent="0.25">
      <c r="A571" s="37" t="s">
        <v>388</v>
      </c>
      <c r="B571" s="22">
        <v>-9.7501277923584114E-4</v>
      </c>
      <c r="C571" s="22"/>
      <c r="D571" s="22"/>
    </row>
    <row r="572" spans="1:4" x14ac:dyDescent="0.25">
      <c r="A572" s="37" t="s">
        <v>389</v>
      </c>
      <c r="B572" s="22">
        <v>-5.6999919161171354E-4</v>
      </c>
      <c r="C572" s="22"/>
      <c r="D572" s="22"/>
    </row>
    <row r="573" spans="1:4" x14ac:dyDescent="0.25">
      <c r="A573" s="37" t="s">
        <v>390</v>
      </c>
      <c r="B573" s="22">
        <v>-3.4987870549230124E-5</v>
      </c>
      <c r="C573" s="22"/>
      <c r="D573" s="22"/>
    </row>
    <row r="574" spans="1:4" x14ac:dyDescent="0.25">
      <c r="A574" s="2">
        <v>22</v>
      </c>
      <c r="B574" s="22">
        <v>-3.4919857421300543E-4</v>
      </c>
      <c r="C574" s="22"/>
      <c r="D574" s="22"/>
    </row>
    <row r="575" spans="1:4" x14ac:dyDescent="0.25">
      <c r="A575" s="37" t="s">
        <v>367</v>
      </c>
      <c r="B575" s="22">
        <v>-2.1499398280866425E-4</v>
      </c>
      <c r="C575" s="22"/>
      <c r="D575" s="22"/>
    </row>
    <row r="576" spans="1:4" x14ac:dyDescent="0.25">
      <c r="A576" s="37" t="s">
        <v>368</v>
      </c>
      <c r="B576" s="22">
        <v>7.2479238951927874E-5</v>
      </c>
      <c r="C576" s="22"/>
      <c r="D576" s="22"/>
    </row>
    <row r="577" spans="1:4" x14ac:dyDescent="0.25">
      <c r="A577" s="37" t="s">
        <v>369</v>
      </c>
      <c r="B577" s="22">
        <v>7.8251963714137673E-4</v>
      </c>
      <c r="C577" s="22"/>
      <c r="D577" s="22"/>
    </row>
    <row r="578" spans="1:4" x14ac:dyDescent="0.25">
      <c r="A578" s="37" t="s">
        <v>370</v>
      </c>
      <c r="B578" s="22">
        <v>7.2479288974136648E-5</v>
      </c>
      <c r="C578" s="22"/>
      <c r="D578" s="22"/>
    </row>
    <row r="579" spans="1:4" x14ac:dyDescent="0.25">
      <c r="A579" s="37" t="s">
        <v>371</v>
      </c>
      <c r="B579" s="22">
        <v>3.4987962635568665E-5</v>
      </c>
      <c r="C579" s="22"/>
      <c r="D579" s="22"/>
    </row>
    <row r="580" spans="1:4" x14ac:dyDescent="0.25">
      <c r="A580" s="37" t="s">
        <v>372</v>
      </c>
      <c r="B580" s="22">
        <v>-1.6248226529569376E-4</v>
      </c>
      <c r="C580" s="22"/>
      <c r="D580" s="22"/>
    </row>
    <row r="581" spans="1:4" x14ac:dyDescent="0.25">
      <c r="A581" s="37" t="s">
        <v>373</v>
      </c>
      <c r="B581" s="22">
        <v>-1.7493964151072053E-5</v>
      </c>
      <c r="C581" s="22"/>
      <c r="D581" s="22"/>
    </row>
    <row r="582" spans="1:4" x14ac:dyDescent="0.25">
      <c r="A582" s="37" t="s">
        <v>374</v>
      </c>
      <c r="B582" s="22">
        <v>-1.9750002525142907E-4</v>
      </c>
      <c r="C582" s="22"/>
      <c r="D582" s="22"/>
    </row>
    <row r="583" spans="1:4" x14ac:dyDescent="0.25">
      <c r="A583" s="37" t="s">
        <v>375</v>
      </c>
      <c r="B583" s="22">
        <v>3.7491317925741998E-5</v>
      </c>
      <c r="C583" s="22"/>
      <c r="D583" s="22"/>
    </row>
    <row r="584" spans="1:4" x14ac:dyDescent="0.25">
      <c r="A584" s="37" t="s">
        <v>376</v>
      </c>
      <c r="B584" s="22">
        <v>-1.1250373790971924E-4</v>
      </c>
      <c r="C584" s="22"/>
      <c r="D584" s="22"/>
    </row>
    <row r="585" spans="1:4" x14ac:dyDescent="0.25">
      <c r="A585" s="37" t="s">
        <v>377</v>
      </c>
      <c r="B585" s="22">
        <v>-3.1244753699866123E-4</v>
      </c>
      <c r="C585" s="22"/>
      <c r="D585" s="22"/>
    </row>
    <row r="586" spans="1:4" x14ac:dyDescent="0.25">
      <c r="A586" s="37" t="s">
        <v>378</v>
      </c>
      <c r="B586" s="22">
        <v>-8.3503127825679236E-4</v>
      </c>
      <c r="C586" s="22"/>
      <c r="D586" s="22"/>
    </row>
    <row r="587" spans="1:4" x14ac:dyDescent="0.25">
      <c r="A587" s="37" t="s">
        <v>379</v>
      </c>
      <c r="B587" s="22">
        <v>-7.1749093694961792E-4</v>
      </c>
      <c r="C587" s="22"/>
      <c r="D587" s="22"/>
    </row>
    <row r="588" spans="1:4" x14ac:dyDescent="0.25">
      <c r="A588" s="37" t="s">
        <v>380</v>
      </c>
      <c r="B588" s="22">
        <v>-2.4974347979878008E-5</v>
      </c>
      <c r="C588" s="22"/>
      <c r="D588" s="22"/>
    </row>
    <row r="589" spans="1:4" x14ac:dyDescent="0.25">
      <c r="A589" s="37" t="s">
        <v>381</v>
      </c>
      <c r="B589" s="22">
        <v>-1.4001132967678113E-4</v>
      </c>
      <c r="C589" s="22"/>
      <c r="D589" s="22"/>
    </row>
    <row r="590" spans="1:4" x14ac:dyDescent="0.25">
      <c r="A590" s="37" t="s">
        <v>382</v>
      </c>
      <c r="B590" s="22">
        <v>-4.4253471060073978E-4</v>
      </c>
      <c r="C590" s="22"/>
      <c r="D590" s="22"/>
    </row>
    <row r="591" spans="1:4" x14ac:dyDescent="0.25">
      <c r="A591" s="37" t="s">
        <v>383</v>
      </c>
      <c r="B591" s="22">
        <v>-1.9575059704948199E-3</v>
      </c>
      <c r="C591" s="22"/>
      <c r="D591" s="22"/>
    </row>
    <row r="592" spans="1:4" x14ac:dyDescent="0.25">
      <c r="A592" s="37" t="s">
        <v>384</v>
      </c>
      <c r="B592" s="22">
        <v>-1.8424689769744847E-3</v>
      </c>
      <c r="C592" s="22"/>
      <c r="D592" s="22"/>
    </row>
    <row r="593" spans="1:4" x14ac:dyDescent="0.25">
      <c r="A593" s="37" t="s">
        <v>385</v>
      </c>
      <c r="B593" s="22">
        <v>-1.1025070707546536E-3</v>
      </c>
      <c r="C593" s="22"/>
      <c r="D593" s="22"/>
    </row>
    <row r="594" spans="1:4" x14ac:dyDescent="0.25">
      <c r="A594" s="37" t="s">
        <v>386</v>
      </c>
      <c r="B594" s="22">
        <v>4.4971726310905015E-5</v>
      </c>
      <c r="C594" s="22"/>
      <c r="D594" s="22"/>
    </row>
    <row r="595" spans="1:4" x14ac:dyDescent="0.25">
      <c r="A595" s="37" t="s">
        <v>387</v>
      </c>
      <c r="B595" s="22">
        <v>1.3253092765808076E-4</v>
      </c>
      <c r="C595" s="22"/>
      <c r="D595" s="22"/>
    </row>
    <row r="596" spans="1:4" x14ac:dyDescent="0.25">
      <c r="A596" s="37" t="s">
        <v>388</v>
      </c>
      <c r="B596" s="22">
        <v>-9.7501277923584114E-4</v>
      </c>
      <c r="C596" s="22"/>
      <c r="D596" s="22"/>
    </row>
    <row r="597" spans="1:4" x14ac:dyDescent="0.25">
      <c r="A597" s="37" t="s">
        <v>389</v>
      </c>
      <c r="B597" s="22">
        <v>-5.6999919161171354E-4</v>
      </c>
      <c r="C597" s="22"/>
      <c r="D597" s="22"/>
    </row>
    <row r="598" spans="1:4" x14ac:dyDescent="0.25">
      <c r="A598" s="37" t="s">
        <v>390</v>
      </c>
      <c r="B598" s="22">
        <v>-3.4987870549230124E-5</v>
      </c>
      <c r="C598" s="22"/>
      <c r="D598" s="22"/>
    </row>
    <row r="599" spans="1:4" x14ac:dyDescent="0.25">
      <c r="A599" s="37" t="s">
        <v>391</v>
      </c>
      <c r="B599" s="22">
        <v>-2.4747847942307983E-4</v>
      </c>
      <c r="C599" s="22"/>
      <c r="D599" s="22"/>
    </row>
    <row r="600" spans="1:4" x14ac:dyDescent="0.25">
      <c r="A600" s="2">
        <v>23</v>
      </c>
      <c r="B600" s="22">
        <v>-3.440999917529552E-4</v>
      </c>
      <c r="C600" s="22"/>
      <c r="D600" s="22"/>
    </row>
    <row r="601" spans="1:4" x14ac:dyDescent="0.25">
      <c r="A601" s="37" t="s">
        <v>368</v>
      </c>
      <c r="B601" s="22">
        <v>7.2479238951927874E-5</v>
      </c>
      <c r="C601" s="22"/>
      <c r="D601" s="22"/>
    </row>
    <row r="602" spans="1:4" x14ac:dyDescent="0.25">
      <c r="A602" s="37" t="s">
        <v>369</v>
      </c>
      <c r="B602" s="22">
        <v>7.8251963714137673E-4</v>
      </c>
      <c r="C602" s="22"/>
      <c r="D602" s="22"/>
    </row>
    <row r="603" spans="1:4" x14ac:dyDescent="0.25">
      <c r="A603" s="37" t="s">
        <v>370</v>
      </c>
      <c r="B603" s="22">
        <v>7.2479288974136648E-5</v>
      </c>
      <c r="C603" s="22"/>
      <c r="D603" s="22"/>
    </row>
    <row r="604" spans="1:4" x14ac:dyDescent="0.25">
      <c r="A604" s="37" t="s">
        <v>371</v>
      </c>
      <c r="B604" s="22">
        <v>3.4987962635568665E-5</v>
      </c>
      <c r="C604" s="22"/>
      <c r="D604" s="22"/>
    </row>
    <row r="605" spans="1:4" x14ac:dyDescent="0.25">
      <c r="A605" s="37" t="s">
        <v>372</v>
      </c>
      <c r="B605" s="22">
        <v>-1.6248226529569376E-4</v>
      </c>
      <c r="C605" s="22"/>
      <c r="D605" s="22"/>
    </row>
    <row r="606" spans="1:4" x14ac:dyDescent="0.25">
      <c r="A606" s="37" t="s">
        <v>373</v>
      </c>
      <c r="B606" s="22">
        <v>-1.7493964151072053E-5</v>
      </c>
      <c r="C606" s="22"/>
      <c r="D606" s="22"/>
    </row>
    <row r="607" spans="1:4" x14ac:dyDescent="0.25">
      <c r="A607" s="37" t="s">
        <v>374</v>
      </c>
      <c r="B607" s="22">
        <v>-1.9750002525142907E-4</v>
      </c>
      <c r="C607" s="22"/>
      <c r="D607" s="22"/>
    </row>
    <row r="608" spans="1:4" x14ac:dyDescent="0.25">
      <c r="A608" s="37" t="s">
        <v>375</v>
      </c>
      <c r="B608" s="22">
        <v>3.7491317925741998E-5</v>
      </c>
      <c r="C608" s="22"/>
      <c r="D608" s="22"/>
    </row>
    <row r="609" spans="1:4" x14ac:dyDescent="0.25">
      <c r="A609" s="37" t="s">
        <v>376</v>
      </c>
      <c r="B609" s="22">
        <v>-1.1250373790971924E-4</v>
      </c>
      <c r="C609" s="22"/>
      <c r="D609" s="22"/>
    </row>
    <row r="610" spans="1:4" x14ac:dyDescent="0.25">
      <c r="A610" s="37" t="s">
        <v>377</v>
      </c>
      <c r="B610" s="22">
        <v>-3.1244753699866123E-4</v>
      </c>
      <c r="C610" s="22"/>
      <c r="D610" s="22"/>
    </row>
    <row r="611" spans="1:4" x14ac:dyDescent="0.25">
      <c r="A611" s="37" t="s">
        <v>378</v>
      </c>
      <c r="B611" s="22">
        <v>-8.3503127825679236E-4</v>
      </c>
      <c r="C611" s="22"/>
      <c r="D611" s="22"/>
    </row>
    <row r="612" spans="1:4" x14ac:dyDescent="0.25">
      <c r="A612" s="37" t="s">
        <v>379</v>
      </c>
      <c r="B612" s="22">
        <v>-7.1749093694961792E-4</v>
      </c>
      <c r="C612" s="22"/>
      <c r="D612" s="22"/>
    </row>
    <row r="613" spans="1:4" x14ac:dyDescent="0.25">
      <c r="A613" s="37" t="s">
        <v>380</v>
      </c>
      <c r="B613" s="22">
        <v>-2.4974347979878008E-5</v>
      </c>
      <c r="C613" s="22"/>
      <c r="D613" s="22"/>
    </row>
    <row r="614" spans="1:4" x14ac:dyDescent="0.25">
      <c r="A614" s="37" t="s">
        <v>381</v>
      </c>
      <c r="B614" s="22">
        <v>-1.4001132967678113E-4</v>
      </c>
      <c r="C614" s="22"/>
      <c r="D614" s="22"/>
    </row>
    <row r="615" spans="1:4" x14ac:dyDescent="0.25">
      <c r="A615" s="37" t="s">
        <v>382</v>
      </c>
      <c r="B615" s="22">
        <v>-4.4253471060073978E-4</v>
      </c>
      <c r="C615" s="22"/>
      <c r="D615" s="22"/>
    </row>
    <row r="616" spans="1:4" x14ac:dyDescent="0.25">
      <c r="A616" s="37" t="s">
        <v>383</v>
      </c>
      <c r="B616" s="22">
        <v>-1.9575059704948199E-3</v>
      </c>
      <c r="C616" s="22"/>
      <c r="D616" s="22"/>
    </row>
    <row r="617" spans="1:4" x14ac:dyDescent="0.25">
      <c r="A617" s="37" t="s">
        <v>384</v>
      </c>
      <c r="B617" s="22">
        <v>-1.8424689769744847E-3</v>
      </c>
      <c r="C617" s="22"/>
      <c r="D617" s="22"/>
    </row>
    <row r="618" spans="1:4" x14ac:dyDescent="0.25">
      <c r="A618" s="37" t="s">
        <v>385</v>
      </c>
      <c r="B618" s="22">
        <v>-1.1025070707546536E-3</v>
      </c>
      <c r="C618" s="22"/>
      <c r="D618" s="22"/>
    </row>
    <row r="619" spans="1:4" x14ac:dyDescent="0.25">
      <c r="A619" s="37" t="s">
        <v>386</v>
      </c>
      <c r="B619" s="22">
        <v>4.4971726310905015E-5</v>
      </c>
      <c r="C619" s="22"/>
      <c r="D619" s="22"/>
    </row>
    <row r="620" spans="1:4" x14ac:dyDescent="0.25">
      <c r="A620" s="37" t="s">
        <v>387</v>
      </c>
      <c r="B620" s="22">
        <v>1.3253092765808076E-4</v>
      </c>
      <c r="C620" s="22"/>
      <c r="D620" s="22"/>
    </row>
    <row r="621" spans="1:4" x14ac:dyDescent="0.25">
      <c r="A621" s="37" t="s">
        <v>388</v>
      </c>
      <c r="B621" s="22">
        <v>-9.7501277923584114E-4</v>
      </c>
      <c r="C621" s="22"/>
      <c r="D621" s="22"/>
    </row>
    <row r="622" spans="1:4" x14ac:dyDescent="0.25">
      <c r="A622" s="37" t="s">
        <v>389</v>
      </c>
      <c r="B622" s="22">
        <v>-5.6999919161171354E-4</v>
      </c>
      <c r="C622" s="22"/>
      <c r="D622" s="22"/>
    </row>
    <row r="623" spans="1:4" x14ac:dyDescent="0.25">
      <c r="A623" s="37" t="s">
        <v>390</v>
      </c>
      <c r="B623" s="22">
        <v>-3.4987870549230124E-5</v>
      </c>
      <c r="C623" s="22"/>
      <c r="D623" s="22"/>
    </row>
    <row r="624" spans="1:4" x14ac:dyDescent="0.25">
      <c r="A624" s="37" t="s">
        <v>391</v>
      </c>
      <c r="B624" s="22">
        <v>-2.4747847942307983E-4</v>
      </c>
      <c r="C624" s="22"/>
      <c r="D624" s="22"/>
    </row>
    <row r="625" spans="1:4" x14ac:dyDescent="0.25">
      <c r="A625" s="37" t="s">
        <v>392</v>
      </c>
      <c r="B625" s="22">
        <v>-8.7529421307408484E-5</v>
      </c>
      <c r="C625" s="22"/>
      <c r="D625" s="22"/>
    </row>
    <row r="626" spans="1:4" x14ac:dyDescent="0.25">
      <c r="A626" s="2">
        <v>24</v>
      </c>
      <c r="B626" s="22">
        <v>-3.3999919166490135E-4</v>
      </c>
      <c r="C626" s="22"/>
      <c r="D626" s="22"/>
    </row>
    <row r="627" spans="1:4" x14ac:dyDescent="0.25">
      <c r="A627" s="37" t="s">
        <v>369</v>
      </c>
      <c r="B627" s="22">
        <v>7.8251963714137673E-4</v>
      </c>
      <c r="C627" s="22"/>
      <c r="D627" s="22"/>
    </row>
    <row r="628" spans="1:4" x14ac:dyDescent="0.25">
      <c r="A628" s="37" t="s">
        <v>370</v>
      </c>
      <c r="B628" s="22">
        <v>7.2479288974136648E-5</v>
      </c>
      <c r="C628" s="22"/>
      <c r="D628" s="22"/>
    </row>
    <row r="629" spans="1:4" x14ac:dyDescent="0.25">
      <c r="A629" s="37" t="s">
        <v>371</v>
      </c>
      <c r="B629" s="22">
        <v>3.4987962635568665E-5</v>
      </c>
      <c r="C629" s="22"/>
      <c r="D629" s="22"/>
    </row>
    <row r="630" spans="1:4" x14ac:dyDescent="0.25">
      <c r="A630" s="37" t="s">
        <v>372</v>
      </c>
      <c r="B630" s="22">
        <v>-1.6248226529569376E-4</v>
      </c>
      <c r="C630" s="22"/>
      <c r="D630" s="22"/>
    </row>
    <row r="631" spans="1:4" x14ac:dyDescent="0.25">
      <c r="A631" s="37" t="s">
        <v>373</v>
      </c>
      <c r="B631" s="22">
        <v>-1.7493964151072053E-5</v>
      </c>
      <c r="C631" s="22"/>
      <c r="D631" s="22"/>
    </row>
    <row r="632" spans="1:4" x14ac:dyDescent="0.25">
      <c r="A632" s="37" t="s">
        <v>374</v>
      </c>
      <c r="B632" s="22">
        <v>-1.9750002525142907E-4</v>
      </c>
      <c r="C632" s="22"/>
      <c r="D632" s="22"/>
    </row>
    <row r="633" spans="1:4" x14ac:dyDescent="0.25">
      <c r="A633" s="37" t="s">
        <v>375</v>
      </c>
      <c r="B633" s="22">
        <v>3.7491317925741998E-5</v>
      </c>
      <c r="C633" s="22"/>
      <c r="D633" s="22"/>
    </row>
    <row r="634" spans="1:4" x14ac:dyDescent="0.25">
      <c r="A634" s="37" t="s">
        <v>376</v>
      </c>
      <c r="B634" s="22">
        <v>-1.1250373790971924E-4</v>
      </c>
      <c r="C634" s="22"/>
      <c r="D634" s="22"/>
    </row>
    <row r="635" spans="1:4" x14ac:dyDescent="0.25">
      <c r="A635" s="37" t="s">
        <v>377</v>
      </c>
      <c r="B635" s="22">
        <v>-3.1244753699866123E-4</v>
      </c>
      <c r="C635" s="22"/>
      <c r="D635" s="22"/>
    </row>
    <row r="636" spans="1:4" x14ac:dyDescent="0.25">
      <c r="A636" s="37" t="s">
        <v>378</v>
      </c>
      <c r="B636" s="22">
        <v>-8.3503127825679236E-4</v>
      </c>
      <c r="C636" s="22"/>
      <c r="D636" s="22"/>
    </row>
    <row r="637" spans="1:4" x14ac:dyDescent="0.25">
      <c r="A637" s="37" t="s">
        <v>379</v>
      </c>
      <c r="B637" s="22">
        <v>-7.1749093694961792E-4</v>
      </c>
      <c r="C637" s="22"/>
      <c r="D637" s="22"/>
    </row>
    <row r="638" spans="1:4" x14ac:dyDescent="0.25">
      <c r="A638" s="37" t="s">
        <v>380</v>
      </c>
      <c r="B638" s="22">
        <v>-2.4974347979878008E-5</v>
      </c>
      <c r="C638" s="22"/>
      <c r="D638" s="22"/>
    </row>
    <row r="639" spans="1:4" x14ac:dyDescent="0.25">
      <c r="A639" s="37" t="s">
        <v>381</v>
      </c>
      <c r="B639" s="22">
        <v>-1.4001132967678113E-4</v>
      </c>
      <c r="C639" s="22"/>
      <c r="D639" s="22"/>
    </row>
    <row r="640" spans="1:4" x14ac:dyDescent="0.25">
      <c r="A640" s="37" t="s">
        <v>382</v>
      </c>
      <c r="B640" s="22">
        <v>-4.4253471060073978E-4</v>
      </c>
      <c r="C640" s="22"/>
      <c r="D640" s="22"/>
    </row>
    <row r="641" spans="1:4" x14ac:dyDescent="0.25">
      <c r="A641" s="37" t="s">
        <v>383</v>
      </c>
      <c r="B641" s="22">
        <v>-1.9575059704948199E-3</v>
      </c>
      <c r="C641" s="22"/>
      <c r="D641" s="22"/>
    </row>
    <row r="642" spans="1:4" x14ac:dyDescent="0.25">
      <c r="A642" s="37" t="s">
        <v>384</v>
      </c>
      <c r="B642" s="22">
        <v>-1.8424689769744847E-3</v>
      </c>
      <c r="C642" s="22"/>
      <c r="D642" s="22"/>
    </row>
    <row r="643" spans="1:4" x14ac:dyDescent="0.25">
      <c r="A643" s="37" t="s">
        <v>385</v>
      </c>
      <c r="B643" s="22">
        <v>-1.1025070707546536E-3</v>
      </c>
      <c r="C643" s="22"/>
      <c r="D643" s="22"/>
    </row>
    <row r="644" spans="1:4" x14ac:dyDescent="0.25">
      <c r="A644" s="37" t="s">
        <v>386</v>
      </c>
      <c r="B644" s="22">
        <v>4.4971726310905015E-5</v>
      </c>
      <c r="C644" s="22"/>
      <c r="D644" s="22"/>
    </row>
    <row r="645" spans="1:4" x14ac:dyDescent="0.25">
      <c r="A645" s="37" t="s">
        <v>387</v>
      </c>
      <c r="B645" s="22">
        <v>1.3253092765808076E-4</v>
      </c>
      <c r="C645" s="22"/>
      <c r="D645" s="22"/>
    </row>
    <row r="646" spans="1:4" x14ac:dyDescent="0.25">
      <c r="A646" s="37" t="s">
        <v>388</v>
      </c>
      <c r="B646" s="22">
        <v>-9.7501277923584114E-4</v>
      </c>
      <c r="C646" s="22"/>
      <c r="D646" s="22"/>
    </row>
    <row r="647" spans="1:4" x14ac:dyDescent="0.25">
      <c r="A647" s="37" t="s">
        <v>389</v>
      </c>
      <c r="B647" s="22">
        <v>-5.6999919161171354E-4</v>
      </c>
      <c r="C647" s="22"/>
      <c r="D647" s="22"/>
    </row>
    <row r="648" spans="1:4" x14ac:dyDescent="0.25">
      <c r="A648" s="37" t="s">
        <v>390</v>
      </c>
      <c r="B648" s="22">
        <v>-3.4987870549230124E-5</v>
      </c>
      <c r="C648" s="22"/>
      <c r="D648" s="22"/>
    </row>
    <row r="649" spans="1:4" x14ac:dyDescent="0.25">
      <c r="A649" s="37" t="s">
        <v>391</v>
      </c>
      <c r="B649" s="22">
        <v>-2.4747847942307983E-4</v>
      </c>
      <c r="C649" s="22"/>
      <c r="D649" s="22"/>
    </row>
    <row r="650" spans="1:4" x14ac:dyDescent="0.25">
      <c r="A650" s="37" t="s">
        <v>392</v>
      </c>
      <c r="B650" s="22">
        <v>-8.7529421307408484E-5</v>
      </c>
      <c r="C650" s="22"/>
      <c r="D650" s="22"/>
    </row>
    <row r="651" spans="1:4" x14ac:dyDescent="0.25">
      <c r="A651" s="37" t="s">
        <v>393</v>
      </c>
      <c r="B651" s="22">
        <v>1.7499924115327298E-4</v>
      </c>
      <c r="C651" s="22"/>
      <c r="D651" s="22"/>
    </row>
    <row r="652" spans="1:4" x14ac:dyDescent="0.25">
      <c r="A652" s="2">
        <v>25</v>
      </c>
      <c r="B652" s="22">
        <v>-3.6900042937304528E-4</v>
      </c>
      <c r="C652" s="22"/>
      <c r="D652" s="22"/>
    </row>
    <row r="653" spans="1:4" x14ac:dyDescent="0.25">
      <c r="A653" s="37" t="s">
        <v>370</v>
      </c>
      <c r="B653" s="22">
        <v>7.2479288974136648E-5</v>
      </c>
      <c r="C653" s="22"/>
      <c r="D653" s="22"/>
    </row>
    <row r="654" spans="1:4" x14ac:dyDescent="0.25">
      <c r="A654" s="37" t="s">
        <v>371</v>
      </c>
      <c r="B654" s="22">
        <v>3.4987962635568665E-5</v>
      </c>
      <c r="C654" s="22"/>
      <c r="D654" s="22"/>
    </row>
    <row r="655" spans="1:4" x14ac:dyDescent="0.25">
      <c r="A655" s="37" t="s">
        <v>372</v>
      </c>
      <c r="B655" s="22">
        <v>-1.6248226529569376E-4</v>
      </c>
      <c r="C655" s="22"/>
      <c r="D655" s="22"/>
    </row>
    <row r="656" spans="1:4" x14ac:dyDescent="0.25">
      <c r="A656" s="37" t="s">
        <v>373</v>
      </c>
      <c r="B656" s="22">
        <v>-1.7493964151072053E-5</v>
      </c>
      <c r="C656" s="22"/>
      <c r="D656" s="22"/>
    </row>
    <row r="657" spans="1:4" x14ac:dyDescent="0.25">
      <c r="A657" s="37" t="s">
        <v>374</v>
      </c>
      <c r="B657" s="22">
        <v>-1.9750002525142907E-4</v>
      </c>
      <c r="C657" s="22"/>
      <c r="D657" s="22"/>
    </row>
    <row r="658" spans="1:4" x14ac:dyDescent="0.25">
      <c r="A658" s="37" t="s">
        <v>375</v>
      </c>
      <c r="B658" s="22">
        <v>3.7491317925741998E-5</v>
      </c>
      <c r="C658" s="22"/>
      <c r="D658" s="22"/>
    </row>
    <row r="659" spans="1:4" x14ac:dyDescent="0.25">
      <c r="A659" s="37" t="s">
        <v>376</v>
      </c>
      <c r="B659" s="22">
        <v>-1.1250373790971924E-4</v>
      </c>
      <c r="C659" s="22"/>
      <c r="D659" s="22"/>
    </row>
    <row r="660" spans="1:4" x14ac:dyDescent="0.25">
      <c r="A660" s="37" t="s">
        <v>377</v>
      </c>
      <c r="B660" s="22">
        <v>-3.1244753699866123E-4</v>
      </c>
      <c r="C660" s="22"/>
      <c r="D660" s="22"/>
    </row>
    <row r="661" spans="1:4" x14ac:dyDescent="0.25">
      <c r="A661" s="37" t="s">
        <v>378</v>
      </c>
      <c r="B661" s="22">
        <v>-8.3503127825679236E-4</v>
      </c>
      <c r="C661" s="22"/>
      <c r="D661" s="22"/>
    </row>
    <row r="662" spans="1:4" x14ac:dyDescent="0.25">
      <c r="A662" s="37" t="s">
        <v>379</v>
      </c>
      <c r="B662" s="22">
        <v>-7.1749093694961792E-4</v>
      </c>
      <c r="C662" s="22"/>
      <c r="D662" s="22"/>
    </row>
    <row r="663" spans="1:4" x14ac:dyDescent="0.25">
      <c r="A663" s="37" t="s">
        <v>380</v>
      </c>
      <c r="B663" s="22">
        <v>-2.4974347979878008E-5</v>
      </c>
      <c r="C663" s="22"/>
      <c r="D663" s="22"/>
    </row>
    <row r="664" spans="1:4" x14ac:dyDescent="0.25">
      <c r="A664" s="37" t="s">
        <v>381</v>
      </c>
      <c r="B664" s="22">
        <v>-1.4001132967678113E-4</v>
      </c>
      <c r="C664" s="22"/>
      <c r="D664" s="22"/>
    </row>
    <row r="665" spans="1:4" x14ac:dyDescent="0.25">
      <c r="A665" s="37" t="s">
        <v>382</v>
      </c>
      <c r="B665" s="22">
        <v>-4.4253471060073978E-4</v>
      </c>
      <c r="C665" s="22"/>
      <c r="D665" s="22"/>
    </row>
    <row r="666" spans="1:4" x14ac:dyDescent="0.25">
      <c r="A666" s="37" t="s">
        <v>383</v>
      </c>
      <c r="B666" s="22">
        <v>-1.9575059704948199E-3</v>
      </c>
      <c r="C666" s="22"/>
      <c r="D666" s="22"/>
    </row>
    <row r="667" spans="1:4" x14ac:dyDescent="0.25">
      <c r="A667" s="37" t="s">
        <v>384</v>
      </c>
      <c r="B667" s="22">
        <v>-1.8424689769744847E-3</v>
      </c>
      <c r="C667" s="22"/>
      <c r="D667" s="22"/>
    </row>
    <row r="668" spans="1:4" x14ac:dyDescent="0.25">
      <c r="A668" s="37" t="s">
        <v>385</v>
      </c>
      <c r="B668" s="22">
        <v>-1.1025070707546536E-3</v>
      </c>
      <c r="C668" s="22"/>
      <c r="D668" s="22"/>
    </row>
    <row r="669" spans="1:4" x14ac:dyDescent="0.25">
      <c r="A669" s="37" t="s">
        <v>386</v>
      </c>
      <c r="B669" s="22">
        <v>4.4971726310905015E-5</v>
      </c>
      <c r="C669" s="22"/>
      <c r="D669" s="22"/>
    </row>
    <row r="670" spans="1:4" x14ac:dyDescent="0.25">
      <c r="A670" s="37" t="s">
        <v>387</v>
      </c>
      <c r="B670" s="22">
        <v>1.3253092765808076E-4</v>
      </c>
      <c r="C670" s="22"/>
      <c r="D670" s="22"/>
    </row>
    <row r="671" spans="1:4" x14ac:dyDescent="0.25">
      <c r="A671" s="37" t="s">
        <v>388</v>
      </c>
      <c r="B671" s="22">
        <v>-9.7501277923584114E-4</v>
      </c>
      <c r="C671" s="22"/>
      <c r="D671" s="22"/>
    </row>
    <row r="672" spans="1:4" x14ac:dyDescent="0.25">
      <c r="A672" s="37" t="s">
        <v>389</v>
      </c>
      <c r="B672" s="22">
        <v>-5.6999919161171354E-4</v>
      </c>
      <c r="C672" s="22"/>
      <c r="D672" s="22"/>
    </row>
    <row r="673" spans="1:4" x14ac:dyDescent="0.25">
      <c r="A673" s="37" t="s">
        <v>390</v>
      </c>
      <c r="B673" s="22">
        <v>-3.4987870549230124E-5</v>
      </c>
      <c r="C673" s="22"/>
      <c r="D673" s="22"/>
    </row>
    <row r="674" spans="1:4" x14ac:dyDescent="0.25">
      <c r="A674" s="37" t="s">
        <v>391</v>
      </c>
      <c r="B674" s="22">
        <v>-2.4747847942307983E-4</v>
      </c>
      <c r="C674" s="22"/>
      <c r="D674" s="22"/>
    </row>
    <row r="675" spans="1:4" x14ac:dyDescent="0.25">
      <c r="A675" s="37" t="s">
        <v>392</v>
      </c>
      <c r="B675" s="22">
        <v>-8.7529421307408484E-5</v>
      </c>
      <c r="C675" s="22"/>
      <c r="D675" s="22"/>
    </row>
    <row r="676" spans="1:4" x14ac:dyDescent="0.25">
      <c r="A676" s="37" t="s">
        <v>393</v>
      </c>
      <c r="B676" s="22">
        <v>1.7499924115327298E-4</v>
      </c>
      <c r="C676" s="22"/>
      <c r="D676" s="22"/>
    </row>
    <row r="677" spans="1:4" x14ac:dyDescent="0.25">
      <c r="A677" s="37" t="s">
        <v>394</v>
      </c>
      <c r="B677" s="22">
        <v>5.74886944377795E-5</v>
      </c>
      <c r="C677" s="22"/>
      <c r="D677" s="22"/>
    </row>
    <row r="678" spans="1:4" x14ac:dyDescent="0.25">
      <c r="A678" s="2">
        <v>26</v>
      </c>
      <c r="B678" s="22">
        <v>-3.699994068938394E-4</v>
      </c>
      <c r="C678" s="22"/>
      <c r="D678" s="22"/>
    </row>
    <row r="679" spans="1:4" x14ac:dyDescent="0.25">
      <c r="A679" s="37" t="s">
        <v>371</v>
      </c>
      <c r="B679" s="22">
        <v>3.4987962635568665E-5</v>
      </c>
      <c r="C679" s="22"/>
      <c r="D679" s="22"/>
    </row>
    <row r="680" spans="1:4" x14ac:dyDescent="0.25">
      <c r="A680" s="37" t="s">
        <v>372</v>
      </c>
      <c r="B680" s="22">
        <v>-1.6248226529569376E-4</v>
      </c>
      <c r="C680" s="22"/>
      <c r="D680" s="22"/>
    </row>
    <row r="681" spans="1:4" x14ac:dyDescent="0.25">
      <c r="A681" s="37" t="s">
        <v>373</v>
      </c>
      <c r="B681" s="22">
        <v>-1.7493964151072053E-5</v>
      </c>
      <c r="C681" s="22"/>
      <c r="D681" s="22"/>
    </row>
    <row r="682" spans="1:4" x14ac:dyDescent="0.25">
      <c r="A682" s="37" t="s">
        <v>374</v>
      </c>
      <c r="B682" s="22">
        <v>-1.9750002525142907E-4</v>
      </c>
      <c r="C682" s="22"/>
      <c r="D682" s="22"/>
    </row>
    <row r="683" spans="1:4" x14ac:dyDescent="0.25">
      <c r="A683" s="37" t="s">
        <v>375</v>
      </c>
      <c r="B683" s="22">
        <v>3.7491317925741998E-5</v>
      </c>
      <c r="C683" s="22"/>
      <c r="D683" s="22"/>
    </row>
    <row r="684" spans="1:4" x14ac:dyDescent="0.25">
      <c r="A684" s="37" t="s">
        <v>376</v>
      </c>
      <c r="B684" s="22">
        <v>-1.1250373790971924E-4</v>
      </c>
      <c r="C684" s="22"/>
      <c r="D684" s="22"/>
    </row>
    <row r="685" spans="1:4" x14ac:dyDescent="0.25">
      <c r="A685" s="37" t="s">
        <v>377</v>
      </c>
      <c r="B685" s="22">
        <v>-3.1244753699866123E-4</v>
      </c>
      <c r="C685" s="22"/>
      <c r="D685" s="22"/>
    </row>
    <row r="686" spans="1:4" x14ac:dyDescent="0.25">
      <c r="A686" s="37" t="s">
        <v>378</v>
      </c>
      <c r="B686" s="22">
        <v>-8.3503127825679236E-4</v>
      </c>
      <c r="C686" s="22"/>
      <c r="D686" s="22"/>
    </row>
    <row r="687" spans="1:4" x14ac:dyDescent="0.25">
      <c r="A687" s="37" t="s">
        <v>379</v>
      </c>
      <c r="B687" s="22">
        <v>-7.1749093694961792E-4</v>
      </c>
      <c r="C687" s="22"/>
      <c r="D687" s="22"/>
    </row>
    <row r="688" spans="1:4" x14ac:dyDescent="0.25">
      <c r="A688" s="37" t="s">
        <v>380</v>
      </c>
      <c r="B688" s="22">
        <v>-2.4974347979878008E-5</v>
      </c>
      <c r="C688" s="22"/>
      <c r="D688" s="22"/>
    </row>
    <row r="689" spans="1:4" x14ac:dyDescent="0.25">
      <c r="A689" s="37" t="s">
        <v>381</v>
      </c>
      <c r="B689" s="22">
        <v>-1.4001132967678113E-4</v>
      </c>
      <c r="C689" s="22"/>
      <c r="D689" s="22"/>
    </row>
    <row r="690" spans="1:4" x14ac:dyDescent="0.25">
      <c r="A690" s="37" t="s">
        <v>382</v>
      </c>
      <c r="B690" s="22">
        <v>-4.4253471060073978E-4</v>
      </c>
      <c r="C690" s="22"/>
      <c r="D690" s="22"/>
    </row>
    <row r="691" spans="1:4" x14ac:dyDescent="0.25">
      <c r="A691" s="37" t="s">
        <v>383</v>
      </c>
      <c r="B691" s="22">
        <v>-1.9575059704948199E-3</v>
      </c>
      <c r="C691" s="22"/>
      <c r="D691" s="22"/>
    </row>
    <row r="692" spans="1:4" x14ac:dyDescent="0.25">
      <c r="A692" s="37" t="s">
        <v>384</v>
      </c>
      <c r="B692" s="22">
        <v>-1.8424689769744847E-3</v>
      </c>
      <c r="C692" s="22"/>
      <c r="D692" s="22"/>
    </row>
    <row r="693" spans="1:4" x14ac:dyDescent="0.25">
      <c r="A693" s="37" t="s">
        <v>385</v>
      </c>
      <c r="B693" s="22">
        <v>-1.1025070707546536E-3</v>
      </c>
      <c r="C693" s="22"/>
      <c r="D693" s="22"/>
    </row>
    <row r="694" spans="1:4" x14ac:dyDescent="0.25">
      <c r="A694" s="37" t="s">
        <v>386</v>
      </c>
      <c r="B694" s="22">
        <v>4.4971726310905015E-5</v>
      </c>
      <c r="C694" s="22"/>
      <c r="D694" s="22"/>
    </row>
    <row r="695" spans="1:4" x14ac:dyDescent="0.25">
      <c r="A695" s="37" t="s">
        <v>387</v>
      </c>
      <c r="B695" s="22">
        <v>1.3253092765808076E-4</v>
      </c>
      <c r="C695" s="22"/>
      <c r="D695" s="22"/>
    </row>
    <row r="696" spans="1:4" x14ac:dyDescent="0.25">
      <c r="A696" s="37" t="s">
        <v>388</v>
      </c>
      <c r="B696" s="22">
        <v>-9.7501277923584114E-4</v>
      </c>
      <c r="C696" s="22"/>
      <c r="D696" s="22"/>
    </row>
    <row r="697" spans="1:4" x14ac:dyDescent="0.25">
      <c r="A697" s="37" t="s">
        <v>389</v>
      </c>
      <c r="B697" s="22">
        <v>-5.6999919161171354E-4</v>
      </c>
      <c r="C697" s="22"/>
      <c r="D697" s="22"/>
    </row>
    <row r="698" spans="1:4" x14ac:dyDescent="0.25">
      <c r="A698" s="37" t="s">
        <v>390</v>
      </c>
      <c r="B698" s="22">
        <v>-3.4987870549230124E-5</v>
      </c>
      <c r="C698" s="22"/>
      <c r="D698" s="22"/>
    </row>
    <row r="699" spans="1:4" x14ac:dyDescent="0.25">
      <c r="A699" s="37" t="s">
        <v>391</v>
      </c>
      <c r="B699" s="22">
        <v>-2.4747847942307983E-4</v>
      </c>
      <c r="C699" s="22"/>
      <c r="D699" s="22"/>
    </row>
    <row r="700" spans="1:4" x14ac:dyDescent="0.25">
      <c r="A700" s="37" t="s">
        <v>392</v>
      </c>
      <c r="B700" s="22">
        <v>-8.7529421307408484E-5</v>
      </c>
      <c r="C700" s="22"/>
      <c r="D700" s="22"/>
    </row>
    <row r="701" spans="1:4" x14ac:dyDescent="0.25">
      <c r="A701" s="37" t="s">
        <v>393</v>
      </c>
      <c r="B701" s="22">
        <v>1.7499924115327298E-4</v>
      </c>
      <c r="C701" s="22"/>
      <c r="D701" s="22"/>
    </row>
    <row r="702" spans="1:4" x14ac:dyDescent="0.25">
      <c r="A702" s="37" t="s">
        <v>394</v>
      </c>
      <c r="B702" s="22">
        <v>5.74886944377795E-5</v>
      </c>
      <c r="C702" s="22"/>
      <c r="D702" s="22"/>
    </row>
    <row r="703" spans="1:4" x14ac:dyDescent="0.25">
      <c r="A703" s="37" t="s">
        <v>395</v>
      </c>
      <c r="B703" s="22">
        <v>4.7504850954283252E-5</v>
      </c>
      <c r="C703" s="22"/>
      <c r="D703" s="22"/>
    </row>
    <row r="704" spans="1:4" x14ac:dyDescent="0.25">
      <c r="A704" s="2">
        <v>27</v>
      </c>
      <c r="B704" s="22">
        <v>-3.5109996815663175E-4</v>
      </c>
      <c r="C704" s="22"/>
      <c r="D704" s="22"/>
    </row>
    <row r="705" spans="1:4" x14ac:dyDescent="0.25">
      <c r="A705" s="37" t="s">
        <v>372</v>
      </c>
      <c r="B705" s="22">
        <v>-1.6248226529569376E-4</v>
      </c>
      <c r="C705" s="22"/>
      <c r="D705" s="22"/>
    </row>
    <row r="706" spans="1:4" x14ac:dyDescent="0.25">
      <c r="A706" s="37" t="s">
        <v>373</v>
      </c>
      <c r="B706" s="22">
        <v>-1.7493964151072053E-5</v>
      </c>
      <c r="C706" s="22"/>
      <c r="D706" s="22"/>
    </row>
    <row r="707" spans="1:4" x14ac:dyDescent="0.25">
      <c r="A707" s="37" t="s">
        <v>374</v>
      </c>
      <c r="B707" s="22">
        <v>-1.9750002525142907E-4</v>
      </c>
      <c r="C707" s="22"/>
      <c r="D707" s="22"/>
    </row>
    <row r="708" spans="1:4" x14ac:dyDescent="0.25">
      <c r="A708" s="37" t="s">
        <v>375</v>
      </c>
      <c r="B708" s="22">
        <v>3.7491317925741998E-5</v>
      </c>
      <c r="C708" s="22"/>
      <c r="D708" s="22"/>
    </row>
    <row r="709" spans="1:4" x14ac:dyDescent="0.25">
      <c r="A709" s="37" t="s">
        <v>376</v>
      </c>
      <c r="B709" s="22">
        <v>-1.1250373790971924E-4</v>
      </c>
      <c r="C709" s="22"/>
      <c r="D709" s="22"/>
    </row>
    <row r="710" spans="1:4" x14ac:dyDescent="0.25">
      <c r="A710" s="37" t="s">
        <v>377</v>
      </c>
      <c r="B710" s="22">
        <v>-3.1244753699866123E-4</v>
      </c>
      <c r="C710" s="22"/>
      <c r="D710" s="22"/>
    </row>
    <row r="711" spans="1:4" x14ac:dyDescent="0.25">
      <c r="A711" s="37" t="s">
        <v>378</v>
      </c>
      <c r="B711" s="22">
        <v>-8.3503127825679236E-4</v>
      </c>
      <c r="C711" s="22"/>
      <c r="D711" s="22"/>
    </row>
    <row r="712" spans="1:4" x14ac:dyDescent="0.25">
      <c r="A712" s="37" t="s">
        <v>379</v>
      </c>
      <c r="B712" s="22">
        <v>-7.1749093694961792E-4</v>
      </c>
      <c r="C712" s="22"/>
      <c r="D712" s="22"/>
    </row>
    <row r="713" spans="1:4" x14ac:dyDescent="0.25">
      <c r="A713" s="37" t="s">
        <v>380</v>
      </c>
      <c r="B713" s="22">
        <v>-2.4974347979878008E-5</v>
      </c>
      <c r="C713" s="22"/>
      <c r="D713" s="22"/>
    </row>
    <row r="714" spans="1:4" x14ac:dyDescent="0.25">
      <c r="A714" s="37" t="s">
        <v>381</v>
      </c>
      <c r="B714" s="22">
        <v>-1.4001132967678113E-4</v>
      </c>
      <c r="C714" s="22"/>
      <c r="D714" s="22"/>
    </row>
    <row r="715" spans="1:4" x14ac:dyDescent="0.25">
      <c r="A715" s="37" t="s">
        <v>382</v>
      </c>
      <c r="B715" s="22">
        <v>-4.4253471060073978E-4</v>
      </c>
      <c r="C715" s="22"/>
      <c r="D715" s="22"/>
    </row>
    <row r="716" spans="1:4" x14ac:dyDescent="0.25">
      <c r="A716" s="37" t="s">
        <v>383</v>
      </c>
      <c r="B716" s="22">
        <v>-1.9575059704948199E-3</v>
      </c>
      <c r="C716" s="22"/>
      <c r="D716" s="22"/>
    </row>
    <row r="717" spans="1:4" x14ac:dyDescent="0.25">
      <c r="A717" s="37" t="s">
        <v>384</v>
      </c>
      <c r="B717" s="22">
        <v>-1.8424689769744847E-3</v>
      </c>
      <c r="C717" s="22"/>
      <c r="D717" s="22"/>
    </row>
    <row r="718" spans="1:4" x14ac:dyDescent="0.25">
      <c r="A718" s="37" t="s">
        <v>385</v>
      </c>
      <c r="B718" s="22">
        <v>-1.1025070707546536E-3</v>
      </c>
      <c r="C718" s="22"/>
      <c r="D718" s="22"/>
    </row>
    <row r="719" spans="1:4" x14ac:dyDescent="0.25">
      <c r="A719" s="37" t="s">
        <v>386</v>
      </c>
      <c r="B719" s="22">
        <v>4.4971726310905015E-5</v>
      </c>
      <c r="C719" s="22"/>
      <c r="D719" s="22"/>
    </row>
    <row r="720" spans="1:4" x14ac:dyDescent="0.25">
      <c r="A720" s="37" t="s">
        <v>387</v>
      </c>
      <c r="B720" s="22">
        <v>1.3253092765808076E-4</v>
      </c>
      <c r="C720" s="22"/>
      <c r="D720" s="22"/>
    </row>
    <row r="721" spans="1:4" x14ac:dyDescent="0.25">
      <c r="A721" s="37" t="s">
        <v>388</v>
      </c>
      <c r="B721" s="22">
        <v>-9.7501277923584114E-4</v>
      </c>
      <c r="C721" s="22"/>
      <c r="D721" s="22"/>
    </row>
    <row r="722" spans="1:4" x14ac:dyDescent="0.25">
      <c r="A722" s="37" t="s">
        <v>389</v>
      </c>
      <c r="B722" s="22">
        <v>-5.6999919161171354E-4</v>
      </c>
      <c r="C722" s="22"/>
      <c r="D722" s="22"/>
    </row>
    <row r="723" spans="1:4" x14ac:dyDescent="0.25">
      <c r="A723" s="37" t="s">
        <v>390</v>
      </c>
      <c r="B723" s="22">
        <v>-3.4987870549230124E-5</v>
      </c>
      <c r="C723" s="22"/>
      <c r="D723" s="22"/>
    </row>
    <row r="724" spans="1:4" x14ac:dyDescent="0.25">
      <c r="A724" s="37" t="s">
        <v>391</v>
      </c>
      <c r="B724" s="22">
        <v>-2.4747847942307983E-4</v>
      </c>
      <c r="C724" s="22"/>
      <c r="D724" s="22"/>
    </row>
    <row r="725" spans="1:4" x14ac:dyDescent="0.25">
      <c r="A725" s="37" t="s">
        <v>392</v>
      </c>
      <c r="B725" s="22">
        <v>-8.7529421307408484E-5</v>
      </c>
      <c r="C725" s="22"/>
      <c r="D725" s="22"/>
    </row>
    <row r="726" spans="1:4" x14ac:dyDescent="0.25">
      <c r="A726" s="37" t="s">
        <v>393</v>
      </c>
      <c r="B726" s="22">
        <v>1.7499924115327298E-4</v>
      </c>
      <c r="C726" s="22"/>
      <c r="D726" s="22"/>
    </row>
    <row r="727" spans="1:4" x14ac:dyDescent="0.25">
      <c r="A727" s="37" t="s">
        <v>394</v>
      </c>
      <c r="B727" s="22">
        <v>5.74886944377795E-5</v>
      </c>
      <c r="C727" s="22"/>
      <c r="D727" s="22"/>
    </row>
    <row r="728" spans="1:4" x14ac:dyDescent="0.25">
      <c r="A728" s="37" t="s">
        <v>395</v>
      </c>
      <c r="B728" s="22">
        <v>4.7504850954283252E-5</v>
      </c>
      <c r="C728" s="22"/>
      <c r="D728" s="22"/>
    </row>
    <row r="729" spans="1:4" x14ac:dyDescent="0.25">
      <c r="A729" s="37" t="s">
        <v>396</v>
      </c>
      <c r="B729" s="22">
        <v>5.0747393106576044E-4</v>
      </c>
      <c r="C729" s="22"/>
      <c r="D729" s="22"/>
    </row>
    <row r="730" spans="1:4" x14ac:dyDescent="0.25">
      <c r="A730" s="2">
        <v>28</v>
      </c>
      <c r="B730" s="22">
        <v>-3.3210039115147069E-4</v>
      </c>
      <c r="C730" s="22"/>
      <c r="D730" s="22"/>
    </row>
    <row r="731" spans="1:4" x14ac:dyDescent="0.25">
      <c r="A731" s="37" t="s">
        <v>373</v>
      </c>
      <c r="B731" s="22">
        <v>-1.7493964151072053E-5</v>
      </c>
      <c r="C731" s="22"/>
      <c r="D731" s="22"/>
    </row>
    <row r="732" spans="1:4" x14ac:dyDescent="0.25">
      <c r="A732" s="37" t="s">
        <v>374</v>
      </c>
      <c r="B732" s="22">
        <v>-1.9750002525142907E-4</v>
      </c>
      <c r="C732" s="22"/>
      <c r="D732" s="22"/>
    </row>
    <row r="733" spans="1:4" x14ac:dyDescent="0.25">
      <c r="A733" s="37" t="s">
        <v>375</v>
      </c>
      <c r="B733" s="22">
        <v>3.7491317925741998E-5</v>
      </c>
      <c r="C733" s="22"/>
      <c r="D733" s="22"/>
    </row>
    <row r="734" spans="1:4" x14ac:dyDescent="0.25">
      <c r="A734" s="37" t="s">
        <v>376</v>
      </c>
      <c r="B734" s="22">
        <v>-1.1250373790971924E-4</v>
      </c>
      <c r="C734" s="22"/>
      <c r="D734" s="22"/>
    </row>
    <row r="735" spans="1:4" x14ac:dyDescent="0.25">
      <c r="A735" s="37" t="s">
        <v>377</v>
      </c>
      <c r="B735" s="22">
        <v>-3.1244753699866123E-4</v>
      </c>
      <c r="C735" s="22"/>
      <c r="D735" s="22"/>
    </row>
    <row r="736" spans="1:4" x14ac:dyDescent="0.25">
      <c r="A736" s="37" t="s">
        <v>378</v>
      </c>
      <c r="B736" s="22">
        <v>-8.3503127825679236E-4</v>
      </c>
      <c r="C736" s="22"/>
      <c r="D736" s="22"/>
    </row>
    <row r="737" spans="1:4" x14ac:dyDescent="0.25">
      <c r="A737" s="37" t="s">
        <v>379</v>
      </c>
      <c r="B737" s="22">
        <v>-7.1749093694961792E-4</v>
      </c>
      <c r="C737" s="22"/>
      <c r="D737" s="22"/>
    </row>
    <row r="738" spans="1:4" x14ac:dyDescent="0.25">
      <c r="A738" s="37" t="s">
        <v>380</v>
      </c>
      <c r="B738" s="22">
        <v>-2.4974347979878008E-5</v>
      </c>
      <c r="C738" s="22"/>
      <c r="D738" s="22"/>
    </row>
    <row r="739" spans="1:4" x14ac:dyDescent="0.25">
      <c r="A739" s="37" t="s">
        <v>381</v>
      </c>
      <c r="B739" s="22">
        <v>-1.4001132967678113E-4</v>
      </c>
      <c r="C739" s="22"/>
      <c r="D739" s="22"/>
    </row>
    <row r="740" spans="1:4" x14ac:dyDescent="0.25">
      <c r="A740" s="37" t="s">
        <v>382</v>
      </c>
      <c r="B740" s="22">
        <v>-4.4253471060073978E-4</v>
      </c>
      <c r="C740" s="22"/>
      <c r="D740" s="22"/>
    </row>
    <row r="741" spans="1:4" x14ac:dyDescent="0.25">
      <c r="A741" s="37" t="s">
        <v>383</v>
      </c>
      <c r="B741" s="22">
        <v>-1.9575059704948199E-3</v>
      </c>
      <c r="C741" s="22"/>
      <c r="D741" s="22"/>
    </row>
    <row r="742" spans="1:4" x14ac:dyDescent="0.25">
      <c r="A742" s="37" t="s">
        <v>384</v>
      </c>
      <c r="B742" s="22">
        <v>-1.8424689769744847E-3</v>
      </c>
      <c r="C742" s="22"/>
      <c r="D742" s="22"/>
    </row>
    <row r="743" spans="1:4" x14ac:dyDescent="0.25">
      <c r="A743" s="37" t="s">
        <v>385</v>
      </c>
      <c r="B743" s="22">
        <v>-1.1025070707546536E-3</v>
      </c>
      <c r="C743" s="22"/>
      <c r="D743" s="22"/>
    </row>
    <row r="744" spans="1:4" x14ac:dyDescent="0.25">
      <c r="A744" s="37" t="s">
        <v>386</v>
      </c>
      <c r="B744" s="22">
        <v>4.4971726310905015E-5</v>
      </c>
      <c r="C744" s="22"/>
      <c r="D744" s="22"/>
    </row>
    <row r="745" spans="1:4" x14ac:dyDescent="0.25">
      <c r="A745" s="37" t="s">
        <v>387</v>
      </c>
      <c r="B745" s="22">
        <v>1.3253092765808076E-4</v>
      </c>
      <c r="C745" s="22"/>
      <c r="D745" s="22"/>
    </row>
    <row r="746" spans="1:4" x14ac:dyDescent="0.25">
      <c r="A746" s="37" t="s">
        <v>388</v>
      </c>
      <c r="B746" s="22">
        <v>-9.7501277923584114E-4</v>
      </c>
      <c r="C746" s="22"/>
      <c r="D746" s="22"/>
    </row>
    <row r="747" spans="1:4" x14ac:dyDescent="0.25">
      <c r="A747" s="37" t="s">
        <v>389</v>
      </c>
      <c r="B747" s="22">
        <v>-5.6999919161171354E-4</v>
      </c>
      <c r="C747" s="22"/>
      <c r="D747" s="22"/>
    </row>
    <row r="748" spans="1:4" x14ac:dyDescent="0.25">
      <c r="A748" s="37" t="s">
        <v>390</v>
      </c>
      <c r="B748" s="22">
        <v>-3.4987870549230124E-5</v>
      </c>
      <c r="C748" s="22"/>
      <c r="D748" s="22"/>
    </row>
    <row r="749" spans="1:4" x14ac:dyDescent="0.25">
      <c r="A749" s="37" t="s">
        <v>391</v>
      </c>
      <c r="B749" s="22">
        <v>-2.4747847942307983E-4</v>
      </c>
      <c r="C749" s="22"/>
      <c r="D749" s="22"/>
    </row>
    <row r="750" spans="1:4" x14ac:dyDescent="0.25">
      <c r="A750" s="37" t="s">
        <v>392</v>
      </c>
      <c r="B750" s="22">
        <v>-8.7529421307408484E-5</v>
      </c>
      <c r="C750" s="22"/>
      <c r="D750" s="22"/>
    </row>
    <row r="751" spans="1:4" x14ac:dyDescent="0.25">
      <c r="A751" s="37" t="s">
        <v>393</v>
      </c>
      <c r="B751" s="22">
        <v>1.7499924115327298E-4</v>
      </c>
      <c r="C751" s="22"/>
      <c r="D751" s="22"/>
    </row>
    <row r="752" spans="1:4" x14ac:dyDescent="0.25">
      <c r="A752" s="37" t="s">
        <v>394</v>
      </c>
      <c r="B752" s="22">
        <v>5.74886944377795E-5</v>
      </c>
      <c r="C752" s="22"/>
      <c r="D752" s="22"/>
    </row>
    <row r="753" spans="1:4" x14ac:dyDescent="0.25">
      <c r="A753" s="37" t="s">
        <v>395</v>
      </c>
      <c r="B753" s="22">
        <v>4.7504850954283252E-5</v>
      </c>
      <c r="C753" s="22"/>
      <c r="D753" s="22"/>
    </row>
    <row r="754" spans="1:4" x14ac:dyDescent="0.25">
      <c r="A754" s="37" t="s">
        <v>396</v>
      </c>
      <c r="B754" s="22">
        <v>5.0747393106576044E-4</v>
      </c>
      <c r="C754" s="22"/>
      <c r="D754" s="22"/>
    </row>
    <row r="755" spans="1:4" x14ac:dyDescent="0.25">
      <c r="A755" s="37" t="s">
        <v>397</v>
      </c>
      <c r="B755" s="22">
        <v>3.1250715983333099E-4</v>
      </c>
      <c r="C755" s="22"/>
      <c r="D755" s="22"/>
    </row>
    <row r="756" spans="1:4" x14ac:dyDescent="0.25">
      <c r="A756" s="2">
        <v>29</v>
      </c>
      <c r="B756" s="22">
        <v>-3.4209966661364873E-4</v>
      </c>
      <c r="C756" s="22"/>
      <c r="D756" s="22"/>
    </row>
    <row r="757" spans="1:4" x14ac:dyDescent="0.25">
      <c r="A757" s="37" t="s">
        <v>374</v>
      </c>
      <c r="B757" s="22">
        <v>-1.9750002525142907E-4</v>
      </c>
      <c r="C757" s="22"/>
      <c r="D757" s="22"/>
    </row>
    <row r="758" spans="1:4" x14ac:dyDescent="0.25">
      <c r="A758" s="37" t="s">
        <v>375</v>
      </c>
      <c r="B758" s="22">
        <v>3.7491317925741998E-5</v>
      </c>
      <c r="C758" s="22"/>
      <c r="D758" s="22"/>
    </row>
    <row r="759" spans="1:4" x14ac:dyDescent="0.25">
      <c r="A759" s="37" t="s">
        <v>376</v>
      </c>
      <c r="B759" s="22">
        <v>-1.1250373790971924E-4</v>
      </c>
      <c r="C759" s="22"/>
      <c r="D759" s="22"/>
    </row>
    <row r="760" spans="1:4" x14ac:dyDescent="0.25">
      <c r="A760" s="37" t="s">
        <v>377</v>
      </c>
      <c r="B760" s="22">
        <v>-3.1244753699866123E-4</v>
      </c>
      <c r="C760" s="22"/>
      <c r="D760" s="22"/>
    </row>
    <row r="761" spans="1:4" x14ac:dyDescent="0.25">
      <c r="A761" s="37" t="s">
        <v>378</v>
      </c>
      <c r="B761" s="22">
        <v>-8.3503127825679236E-4</v>
      </c>
      <c r="C761" s="22"/>
      <c r="D761" s="22"/>
    </row>
    <row r="762" spans="1:4" x14ac:dyDescent="0.25">
      <c r="A762" s="37" t="s">
        <v>379</v>
      </c>
      <c r="B762" s="22">
        <v>-7.1749093694961792E-4</v>
      </c>
      <c r="C762" s="22"/>
      <c r="D762" s="22"/>
    </row>
    <row r="763" spans="1:4" x14ac:dyDescent="0.25">
      <c r="A763" s="37" t="s">
        <v>380</v>
      </c>
      <c r="B763" s="22">
        <v>-2.4974347979878008E-5</v>
      </c>
      <c r="C763" s="22"/>
      <c r="D763" s="22"/>
    </row>
    <row r="764" spans="1:4" x14ac:dyDescent="0.25">
      <c r="A764" s="37" t="s">
        <v>381</v>
      </c>
      <c r="B764" s="22">
        <v>-1.4001132967678113E-4</v>
      </c>
      <c r="C764" s="22"/>
      <c r="D764" s="22"/>
    </row>
    <row r="765" spans="1:4" x14ac:dyDescent="0.25">
      <c r="A765" s="37" t="s">
        <v>382</v>
      </c>
      <c r="B765" s="22">
        <v>-4.4253471060073978E-4</v>
      </c>
      <c r="C765" s="22"/>
      <c r="D765" s="22"/>
    </row>
    <row r="766" spans="1:4" x14ac:dyDescent="0.25">
      <c r="A766" s="37" t="s">
        <v>383</v>
      </c>
      <c r="B766" s="22">
        <v>-1.9575059704948199E-3</v>
      </c>
      <c r="C766" s="22"/>
      <c r="D766" s="22"/>
    </row>
    <row r="767" spans="1:4" x14ac:dyDescent="0.25">
      <c r="A767" s="37" t="s">
        <v>384</v>
      </c>
      <c r="B767" s="22">
        <v>-1.8424689769744847E-3</v>
      </c>
      <c r="C767" s="22"/>
      <c r="D767" s="22"/>
    </row>
    <row r="768" spans="1:4" x14ac:dyDescent="0.25">
      <c r="A768" s="37" t="s">
        <v>385</v>
      </c>
      <c r="B768" s="22">
        <v>-1.1025070707546536E-3</v>
      </c>
      <c r="C768" s="22"/>
      <c r="D768" s="22"/>
    </row>
    <row r="769" spans="1:4" x14ac:dyDescent="0.25">
      <c r="A769" s="37" t="s">
        <v>386</v>
      </c>
      <c r="B769" s="22">
        <v>4.4971726310905015E-5</v>
      </c>
      <c r="C769" s="22"/>
      <c r="D769" s="22"/>
    </row>
    <row r="770" spans="1:4" x14ac:dyDescent="0.25">
      <c r="A770" s="37" t="s">
        <v>387</v>
      </c>
      <c r="B770" s="22">
        <v>1.3253092765808076E-4</v>
      </c>
      <c r="C770" s="22"/>
      <c r="D770" s="22"/>
    </row>
    <row r="771" spans="1:4" x14ac:dyDescent="0.25">
      <c r="A771" s="37" t="s">
        <v>388</v>
      </c>
      <c r="B771" s="22">
        <v>-9.7501277923584114E-4</v>
      </c>
      <c r="C771" s="22"/>
      <c r="D771" s="22"/>
    </row>
    <row r="772" spans="1:4" x14ac:dyDescent="0.25">
      <c r="A772" s="37" t="s">
        <v>389</v>
      </c>
      <c r="B772" s="22">
        <v>-5.6999919161171354E-4</v>
      </c>
      <c r="C772" s="22"/>
      <c r="D772" s="22"/>
    </row>
    <row r="773" spans="1:4" x14ac:dyDescent="0.25">
      <c r="A773" s="37" t="s">
        <v>390</v>
      </c>
      <c r="B773" s="22">
        <v>-3.4987870549230124E-5</v>
      </c>
      <c r="C773" s="22"/>
      <c r="D773" s="22"/>
    </row>
    <row r="774" spans="1:4" x14ac:dyDescent="0.25">
      <c r="A774" s="37" t="s">
        <v>391</v>
      </c>
      <c r="B774" s="22">
        <v>-2.4747847942307983E-4</v>
      </c>
      <c r="C774" s="22"/>
      <c r="D774" s="22"/>
    </row>
    <row r="775" spans="1:4" x14ac:dyDescent="0.25">
      <c r="A775" s="37" t="s">
        <v>392</v>
      </c>
      <c r="B775" s="22">
        <v>-8.7529421307408484E-5</v>
      </c>
      <c r="C775" s="22"/>
      <c r="D775" s="22"/>
    </row>
    <row r="776" spans="1:4" x14ac:dyDescent="0.25">
      <c r="A776" s="37" t="s">
        <v>393</v>
      </c>
      <c r="B776" s="22">
        <v>1.7499924115327298E-4</v>
      </c>
      <c r="C776" s="22"/>
      <c r="D776" s="22"/>
    </row>
    <row r="777" spans="1:4" x14ac:dyDescent="0.25">
      <c r="A777" s="37" t="s">
        <v>394</v>
      </c>
      <c r="B777" s="22">
        <v>5.74886944377795E-5</v>
      </c>
      <c r="C777" s="22"/>
      <c r="D777" s="22"/>
    </row>
    <row r="778" spans="1:4" x14ac:dyDescent="0.25">
      <c r="A778" s="37" t="s">
        <v>395</v>
      </c>
      <c r="B778" s="22">
        <v>4.7504850954283252E-5</v>
      </c>
      <c r="C778" s="22"/>
      <c r="D778" s="22"/>
    </row>
    <row r="779" spans="1:4" x14ac:dyDescent="0.25">
      <c r="A779" s="37" t="s">
        <v>396</v>
      </c>
      <c r="B779" s="22">
        <v>5.0747393106576044E-4</v>
      </c>
      <c r="C779" s="22"/>
      <c r="D779" s="22"/>
    </row>
    <row r="780" spans="1:4" x14ac:dyDescent="0.25">
      <c r="A780" s="37" t="s">
        <v>397</v>
      </c>
      <c r="B780" s="22">
        <v>3.1250715983333099E-4</v>
      </c>
      <c r="C780" s="22"/>
      <c r="D780" s="22"/>
    </row>
    <row r="781" spans="1:4" x14ac:dyDescent="0.25">
      <c r="A781" s="37" t="s">
        <v>398</v>
      </c>
      <c r="B781" s="22">
        <v>-2.6747585070552277E-4</v>
      </c>
      <c r="C781" s="22"/>
      <c r="D781" s="22"/>
    </row>
    <row r="782" spans="1:4" x14ac:dyDescent="0.25">
      <c r="A782" s="2">
        <v>30</v>
      </c>
      <c r="B782" s="22">
        <v>-3.4250020901708915E-4</v>
      </c>
      <c r="C782" s="22"/>
      <c r="D782" s="22"/>
    </row>
    <row r="783" spans="1:4" x14ac:dyDescent="0.25">
      <c r="A783" s="37" t="s">
        <v>375</v>
      </c>
      <c r="B783" s="22">
        <v>3.7491317925741998E-5</v>
      </c>
      <c r="C783" s="22"/>
      <c r="D783" s="22"/>
    </row>
    <row r="784" spans="1:4" x14ac:dyDescent="0.25">
      <c r="A784" s="37" t="s">
        <v>376</v>
      </c>
      <c r="B784" s="22">
        <v>-1.1250373790971924E-4</v>
      </c>
      <c r="C784" s="22"/>
      <c r="D784" s="22"/>
    </row>
    <row r="785" spans="1:4" x14ac:dyDescent="0.25">
      <c r="A785" s="37" t="s">
        <v>377</v>
      </c>
      <c r="B785" s="22">
        <v>-3.1244753699866123E-4</v>
      </c>
      <c r="C785" s="22"/>
      <c r="D785" s="22"/>
    </row>
    <row r="786" spans="1:4" x14ac:dyDescent="0.25">
      <c r="A786" s="37" t="s">
        <v>378</v>
      </c>
      <c r="B786" s="22">
        <v>-8.3503127825679236E-4</v>
      </c>
      <c r="C786" s="22"/>
      <c r="D786" s="22"/>
    </row>
    <row r="787" spans="1:4" x14ac:dyDescent="0.25">
      <c r="A787" s="37" t="s">
        <v>379</v>
      </c>
      <c r="B787" s="22">
        <v>-7.1749093694961792E-4</v>
      </c>
      <c r="C787" s="22"/>
      <c r="D787" s="22"/>
    </row>
    <row r="788" spans="1:4" x14ac:dyDescent="0.25">
      <c r="A788" s="37" t="s">
        <v>380</v>
      </c>
      <c r="B788" s="22">
        <v>-2.4974347979878008E-5</v>
      </c>
      <c r="C788" s="22"/>
      <c r="D788" s="22"/>
    </row>
    <row r="789" spans="1:4" x14ac:dyDescent="0.25">
      <c r="A789" s="37" t="s">
        <v>381</v>
      </c>
      <c r="B789" s="22">
        <v>-1.4001132967678113E-4</v>
      </c>
      <c r="C789" s="22"/>
      <c r="D789" s="22"/>
    </row>
    <row r="790" spans="1:4" x14ac:dyDescent="0.25">
      <c r="A790" s="37" t="s">
        <v>382</v>
      </c>
      <c r="B790" s="22">
        <v>-4.4253471060073978E-4</v>
      </c>
      <c r="C790" s="22"/>
      <c r="D790" s="22"/>
    </row>
    <row r="791" spans="1:4" x14ac:dyDescent="0.25">
      <c r="A791" s="37" t="s">
        <v>383</v>
      </c>
      <c r="B791" s="22">
        <v>-1.9575059704948199E-3</v>
      </c>
      <c r="C791" s="22"/>
      <c r="D791" s="22"/>
    </row>
    <row r="792" spans="1:4" x14ac:dyDescent="0.25">
      <c r="A792" s="37" t="s">
        <v>384</v>
      </c>
      <c r="B792" s="22">
        <v>-1.8424689769744847E-3</v>
      </c>
      <c r="C792" s="22"/>
      <c r="D792" s="22"/>
    </row>
    <row r="793" spans="1:4" x14ac:dyDescent="0.25">
      <c r="A793" s="37" t="s">
        <v>385</v>
      </c>
      <c r="B793" s="22">
        <v>-1.1025070707546536E-3</v>
      </c>
      <c r="C793" s="22"/>
      <c r="D793" s="22"/>
    </row>
    <row r="794" spans="1:4" x14ac:dyDescent="0.25">
      <c r="A794" s="37" t="s">
        <v>386</v>
      </c>
      <c r="B794" s="22">
        <v>4.4971726310905015E-5</v>
      </c>
      <c r="C794" s="22"/>
      <c r="D794" s="22"/>
    </row>
    <row r="795" spans="1:4" x14ac:dyDescent="0.25">
      <c r="A795" s="37" t="s">
        <v>387</v>
      </c>
      <c r="B795" s="22">
        <v>1.3253092765808076E-4</v>
      </c>
      <c r="C795" s="22"/>
      <c r="D795" s="22"/>
    </row>
    <row r="796" spans="1:4" x14ac:dyDescent="0.25">
      <c r="A796" s="37" t="s">
        <v>388</v>
      </c>
      <c r="B796" s="22">
        <v>-9.7501277923584114E-4</v>
      </c>
      <c r="C796" s="22"/>
      <c r="D796" s="22"/>
    </row>
    <row r="797" spans="1:4" x14ac:dyDescent="0.25">
      <c r="A797" s="37" t="s">
        <v>389</v>
      </c>
      <c r="B797" s="22">
        <v>-5.6999919161171354E-4</v>
      </c>
      <c r="C797" s="22"/>
      <c r="D797" s="22"/>
    </row>
    <row r="798" spans="1:4" x14ac:dyDescent="0.25">
      <c r="A798" s="37" t="s">
        <v>390</v>
      </c>
      <c r="B798" s="22">
        <v>-3.4987870549230124E-5</v>
      </c>
      <c r="C798" s="22"/>
      <c r="D798" s="22"/>
    </row>
    <row r="799" spans="1:4" x14ac:dyDescent="0.25">
      <c r="A799" s="37" t="s">
        <v>391</v>
      </c>
      <c r="B799" s="22">
        <v>-2.4747847942307983E-4</v>
      </c>
      <c r="C799" s="22"/>
      <c r="D799" s="22"/>
    </row>
    <row r="800" spans="1:4" x14ac:dyDescent="0.25">
      <c r="A800" s="37" t="s">
        <v>392</v>
      </c>
      <c r="B800" s="22">
        <v>-8.7529421307408484E-5</v>
      </c>
      <c r="C800" s="22"/>
      <c r="D800" s="22"/>
    </row>
    <row r="801" spans="1:4" x14ac:dyDescent="0.25">
      <c r="A801" s="37" t="s">
        <v>393</v>
      </c>
      <c r="B801" s="22">
        <v>1.7499924115327298E-4</v>
      </c>
      <c r="C801" s="22"/>
      <c r="D801" s="22"/>
    </row>
    <row r="802" spans="1:4" x14ac:dyDescent="0.25">
      <c r="A802" s="37" t="s">
        <v>394</v>
      </c>
      <c r="B802" s="22">
        <v>5.74886944377795E-5</v>
      </c>
      <c r="C802" s="22"/>
      <c r="D802" s="22"/>
    </row>
    <row r="803" spans="1:4" x14ac:dyDescent="0.25">
      <c r="A803" s="37" t="s">
        <v>395</v>
      </c>
      <c r="B803" s="22">
        <v>4.7504850954283252E-5</v>
      </c>
      <c r="C803" s="22"/>
      <c r="D803" s="22"/>
    </row>
    <row r="804" spans="1:4" x14ac:dyDescent="0.25">
      <c r="A804" s="37" t="s">
        <v>396</v>
      </c>
      <c r="B804" s="22">
        <v>5.0747393106576044E-4</v>
      </c>
      <c r="C804" s="22"/>
      <c r="D804" s="22"/>
    </row>
    <row r="805" spans="1:4" x14ac:dyDescent="0.25">
      <c r="A805" s="37" t="s">
        <v>397</v>
      </c>
      <c r="B805" s="22">
        <v>3.1250715983333099E-4</v>
      </c>
      <c r="C805" s="22"/>
      <c r="D805" s="22"/>
    </row>
    <row r="806" spans="1:4" x14ac:dyDescent="0.25">
      <c r="A806" s="37" t="s">
        <v>398</v>
      </c>
      <c r="B806" s="22">
        <v>-2.6747585070552277E-4</v>
      </c>
      <c r="C806" s="22"/>
      <c r="D806" s="22"/>
    </row>
    <row r="807" spans="1:4" x14ac:dyDescent="0.25">
      <c r="A807" s="37" t="s">
        <v>399</v>
      </c>
      <c r="B807" s="22">
        <v>-2.0751358533743769E-4</v>
      </c>
      <c r="C807" s="22"/>
      <c r="D807" s="22"/>
    </row>
    <row r="808" spans="1:4" x14ac:dyDescent="0.25">
      <c r="A808" s="2">
        <v>31</v>
      </c>
      <c r="B808" s="22">
        <v>-3.4899830739050226E-4</v>
      </c>
      <c r="C808" s="22"/>
      <c r="D808" s="22"/>
    </row>
    <row r="809" spans="1:4" x14ac:dyDescent="0.25">
      <c r="A809" s="37" t="s">
        <v>376</v>
      </c>
      <c r="B809" s="22">
        <v>-1.1250373790971924E-4</v>
      </c>
      <c r="C809" s="22"/>
      <c r="D809" s="22"/>
    </row>
    <row r="810" spans="1:4" x14ac:dyDescent="0.25">
      <c r="A810" s="37" t="s">
        <v>377</v>
      </c>
      <c r="B810" s="22">
        <v>-3.1244753699866123E-4</v>
      </c>
      <c r="C810" s="22"/>
      <c r="D810" s="22"/>
    </row>
    <row r="811" spans="1:4" x14ac:dyDescent="0.25">
      <c r="A811" s="37" t="s">
        <v>378</v>
      </c>
      <c r="B811" s="22">
        <v>-8.3503127825679236E-4</v>
      </c>
      <c r="C811" s="22"/>
      <c r="D811" s="22"/>
    </row>
    <row r="812" spans="1:4" x14ac:dyDescent="0.25">
      <c r="A812" s="37" t="s">
        <v>379</v>
      </c>
      <c r="B812" s="22">
        <v>-7.1749093694961792E-4</v>
      </c>
      <c r="C812" s="22"/>
      <c r="D812" s="22"/>
    </row>
    <row r="813" spans="1:4" x14ac:dyDescent="0.25">
      <c r="A813" s="37" t="s">
        <v>380</v>
      </c>
      <c r="B813" s="22">
        <v>-2.4974347979878008E-5</v>
      </c>
      <c r="C813" s="22"/>
      <c r="D813" s="22"/>
    </row>
    <row r="814" spans="1:4" x14ac:dyDescent="0.25">
      <c r="A814" s="37" t="s">
        <v>381</v>
      </c>
      <c r="B814" s="22">
        <v>-1.4001132967678113E-4</v>
      </c>
      <c r="C814" s="22"/>
      <c r="D814" s="22"/>
    </row>
    <row r="815" spans="1:4" x14ac:dyDescent="0.25">
      <c r="A815" s="37" t="s">
        <v>382</v>
      </c>
      <c r="B815" s="22">
        <v>-4.4253471060073978E-4</v>
      </c>
      <c r="C815" s="22"/>
      <c r="D815" s="22"/>
    </row>
    <row r="816" spans="1:4" x14ac:dyDescent="0.25">
      <c r="A816" s="37" t="s">
        <v>383</v>
      </c>
      <c r="B816" s="22">
        <v>-1.9575059704948199E-3</v>
      </c>
      <c r="C816" s="22"/>
      <c r="D816" s="22"/>
    </row>
    <row r="817" spans="1:4" x14ac:dyDescent="0.25">
      <c r="A817" s="37" t="s">
        <v>384</v>
      </c>
      <c r="B817" s="22">
        <v>-1.8424689769744847E-3</v>
      </c>
      <c r="C817" s="22"/>
      <c r="D817" s="22"/>
    </row>
    <row r="818" spans="1:4" x14ac:dyDescent="0.25">
      <c r="A818" s="37" t="s">
        <v>385</v>
      </c>
      <c r="B818" s="22">
        <v>-1.1025070707546536E-3</v>
      </c>
      <c r="C818" s="22"/>
      <c r="D818" s="22"/>
    </row>
    <row r="819" spans="1:4" x14ac:dyDescent="0.25">
      <c r="A819" s="37" t="s">
        <v>386</v>
      </c>
      <c r="B819" s="22">
        <v>4.4971726310905015E-5</v>
      </c>
      <c r="C819" s="22"/>
      <c r="D819" s="22"/>
    </row>
    <row r="820" spans="1:4" x14ac:dyDescent="0.25">
      <c r="A820" s="37" t="s">
        <v>387</v>
      </c>
      <c r="B820" s="22">
        <v>1.3253092765808076E-4</v>
      </c>
      <c r="C820" s="22"/>
      <c r="D820" s="22"/>
    </row>
    <row r="821" spans="1:4" x14ac:dyDescent="0.25">
      <c r="A821" s="37" t="s">
        <v>388</v>
      </c>
      <c r="B821" s="22">
        <v>-9.7501277923584114E-4</v>
      </c>
      <c r="C821" s="22"/>
      <c r="D821" s="22"/>
    </row>
    <row r="822" spans="1:4" x14ac:dyDescent="0.25">
      <c r="A822" s="37" t="s">
        <v>389</v>
      </c>
      <c r="B822" s="22">
        <v>-5.6999919161171354E-4</v>
      </c>
      <c r="C822" s="22"/>
      <c r="D822" s="22"/>
    </row>
    <row r="823" spans="1:4" x14ac:dyDescent="0.25">
      <c r="A823" s="37" t="s">
        <v>390</v>
      </c>
      <c r="B823" s="22">
        <v>-3.4987870549230124E-5</v>
      </c>
      <c r="C823" s="22"/>
      <c r="D823" s="22"/>
    </row>
    <row r="824" spans="1:4" x14ac:dyDescent="0.25">
      <c r="A824" s="37" t="s">
        <v>391</v>
      </c>
      <c r="B824" s="22">
        <v>-2.4747847942307983E-4</v>
      </c>
      <c r="C824" s="22"/>
      <c r="D824" s="22"/>
    </row>
    <row r="825" spans="1:4" x14ac:dyDescent="0.25">
      <c r="A825" s="37" t="s">
        <v>392</v>
      </c>
      <c r="B825" s="22">
        <v>-8.7529421307408484E-5</v>
      </c>
      <c r="C825" s="22"/>
      <c r="D825" s="22"/>
    </row>
    <row r="826" spans="1:4" x14ac:dyDescent="0.25">
      <c r="A826" s="37" t="s">
        <v>393</v>
      </c>
      <c r="B826" s="22">
        <v>1.7499924115327298E-4</v>
      </c>
      <c r="C826" s="22"/>
      <c r="D826" s="22"/>
    </row>
    <row r="827" spans="1:4" x14ac:dyDescent="0.25">
      <c r="A827" s="37" t="s">
        <v>394</v>
      </c>
      <c r="B827" s="22">
        <v>5.74886944377795E-5</v>
      </c>
      <c r="C827" s="22"/>
      <c r="D827" s="22"/>
    </row>
    <row r="828" spans="1:4" x14ac:dyDescent="0.25">
      <c r="A828" s="37" t="s">
        <v>395</v>
      </c>
      <c r="B828" s="22">
        <v>4.7504850954283252E-5</v>
      </c>
      <c r="C828" s="22"/>
      <c r="D828" s="22"/>
    </row>
    <row r="829" spans="1:4" x14ac:dyDescent="0.25">
      <c r="A829" s="37" t="s">
        <v>396</v>
      </c>
      <c r="B829" s="22">
        <v>5.0747393106576044E-4</v>
      </c>
      <c r="C829" s="22"/>
      <c r="D829" s="22"/>
    </row>
    <row r="830" spans="1:4" x14ac:dyDescent="0.25">
      <c r="A830" s="37" t="s">
        <v>397</v>
      </c>
      <c r="B830" s="22">
        <v>3.1250715983333099E-4</v>
      </c>
      <c r="C830" s="22"/>
      <c r="D830" s="22"/>
    </row>
    <row r="831" spans="1:4" x14ac:dyDescent="0.25">
      <c r="A831" s="37" t="s">
        <v>398</v>
      </c>
      <c r="B831" s="22">
        <v>-2.6747585070552277E-4</v>
      </c>
      <c r="C831" s="22"/>
      <c r="D831" s="22"/>
    </row>
    <row r="832" spans="1:4" x14ac:dyDescent="0.25">
      <c r="A832" s="37" t="s">
        <v>399</v>
      </c>
      <c r="B832" s="22">
        <v>-2.0751358533743769E-4</v>
      </c>
      <c r="C832" s="22"/>
      <c r="D832" s="22"/>
    </row>
    <row r="833" spans="1:4" x14ac:dyDescent="0.25">
      <c r="A833" s="37" t="s">
        <v>400</v>
      </c>
      <c r="B833" s="22">
        <v>-1.2496114140958533E-4</v>
      </c>
      <c r="C833" s="22"/>
      <c r="D833" s="22"/>
    </row>
    <row r="834" spans="1:4" x14ac:dyDescent="0.25">
      <c r="A834" s="2">
        <v>32</v>
      </c>
      <c r="B834" s="22">
        <v>-3.3309936618934437E-4</v>
      </c>
      <c r="C834" s="22"/>
      <c r="D834" s="22"/>
    </row>
    <row r="835" spans="1:4" x14ac:dyDescent="0.25">
      <c r="A835" s="37" t="s">
        <v>377</v>
      </c>
      <c r="B835" s="22">
        <v>-3.1244753699866123E-4</v>
      </c>
      <c r="C835" s="22"/>
      <c r="D835" s="22"/>
    </row>
    <row r="836" spans="1:4" x14ac:dyDescent="0.25">
      <c r="A836" s="37" t="s">
        <v>378</v>
      </c>
      <c r="B836" s="22">
        <v>-8.3503127825679236E-4</v>
      </c>
      <c r="C836" s="22"/>
      <c r="D836" s="22"/>
    </row>
    <row r="837" spans="1:4" x14ac:dyDescent="0.25">
      <c r="A837" s="37" t="s">
        <v>379</v>
      </c>
      <c r="B837" s="22">
        <v>-7.1749093694961792E-4</v>
      </c>
      <c r="C837" s="22"/>
      <c r="D837" s="22"/>
    </row>
    <row r="838" spans="1:4" x14ac:dyDescent="0.25">
      <c r="A838" s="37" t="s">
        <v>380</v>
      </c>
      <c r="B838" s="22">
        <v>-2.4974347979878008E-5</v>
      </c>
      <c r="C838" s="22"/>
      <c r="D838" s="22"/>
    </row>
    <row r="839" spans="1:4" x14ac:dyDescent="0.25">
      <c r="A839" s="37" t="s">
        <v>381</v>
      </c>
      <c r="B839" s="22">
        <v>-1.4001132967678113E-4</v>
      </c>
      <c r="C839" s="22"/>
      <c r="D839" s="22"/>
    </row>
    <row r="840" spans="1:4" x14ac:dyDescent="0.25">
      <c r="A840" s="37" t="s">
        <v>382</v>
      </c>
      <c r="B840" s="22">
        <v>-4.4253471060073978E-4</v>
      </c>
      <c r="C840" s="22"/>
      <c r="D840" s="22"/>
    </row>
    <row r="841" spans="1:4" x14ac:dyDescent="0.25">
      <c r="A841" s="37" t="s">
        <v>383</v>
      </c>
      <c r="B841" s="22">
        <v>-1.9575059704948199E-3</v>
      </c>
      <c r="C841" s="22"/>
      <c r="D841" s="22"/>
    </row>
    <row r="842" spans="1:4" x14ac:dyDescent="0.25">
      <c r="A842" s="37" t="s">
        <v>384</v>
      </c>
      <c r="B842" s="22">
        <v>-1.8424689769744847E-3</v>
      </c>
      <c r="C842" s="22"/>
      <c r="D842" s="22"/>
    </row>
    <row r="843" spans="1:4" x14ac:dyDescent="0.25">
      <c r="A843" s="37" t="s">
        <v>385</v>
      </c>
      <c r="B843" s="22">
        <v>-1.1025070707546536E-3</v>
      </c>
      <c r="C843" s="22"/>
      <c r="D843" s="22"/>
    </row>
    <row r="844" spans="1:4" x14ac:dyDescent="0.25">
      <c r="A844" s="37" t="s">
        <v>386</v>
      </c>
      <c r="B844" s="22">
        <v>4.4971726310905015E-5</v>
      </c>
      <c r="C844" s="22"/>
      <c r="D844" s="22"/>
    </row>
    <row r="845" spans="1:4" x14ac:dyDescent="0.25">
      <c r="A845" s="37" t="s">
        <v>387</v>
      </c>
      <c r="B845" s="22">
        <v>1.3253092765808076E-4</v>
      </c>
      <c r="C845" s="22"/>
      <c r="D845" s="22"/>
    </row>
    <row r="846" spans="1:4" x14ac:dyDescent="0.25">
      <c r="A846" s="37" t="s">
        <v>388</v>
      </c>
      <c r="B846" s="22">
        <v>-9.7501277923584114E-4</v>
      </c>
      <c r="C846" s="22"/>
      <c r="D846" s="22"/>
    </row>
    <row r="847" spans="1:4" x14ac:dyDescent="0.25">
      <c r="A847" s="37" t="s">
        <v>389</v>
      </c>
      <c r="B847" s="22">
        <v>-5.6999919161171354E-4</v>
      </c>
      <c r="C847" s="22"/>
      <c r="D847" s="22"/>
    </row>
    <row r="848" spans="1:4" x14ac:dyDescent="0.25">
      <c r="A848" s="37" t="s">
        <v>390</v>
      </c>
      <c r="B848" s="22">
        <v>-3.4987870549230124E-5</v>
      </c>
      <c r="C848" s="22"/>
      <c r="D848" s="22"/>
    </row>
    <row r="849" spans="1:4" x14ac:dyDescent="0.25">
      <c r="A849" s="37" t="s">
        <v>391</v>
      </c>
      <c r="B849" s="22">
        <v>-2.4747847942307983E-4</v>
      </c>
      <c r="C849" s="22"/>
      <c r="D849" s="22"/>
    </row>
    <row r="850" spans="1:4" x14ac:dyDescent="0.25">
      <c r="A850" s="37" t="s">
        <v>392</v>
      </c>
      <c r="B850" s="22">
        <v>-8.7529421307408484E-5</v>
      </c>
      <c r="C850" s="22"/>
      <c r="D850" s="22"/>
    </row>
    <row r="851" spans="1:4" x14ac:dyDescent="0.25">
      <c r="A851" s="37" t="s">
        <v>393</v>
      </c>
      <c r="B851" s="22">
        <v>1.7499924115327298E-4</v>
      </c>
      <c r="C851" s="22"/>
      <c r="D851" s="22"/>
    </row>
    <row r="852" spans="1:4" x14ac:dyDescent="0.25">
      <c r="A852" s="37" t="s">
        <v>394</v>
      </c>
      <c r="B852" s="22">
        <v>5.74886944377795E-5</v>
      </c>
      <c r="C852" s="22"/>
      <c r="D852" s="22"/>
    </row>
    <row r="853" spans="1:4" x14ac:dyDescent="0.25">
      <c r="A853" s="37" t="s">
        <v>395</v>
      </c>
      <c r="B853" s="22">
        <v>4.7504850954283252E-5</v>
      </c>
      <c r="C853" s="22"/>
      <c r="D853" s="22"/>
    </row>
    <row r="854" spans="1:4" x14ac:dyDescent="0.25">
      <c r="A854" s="37" t="s">
        <v>396</v>
      </c>
      <c r="B854" s="22">
        <v>5.0747393106576044E-4</v>
      </c>
      <c r="C854" s="22"/>
      <c r="D854" s="22"/>
    </row>
    <row r="855" spans="1:4" x14ac:dyDescent="0.25">
      <c r="A855" s="37" t="s">
        <v>397</v>
      </c>
      <c r="B855" s="22">
        <v>3.1250715983333099E-4</v>
      </c>
      <c r="C855" s="22"/>
      <c r="D855" s="22"/>
    </row>
    <row r="856" spans="1:4" x14ac:dyDescent="0.25">
      <c r="A856" s="37" t="s">
        <v>398</v>
      </c>
      <c r="B856" s="22">
        <v>-2.6747585070552277E-4</v>
      </c>
      <c r="C856" s="22"/>
      <c r="D856" s="22"/>
    </row>
    <row r="857" spans="1:4" x14ac:dyDescent="0.25">
      <c r="A857" s="37" t="s">
        <v>399</v>
      </c>
      <c r="B857" s="22">
        <v>-2.0751358533743769E-4</v>
      </c>
      <c r="C857" s="22"/>
      <c r="D857" s="22"/>
    </row>
    <row r="858" spans="1:4" x14ac:dyDescent="0.25">
      <c r="A858" s="37" t="s">
        <v>400</v>
      </c>
      <c r="B858" s="22">
        <v>-1.2496114140958533E-4</v>
      </c>
      <c r="C858" s="22"/>
      <c r="D858" s="22"/>
    </row>
    <row r="859" spans="1:4" x14ac:dyDescent="0.25">
      <c r="A859" s="37" t="s">
        <v>401</v>
      </c>
      <c r="B859" s="22">
        <v>2.8496979211922746E-4</v>
      </c>
      <c r="C859" s="22"/>
      <c r="D859" s="22"/>
    </row>
    <row r="860" spans="1:4" x14ac:dyDescent="0.25">
      <c r="A860" s="2">
        <v>33</v>
      </c>
      <c r="B860" s="22">
        <v>-3.6860227720353578E-4</v>
      </c>
      <c r="C860" s="22"/>
      <c r="D860" s="22"/>
    </row>
    <row r="861" spans="1:4" x14ac:dyDescent="0.25">
      <c r="A861" s="37" t="s">
        <v>378</v>
      </c>
      <c r="B861" s="22">
        <v>-8.3503127825679236E-4</v>
      </c>
      <c r="C861" s="22"/>
      <c r="D861" s="22"/>
    </row>
    <row r="862" spans="1:4" x14ac:dyDescent="0.25">
      <c r="A862" s="37" t="s">
        <v>379</v>
      </c>
      <c r="B862" s="22">
        <v>-7.1749093694961792E-4</v>
      </c>
      <c r="C862" s="22"/>
      <c r="D862" s="22"/>
    </row>
    <row r="863" spans="1:4" x14ac:dyDescent="0.25">
      <c r="A863" s="37" t="s">
        <v>380</v>
      </c>
      <c r="B863" s="22">
        <v>-2.4974347979878008E-5</v>
      </c>
      <c r="C863" s="22"/>
      <c r="D863" s="22"/>
    </row>
    <row r="864" spans="1:4" x14ac:dyDescent="0.25">
      <c r="A864" s="37" t="s">
        <v>381</v>
      </c>
      <c r="B864" s="22">
        <v>-1.4001132967678113E-4</v>
      </c>
      <c r="C864" s="22"/>
      <c r="D864" s="22"/>
    </row>
    <row r="865" spans="1:4" x14ac:dyDescent="0.25">
      <c r="A865" s="37" t="s">
        <v>382</v>
      </c>
      <c r="B865" s="22">
        <v>-4.4253471060073978E-4</v>
      </c>
      <c r="C865" s="22"/>
      <c r="D865" s="22"/>
    </row>
    <row r="866" spans="1:4" x14ac:dyDescent="0.25">
      <c r="A866" s="37" t="s">
        <v>383</v>
      </c>
      <c r="B866" s="22">
        <v>-1.9575059704948199E-3</v>
      </c>
      <c r="C866" s="22"/>
      <c r="D866" s="22"/>
    </row>
    <row r="867" spans="1:4" x14ac:dyDescent="0.25">
      <c r="A867" s="37" t="s">
        <v>384</v>
      </c>
      <c r="B867" s="22">
        <v>-1.8424689769744847E-3</v>
      </c>
      <c r="C867" s="22"/>
      <c r="D867" s="22"/>
    </row>
    <row r="868" spans="1:4" x14ac:dyDescent="0.25">
      <c r="A868" s="37" t="s">
        <v>385</v>
      </c>
      <c r="B868" s="22">
        <v>-1.1025070707546536E-3</v>
      </c>
      <c r="C868" s="22"/>
      <c r="D868" s="22"/>
    </row>
    <row r="869" spans="1:4" x14ac:dyDescent="0.25">
      <c r="A869" s="37" t="s">
        <v>386</v>
      </c>
      <c r="B869" s="22">
        <v>4.4971726310905015E-5</v>
      </c>
      <c r="C869" s="22"/>
      <c r="D869" s="22"/>
    </row>
    <row r="870" spans="1:4" x14ac:dyDescent="0.25">
      <c r="A870" s="37" t="s">
        <v>387</v>
      </c>
      <c r="B870" s="22">
        <v>1.3253092765808076E-4</v>
      </c>
      <c r="C870" s="22"/>
      <c r="D870" s="22"/>
    </row>
    <row r="871" spans="1:4" x14ac:dyDescent="0.25">
      <c r="A871" s="37" t="s">
        <v>388</v>
      </c>
      <c r="B871" s="22">
        <v>-9.7501277923584114E-4</v>
      </c>
      <c r="C871" s="22"/>
      <c r="D871" s="22"/>
    </row>
    <row r="872" spans="1:4" x14ac:dyDescent="0.25">
      <c r="A872" s="37" t="s">
        <v>389</v>
      </c>
      <c r="B872" s="22">
        <v>-5.6999919161171354E-4</v>
      </c>
      <c r="C872" s="22"/>
      <c r="D872" s="22"/>
    </row>
    <row r="873" spans="1:4" x14ac:dyDescent="0.25">
      <c r="A873" s="37" t="s">
        <v>390</v>
      </c>
      <c r="B873" s="22">
        <v>-3.4987870549230124E-5</v>
      </c>
      <c r="C873" s="22"/>
      <c r="D873" s="22"/>
    </row>
    <row r="874" spans="1:4" x14ac:dyDescent="0.25">
      <c r="A874" s="37" t="s">
        <v>391</v>
      </c>
      <c r="B874" s="22">
        <v>-2.4747847942307983E-4</v>
      </c>
      <c r="C874" s="22"/>
      <c r="D874" s="22"/>
    </row>
    <row r="875" spans="1:4" x14ac:dyDescent="0.25">
      <c r="A875" s="37" t="s">
        <v>392</v>
      </c>
      <c r="B875" s="22">
        <v>-8.7529421307408484E-5</v>
      </c>
      <c r="C875" s="22"/>
      <c r="D875" s="22"/>
    </row>
    <row r="876" spans="1:4" x14ac:dyDescent="0.25">
      <c r="A876" s="37" t="s">
        <v>393</v>
      </c>
      <c r="B876" s="22">
        <v>1.7499924115327298E-4</v>
      </c>
      <c r="C876" s="22"/>
      <c r="D876" s="22"/>
    </row>
    <row r="877" spans="1:4" x14ac:dyDescent="0.25">
      <c r="A877" s="37" t="s">
        <v>394</v>
      </c>
      <c r="B877" s="22">
        <v>5.74886944377795E-5</v>
      </c>
      <c r="C877" s="22"/>
      <c r="D877" s="22"/>
    </row>
    <row r="878" spans="1:4" x14ac:dyDescent="0.25">
      <c r="A878" s="37" t="s">
        <v>395</v>
      </c>
      <c r="B878" s="22">
        <v>4.7504850954283252E-5</v>
      </c>
      <c r="C878" s="22"/>
      <c r="D878" s="22"/>
    </row>
    <row r="879" spans="1:4" x14ac:dyDescent="0.25">
      <c r="A879" s="37" t="s">
        <v>396</v>
      </c>
      <c r="B879" s="22">
        <v>5.0747393106576044E-4</v>
      </c>
      <c r="C879" s="22"/>
      <c r="D879" s="22"/>
    </row>
    <row r="880" spans="1:4" x14ac:dyDescent="0.25">
      <c r="A880" s="37" t="s">
        <v>397</v>
      </c>
      <c r="B880" s="22">
        <v>3.1250715983333099E-4</v>
      </c>
      <c r="C880" s="22"/>
      <c r="D880" s="22"/>
    </row>
    <row r="881" spans="1:4" x14ac:dyDescent="0.25">
      <c r="A881" s="37" t="s">
        <v>398</v>
      </c>
      <c r="B881" s="22">
        <v>-2.6747585070552277E-4</v>
      </c>
      <c r="C881" s="22"/>
      <c r="D881" s="22"/>
    </row>
    <row r="882" spans="1:4" x14ac:dyDescent="0.25">
      <c r="A882" s="37" t="s">
        <v>399</v>
      </c>
      <c r="B882" s="22">
        <v>-2.0751358533743769E-4</v>
      </c>
      <c r="C882" s="22"/>
      <c r="D882" s="22"/>
    </row>
    <row r="883" spans="1:4" x14ac:dyDescent="0.25">
      <c r="A883" s="37" t="s">
        <v>400</v>
      </c>
      <c r="B883" s="22">
        <v>-1.2496114140958533E-4</v>
      </c>
      <c r="C883" s="22"/>
      <c r="D883" s="22"/>
    </row>
    <row r="884" spans="1:4" x14ac:dyDescent="0.25">
      <c r="A884" s="37" t="s">
        <v>401</v>
      </c>
      <c r="B884" s="22">
        <v>2.8496979211922746E-4</v>
      </c>
      <c r="C884" s="22"/>
      <c r="D884" s="22"/>
    </row>
    <row r="885" spans="1:4" x14ac:dyDescent="0.25">
      <c r="A885" s="37" t="s">
        <v>402</v>
      </c>
      <c r="B885" s="22">
        <v>-1.2000203123534461E-3</v>
      </c>
      <c r="C885" s="22"/>
      <c r="D885" s="22"/>
    </row>
    <row r="886" spans="1:4" x14ac:dyDescent="0.25">
      <c r="A886" s="2">
        <v>34</v>
      </c>
      <c r="B886" s="22">
        <v>-3.7270069083206186E-4</v>
      </c>
      <c r="C886" s="22"/>
      <c r="D886" s="22"/>
    </row>
    <row r="887" spans="1:4" x14ac:dyDescent="0.25">
      <c r="A887" s="37" t="s">
        <v>379</v>
      </c>
      <c r="B887" s="22">
        <v>-7.1749093694961792E-4</v>
      </c>
      <c r="C887" s="22"/>
      <c r="D887" s="22"/>
    </row>
    <row r="888" spans="1:4" x14ac:dyDescent="0.25">
      <c r="A888" s="37" t="s">
        <v>380</v>
      </c>
      <c r="B888" s="22">
        <v>-2.4974347979878008E-5</v>
      </c>
      <c r="C888" s="22"/>
      <c r="D888" s="22"/>
    </row>
    <row r="889" spans="1:4" x14ac:dyDescent="0.25">
      <c r="A889" s="37" t="s">
        <v>381</v>
      </c>
      <c r="B889" s="22">
        <v>-1.4001132967678113E-4</v>
      </c>
      <c r="C889" s="22"/>
      <c r="D889" s="22"/>
    </row>
    <row r="890" spans="1:4" x14ac:dyDescent="0.25">
      <c r="A890" s="37" t="s">
        <v>382</v>
      </c>
      <c r="B890" s="22">
        <v>-4.4253471060073978E-4</v>
      </c>
      <c r="C890" s="22"/>
      <c r="D890" s="22"/>
    </row>
    <row r="891" spans="1:4" x14ac:dyDescent="0.25">
      <c r="A891" s="37" t="s">
        <v>383</v>
      </c>
      <c r="B891" s="22">
        <v>-1.9575059704948199E-3</v>
      </c>
      <c r="C891" s="22"/>
      <c r="D891" s="22"/>
    </row>
    <row r="892" spans="1:4" x14ac:dyDescent="0.25">
      <c r="A892" s="37" t="s">
        <v>384</v>
      </c>
      <c r="B892" s="22">
        <v>-1.8424689769744847E-3</v>
      </c>
      <c r="C892" s="22"/>
      <c r="D892" s="22"/>
    </row>
    <row r="893" spans="1:4" x14ac:dyDescent="0.25">
      <c r="A893" s="37" t="s">
        <v>385</v>
      </c>
      <c r="B893" s="22">
        <v>-1.1025070707546536E-3</v>
      </c>
      <c r="C893" s="22"/>
      <c r="D893" s="22"/>
    </row>
    <row r="894" spans="1:4" x14ac:dyDescent="0.25">
      <c r="A894" s="37" t="s">
        <v>386</v>
      </c>
      <c r="B894" s="22">
        <v>4.4971726310905015E-5</v>
      </c>
      <c r="C894" s="22"/>
      <c r="D894" s="22"/>
    </row>
    <row r="895" spans="1:4" x14ac:dyDescent="0.25">
      <c r="A895" s="37" t="s">
        <v>387</v>
      </c>
      <c r="B895" s="22">
        <v>1.3253092765808076E-4</v>
      </c>
      <c r="C895" s="22"/>
      <c r="D895" s="22"/>
    </row>
    <row r="896" spans="1:4" x14ac:dyDescent="0.25">
      <c r="A896" s="37" t="s">
        <v>388</v>
      </c>
      <c r="B896" s="22">
        <v>-9.7501277923584114E-4</v>
      </c>
      <c r="C896" s="22"/>
      <c r="D896" s="22"/>
    </row>
    <row r="897" spans="1:4" x14ac:dyDescent="0.25">
      <c r="A897" s="37" t="s">
        <v>389</v>
      </c>
      <c r="B897" s="22">
        <v>-5.6999919161171354E-4</v>
      </c>
      <c r="C897" s="22"/>
      <c r="D897" s="22"/>
    </row>
    <row r="898" spans="1:4" x14ac:dyDescent="0.25">
      <c r="A898" s="37" t="s">
        <v>390</v>
      </c>
      <c r="B898" s="22">
        <v>-3.4987870549230124E-5</v>
      </c>
      <c r="C898" s="22"/>
      <c r="D898" s="22"/>
    </row>
    <row r="899" spans="1:4" x14ac:dyDescent="0.25">
      <c r="A899" s="37" t="s">
        <v>391</v>
      </c>
      <c r="B899" s="22">
        <v>-2.4747847942307983E-4</v>
      </c>
      <c r="C899" s="22"/>
      <c r="D899" s="22"/>
    </row>
    <row r="900" spans="1:4" x14ac:dyDescent="0.25">
      <c r="A900" s="37" t="s">
        <v>392</v>
      </c>
      <c r="B900" s="22">
        <v>-8.7529421307408484E-5</v>
      </c>
      <c r="C900" s="22"/>
      <c r="D900" s="22"/>
    </row>
    <row r="901" spans="1:4" x14ac:dyDescent="0.25">
      <c r="A901" s="37" t="s">
        <v>393</v>
      </c>
      <c r="B901" s="22">
        <v>1.7499924115327298E-4</v>
      </c>
      <c r="C901" s="22"/>
      <c r="D901" s="22"/>
    </row>
    <row r="902" spans="1:4" x14ac:dyDescent="0.25">
      <c r="A902" s="37" t="s">
        <v>394</v>
      </c>
      <c r="B902" s="22">
        <v>5.74886944377795E-5</v>
      </c>
      <c r="C902" s="22"/>
      <c r="D902" s="22"/>
    </row>
    <row r="903" spans="1:4" x14ac:dyDescent="0.25">
      <c r="A903" s="37" t="s">
        <v>395</v>
      </c>
      <c r="B903" s="22">
        <v>4.7504850954283252E-5</v>
      </c>
      <c r="C903" s="22"/>
      <c r="D903" s="22"/>
    </row>
    <row r="904" spans="1:4" x14ac:dyDescent="0.25">
      <c r="A904" s="37" t="s">
        <v>396</v>
      </c>
      <c r="B904" s="22">
        <v>5.0747393106576044E-4</v>
      </c>
      <c r="C904" s="22"/>
      <c r="D904" s="22"/>
    </row>
    <row r="905" spans="1:4" x14ac:dyDescent="0.25">
      <c r="A905" s="37" t="s">
        <v>397</v>
      </c>
      <c r="B905" s="22">
        <v>3.1250715983333099E-4</v>
      </c>
      <c r="C905" s="22"/>
      <c r="D905" s="22"/>
    </row>
    <row r="906" spans="1:4" x14ac:dyDescent="0.25">
      <c r="A906" s="37" t="s">
        <v>398</v>
      </c>
      <c r="B906" s="22">
        <v>-2.6747585070552277E-4</v>
      </c>
      <c r="C906" s="22"/>
      <c r="D906" s="22"/>
    </row>
    <row r="907" spans="1:4" x14ac:dyDescent="0.25">
      <c r="A907" s="37" t="s">
        <v>399</v>
      </c>
      <c r="B907" s="22">
        <v>-2.0751358533743769E-4</v>
      </c>
      <c r="C907" s="22"/>
      <c r="D907" s="22"/>
    </row>
    <row r="908" spans="1:4" x14ac:dyDescent="0.25">
      <c r="A908" s="37" t="s">
        <v>400</v>
      </c>
      <c r="B908" s="22">
        <v>-1.2496114140958533E-4</v>
      </c>
      <c r="C908" s="22"/>
      <c r="D908" s="22"/>
    </row>
    <row r="909" spans="1:4" x14ac:dyDescent="0.25">
      <c r="A909" s="37" t="s">
        <v>401</v>
      </c>
      <c r="B909" s="22">
        <v>2.8496979211922746E-4</v>
      </c>
      <c r="C909" s="22"/>
      <c r="D909" s="22"/>
    </row>
    <row r="910" spans="1:4" x14ac:dyDescent="0.25">
      <c r="A910" s="37" t="s">
        <v>402</v>
      </c>
      <c r="B910" s="22">
        <v>-1.2000203123534461E-3</v>
      </c>
      <c r="C910" s="22"/>
      <c r="D910" s="22"/>
    </row>
    <row r="911" spans="1:4" x14ac:dyDescent="0.25">
      <c r="A911" s="37" t="s">
        <v>403</v>
      </c>
      <c r="B911" s="22">
        <v>-9.3749161896994478E-4</v>
      </c>
      <c r="C911" s="22"/>
      <c r="D911" s="22"/>
    </row>
    <row r="912" spans="1:4" x14ac:dyDescent="0.25">
      <c r="A912" s="2">
        <v>35</v>
      </c>
      <c r="B912" s="22">
        <v>-3.421008576424355E-4</v>
      </c>
      <c r="C912" s="22"/>
      <c r="D912" s="22"/>
    </row>
    <row r="913" spans="1:4" x14ac:dyDescent="0.25">
      <c r="A913" s="37" t="s">
        <v>380</v>
      </c>
      <c r="B913" s="22">
        <v>-2.4974347979878008E-5</v>
      </c>
      <c r="C913" s="22"/>
      <c r="D913" s="22"/>
    </row>
    <row r="914" spans="1:4" x14ac:dyDescent="0.25">
      <c r="A914" s="37" t="s">
        <v>381</v>
      </c>
      <c r="B914" s="22">
        <v>-1.4001132967678113E-4</v>
      </c>
      <c r="C914" s="22"/>
      <c r="D914" s="22"/>
    </row>
    <row r="915" spans="1:4" x14ac:dyDescent="0.25">
      <c r="A915" s="37" t="s">
        <v>382</v>
      </c>
      <c r="B915" s="22">
        <v>-4.4253471060073978E-4</v>
      </c>
      <c r="C915" s="22"/>
      <c r="D915" s="22"/>
    </row>
    <row r="916" spans="1:4" x14ac:dyDescent="0.25">
      <c r="A916" s="37" t="s">
        <v>383</v>
      </c>
      <c r="B916" s="22">
        <v>-1.9575059704948199E-3</v>
      </c>
      <c r="C916" s="22"/>
      <c r="D916" s="22"/>
    </row>
    <row r="917" spans="1:4" x14ac:dyDescent="0.25">
      <c r="A917" s="37" t="s">
        <v>384</v>
      </c>
      <c r="B917" s="22">
        <v>-1.8424689769744847E-3</v>
      </c>
      <c r="C917" s="22"/>
      <c r="D917" s="22"/>
    </row>
    <row r="918" spans="1:4" x14ac:dyDescent="0.25">
      <c r="A918" s="37" t="s">
        <v>385</v>
      </c>
      <c r="B918" s="22">
        <v>-1.1025070707546536E-3</v>
      </c>
      <c r="C918" s="22"/>
      <c r="D918" s="22"/>
    </row>
    <row r="919" spans="1:4" x14ac:dyDescent="0.25">
      <c r="A919" s="37" t="s">
        <v>386</v>
      </c>
      <c r="B919" s="22">
        <v>4.4971726310905015E-5</v>
      </c>
      <c r="C919" s="22"/>
      <c r="D919" s="22"/>
    </row>
    <row r="920" spans="1:4" x14ac:dyDescent="0.25">
      <c r="A920" s="37" t="s">
        <v>387</v>
      </c>
      <c r="B920" s="22">
        <v>1.3253092765808076E-4</v>
      </c>
      <c r="C920" s="22"/>
      <c r="D920" s="22"/>
    </row>
    <row r="921" spans="1:4" x14ac:dyDescent="0.25">
      <c r="A921" s="37" t="s">
        <v>388</v>
      </c>
      <c r="B921" s="22">
        <v>-9.7501277923584114E-4</v>
      </c>
      <c r="C921" s="22"/>
      <c r="D921" s="22"/>
    </row>
    <row r="922" spans="1:4" x14ac:dyDescent="0.25">
      <c r="A922" s="37" t="s">
        <v>389</v>
      </c>
      <c r="B922" s="22">
        <v>-5.6999919161171354E-4</v>
      </c>
      <c r="C922" s="22"/>
      <c r="D922" s="22"/>
    </row>
    <row r="923" spans="1:4" x14ac:dyDescent="0.25">
      <c r="A923" s="37" t="s">
        <v>390</v>
      </c>
      <c r="B923" s="22">
        <v>-3.4987870549230124E-5</v>
      </c>
      <c r="C923" s="22"/>
      <c r="D923" s="22"/>
    </row>
    <row r="924" spans="1:4" x14ac:dyDescent="0.25">
      <c r="A924" s="37" t="s">
        <v>391</v>
      </c>
      <c r="B924" s="22">
        <v>-2.4747847942307983E-4</v>
      </c>
      <c r="C924" s="22"/>
      <c r="D924" s="22"/>
    </row>
    <row r="925" spans="1:4" x14ac:dyDescent="0.25">
      <c r="A925" s="37" t="s">
        <v>392</v>
      </c>
      <c r="B925" s="22">
        <v>-8.7529421307408484E-5</v>
      </c>
      <c r="C925" s="22"/>
      <c r="D925" s="22"/>
    </row>
    <row r="926" spans="1:4" x14ac:dyDescent="0.25">
      <c r="A926" s="37" t="s">
        <v>393</v>
      </c>
      <c r="B926" s="22">
        <v>1.7499924115327298E-4</v>
      </c>
      <c r="C926" s="22"/>
      <c r="D926" s="22"/>
    </row>
    <row r="927" spans="1:4" x14ac:dyDescent="0.25">
      <c r="A927" s="37" t="s">
        <v>394</v>
      </c>
      <c r="B927" s="22">
        <v>5.74886944377795E-5</v>
      </c>
      <c r="C927" s="22"/>
      <c r="D927" s="22"/>
    </row>
    <row r="928" spans="1:4" x14ac:dyDescent="0.25">
      <c r="A928" s="37" t="s">
        <v>395</v>
      </c>
      <c r="B928" s="22">
        <v>4.7504850954283252E-5</v>
      </c>
      <c r="C928" s="22"/>
      <c r="D928" s="22"/>
    </row>
    <row r="929" spans="1:4" x14ac:dyDescent="0.25">
      <c r="A929" s="37" t="s">
        <v>396</v>
      </c>
      <c r="B929" s="22">
        <v>5.0747393106576044E-4</v>
      </c>
      <c r="C929" s="22"/>
      <c r="D929" s="22"/>
    </row>
    <row r="930" spans="1:4" x14ac:dyDescent="0.25">
      <c r="A930" s="37" t="s">
        <v>397</v>
      </c>
      <c r="B930" s="22">
        <v>3.1250715983333099E-4</v>
      </c>
      <c r="C930" s="22"/>
      <c r="D930" s="22"/>
    </row>
    <row r="931" spans="1:4" x14ac:dyDescent="0.25">
      <c r="A931" s="37" t="s">
        <v>398</v>
      </c>
      <c r="B931" s="22">
        <v>-2.6747585070552277E-4</v>
      </c>
      <c r="C931" s="22"/>
      <c r="D931" s="22"/>
    </row>
    <row r="932" spans="1:4" x14ac:dyDescent="0.25">
      <c r="A932" s="37" t="s">
        <v>399</v>
      </c>
      <c r="B932" s="22">
        <v>-2.0751358533743769E-4</v>
      </c>
      <c r="C932" s="22"/>
      <c r="D932" s="22"/>
    </row>
    <row r="933" spans="1:4" x14ac:dyDescent="0.25">
      <c r="A933" s="37" t="s">
        <v>400</v>
      </c>
      <c r="B933" s="22">
        <v>-1.2496114140958533E-4</v>
      </c>
      <c r="C933" s="22"/>
      <c r="D933" s="22"/>
    </row>
    <row r="934" spans="1:4" x14ac:dyDescent="0.25">
      <c r="A934" s="37" t="s">
        <v>401</v>
      </c>
      <c r="B934" s="22">
        <v>2.8496979211922746E-4</v>
      </c>
      <c r="C934" s="22"/>
      <c r="D934" s="22"/>
    </row>
    <row r="935" spans="1:4" x14ac:dyDescent="0.25">
      <c r="A935" s="37" t="s">
        <v>402</v>
      </c>
      <c r="B935" s="22">
        <v>-1.2000203123534461E-3</v>
      </c>
      <c r="C935" s="22"/>
      <c r="D935" s="22"/>
    </row>
    <row r="936" spans="1:4" x14ac:dyDescent="0.25">
      <c r="A936" s="37" t="s">
        <v>403</v>
      </c>
      <c r="B936" s="22">
        <v>-9.3749161896994478E-4</v>
      </c>
      <c r="C936" s="22"/>
      <c r="D936" s="22"/>
    </row>
    <row r="937" spans="1:4" x14ac:dyDescent="0.25">
      <c r="A937" s="37" t="s">
        <v>404</v>
      </c>
      <c r="B937" s="22">
        <v>4.7504892791039277E-5</v>
      </c>
      <c r="C937" s="22"/>
      <c r="D937" s="22"/>
    </row>
    <row r="938" spans="1:4" x14ac:dyDescent="0.25">
      <c r="A938" s="2">
        <v>36</v>
      </c>
      <c r="B938" s="22">
        <v>-3.4280180804671537E-4</v>
      </c>
      <c r="C938" s="22"/>
      <c r="D938" s="22"/>
    </row>
    <row r="939" spans="1:4" x14ac:dyDescent="0.25">
      <c r="A939" s="37" t="s">
        <v>381</v>
      </c>
      <c r="B939" s="22">
        <v>-1.4001132967678113E-4</v>
      </c>
      <c r="C939" s="22"/>
      <c r="D939" s="22"/>
    </row>
    <row r="940" spans="1:4" x14ac:dyDescent="0.25">
      <c r="A940" s="37" t="s">
        <v>382</v>
      </c>
      <c r="B940" s="22">
        <v>-4.4253471060073978E-4</v>
      </c>
      <c r="C940" s="22"/>
      <c r="D940" s="22"/>
    </row>
    <row r="941" spans="1:4" x14ac:dyDescent="0.25">
      <c r="A941" s="37" t="s">
        <v>383</v>
      </c>
      <c r="B941" s="22">
        <v>-1.9575059704948199E-3</v>
      </c>
      <c r="C941" s="22"/>
      <c r="D941" s="22"/>
    </row>
    <row r="942" spans="1:4" x14ac:dyDescent="0.25">
      <c r="A942" s="37" t="s">
        <v>384</v>
      </c>
      <c r="B942" s="22">
        <v>-1.8424689769744847E-3</v>
      </c>
      <c r="C942" s="22"/>
      <c r="D942" s="22"/>
    </row>
    <row r="943" spans="1:4" x14ac:dyDescent="0.25">
      <c r="A943" s="37" t="s">
        <v>385</v>
      </c>
      <c r="B943" s="22">
        <v>-1.1025070707546536E-3</v>
      </c>
      <c r="C943" s="22"/>
      <c r="D943" s="22"/>
    </row>
    <row r="944" spans="1:4" x14ac:dyDescent="0.25">
      <c r="A944" s="37" t="s">
        <v>386</v>
      </c>
      <c r="B944" s="22">
        <v>4.4971726310905015E-5</v>
      </c>
      <c r="C944" s="22"/>
      <c r="D944" s="22"/>
    </row>
    <row r="945" spans="1:4" x14ac:dyDescent="0.25">
      <c r="A945" s="37" t="s">
        <v>387</v>
      </c>
      <c r="B945" s="22">
        <v>1.3253092765808076E-4</v>
      </c>
      <c r="C945" s="22"/>
      <c r="D945" s="22"/>
    </row>
    <row r="946" spans="1:4" x14ac:dyDescent="0.25">
      <c r="A946" s="37" t="s">
        <v>388</v>
      </c>
      <c r="B946" s="22">
        <v>-9.7501277923584114E-4</v>
      </c>
      <c r="C946" s="22"/>
      <c r="D946" s="22"/>
    </row>
    <row r="947" spans="1:4" x14ac:dyDescent="0.25">
      <c r="A947" s="37" t="s">
        <v>389</v>
      </c>
      <c r="B947" s="22">
        <v>-5.6999919161171354E-4</v>
      </c>
      <c r="C947" s="22"/>
      <c r="D947" s="22"/>
    </row>
    <row r="948" spans="1:4" x14ac:dyDescent="0.25">
      <c r="A948" s="37" t="s">
        <v>390</v>
      </c>
      <c r="B948" s="22">
        <v>-3.4987870549230124E-5</v>
      </c>
      <c r="C948" s="22"/>
      <c r="D948" s="22"/>
    </row>
    <row r="949" spans="1:4" x14ac:dyDescent="0.25">
      <c r="A949" s="37" t="s">
        <v>391</v>
      </c>
      <c r="B949" s="22">
        <v>-2.4747847942307983E-4</v>
      </c>
      <c r="C949" s="22"/>
      <c r="D949" s="22"/>
    </row>
    <row r="950" spans="1:4" x14ac:dyDescent="0.25">
      <c r="A950" s="37" t="s">
        <v>392</v>
      </c>
      <c r="B950" s="22">
        <v>-8.7529421307408484E-5</v>
      </c>
      <c r="C950" s="22"/>
      <c r="D950" s="22"/>
    </row>
    <row r="951" spans="1:4" x14ac:dyDescent="0.25">
      <c r="A951" s="37" t="s">
        <v>393</v>
      </c>
      <c r="B951" s="22">
        <v>1.7499924115327298E-4</v>
      </c>
      <c r="C951" s="22"/>
      <c r="D951" s="22"/>
    </row>
    <row r="952" spans="1:4" x14ac:dyDescent="0.25">
      <c r="A952" s="37" t="s">
        <v>394</v>
      </c>
      <c r="B952" s="22">
        <v>5.74886944377795E-5</v>
      </c>
      <c r="C952" s="22"/>
      <c r="D952" s="22"/>
    </row>
    <row r="953" spans="1:4" x14ac:dyDescent="0.25">
      <c r="A953" s="37" t="s">
        <v>395</v>
      </c>
      <c r="B953" s="22">
        <v>4.7504850954283252E-5</v>
      </c>
      <c r="C953" s="22"/>
      <c r="D953" s="22"/>
    </row>
    <row r="954" spans="1:4" x14ac:dyDescent="0.25">
      <c r="A954" s="37" t="s">
        <v>396</v>
      </c>
      <c r="B954" s="22">
        <v>5.0747393106576044E-4</v>
      </c>
      <c r="C954" s="22"/>
      <c r="D954" s="22"/>
    </row>
    <row r="955" spans="1:4" x14ac:dyDescent="0.25">
      <c r="A955" s="37" t="s">
        <v>397</v>
      </c>
      <c r="B955" s="22">
        <v>3.1250715983333099E-4</v>
      </c>
      <c r="C955" s="22"/>
      <c r="D955" s="22"/>
    </row>
    <row r="956" spans="1:4" x14ac:dyDescent="0.25">
      <c r="A956" s="37" t="s">
        <v>398</v>
      </c>
      <c r="B956" s="22">
        <v>-2.6747585070552277E-4</v>
      </c>
      <c r="C956" s="22"/>
      <c r="D956" s="22"/>
    </row>
    <row r="957" spans="1:4" x14ac:dyDescent="0.25">
      <c r="A957" s="37" t="s">
        <v>399</v>
      </c>
      <c r="B957" s="22">
        <v>-2.0751358533743769E-4</v>
      </c>
      <c r="C957" s="22"/>
      <c r="D957" s="22"/>
    </row>
    <row r="958" spans="1:4" x14ac:dyDescent="0.25">
      <c r="A958" s="37" t="s">
        <v>400</v>
      </c>
      <c r="B958" s="22">
        <v>-1.2496114140958533E-4</v>
      </c>
      <c r="C958" s="22"/>
      <c r="D958" s="22"/>
    </row>
    <row r="959" spans="1:4" x14ac:dyDescent="0.25">
      <c r="A959" s="37" t="s">
        <v>401</v>
      </c>
      <c r="B959" s="22">
        <v>2.8496979211922746E-4</v>
      </c>
      <c r="C959" s="22"/>
      <c r="D959" s="22"/>
    </row>
    <row r="960" spans="1:4" x14ac:dyDescent="0.25">
      <c r="A960" s="37" t="s">
        <v>402</v>
      </c>
      <c r="B960" s="22">
        <v>-1.2000203123534461E-3</v>
      </c>
      <c r="C960" s="22"/>
      <c r="D960" s="22"/>
    </row>
    <row r="961" spans="1:4" x14ac:dyDescent="0.25">
      <c r="A961" s="37" t="s">
        <v>403</v>
      </c>
      <c r="B961" s="22">
        <v>-9.3749161896994478E-4</v>
      </c>
      <c r="C961" s="22"/>
      <c r="D961" s="22"/>
    </row>
    <row r="962" spans="1:4" x14ac:dyDescent="0.25">
      <c r="A962" s="37" t="s">
        <v>404</v>
      </c>
      <c r="B962" s="22">
        <v>4.7504892791039277E-5</v>
      </c>
      <c r="C962" s="22"/>
      <c r="D962" s="22"/>
    </row>
    <row r="963" spans="1:4" x14ac:dyDescent="0.25">
      <c r="A963" s="37" t="s">
        <v>405</v>
      </c>
      <c r="B963" s="22">
        <v>-4.2498108086874871E-5</v>
      </c>
      <c r="C963" s="22"/>
      <c r="D963" s="22"/>
    </row>
    <row r="964" spans="1:4" x14ac:dyDescent="0.25">
      <c r="A964" s="2">
        <v>37</v>
      </c>
      <c r="B964" s="22">
        <v>-3.1740188621370179E-4</v>
      </c>
      <c r="C964" s="22"/>
      <c r="D964" s="22"/>
    </row>
    <row r="965" spans="1:4" x14ac:dyDescent="0.25">
      <c r="A965" s="37" t="s">
        <v>382</v>
      </c>
      <c r="B965" s="22">
        <v>-4.4253471060073978E-4</v>
      </c>
      <c r="C965" s="22"/>
      <c r="D965" s="22"/>
    </row>
    <row r="966" spans="1:4" x14ac:dyDescent="0.25">
      <c r="A966" s="37" t="s">
        <v>383</v>
      </c>
      <c r="B966" s="22">
        <v>-1.9575059704948199E-3</v>
      </c>
      <c r="C966" s="22"/>
      <c r="D966" s="22"/>
    </row>
    <row r="967" spans="1:4" x14ac:dyDescent="0.25">
      <c r="A967" s="37" t="s">
        <v>384</v>
      </c>
      <c r="B967" s="22">
        <v>-1.8424689769744847E-3</v>
      </c>
      <c r="C967" s="22"/>
      <c r="D967" s="22"/>
    </row>
    <row r="968" spans="1:4" x14ac:dyDescent="0.25">
      <c r="A968" s="37" t="s">
        <v>385</v>
      </c>
      <c r="B968" s="22">
        <v>-1.1025070707546536E-3</v>
      </c>
      <c r="C968" s="22"/>
      <c r="D968" s="22"/>
    </row>
    <row r="969" spans="1:4" x14ac:dyDescent="0.25">
      <c r="A969" s="37" t="s">
        <v>386</v>
      </c>
      <c r="B969" s="22">
        <v>4.4971726310905015E-5</v>
      </c>
      <c r="C969" s="22"/>
      <c r="D969" s="22"/>
    </row>
    <row r="970" spans="1:4" x14ac:dyDescent="0.25">
      <c r="A970" s="37" t="s">
        <v>387</v>
      </c>
      <c r="B970" s="22">
        <v>1.3253092765808076E-4</v>
      </c>
      <c r="C970" s="22"/>
      <c r="D970" s="22"/>
    </row>
    <row r="971" spans="1:4" x14ac:dyDescent="0.25">
      <c r="A971" s="37" t="s">
        <v>388</v>
      </c>
      <c r="B971" s="22">
        <v>-9.7501277923584114E-4</v>
      </c>
      <c r="C971" s="22"/>
      <c r="D971" s="22"/>
    </row>
    <row r="972" spans="1:4" x14ac:dyDescent="0.25">
      <c r="A972" s="37" t="s">
        <v>389</v>
      </c>
      <c r="B972" s="22">
        <v>-5.6999919161171354E-4</v>
      </c>
      <c r="C972" s="22"/>
      <c r="D972" s="22"/>
    </row>
    <row r="973" spans="1:4" x14ac:dyDescent="0.25">
      <c r="A973" s="37" t="s">
        <v>390</v>
      </c>
      <c r="B973" s="22">
        <v>-3.4987870549230124E-5</v>
      </c>
      <c r="C973" s="22"/>
      <c r="D973" s="22"/>
    </row>
    <row r="974" spans="1:4" x14ac:dyDescent="0.25">
      <c r="A974" s="37" t="s">
        <v>391</v>
      </c>
      <c r="B974" s="22">
        <v>-2.4747847942307983E-4</v>
      </c>
      <c r="C974" s="22"/>
      <c r="D974" s="22"/>
    </row>
    <row r="975" spans="1:4" x14ac:dyDescent="0.25">
      <c r="A975" s="37" t="s">
        <v>392</v>
      </c>
      <c r="B975" s="22">
        <v>-8.7529421307408484E-5</v>
      </c>
      <c r="C975" s="22"/>
      <c r="D975" s="22"/>
    </row>
    <row r="976" spans="1:4" x14ac:dyDescent="0.25">
      <c r="A976" s="37" t="s">
        <v>393</v>
      </c>
      <c r="B976" s="22">
        <v>1.7499924115327298E-4</v>
      </c>
      <c r="C976" s="22"/>
      <c r="D976" s="22"/>
    </row>
    <row r="977" spans="1:4" x14ac:dyDescent="0.25">
      <c r="A977" s="37" t="s">
        <v>394</v>
      </c>
      <c r="B977" s="22">
        <v>5.74886944377795E-5</v>
      </c>
      <c r="C977" s="22"/>
      <c r="D977" s="22"/>
    </row>
    <row r="978" spans="1:4" x14ac:dyDescent="0.25">
      <c r="A978" s="37" t="s">
        <v>395</v>
      </c>
      <c r="B978" s="22">
        <v>4.7504850954283252E-5</v>
      </c>
      <c r="C978" s="22"/>
      <c r="D978" s="22"/>
    </row>
    <row r="979" spans="1:4" x14ac:dyDescent="0.25">
      <c r="A979" s="37" t="s">
        <v>396</v>
      </c>
      <c r="B979" s="22">
        <v>5.0747393106576044E-4</v>
      </c>
      <c r="C979" s="22"/>
      <c r="D979" s="22"/>
    </row>
    <row r="980" spans="1:4" x14ac:dyDescent="0.25">
      <c r="A980" s="37" t="s">
        <v>397</v>
      </c>
      <c r="B980" s="22">
        <v>3.1250715983333099E-4</v>
      </c>
      <c r="C980" s="22"/>
      <c r="D980" s="22"/>
    </row>
    <row r="981" spans="1:4" x14ac:dyDescent="0.25">
      <c r="A981" s="37" t="s">
        <v>398</v>
      </c>
      <c r="B981" s="22">
        <v>-2.6747585070552277E-4</v>
      </c>
      <c r="C981" s="22"/>
      <c r="D981" s="22"/>
    </row>
    <row r="982" spans="1:4" x14ac:dyDescent="0.25">
      <c r="A982" s="37" t="s">
        <v>399</v>
      </c>
      <c r="B982" s="22">
        <v>-2.0751358533743769E-4</v>
      </c>
      <c r="C982" s="22"/>
      <c r="D982" s="22"/>
    </row>
    <row r="983" spans="1:4" x14ac:dyDescent="0.25">
      <c r="A983" s="37" t="s">
        <v>400</v>
      </c>
      <c r="B983" s="22">
        <v>-1.2496114140958533E-4</v>
      </c>
      <c r="C983" s="22"/>
      <c r="D983" s="22"/>
    </row>
    <row r="984" spans="1:4" x14ac:dyDescent="0.25">
      <c r="A984" s="37" t="s">
        <v>401</v>
      </c>
      <c r="B984" s="22">
        <v>2.8496979211922746E-4</v>
      </c>
      <c r="C984" s="22"/>
      <c r="D984" s="22"/>
    </row>
    <row r="985" spans="1:4" x14ac:dyDescent="0.25">
      <c r="A985" s="37" t="s">
        <v>402</v>
      </c>
      <c r="B985" s="22">
        <v>-1.2000203123534461E-3</v>
      </c>
      <c r="C985" s="22"/>
      <c r="D985" s="22"/>
    </row>
    <row r="986" spans="1:4" x14ac:dyDescent="0.25">
      <c r="A986" s="37" t="s">
        <v>403</v>
      </c>
      <c r="B986" s="22">
        <v>-9.3749161896994478E-4</v>
      </c>
      <c r="C986" s="22"/>
      <c r="D986" s="22"/>
    </row>
    <row r="987" spans="1:4" x14ac:dyDescent="0.25">
      <c r="A987" s="37" t="s">
        <v>404</v>
      </c>
      <c r="B987" s="22">
        <v>4.7504892791039277E-5</v>
      </c>
      <c r="C987" s="22"/>
      <c r="D987" s="22"/>
    </row>
    <row r="988" spans="1:4" x14ac:dyDescent="0.25">
      <c r="A988" s="37" t="s">
        <v>405</v>
      </c>
      <c r="B988" s="22">
        <v>-4.2498108086874871E-5</v>
      </c>
      <c r="C988" s="22"/>
      <c r="D988" s="22"/>
    </row>
    <row r="989" spans="1:4" x14ac:dyDescent="0.25">
      <c r="A989" s="37" t="s">
        <v>406</v>
      </c>
      <c r="B989" s="22">
        <v>4.9498671614855885E-4</v>
      </c>
      <c r="C989" s="22"/>
      <c r="D989" s="22"/>
    </row>
    <row r="990" spans="1:4" x14ac:dyDescent="0.25">
      <c r="A990" s="2">
        <v>38</v>
      </c>
      <c r="B990" s="22">
        <v>-2.4050116459875418E-4</v>
      </c>
      <c r="C990" s="22"/>
      <c r="D990" s="22"/>
    </row>
    <row r="991" spans="1:4" x14ac:dyDescent="0.25">
      <c r="A991" s="37" t="s">
        <v>383</v>
      </c>
      <c r="B991" s="22">
        <v>-1.9575059704948199E-3</v>
      </c>
      <c r="C991" s="22"/>
      <c r="D991" s="22"/>
    </row>
    <row r="992" spans="1:4" x14ac:dyDescent="0.25">
      <c r="A992" s="37" t="s">
        <v>384</v>
      </c>
      <c r="B992" s="22">
        <v>-1.8424689769744847E-3</v>
      </c>
      <c r="C992" s="22"/>
      <c r="D992" s="22"/>
    </row>
    <row r="993" spans="1:4" x14ac:dyDescent="0.25">
      <c r="A993" s="37" t="s">
        <v>385</v>
      </c>
      <c r="B993" s="22">
        <v>-1.1025070707546536E-3</v>
      </c>
      <c r="C993" s="22"/>
      <c r="D993" s="22"/>
    </row>
    <row r="994" spans="1:4" x14ac:dyDescent="0.25">
      <c r="A994" s="37" t="s">
        <v>386</v>
      </c>
      <c r="B994" s="22">
        <v>4.4971726310905015E-5</v>
      </c>
      <c r="C994" s="22"/>
      <c r="D994" s="22"/>
    </row>
    <row r="995" spans="1:4" x14ac:dyDescent="0.25">
      <c r="A995" s="37" t="s">
        <v>387</v>
      </c>
      <c r="B995" s="22">
        <v>1.3253092765808076E-4</v>
      </c>
      <c r="C995" s="22"/>
      <c r="D995" s="22"/>
    </row>
    <row r="996" spans="1:4" x14ac:dyDescent="0.25">
      <c r="A996" s="37" t="s">
        <v>388</v>
      </c>
      <c r="B996" s="22">
        <v>-9.7501277923584114E-4</v>
      </c>
      <c r="C996" s="22"/>
      <c r="D996" s="22"/>
    </row>
    <row r="997" spans="1:4" x14ac:dyDescent="0.25">
      <c r="A997" s="37" t="s">
        <v>389</v>
      </c>
      <c r="B997" s="22">
        <v>-5.6999919161171354E-4</v>
      </c>
      <c r="C997" s="22"/>
      <c r="D997" s="22"/>
    </row>
    <row r="998" spans="1:4" x14ac:dyDescent="0.25">
      <c r="A998" s="37" t="s">
        <v>390</v>
      </c>
      <c r="B998" s="22">
        <v>-3.4987870549230124E-5</v>
      </c>
      <c r="C998" s="22"/>
      <c r="D998" s="22"/>
    </row>
    <row r="999" spans="1:4" x14ac:dyDescent="0.25">
      <c r="A999" s="37" t="s">
        <v>391</v>
      </c>
      <c r="B999" s="22">
        <v>-2.4747847942307983E-4</v>
      </c>
      <c r="C999" s="22"/>
      <c r="D999" s="22"/>
    </row>
    <row r="1000" spans="1:4" x14ac:dyDescent="0.25">
      <c r="A1000" s="37" t="s">
        <v>392</v>
      </c>
      <c r="B1000" s="22">
        <v>-8.7529421307408484E-5</v>
      </c>
      <c r="C1000" s="22"/>
      <c r="D1000" s="22"/>
    </row>
    <row r="1001" spans="1:4" x14ac:dyDescent="0.25">
      <c r="A1001" s="37" t="s">
        <v>393</v>
      </c>
      <c r="B1001" s="22">
        <v>1.7499924115327298E-4</v>
      </c>
      <c r="C1001" s="22"/>
      <c r="D1001" s="22"/>
    </row>
    <row r="1002" spans="1:4" x14ac:dyDescent="0.25">
      <c r="A1002" s="37" t="s">
        <v>394</v>
      </c>
      <c r="B1002" s="22">
        <v>5.74886944377795E-5</v>
      </c>
      <c r="C1002" s="22"/>
      <c r="D1002" s="22"/>
    </row>
    <row r="1003" spans="1:4" x14ac:dyDescent="0.25">
      <c r="A1003" s="37" t="s">
        <v>395</v>
      </c>
      <c r="B1003" s="22">
        <v>4.7504850954283252E-5</v>
      </c>
      <c r="C1003" s="22"/>
      <c r="D1003" s="22"/>
    </row>
    <row r="1004" spans="1:4" x14ac:dyDescent="0.25">
      <c r="A1004" s="37" t="s">
        <v>396</v>
      </c>
      <c r="B1004" s="22">
        <v>5.0747393106576044E-4</v>
      </c>
      <c r="C1004" s="22"/>
      <c r="D1004" s="22"/>
    </row>
    <row r="1005" spans="1:4" x14ac:dyDescent="0.25">
      <c r="A1005" s="37" t="s">
        <v>397</v>
      </c>
      <c r="B1005" s="22">
        <v>3.1250715983333099E-4</v>
      </c>
      <c r="C1005" s="22"/>
      <c r="D1005" s="22"/>
    </row>
    <row r="1006" spans="1:4" x14ac:dyDescent="0.25">
      <c r="A1006" s="37" t="s">
        <v>398</v>
      </c>
      <c r="B1006" s="22">
        <v>-2.6747585070552277E-4</v>
      </c>
      <c r="C1006" s="22"/>
      <c r="D1006" s="22"/>
    </row>
    <row r="1007" spans="1:4" x14ac:dyDescent="0.25">
      <c r="A1007" s="37" t="s">
        <v>399</v>
      </c>
      <c r="B1007" s="22">
        <v>-2.0751358533743769E-4</v>
      </c>
      <c r="C1007" s="22"/>
      <c r="D1007" s="22"/>
    </row>
    <row r="1008" spans="1:4" x14ac:dyDescent="0.25">
      <c r="A1008" s="37" t="s">
        <v>400</v>
      </c>
      <c r="B1008" s="22">
        <v>-1.2496114140958533E-4</v>
      </c>
      <c r="C1008" s="22"/>
      <c r="D1008" s="22"/>
    </row>
    <row r="1009" spans="1:4" x14ac:dyDescent="0.25">
      <c r="A1009" s="37" t="s">
        <v>401</v>
      </c>
      <c r="B1009" s="22">
        <v>2.8496979211922746E-4</v>
      </c>
      <c r="C1009" s="22"/>
      <c r="D1009" s="22"/>
    </row>
    <row r="1010" spans="1:4" x14ac:dyDescent="0.25">
      <c r="A1010" s="37" t="s">
        <v>402</v>
      </c>
      <c r="B1010" s="22">
        <v>-1.2000203123534461E-3</v>
      </c>
      <c r="C1010" s="22"/>
      <c r="D1010" s="22"/>
    </row>
    <row r="1011" spans="1:4" x14ac:dyDescent="0.25">
      <c r="A1011" s="37" t="s">
        <v>403</v>
      </c>
      <c r="B1011" s="22">
        <v>-9.3749161896994478E-4</v>
      </c>
      <c r="C1011" s="22"/>
      <c r="D1011" s="22"/>
    </row>
    <row r="1012" spans="1:4" x14ac:dyDescent="0.25">
      <c r="A1012" s="37" t="s">
        <v>404</v>
      </c>
      <c r="B1012" s="22">
        <v>4.7504892791039277E-5</v>
      </c>
      <c r="C1012" s="22"/>
      <c r="D1012" s="22"/>
    </row>
    <row r="1013" spans="1:4" x14ac:dyDescent="0.25">
      <c r="A1013" s="37" t="s">
        <v>405</v>
      </c>
      <c r="B1013" s="22">
        <v>-4.2498108086874871E-5</v>
      </c>
      <c r="C1013" s="22"/>
      <c r="D1013" s="22"/>
    </row>
    <row r="1014" spans="1:4" x14ac:dyDescent="0.25">
      <c r="A1014" s="37" t="s">
        <v>406</v>
      </c>
      <c r="B1014" s="22">
        <v>4.9498671614855885E-4</v>
      </c>
      <c r="C1014" s="22"/>
      <c r="D1014" s="22"/>
    </row>
    <row r="1015" spans="1:4" x14ac:dyDescent="0.25">
      <c r="A1015" s="37" t="s">
        <v>407</v>
      </c>
      <c r="B1015" s="22">
        <v>1.4799833297729499E-3</v>
      </c>
      <c r="C1015" s="22"/>
      <c r="D1015" s="22"/>
    </row>
    <row r="1016" spans="1:4" x14ac:dyDescent="0.25">
      <c r="A1016" s="2">
        <v>39</v>
      </c>
      <c r="B1016" s="22">
        <v>-1.2920021684294621E-4</v>
      </c>
      <c r="C1016" s="22"/>
      <c r="D1016" s="22"/>
    </row>
    <row r="1017" spans="1:4" x14ac:dyDescent="0.25">
      <c r="A1017" s="37" t="s">
        <v>384</v>
      </c>
      <c r="B1017" s="22">
        <v>-1.8424689769744847E-3</v>
      </c>
      <c r="C1017" s="22"/>
      <c r="D1017" s="22"/>
    </row>
    <row r="1018" spans="1:4" x14ac:dyDescent="0.25">
      <c r="A1018" s="37" t="s">
        <v>385</v>
      </c>
      <c r="B1018" s="22">
        <v>-1.1025070707546536E-3</v>
      </c>
      <c r="C1018" s="22"/>
      <c r="D1018" s="22"/>
    </row>
    <row r="1019" spans="1:4" x14ac:dyDescent="0.25">
      <c r="A1019" s="37" t="s">
        <v>386</v>
      </c>
      <c r="B1019" s="22">
        <v>4.4971726310905015E-5</v>
      </c>
      <c r="C1019" s="22"/>
      <c r="D1019" s="22"/>
    </row>
    <row r="1020" spans="1:4" x14ac:dyDescent="0.25">
      <c r="A1020" s="37" t="s">
        <v>387</v>
      </c>
      <c r="B1020" s="22">
        <v>1.3253092765808076E-4</v>
      </c>
      <c r="C1020" s="22"/>
      <c r="D1020" s="22"/>
    </row>
    <row r="1021" spans="1:4" x14ac:dyDescent="0.25">
      <c r="A1021" s="37" t="s">
        <v>388</v>
      </c>
      <c r="B1021" s="22">
        <v>-9.7501277923584114E-4</v>
      </c>
      <c r="C1021" s="22"/>
      <c r="D1021" s="22"/>
    </row>
    <row r="1022" spans="1:4" x14ac:dyDescent="0.25">
      <c r="A1022" s="37" t="s">
        <v>389</v>
      </c>
      <c r="B1022" s="22">
        <v>-5.6999919161171354E-4</v>
      </c>
      <c r="C1022" s="22"/>
      <c r="D1022" s="22"/>
    </row>
    <row r="1023" spans="1:4" x14ac:dyDescent="0.25">
      <c r="A1023" s="37" t="s">
        <v>390</v>
      </c>
      <c r="B1023" s="22">
        <v>-3.4987870549230124E-5</v>
      </c>
      <c r="C1023" s="22"/>
      <c r="D1023" s="22"/>
    </row>
    <row r="1024" spans="1:4" x14ac:dyDescent="0.25">
      <c r="A1024" s="37" t="s">
        <v>391</v>
      </c>
      <c r="B1024" s="22">
        <v>-2.4747847942307983E-4</v>
      </c>
      <c r="C1024" s="22"/>
      <c r="D1024" s="22"/>
    </row>
    <row r="1025" spans="1:4" x14ac:dyDescent="0.25">
      <c r="A1025" s="37" t="s">
        <v>392</v>
      </c>
      <c r="B1025" s="22">
        <v>-8.7529421307408484E-5</v>
      </c>
      <c r="C1025" s="22"/>
      <c r="D1025" s="22"/>
    </row>
    <row r="1026" spans="1:4" x14ac:dyDescent="0.25">
      <c r="A1026" s="37" t="s">
        <v>393</v>
      </c>
      <c r="B1026" s="22">
        <v>1.7499924115327298E-4</v>
      </c>
      <c r="C1026" s="22"/>
      <c r="D1026" s="22"/>
    </row>
    <row r="1027" spans="1:4" x14ac:dyDescent="0.25">
      <c r="A1027" s="37" t="s">
        <v>394</v>
      </c>
      <c r="B1027" s="22">
        <v>5.74886944377795E-5</v>
      </c>
      <c r="C1027" s="22"/>
      <c r="D1027" s="22"/>
    </row>
    <row r="1028" spans="1:4" x14ac:dyDescent="0.25">
      <c r="A1028" s="37" t="s">
        <v>395</v>
      </c>
      <c r="B1028" s="22">
        <v>4.7504850954283252E-5</v>
      </c>
      <c r="C1028" s="22"/>
      <c r="D1028" s="22"/>
    </row>
    <row r="1029" spans="1:4" x14ac:dyDescent="0.25">
      <c r="A1029" s="37" t="s">
        <v>396</v>
      </c>
      <c r="B1029" s="22">
        <v>5.0747393106576044E-4</v>
      </c>
      <c r="C1029" s="22"/>
      <c r="D1029" s="22"/>
    </row>
    <row r="1030" spans="1:4" x14ac:dyDescent="0.25">
      <c r="A1030" s="37" t="s">
        <v>397</v>
      </c>
      <c r="B1030" s="22">
        <v>3.1250715983333099E-4</v>
      </c>
      <c r="C1030" s="22"/>
      <c r="D1030" s="22"/>
    </row>
    <row r="1031" spans="1:4" x14ac:dyDescent="0.25">
      <c r="A1031" s="37" t="s">
        <v>398</v>
      </c>
      <c r="B1031" s="22">
        <v>-2.6747585070552277E-4</v>
      </c>
      <c r="C1031" s="22"/>
      <c r="D1031" s="22"/>
    </row>
    <row r="1032" spans="1:4" x14ac:dyDescent="0.25">
      <c r="A1032" s="37" t="s">
        <v>399</v>
      </c>
      <c r="B1032" s="22">
        <v>-2.0751358533743769E-4</v>
      </c>
      <c r="C1032" s="22"/>
      <c r="D1032" s="22"/>
    </row>
    <row r="1033" spans="1:4" x14ac:dyDescent="0.25">
      <c r="A1033" s="37" t="s">
        <v>400</v>
      </c>
      <c r="B1033" s="22">
        <v>-1.2496114140958533E-4</v>
      </c>
      <c r="C1033" s="22"/>
      <c r="D1033" s="22"/>
    </row>
    <row r="1034" spans="1:4" x14ac:dyDescent="0.25">
      <c r="A1034" s="37" t="s">
        <v>401</v>
      </c>
      <c r="B1034" s="22">
        <v>2.8496979211922746E-4</v>
      </c>
      <c r="C1034" s="22"/>
      <c r="D1034" s="22"/>
    </row>
    <row r="1035" spans="1:4" x14ac:dyDescent="0.25">
      <c r="A1035" s="37" t="s">
        <v>402</v>
      </c>
      <c r="B1035" s="22">
        <v>-1.2000203123534461E-3</v>
      </c>
      <c r="C1035" s="22"/>
      <c r="D1035" s="22"/>
    </row>
    <row r="1036" spans="1:4" x14ac:dyDescent="0.25">
      <c r="A1036" s="37" t="s">
        <v>403</v>
      </c>
      <c r="B1036" s="22">
        <v>-9.3749161896994478E-4</v>
      </c>
      <c r="C1036" s="22"/>
      <c r="D1036" s="22"/>
    </row>
    <row r="1037" spans="1:4" x14ac:dyDescent="0.25">
      <c r="A1037" s="37" t="s">
        <v>404</v>
      </c>
      <c r="B1037" s="22">
        <v>4.7504892791039277E-5</v>
      </c>
      <c r="C1037" s="22"/>
      <c r="D1037" s="22"/>
    </row>
    <row r="1038" spans="1:4" x14ac:dyDescent="0.25">
      <c r="A1038" s="37" t="s">
        <v>405</v>
      </c>
      <c r="B1038" s="22">
        <v>-4.2498108086874871E-5</v>
      </c>
      <c r="C1038" s="22"/>
      <c r="D1038" s="22"/>
    </row>
    <row r="1039" spans="1:4" x14ac:dyDescent="0.25">
      <c r="A1039" s="37" t="s">
        <v>406</v>
      </c>
      <c r="B1039" s="22">
        <v>4.9498671614855885E-4</v>
      </c>
      <c r="C1039" s="22"/>
      <c r="D1039" s="22"/>
    </row>
    <row r="1040" spans="1:4" x14ac:dyDescent="0.25">
      <c r="A1040" s="37" t="s">
        <v>407</v>
      </c>
      <c r="B1040" s="22">
        <v>1.4799833297729499E-3</v>
      </c>
      <c r="C1040" s="22"/>
      <c r="D1040" s="22"/>
    </row>
    <row r="1041" spans="1:4" x14ac:dyDescent="0.25">
      <c r="A1041" s="37" t="s">
        <v>408</v>
      </c>
      <c r="B1041" s="22">
        <v>8.2501772340037817E-4</v>
      </c>
      <c r="C1041" s="22"/>
      <c r="D1041" s="22"/>
    </row>
    <row r="1042" spans="1:4" x14ac:dyDescent="0.25">
      <c r="A1042" s="2">
        <v>40</v>
      </c>
      <c r="B1042" s="22">
        <v>-5.4001806429369144E-5</v>
      </c>
      <c r="C1042" s="22"/>
      <c r="D1042" s="22"/>
    </row>
    <row r="1043" spans="1:4" x14ac:dyDescent="0.25">
      <c r="A1043" s="37" t="s">
        <v>385</v>
      </c>
      <c r="B1043" s="22">
        <v>-1.1025070707546536E-3</v>
      </c>
      <c r="C1043" s="22"/>
      <c r="D1043" s="22"/>
    </row>
    <row r="1044" spans="1:4" x14ac:dyDescent="0.25">
      <c r="A1044" s="37" t="s">
        <v>386</v>
      </c>
      <c r="B1044" s="22">
        <v>4.4971726310905015E-5</v>
      </c>
      <c r="C1044" s="22"/>
      <c r="D1044" s="22"/>
    </row>
    <row r="1045" spans="1:4" x14ac:dyDescent="0.25">
      <c r="A1045" s="37" t="s">
        <v>387</v>
      </c>
      <c r="B1045" s="22">
        <v>1.3253092765808076E-4</v>
      </c>
      <c r="C1045" s="22"/>
      <c r="D1045" s="22"/>
    </row>
    <row r="1046" spans="1:4" x14ac:dyDescent="0.25">
      <c r="A1046" s="37" t="s">
        <v>388</v>
      </c>
      <c r="B1046" s="22">
        <v>-9.7501277923584114E-4</v>
      </c>
      <c r="C1046" s="22"/>
      <c r="D1046" s="22"/>
    </row>
    <row r="1047" spans="1:4" x14ac:dyDescent="0.25">
      <c r="A1047" s="37" t="s">
        <v>389</v>
      </c>
      <c r="B1047" s="22">
        <v>-5.6999919161171354E-4</v>
      </c>
      <c r="C1047" s="22"/>
      <c r="D1047" s="22"/>
    </row>
    <row r="1048" spans="1:4" x14ac:dyDescent="0.25">
      <c r="A1048" s="37" t="s">
        <v>390</v>
      </c>
      <c r="B1048" s="22">
        <v>-3.4987870549230124E-5</v>
      </c>
      <c r="C1048" s="22"/>
      <c r="D1048" s="22"/>
    </row>
    <row r="1049" spans="1:4" x14ac:dyDescent="0.25">
      <c r="A1049" s="37" t="s">
        <v>391</v>
      </c>
      <c r="B1049" s="22">
        <v>-2.4747847942307983E-4</v>
      </c>
      <c r="C1049" s="22"/>
      <c r="D1049" s="22"/>
    </row>
    <row r="1050" spans="1:4" x14ac:dyDescent="0.25">
      <c r="A1050" s="37" t="s">
        <v>392</v>
      </c>
      <c r="B1050" s="22">
        <v>-8.7529421307408484E-5</v>
      </c>
      <c r="C1050" s="22"/>
      <c r="D1050" s="22"/>
    </row>
    <row r="1051" spans="1:4" x14ac:dyDescent="0.25">
      <c r="A1051" s="37" t="s">
        <v>393</v>
      </c>
      <c r="B1051" s="22">
        <v>1.7499924115327298E-4</v>
      </c>
      <c r="C1051" s="22"/>
      <c r="D1051" s="22"/>
    </row>
    <row r="1052" spans="1:4" x14ac:dyDescent="0.25">
      <c r="A1052" s="37" t="s">
        <v>394</v>
      </c>
      <c r="B1052" s="22">
        <v>5.74886944377795E-5</v>
      </c>
      <c r="C1052" s="22"/>
      <c r="D1052" s="22"/>
    </row>
    <row r="1053" spans="1:4" x14ac:dyDescent="0.25">
      <c r="A1053" s="37" t="s">
        <v>395</v>
      </c>
      <c r="B1053" s="22">
        <v>4.7504850954283252E-5</v>
      </c>
      <c r="C1053" s="22"/>
      <c r="D1053" s="22"/>
    </row>
    <row r="1054" spans="1:4" x14ac:dyDescent="0.25">
      <c r="A1054" s="37" t="s">
        <v>396</v>
      </c>
      <c r="B1054" s="22">
        <v>5.0747393106576044E-4</v>
      </c>
      <c r="C1054" s="22"/>
      <c r="D1054" s="22"/>
    </row>
    <row r="1055" spans="1:4" x14ac:dyDescent="0.25">
      <c r="A1055" s="37" t="s">
        <v>397</v>
      </c>
      <c r="B1055" s="22">
        <v>3.1250715983333099E-4</v>
      </c>
      <c r="C1055" s="22"/>
      <c r="D1055" s="22"/>
    </row>
    <row r="1056" spans="1:4" x14ac:dyDescent="0.25">
      <c r="A1056" s="37" t="s">
        <v>398</v>
      </c>
      <c r="B1056" s="22">
        <v>-2.6747585070552277E-4</v>
      </c>
      <c r="C1056" s="22"/>
      <c r="D1056" s="22"/>
    </row>
    <row r="1057" spans="1:4" x14ac:dyDescent="0.25">
      <c r="A1057" s="37" t="s">
        <v>399</v>
      </c>
      <c r="B1057" s="22">
        <v>-2.0751358533743769E-4</v>
      </c>
      <c r="C1057" s="22"/>
      <c r="D1057" s="22"/>
    </row>
    <row r="1058" spans="1:4" x14ac:dyDescent="0.25">
      <c r="A1058" s="37" t="s">
        <v>400</v>
      </c>
      <c r="B1058" s="22">
        <v>-1.2496114140958533E-4</v>
      </c>
      <c r="C1058" s="22"/>
      <c r="D1058" s="22"/>
    </row>
    <row r="1059" spans="1:4" x14ac:dyDescent="0.25">
      <c r="A1059" s="37" t="s">
        <v>401</v>
      </c>
      <c r="B1059" s="22">
        <v>2.8496979211922746E-4</v>
      </c>
      <c r="C1059" s="22"/>
      <c r="D1059" s="22"/>
    </row>
    <row r="1060" spans="1:4" x14ac:dyDescent="0.25">
      <c r="A1060" s="37" t="s">
        <v>402</v>
      </c>
      <c r="B1060" s="22">
        <v>-1.2000203123534461E-3</v>
      </c>
      <c r="C1060" s="22"/>
      <c r="D1060" s="22"/>
    </row>
    <row r="1061" spans="1:4" x14ac:dyDescent="0.25">
      <c r="A1061" s="37" t="s">
        <v>403</v>
      </c>
      <c r="B1061" s="22">
        <v>-9.3749161896994478E-4</v>
      </c>
      <c r="C1061" s="22"/>
      <c r="D1061" s="22"/>
    </row>
    <row r="1062" spans="1:4" x14ac:dyDescent="0.25">
      <c r="A1062" s="37" t="s">
        <v>404</v>
      </c>
      <c r="B1062" s="22">
        <v>4.7504892791039277E-5</v>
      </c>
      <c r="C1062" s="22"/>
      <c r="D1062" s="22"/>
    </row>
    <row r="1063" spans="1:4" x14ac:dyDescent="0.25">
      <c r="A1063" s="37" t="s">
        <v>405</v>
      </c>
      <c r="B1063" s="22">
        <v>-4.2498108086874871E-5</v>
      </c>
      <c r="C1063" s="22"/>
      <c r="D1063" s="22"/>
    </row>
    <row r="1064" spans="1:4" x14ac:dyDescent="0.25">
      <c r="A1064" s="37" t="s">
        <v>406</v>
      </c>
      <c r="B1064" s="22">
        <v>4.9498671614855885E-4</v>
      </c>
      <c r="C1064" s="22"/>
      <c r="D1064" s="22"/>
    </row>
    <row r="1065" spans="1:4" x14ac:dyDescent="0.25">
      <c r="A1065" s="37" t="s">
        <v>407</v>
      </c>
      <c r="B1065" s="22">
        <v>1.4799833297729499E-3</v>
      </c>
      <c r="C1065" s="22"/>
      <c r="D1065" s="22"/>
    </row>
    <row r="1066" spans="1:4" x14ac:dyDescent="0.25">
      <c r="A1066" s="37" t="s">
        <v>408</v>
      </c>
      <c r="B1066" s="22">
        <v>8.2501772340037817E-4</v>
      </c>
      <c r="C1066" s="22"/>
      <c r="D1066" s="22"/>
    </row>
    <row r="1067" spans="1:4" x14ac:dyDescent="0.25">
      <c r="A1067" s="37" t="s">
        <v>409</v>
      </c>
      <c r="B1067" s="22">
        <v>3.749128336494331E-5</v>
      </c>
      <c r="C1067" s="22"/>
      <c r="D1067" s="22"/>
    </row>
    <row r="1068" spans="1:4" x14ac:dyDescent="0.25">
      <c r="A1068" s="2">
        <v>41</v>
      </c>
      <c r="B1068" s="22">
        <v>-4.9996368852590822E-6</v>
      </c>
      <c r="C1068" s="22"/>
      <c r="D1068" s="22"/>
    </row>
    <row r="1069" spans="1:4" x14ac:dyDescent="0.25">
      <c r="A1069" s="37" t="s">
        <v>386</v>
      </c>
      <c r="B1069" s="22">
        <v>4.4971726310905015E-5</v>
      </c>
      <c r="C1069" s="22"/>
      <c r="D1069" s="22"/>
    </row>
    <row r="1070" spans="1:4" x14ac:dyDescent="0.25">
      <c r="A1070" s="37" t="s">
        <v>387</v>
      </c>
      <c r="B1070" s="22">
        <v>1.3253092765808076E-4</v>
      </c>
      <c r="C1070" s="22"/>
      <c r="D1070" s="22"/>
    </row>
    <row r="1071" spans="1:4" x14ac:dyDescent="0.25">
      <c r="A1071" s="37" t="s">
        <v>388</v>
      </c>
      <c r="B1071" s="22">
        <v>-9.7501277923584114E-4</v>
      </c>
      <c r="C1071" s="22"/>
      <c r="D1071" s="22"/>
    </row>
    <row r="1072" spans="1:4" x14ac:dyDescent="0.25">
      <c r="A1072" s="37" t="s">
        <v>389</v>
      </c>
      <c r="B1072" s="22">
        <v>-5.6999919161171354E-4</v>
      </c>
      <c r="C1072" s="22"/>
      <c r="D1072" s="22"/>
    </row>
    <row r="1073" spans="1:4" x14ac:dyDescent="0.25">
      <c r="A1073" s="37" t="s">
        <v>390</v>
      </c>
      <c r="B1073" s="22">
        <v>-3.4987870549230124E-5</v>
      </c>
      <c r="C1073" s="22"/>
      <c r="D1073" s="22"/>
    </row>
    <row r="1074" spans="1:4" x14ac:dyDescent="0.25">
      <c r="A1074" s="37" t="s">
        <v>391</v>
      </c>
      <c r="B1074" s="22">
        <v>-2.4747847942307983E-4</v>
      </c>
      <c r="C1074" s="22"/>
      <c r="D1074" s="22"/>
    </row>
    <row r="1075" spans="1:4" x14ac:dyDescent="0.25">
      <c r="A1075" s="37" t="s">
        <v>392</v>
      </c>
      <c r="B1075" s="22">
        <v>-8.7529421307408484E-5</v>
      </c>
      <c r="C1075" s="22"/>
      <c r="D1075" s="22"/>
    </row>
    <row r="1076" spans="1:4" x14ac:dyDescent="0.25">
      <c r="A1076" s="37" t="s">
        <v>393</v>
      </c>
      <c r="B1076" s="22">
        <v>1.7499924115327298E-4</v>
      </c>
      <c r="C1076" s="22"/>
      <c r="D1076" s="22"/>
    </row>
    <row r="1077" spans="1:4" x14ac:dyDescent="0.25">
      <c r="A1077" s="37" t="s">
        <v>394</v>
      </c>
      <c r="B1077" s="22">
        <v>5.74886944377795E-5</v>
      </c>
      <c r="C1077" s="22"/>
      <c r="D1077" s="22"/>
    </row>
    <row r="1078" spans="1:4" x14ac:dyDescent="0.25">
      <c r="A1078" s="37" t="s">
        <v>395</v>
      </c>
      <c r="B1078" s="22">
        <v>4.7504850954283252E-5</v>
      </c>
      <c r="C1078" s="22"/>
      <c r="D1078" s="22"/>
    </row>
    <row r="1079" spans="1:4" x14ac:dyDescent="0.25">
      <c r="A1079" s="37" t="s">
        <v>396</v>
      </c>
      <c r="B1079" s="22">
        <v>5.0747393106576044E-4</v>
      </c>
      <c r="C1079" s="22"/>
      <c r="D1079" s="22"/>
    </row>
    <row r="1080" spans="1:4" x14ac:dyDescent="0.25">
      <c r="A1080" s="37" t="s">
        <v>397</v>
      </c>
      <c r="B1080" s="22">
        <v>3.1250715983333099E-4</v>
      </c>
      <c r="C1080" s="22"/>
      <c r="D1080" s="22"/>
    </row>
    <row r="1081" spans="1:4" x14ac:dyDescent="0.25">
      <c r="A1081" s="37" t="s">
        <v>398</v>
      </c>
      <c r="B1081" s="22">
        <v>-2.6747585070552277E-4</v>
      </c>
      <c r="C1081" s="22"/>
      <c r="D1081" s="22"/>
    </row>
    <row r="1082" spans="1:4" x14ac:dyDescent="0.25">
      <c r="A1082" s="37" t="s">
        <v>399</v>
      </c>
      <c r="B1082" s="22">
        <v>-2.0751358533743769E-4</v>
      </c>
      <c r="C1082" s="22"/>
      <c r="D1082" s="22"/>
    </row>
    <row r="1083" spans="1:4" x14ac:dyDescent="0.25">
      <c r="A1083" s="37" t="s">
        <v>400</v>
      </c>
      <c r="B1083" s="22">
        <v>-1.2496114140958533E-4</v>
      </c>
      <c r="C1083" s="22"/>
      <c r="D1083" s="22"/>
    </row>
    <row r="1084" spans="1:4" x14ac:dyDescent="0.25">
      <c r="A1084" s="37" t="s">
        <v>401</v>
      </c>
      <c r="B1084" s="22">
        <v>2.8496979211922746E-4</v>
      </c>
      <c r="C1084" s="22"/>
      <c r="D1084" s="22"/>
    </row>
    <row r="1085" spans="1:4" x14ac:dyDescent="0.25">
      <c r="A1085" s="37" t="s">
        <v>402</v>
      </c>
      <c r="B1085" s="22">
        <v>-1.2000203123534461E-3</v>
      </c>
      <c r="C1085" s="22"/>
      <c r="D1085" s="22"/>
    </row>
    <row r="1086" spans="1:4" x14ac:dyDescent="0.25">
      <c r="A1086" s="37" t="s">
        <v>403</v>
      </c>
      <c r="B1086" s="22">
        <v>-9.3749161896994478E-4</v>
      </c>
      <c r="C1086" s="22"/>
      <c r="D1086" s="22"/>
    </row>
    <row r="1087" spans="1:4" x14ac:dyDescent="0.25">
      <c r="A1087" s="37" t="s">
        <v>404</v>
      </c>
      <c r="B1087" s="22">
        <v>4.7504892791039277E-5</v>
      </c>
      <c r="C1087" s="22"/>
      <c r="D1087" s="22"/>
    </row>
    <row r="1088" spans="1:4" x14ac:dyDescent="0.25">
      <c r="A1088" s="37" t="s">
        <v>405</v>
      </c>
      <c r="B1088" s="22">
        <v>-4.2498108086874871E-5</v>
      </c>
      <c r="C1088" s="22"/>
      <c r="D1088" s="22"/>
    </row>
    <row r="1089" spans="1:4" x14ac:dyDescent="0.25">
      <c r="A1089" s="37" t="s">
        <v>406</v>
      </c>
      <c r="B1089" s="22">
        <v>4.9498671614855885E-4</v>
      </c>
      <c r="C1089" s="22"/>
      <c r="D1089" s="22"/>
    </row>
    <row r="1090" spans="1:4" x14ac:dyDescent="0.25">
      <c r="A1090" s="37" t="s">
        <v>407</v>
      </c>
      <c r="B1090" s="22">
        <v>1.4799833297729499E-3</v>
      </c>
      <c r="C1090" s="22"/>
      <c r="D1090" s="22"/>
    </row>
    <row r="1091" spans="1:4" x14ac:dyDescent="0.25">
      <c r="A1091" s="37" t="s">
        <v>408</v>
      </c>
      <c r="B1091" s="22">
        <v>8.2501772340037817E-4</v>
      </c>
      <c r="C1091" s="22"/>
      <c r="D1091" s="22"/>
    </row>
    <row r="1092" spans="1:4" x14ac:dyDescent="0.25">
      <c r="A1092" s="37" t="s">
        <v>409</v>
      </c>
      <c r="B1092" s="22">
        <v>3.749128336494331E-5</v>
      </c>
      <c r="C1092" s="22"/>
      <c r="D1092" s="22"/>
    </row>
    <row r="1093" spans="1:4" x14ac:dyDescent="0.25">
      <c r="A1093" s="37" t="s">
        <v>410</v>
      </c>
      <c r="B1093" s="22">
        <v>1.2254716784809724E-4</v>
      </c>
      <c r="C1093" s="22"/>
      <c r="D1093" s="22"/>
    </row>
    <row r="1094" spans="1:4" x14ac:dyDescent="0.25">
      <c r="A1094" s="2">
        <v>42</v>
      </c>
      <c r="B1094" s="22">
        <v>-3.700255192598126E-6</v>
      </c>
      <c r="C1094" s="22"/>
      <c r="D1094" s="22"/>
    </row>
    <row r="1095" spans="1:4" x14ac:dyDescent="0.25">
      <c r="A1095" s="37" t="s">
        <v>387</v>
      </c>
      <c r="B1095" s="22">
        <v>1.3253092765808076E-4</v>
      </c>
      <c r="C1095" s="22"/>
      <c r="D1095" s="22"/>
    </row>
    <row r="1096" spans="1:4" x14ac:dyDescent="0.25">
      <c r="A1096" s="37" t="s">
        <v>388</v>
      </c>
      <c r="B1096" s="22">
        <v>-9.7501277923584114E-4</v>
      </c>
      <c r="C1096" s="22"/>
      <c r="D1096" s="22"/>
    </row>
    <row r="1097" spans="1:4" x14ac:dyDescent="0.25">
      <c r="A1097" s="37" t="s">
        <v>389</v>
      </c>
      <c r="B1097" s="22">
        <v>-5.6999919161171354E-4</v>
      </c>
      <c r="C1097" s="22"/>
      <c r="D1097" s="22"/>
    </row>
    <row r="1098" spans="1:4" x14ac:dyDescent="0.25">
      <c r="A1098" s="37" t="s">
        <v>390</v>
      </c>
      <c r="B1098" s="22">
        <v>-3.4987870549230124E-5</v>
      </c>
      <c r="C1098" s="22"/>
      <c r="D1098" s="22"/>
    </row>
    <row r="1099" spans="1:4" x14ac:dyDescent="0.25">
      <c r="A1099" s="37" t="s">
        <v>391</v>
      </c>
      <c r="B1099" s="22">
        <v>-2.4747847942307983E-4</v>
      </c>
      <c r="C1099" s="22"/>
      <c r="D1099" s="22"/>
    </row>
    <row r="1100" spans="1:4" x14ac:dyDescent="0.25">
      <c r="A1100" s="37" t="s">
        <v>392</v>
      </c>
      <c r="B1100" s="22">
        <v>-8.7529421307408484E-5</v>
      </c>
      <c r="C1100" s="22"/>
      <c r="D1100" s="22"/>
    </row>
    <row r="1101" spans="1:4" x14ac:dyDescent="0.25">
      <c r="A1101" s="37" t="s">
        <v>393</v>
      </c>
      <c r="B1101" s="22">
        <v>1.7499924115327298E-4</v>
      </c>
      <c r="C1101" s="22"/>
      <c r="D1101" s="22"/>
    </row>
    <row r="1102" spans="1:4" x14ac:dyDescent="0.25">
      <c r="A1102" s="37" t="s">
        <v>394</v>
      </c>
      <c r="B1102" s="22">
        <v>5.74886944377795E-5</v>
      </c>
      <c r="C1102" s="22"/>
      <c r="D1102" s="22"/>
    </row>
    <row r="1103" spans="1:4" x14ac:dyDescent="0.25">
      <c r="A1103" s="37" t="s">
        <v>395</v>
      </c>
      <c r="B1103" s="22">
        <v>4.7504850954283252E-5</v>
      </c>
      <c r="C1103" s="22"/>
      <c r="D1103" s="22"/>
    </row>
    <row r="1104" spans="1:4" x14ac:dyDescent="0.25">
      <c r="A1104" s="37" t="s">
        <v>396</v>
      </c>
      <c r="B1104" s="22">
        <v>5.0747393106576044E-4</v>
      </c>
      <c r="C1104" s="22"/>
      <c r="D1104" s="22"/>
    </row>
    <row r="1105" spans="1:4" x14ac:dyDescent="0.25">
      <c r="A1105" s="37" t="s">
        <v>397</v>
      </c>
      <c r="B1105" s="22">
        <v>3.1250715983333099E-4</v>
      </c>
      <c r="C1105" s="22"/>
      <c r="D1105" s="22"/>
    </row>
    <row r="1106" spans="1:4" x14ac:dyDescent="0.25">
      <c r="A1106" s="37" t="s">
        <v>398</v>
      </c>
      <c r="B1106" s="22">
        <v>-2.6747585070552277E-4</v>
      </c>
      <c r="C1106" s="22"/>
      <c r="D1106" s="22"/>
    </row>
    <row r="1107" spans="1:4" x14ac:dyDescent="0.25">
      <c r="A1107" s="37" t="s">
        <v>399</v>
      </c>
      <c r="B1107" s="22">
        <v>-2.0751358533743769E-4</v>
      </c>
      <c r="C1107" s="22"/>
      <c r="D1107" s="22"/>
    </row>
    <row r="1108" spans="1:4" x14ac:dyDescent="0.25">
      <c r="A1108" s="37" t="s">
        <v>400</v>
      </c>
      <c r="B1108" s="22">
        <v>-1.2496114140958533E-4</v>
      </c>
      <c r="C1108" s="22"/>
      <c r="D1108" s="22"/>
    </row>
    <row r="1109" spans="1:4" x14ac:dyDescent="0.25">
      <c r="A1109" s="37" t="s">
        <v>401</v>
      </c>
      <c r="B1109" s="22">
        <v>2.8496979211922746E-4</v>
      </c>
      <c r="C1109" s="22"/>
      <c r="D1109" s="22"/>
    </row>
    <row r="1110" spans="1:4" x14ac:dyDescent="0.25">
      <c r="A1110" s="37" t="s">
        <v>402</v>
      </c>
      <c r="B1110" s="22">
        <v>-1.2000203123534461E-3</v>
      </c>
      <c r="C1110" s="22"/>
      <c r="D1110" s="22"/>
    </row>
    <row r="1111" spans="1:4" x14ac:dyDescent="0.25">
      <c r="A1111" s="37" t="s">
        <v>403</v>
      </c>
      <c r="B1111" s="22">
        <v>-9.3749161896994478E-4</v>
      </c>
      <c r="C1111" s="22"/>
      <c r="D1111" s="22"/>
    </row>
    <row r="1112" spans="1:4" x14ac:dyDescent="0.25">
      <c r="A1112" s="37" t="s">
        <v>404</v>
      </c>
      <c r="B1112" s="22">
        <v>4.7504892791039277E-5</v>
      </c>
      <c r="C1112" s="22"/>
      <c r="D1112" s="22"/>
    </row>
    <row r="1113" spans="1:4" x14ac:dyDescent="0.25">
      <c r="A1113" s="37" t="s">
        <v>405</v>
      </c>
      <c r="B1113" s="22">
        <v>-4.2498108086874871E-5</v>
      </c>
      <c r="C1113" s="22"/>
      <c r="D1113" s="22"/>
    </row>
    <row r="1114" spans="1:4" x14ac:dyDescent="0.25">
      <c r="A1114" s="37" t="s">
        <v>406</v>
      </c>
      <c r="B1114" s="22">
        <v>4.9498671614855885E-4</v>
      </c>
      <c r="C1114" s="22"/>
      <c r="D1114" s="22"/>
    </row>
    <row r="1115" spans="1:4" x14ac:dyDescent="0.25">
      <c r="A1115" s="37" t="s">
        <v>407</v>
      </c>
      <c r="B1115" s="22">
        <v>1.4799833297729499E-3</v>
      </c>
      <c r="C1115" s="22"/>
      <c r="D1115" s="22"/>
    </row>
    <row r="1116" spans="1:4" x14ac:dyDescent="0.25">
      <c r="A1116" s="37" t="s">
        <v>408</v>
      </c>
      <c r="B1116" s="22">
        <v>8.2501772340037817E-4</v>
      </c>
      <c r="C1116" s="22"/>
      <c r="D1116" s="22"/>
    </row>
    <row r="1117" spans="1:4" x14ac:dyDescent="0.25">
      <c r="A1117" s="37" t="s">
        <v>409</v>
      </c>
      <c r="B1117" s="22">
        <v>3.749128336494331E-5</v>
      </c>
      <c r="C1117" s="22"/>
      <c r="D1117" s="22"/>
    </row>
    <row r="1118" spans="1:4" x14ac:dyDescent="0.25">
      <c r="A1118" s="37" t="s">
        <v>410</v>
      </c>
      <c r="B1118" s="22">
        <v>1.2254716784809724E-4</v>
      </c>
      <c r="C1118" s="22"/>
      <c r="D1118" s="22"/>
    </row>
    <row r="1119" spans="1:4" x14ac:dyDescent="0.25">
      <c r="A1119" s="37" t="s">
        <v>411</v>
      </c>
      <c r="B1119" s="22">
        <v>7.7456268627428988E-5</v>
      </c>
      <c r="C1119" s="22"/>
      <c r="D1119" s="22"/>
    </row>
    <row r="1120" spans="1:4" x14ac:dyDescent="0.25">
      <c r="A1120" s="2">
        <v>43</v>
      </c>
      <c r="B1120" s="22">
        <v>-8.8012198921207092E-6</v>
      </c>
      <c r="C1120" s="22"/>
      <c r="D1120" s="22"/>
    </row>
    <row r="1121" spans="1:4" x14ac:dyDescent="0.25">
      <c r="A1121" s="37" t="s">
        <v>388</v>
      </c>
      <c r="B1121" s="22">
        <v>-9.7501277923584114E-4</v>
      </c>
      <c r="C1121" s="22"/>
      <c r="D1121" s="22"/>
    </row>
    <row r="1122" spans="1:4" x14ac:dyDescent="0.25">
      <c r="A1122" s="37" t="s">
        <v>389</v>
      </c>
      <c r="B1122" s="22">
        <v>-5.6999919161171354E-4</v>
      </c>
      <c r="C1122" s="22"/>
      <c r="D1122" s="22"/>
    </row>
    <row r="1123" spans="1:4" x14ac:dyDescent="0.25">
      <c r="A1123" s="37" t="s">
        <v>390</v>
      </c>
      <c r="B1123" s="22">
        <v>-3.4987870549230124E-5</v>
      </c>
      <c r="C1123" s="22"/>
      <c r="D1123" s="22"/>
    </row>
    <row r="1124" spans="1:4" x14ac:dyDescent="0.25">
      <c r="A1124" s="37" t="s">
        <v>391</v>
      </c>
      <c r="B1124" s="22">
        <v>-2.4747847942307983E-4</v>
      </c>
      <c r="C1124" s="22"/>
      <c r="D1124" s="22"/>
    </row>
    <row r="1125" spans="1:4" x14ac:dyDescent="0.25">
      <c r="A1125" s="37" t="s">
        <v>392</v>
      </c>
      <c r="B1125" s="22">
        <v>-8.7529421307408484E-5</v>
      </c>
      <c r="C1125" s="22"/>
      <c r="D1125" s="22"/>
    </row>
    <row r="1126" spans="1:4" x14ac:dyDescent="0.25">
      <c r="A1126" s="37" t="s">
        <v>393</v>
      </c>
      <c r="B1126" s="22">
        <v>1.7499924115327298E-4</v>
      </c>
      <c r="C1126" s="22"/>
      <c r="D1126" s="22"/>
    </row>
    <row r="1127" spans="1:4" x14ac:dyDescent="0.25">
      <c r="A1127" s="37" t="s">
        <v>394</v>
      </c>
      <c r="B1127" s="22">
        <v>5.74886944377795E-5</v>
      </c>
      <c r="C1127" s="22"/>
      <c r="D1127" s="22"/>
    </row>
    <row r="1128" spans="1:4" x14ac:dyDescent="0.25">
      <c r="A1128" s="37" t="s">
        <v>395</v>
      </c>
      <c r="B1128" s="22">
        <v>4.7504850954283252E-5</v>
      </c>
      <c r="C1128" s="22"/>
      <c r="D1128" s="22"/>
    </row>
    <row r="1129" spans="1:4" x14ac:dyDescent="0.25">
      <c r="A1129" s="37" t="s">
        <v>396</v>
      </c>
      <c r="B1129" s="22">
        <v>5.0747393106576044E-4</v>
      </c>
      <c r="C1129" s="22"/>
      <c r="D1129" s="22"/>
    </row>
    <row r="1130" spans="1:4" x14ac:dyDescent="0.25">
      <c r="A1130" s="37" t="s">
        <v>397</v>
      </c>
      <c r="B1130" s="22">
        <v>3.1250715983333099E-4</v>
      </c>
      <c r="C1130" s="22"/>
      <c r="D1130" s="22"/>
    </row>
    <row r="1131" spans="1:4" x14ac:dyDescent="0.25">
      <c r="A1131" s="37" t="s">
        <v>398</v>
      </c>
      <c r="B1131" s="22">
        <v>-2.6747585070552277E-4</v>
      </c>
      <c r="C1131" s="22"/>
      <c r="D1131" s="22"/>
    </row>
    <row r="1132" spans="1:4" x14ac:dyDescent="0.25">
      <c r="A1132" s="37" t="s">
        <v>399</v>
      </c>
      <c r="B1132" s="22">
        <v>-2.0751358533743769E-4</v>
      </c>
      <c r="C1132" s="22"/>
      <c r="D1132" s="22"/>
    </row>
    <row r="1133" spans="1:4" x14ac:dyDescent="0.25">
      <c r="A1133" s="37" t="s">
        <v>400</v>
      </c>
      <c r="B1133" s="22">
        <v>-1.2496114140958533E-4</v>
      </c>
      <c r="C1133" s="22"/>
      <c r="D1133" s="22"/>
    </row>
    <row r="1134" spans="1:4" x14ac:dyDescent="0.25">
      <c r="A1134" s="37" t="s">
        <v>401</v>
      </c>
      <c r="B1134" s="22">
        <v>2.8496979211922746E-4</v>
      </c>
      <c r="C1134" s="22"/>
      <c r="D1134" s="22"/>
    </row>
    <row r="1135" spans="1:4" x14ac:dyDescent="0.25">
      <c r="A1135" s="37" t="s">
        <v>402</v>
      </c>
      <c r="B1135" s="22">
        <v>-1.2000203123534461E-3</v>
      </c>
      <c r="C1135" s="22"/>
      <c r="D1135" s="22"/>
    </row>
    <row r="1136" spans="1:4" x14ac:dyDescent="0.25">
      <c r="A1136" s="37" t="s">
        <v>403</v>
      </c>
      <c r="B1136" s="22">
        <v>-9.3749161896994478E-4</v>
      </c>
      <c r="C1136" s="22"/>
      <c r="D1136" s="22"/>
    </row>
    <row r="1137" spans="1:4" x14ac:dyDescent="0.25">
      <c r="A1137" s="37" t="s">
        <v>404</v>
      </c>
      <c r="B1137" s="22">
        <v>4.7504892791039277E-5</v>
      </c>
      <c r="C1137" s="22"/>
      <c r="D1137" s="22"/>
    </row>
    <row r="1138" spans="1:4" x14ac:dyDescent="0.25">
      <c r="A1138" s="37" t="s">
        <v>405</v>
      </c>
      <c r="B1138" s="22">
        <v>-4.2498108086874871E-5</v>
      </c>
      <c r="C1138" s="22"/>
      <c r="D1138" s="22"/>
    </row>
    <row r="1139" spans="1:4" x14ac:dyDescent="0.25">
      <c r="A1139" s="37" t="s">
        <v>406</v>
      </c>
      <c r="B1139" s="22">
        <v>4.9498671614855885E-4</v>
      </c>
      <c r="C1139" s="22"/>
      <c r="D1139" s="22"/>
    </row>
    <row r="1140" spans="1:4" x14ac:dyDescent="0.25">
      <c r="A1140" s="37" t="s">
        <v>407</v>
      </c>
      <c r="B1140" s="22">
        <v>1.4799833297729499E-3</v>
      </c>
      <c r="C1140" s="22"/>
      <c r="D1140" s="22"/>
    </row>
    <row r="1141" spans="1:4" x14ac:dyDescent="0.25">
      <c r="A1141" s="37" t="s">
        <v>408</v>
      </c>
      <c r="B1141" s="22">
        <v>8.2501772340037817E-4</v>
      </c>
      <c r="C1141" s="22"/>
      <c r="D1141" s="22"/>
    </row>
    <row r="1142" spans="1:4" x14ac:dyDescent="0.25">
      <c r="A1142" s="37" t="s">
        <v>409</v>
      </c>
      <c r="B1142" s="22">
        <v>3.749128336494331E-5</v>
      </c>
      <c r="C1142" s="22"/>
      <c r="D1142" s="22"/>
    </row>
    <row r="1143" spans="1:4" x14ac:dyDescent="0.25">
      <c r="A1143" s="37" t="s">
        <v>410</v>
      </c>
      <c r="B1143" s="22">
        <v>1.2254716784809724E-4</v>
      </c>
      <c r="C1143" s="22"/>
      <c r="D1143" s="22"/>
    </row>
    <row r="1144" spans="1:4" x14ac:dyDescent="0.25">
      <c r="A1144" s="37" t="s">
        <v>411</v>
      </c>
      <c r="B1144" s="22">
        <v>7.7456268627428988E-5</v>
      </c>
      <c r="C1144" s="22"/>
      <c r="D1144" s="22"/>
    </row>
    <row r="1145" spans="1:4" x14ac:dyDescent="0.25">
      <c r="A1145" s="37" t="s">
        <v>412</v>
      </c>
      <c r="B1145" s="22">
        <v>5.0068101700162193E-6</v>
      </c>
      <c r="C1145" s="22"/>
      <c r="D1145" s="22"/>
    </row>
    <row r="1146" spans="1:4" x14ac:dyDescent="0.25">
      <c r="A1146" s="2">
        <v>44</v>
      </c>
      <c r="B1146" s="22">
        <v>3.6300421334089981E-5</v>
      </c>
      <c r="C1146" s="22"/>
      <c r="D1146" s="22"/>
    </row>
    <row r="1147" spans="1:4" x14ac:dyDescent="0.25">
      <c r="A1147" s="37" t="s">
        <v>389</v>
      </c>
      <c r="B1147" s="22">
        <v>-5.6999919161171354E-4</v>
      </c>
      <c r="C1147" s="22"/>
      <c r="D1147" s="22"/>
    </row>
    <row r="1148" spans="1:4" x14ac:dyDescent="0.25">
      <c r="A1148" s="37" t="s">
        <v>390</v>
      </c>
      <c r="B1148" s="22">
        <v>-3.4987870549230124E-5</v>
      </c>
      <c r="C1148" s="22"/>
      <c r="D1148" s="22"/>
    </row>
    <row r="1149" spans="1:4" x14ac:dyDescent="0.25">
      <c r="A1149" s="37" t="s">
        <v>391</v>
      </c>
      <c r="B1149" s="22">
        <v>-2.4747847942307983E-4</v>
      </c>
      <c r="C1149" s="22"/>
      <c r="D1149" s="22"/>
    </row>
    <row r="1150" spans="1:4" x14ac:dyDescent="0.25">
      <c r="A1150" s="37" t="s">
        <v>392</v>
      </c>
      <c r="B1150" s="22">
        <v>-8.7529421307408484E-5</v>
      </c>
      <c r="C1150" s="22"/>
      <c r="D1150" s="22"/>
    </row>
    <row r="1151" spans="1:4" x14ac:dyDescent="0.25">
      <c r="A1151" s="37" t="s">
        <v>393</v>
      </c>
      <c r="B1151" s="22">
        <v>1.7499924115327298E-4</v>
      </c>
      <c r="C1151" s="22"/>
      <c r="D1151" s="22"/>
    </row>
    <row r="1152" spans="1:4" x14ac:dyDescent="0.25">
      <c r="A1152" s="37" t="s">
        <v>394</v>
      </c>
      <c r="B1152" s="22">
        <v>5.74886944377795E-5</v>
      </c>
      <c r="C1152" s="22"/>
      <c r="D1152" s="22"/>
    </row>
    <row r="1153" spans="1:4" x14ac:dyDescent="0.25">
      <c r="A1153" s="37" t="s">
        <v>395</v>
      </c>
      <c r="B1153" s="22">
        <v>4.7504850954283252E-5</v>
      </c>
      <c r="C1153" s="22"/>
      <c r="D1153" s="22"/>
    </row>
    <row r="1154" spans="1:4" x14ac:dyDescent="0.25">
      <c r="A1154" s="37" t="s">
        <v>396</v>
      </c>
      <c r="B1154" s="22">
        <v>5.0747393106576044E-4</v>
      </c>
      <c r="C1154" s="22"/>
      <c r="D1154" s="22"/>
    </row>
    <row r="1155" spans="1:4" x14ac:dyDescent="0.25">
      <c r="A1155" s="37" t="s">
        <v>397</v>
      </c>
      <c r="B1155" s="22">
        <v>3.1250715983333099E-4</v>
      </c>
      <c r="C1155" s="22"/>
      <c r="D1155" s="22"/>
    </row>
    <row r="1156" spans="1:4" x14ac:dyDescent="0.25">
      <c r="A1156" s="37" t="s">
        <v>398</v>
      </c>
      <c r="B1156" s="22">
        <v>-2.6747585070552277E-4</v>
      </c>
      <c r="C1156" s="22"/>
      <c r="D1156" s="22"/>
    </row>
    <row r="1157" spans="1:4" x14ac:dyDescent="0.25">
      <c r="A1157" s="37" t="s">
        <v>399</v>
      </c>
      <c r="B1157" s="22">
        <v>-2.0751358533743769E-4</v>
      </c>
      <c r="C1157" s="22"/>
      <c r="D1157" s="22"/>
    </row>
    <row r="1158" spans="1:4" x14ac:dyDescent="0.25">
      <c r="A1158" s="37" t="s">
        <v>400</v>
      </c>
      <c r="B1158" s="22">
        <v>-1.2496114140958533E-4</v>
      </c>
      <c r="C1158" s="22"/>
      <c r="D1158" s="22"/>
    </row>
    <row r="1159" spans="1:4" x14ac:dyDescent="0.25">
      <c r="A1159" s="37" t="s">
        <v>401</v>
      </c>
      <c r="B1159" s="22">
        <v>2.8496979211922746E-4</v>
      </c>
      <c r="C1159" s="22"/>
      <c r="D1159" s="22"/>
    </row>
    <row r="1160" spans="1:4" x14ac:dyDescent="0.25">
      <c r="A1160" s="37" t="s">
        <v>402</v>
      </c>
      <c r="B1160" s="22">
        <v>-1.2000203123534461E-3</v>
      </c>
      <c r="C1160" s="22"/>
      <c r="D1160" s="22"/>
    </row>
    <row r="1161" spans="1:4" x14ac:dyDescent="0.25">
      <c r="A1161" s="37" t="s">
        <v>403</v>
      </c>
      <c r="B1161" s="22">
        <v>-9.3749161896994478E-4</v>
      </c>
      <c r="C1161" s="22"/>
      <c r="D1161" s="22"/>
    </row>
    <row r="1162" spans="1:4" x14ac:dyDescent="0.25">
      <c r="A1162" s="37" t="s">
        <v>404</v>
      </c>
      <c r="B1162" s="22">
        <v>4.7504892791039277E-5</v>
      </c>
      <c r="C1162" s="22"/>
      <c r="D1162" s="22"/>
    </row>
    <row r="1163" spans="1:4" x14ac:dyDescent="0.25">
      <c r="A1163" s="37" t="s">
        <v>405</v>
      </c>
      <c r="B1163" s="22">
        <v>-4.2498108086874871E-5</v>
      </c>
      <c r="C1163" s="22"/>
      <c r="D1163" s="22"/>
    </row>
    <row r="1164" spans="1:4" x14ac:dyDescent="0.25">
      <c r="A1164" s="37" t="s">
        <v>406</v>
      </c>
      <c r="B1164" s="22">
        <v>4.9498671614855885E-4</v>
      </c>
      <c r="C1164" s="22"/>
      <c r="D1164" s="22"/>
    </row>
    <row r="1165" spans="1:4" x14ac:dyDescent="0.25">
      <c r="A1165" s="37" t="s">
        <v>407</v>
      </c>
      <c r="B1165" s="22">
        <v>1.4799833297729499E-3</v>
      </c>
      <c r="C1165" s="22"/>
      <c r="D1165" s="22"/>
    </row>
    <row r="1166" spans="1:4" x14ac:dyDescent="0.25">
      <c r="A1166" s="37" t="s">
        <v>408</v>
      </c>
      <c r="B1166" s="22">
        <v>8.2501772340037817E-4</v>
      </c>
      <c r="C1166" s="22"/>
      <c r="D1166" s="22"/>
    </row>
    <row r="1167" spans="1:4" x14ac:dyDescent="0.25">
      <c r="A1167" s="37" t="s">
        <v>409</v>
      </c>
      <c r="B1167" s="22">
        <v>3.749128336494331E-5</v>
      </c>
      <c r="C1167" s="22"/>
      <c r="D1167" s="22"/>
    </row>
    <row r="1168" spans="1:4" x14ac:dyDescent="0.25">
      <c r="A1168" s="37" t="s">
        <v>410</v>
      </c>
      <c r="B1168" s="22">
        <v>1.2254716784809724E-4</v>
      </c>
      <c r="C1168" s="22"/>
      <c r="D1168" s="22"/>
    </row>
    <row r="1169" spans="1:4" x14ac:dyDescent="0.25">
      <c r="A1169" s="37" t="s">
        <v>411</v>
      </c>
      <c r="B1169" s="22">
        <v>7.7456268627428988E-5</v>
      </c>
      <c r="C1169" s="22"/>
      <c r="D1169" s="22"/>
    </row>
    <row r="1170" spans="1:4" x14ac:dyDescent="0.25">
      <c r="A1170" s="37" t="s">
        <v>412</v>
      </c>
      <c r="B1170" s="22">
        <v>5.0068101700162193E-6</v>
      </c>
      <c r="C1170" s="22"/>
      <c r="D1170" s="22"/>
    </row>
    <row r="1171" spans="1:4" x14ac:dyDescent="0.25">
      <c r="A1171" s="37" t="s">
        <v>413</v>
      </c>
      <c r="B1171" s="22">
        <v>1.5252825141942608E-4</v>
      </c>
      <c r="C1171" s="22"/>
      <c r="D1171" s="22"/>
    </row>
    <row r="1172" spans="1:4" x14ac:dyDescent="0.25">
      <c r="A1172" s="2">
        <v>45</v>
      </c>
      <c r="B1172" s="22">
        <v>5.4299831381285819E-5</v>
      </c>
      <c r="C1172" s="22"/>
      <c r="D1172" s="22"/>
    </row>
    <row r="1173" spans="1:4" x14ac:dyDescent="0.25">
      <c r="A1173" s="37" t="s">
        <v>390</v>
      </c>
      <c r="B1173" s="22">
        <v>-3.4987870549230124E-5</v>
      </c>
      <c r="C1173" s="22"/>
      <c r="D1173" s="22"/>
    </row>
    <row r="1174" spans="1:4" x14ac:dyDescent="0.25">
      <c r="A1174" s="37" t="s">
        <v>391</v>
      </c>
      <c r="B1174" s="22">
        <v>-2.4747847942307983E-4</v>
      </c>
      <c r="C1174" s="22"/>
      <c r="D1174" s="22"/>
    </row>
    <row r="1175" spans="1:4" x14ac:dyDescent="0.25">
      <c r="A1175" s="37" t="s">
        <v>392</v>
      </c>
      <c r="B1175" s="22">
        <v>-8.7529421307408484E-5</v>
      </c>
      <c r="C1175" s="22"/>
      <c r="D1175" s="22"/>
    </row>
    <row r="1176" spans="1:4" x14ac:dyDescent="0.25">
      <c r="A1176" s="37" t="s">
        <v>393</v>
      </c>
      <c r="B1176" s="22">
        <v>1.7499924115327298E-4</v>
      </c>
      <c r="C1176" s="22"/>
      <c r="D1176" s="22"/>
    </row>
    <row r="1177" spans="1:4" x14ac:dyDescent="0.25">
      <c r="A1177" s="37" t="s">
        <v>394</v>
      </c>
      <c r="B1177" s="22">
        <v>5.74886944377795E-5</v>
      </c>
      <c r="C1177" s="22"/>
      <c r="D1177" s="22"/>
    </row>
    <row r="1178" spans="1:4" x14ac:dyDescent="0.25">
      <c r="A1178" s="37" t="s">
        <v>395</v>
      </c>
      <c r="B1178" s="22">
        <v>4.7504850954283252E-5</v>
      </c>
      <c r="C1178" s="22"/>
      <c r="D1178" s="22"/>
    </row>
    <row r="1179" spans="1:4" x14ac:dyDescent="0.25">
      <c r="A1179" s="37" t="s">
        <v>396</v>
      </c>
      <c r="B1179" s="22">
        <v>5.0747393106576044E-4</v>
      </c>
      <c r="C1179" s="22"/>
      <c r="D1179" s="22"/>
    </row>
    <row r="1180" spans="1:4" x14ac:dyDescent="0.25">
      <c r="A1180" s="37" t="s">
        <v>397</v>
      </c>
      <c r="B1180" s="22">
        <v>3.1250715983333099E-4</v>
      </c>
      <c r="C1180" s="22"/>
      <c r="D1180" s="22"/>
    </row>
    <row r="1181" spans="1:4" x14ac:dyDescent="0.25">
      <c r="A1181" s="37" t="s">
        <v>398</v>
      </c>
      <c r="B1181" s="22">
        <v>-2.6747585070552277E-4</v>
      </c>
      <c r="C1181" s="22"/>
      <c r="D1181" s="22"/>
    </row>
    <row r="1182" spans="1:4" x14ac:dyDescent="0.25">
      <c r="A1182" s="37" t="s">
        <v>399</v>
      </c>
      <c r="B1182" s="22">
        <v>-2.0751358533743769E-4</v>
      </c>
      <c r="C1182" s="22"/>
      <c r="D1182" s="22"/>
    </row>
    <row r="1183" spans="1:4" x14ac:dyDescent="0.25">
      <c r="A1183" s="37" t="s">
        <v>400</v>
      </c>
      <c r="B1183" s="22">
        <v>-1.2496114140958533E-4</v>
      </c>
      <c r="C1183" s="22"/>
      <c r="D1183" s="22"/>
    </row>
    <row r="1184" spans="1:4" x14ac:dyDescent="0.25">
      <c r="A1184" s="37" t="s">
        <v>401</v>
      </c>
      <c r="B1184" s="22">
        <v>2.8496979211922746E-4</v>
      </c>
      <c r="C1184" s="22"/>
      <c r="D1184" s="22"/>
    </row>
    <row r="1185" spans="1:4" x14ac:dyDescent="0.25">
      <c r="A1185" s="37" t="s">
        <v>402</v>
      </c>
      <c r="B1185" s="22">
        <v>-1.2000203123534461E-3</v>
      </c>
      <c r="C1185" s="22"/>
      <c r="D1185" s="22"/>
    </row>
    <row r="1186" spans="1:4" x14ac:dyDescent="0.25">
      <c r="A1186" s="37" t="s">
        <v>403</v>
      </c>
      <c r="B1186" s="22">
        <v>-9.3749161896994478E-4</v>
      </c>
      <c r="C1186" s="22"/>
      <c r="D1186" s="22"/>
    </row>
    <row r="1187" spans="1:4" x14ac:dyDescent="0.25">
      <c r="A1187" s="37" t="s">
        <v>404</v>
      </c>
      <c r="B1187" s="22">
        <v>4.7504892791039277E-5</v>
      </c>
      <c r="C1187" s="22"/>
      <c r="D1187" s="22"/>
    </row>
    <row r="1188" spans="1:4" x14ac:dyDescent="0.25">
      <c r="A1188" s="37" t="s">
        <v>405</v>
      </c>
      <c r="B1188" s="22">
        <v>-4.2498108086874871E-5</v>
      </c>
      <c r="C1188" s="22"/>
      <c r="D1188" s="22"/>
    </row>
    <row r="1189" spans="1:4" x14ac:dyDescent="0.25">
      <c r="A1189" s="37" t="s">
        <v>406</v>
      </c>
      <c r="B1189" s="22">
        <v>4.9498671614855885E-4</v>
      </c>
      <c r="C1189" s="22"/>
      <c r="D1189" s="22"/>
    </row>
    <row r="1190" spans="1:4" x14ac:dyDescent="0.25">
      <c r="A1190" s="37" t="s">
        <v>407</v>
      </c>
      <c r="B1190" s="22">
        <v>1.4799833297729499E-3</v>
      </c>
      <c r="C1190" s="22"/>
      <c r="D1190" s="22"/>
    </row>
    <row r="1191" spans="1:4" x14ac:dyDescent="0.25">
      <c r="A1191" s="37" t="s">
        <v>408</v>
      </c>
      <c r="B1191" s="22">
        <v>8.2501772340037817E-4</v>
      </c>
      <c r="C1191" s="22"/>
      <c r="D1191" s="22"/>
    </row>
    <row r="1192" spans="1:4" x14ac:dyDescent="0.25">
      <c r="A1192" s="37" t="s">
        <v>409</v>
      </c>
      <c r="B1192" s="22">
        <v>3.749128336494331E-5</v>
      </c>
      <c r="C1192" s="22"/>
      <c r="D1192" s="22"/>
    </row>
    <row r="1193" spans="1:4" x14ac:dyDescent="0.25">
      <c r="A1193" s="37" t="s">
        <v>410</v>
      </c>
      <c r="B1193" s="22">
        <v>1.2254716784809724E-4</v>
      </c>
      <c r="C1193" s="22"/>
      <c r="D1193" s="22"/>
    </row>
    <row r="1194" spans="1:4" x14ac:dyDescent="0.25">
      <c r="A1194" s="37" t="s">
        <v>411</v>
      </c>
      <c r="B1194" s="22">
        <v>7.7456268627428988E-5</v>
      </c>
      <c r="C1194" s="22"/>
      <c r="D1194" s="22"/>
    </row>
    <row r="1195" spans="1:4" x14ac:dyDescent="0.25">
      <c r="A1195" s="37" t="s">
        <v>412</v>
      </c>
      <c r="B1195" s="22">
        <v>5.0068101700162193E-6</v>
      </c>
      <c r="C1195" s="22"/>
      <c r="D1195" s="22"/>
    </row>
    <row r="1196" spans="1:4" x14ac:dyDescent="0.25">
      <c r="A1196" s="37" t="s">
        <v>413</v>
      </c>
      <c r="B1196" s="22">
        <v>1.5252825141942608E-4</v>
      </c>
      <c r="C1196" s="22"/>
      <c r="D1196" s="22"/>
    </row>
    <row r="1197" spans="1:4" x14ac:dyDescent="0.25">
      <c r="A1197" s="37" t="s">
        <v>414</v>
      </c>
      <c r="B1197" s="22">
        <v>-1.2001394043181804E-4</v>
      </c>
      <c r="C1197" s="22"/>
      <c r="D1197" s="22"/>
    </row>
    <row r="1198" spans="1:4" x14ac:dyDescent="0.25">
      <c r="A1198" s="2">
        <v>46</v>
      </c>
      <c r="B1198" s="22">
        <v>5.3199527110336827E-5</v>
      </c>
      <c r="C1198" s="22"/>
      <c r="D1198" s="22"/>
    </row>
    <row r="1199" spans="1:4" x14ac:dyDescent="0.25">
      <c r="A1199" s="37" t="s">
        <v>391</v>
      </c>
      <c r="B1199" s="22">
        <v>-2.4747847942307983E-4</v>
      </c>
      <c r="C1199" s="22"/>
      <c r="D1199" s="22"/>
    </row>
    <row r="1200" spans="1:4" x14ac:dyDescent="0.25">
      <c r="A1200" s="37" t="s">
        <v>392</v>
      </c>
      <c r="B1200" s="22">
        <v>-8.7529421307408484E-5</v>
      </c>
      <c r="C1200" s="22"/>
      <c r="D1200" s="22"/>
    </row>
    <row r="1201" spans="1:4" x14ac:dyDescent="0.25">
      <c r="A1201" s="37" t="s">
        <v>393</v>
      </c>
      <c r="B1201" s="22">
        <v>1.7499924115327298E-4</v>
      </c>
      <c r="C1201" s="22"/>
      <c r="D1201" s="22"/>
    </row>
    <row r="1202" spans="1:4" x14ac:dyDescent="0.25">
      <c r="A1202" s="37" t="s">
        <v>394</v>
      </c>
      <c r="B1202" s="22">
        <v>5.74886944377795E-5</v>
      </c>
      <c r="C1202" s="22"/>
      <c r="D1202" s="22"/>
    </row>
    <row r="1203" spans="1:4" x14ac:dyDescent="0.25">
      <c r="A1203" s="37" t="s">
        <v>395</v>
      </c>
      <c r="B1203" s="22">
        <v>4.7504850954283252E-5</v>
      </c>
      <c r="C1203" s="22"/>
      <c r="D1203" s="22"/>
    </row>
    <row r="1204" spans="1:4" x14ac:dyDescent="0.25">
      <c r="A1204" s="37" t="s">
        <v>396</v>
      </c>
      <c r="B1204" s="22">
        <v>5.0747393106576044E-4</v>
      </c>
      <c r="C1204" s="22"/>
      <c r="D1204" s="22"/>
    </row>
    <row r="1205" spans="1:4" x14ac:dyDescent="0.25">
      <c r="A1205" s="37" t="s">
        <v>397</v>
      </c>
      <c r="B1205" s="22">
        <v>3.1250715983333099E-4</v>
      </c>
      <c r="C1205" s="22"/>
      <c r="D1205" s="22"/>
    </row>
    <row r="1206" spans="1:4" x14ac:dyDescent="0.25">
      <c r="A1206" s="37" t="s">
        <v>398</v>
      </c>
      <c r="B1206" s="22">
        <v>-2.6747585070552277E-4</v>
      </c>
      <c r="C1206" s="22"/>
      <c r="D1206" s="22"/>
    </row>
    <row r="1207" spans="1:4" x14ac:dyDescent="0.25">
      <c r="A1207" s="37" t="s">
        <v>399</v>
      </c>
      <c r="B1207" s="22">
        <v>-2.0751358533743769E-4</v>
      </c>
      <c r="C1207" s="22"/>
      <c r="D1207" s="22"/>
    </row>
    <row r="1208" spans="1:4" x14ac:dyDescent="0.25">
      <c r="A1208" s="37" t="s">
        <v>400</v>
      </c>
      <c r="B1208" s="22">
        <v>-1.2496114140958533E-4</v>
      </c>
      <c r="C1208" s="22"/>
      <c r="D1208" s="22"/>
    </row>
    <row r="1209" spans="1:4" x14ac:dyDescent="0.25">
      <c r="A1209" s="37" t="s">
        <v>401</v>
      </c>
      <c r="B1209" s="22">
        <v>2.8496979211922746E-4</v>
      </c>
      <c r="C1209" s="22"/>
      <c r="D1209" s="22"/>
    </row>
    <row r="1210" spans="1:4" x14ac:dyDescent="0.25">
      <c r="A1210" s="37" t="s">
        <v>402</v>
      </c>
      <c r="B1210" s="22">
        <v>-1.2000203123534461E-3</v>
      </c>
      <c r="C1210" s="22"/>
      <c r="D1210" s="22"/>
    </row>
    <row r="1211" spans="1:4" x14ac:dyDescent="0.25">
      <c r="A1211" s="37" t="s">
        <v>403</v>
      </c>
      <c r="B1211" s="22">
        <v>-9.3749161896994478E-4</v>
      </c>
      <c r="C1211" s="22"/>
      <c r="D1211" s="22"/>
    </row>
    <row r="1212" spans="1:4" x14ac:dyDescent="0.25">
      <c r="A1212" s="37" t="s">
        <v>404</v>
      </c>
      <c r="B1212" s="22">
        <v>4.7504892791039277E-5</v>
      </c>
      <c r="C1212" s="22"/>
      <c r="D1212" s="22"/>
    </row>
    <row r="1213" spans="1:4" x14ac:dyDescent="0.25">
      <c r="A1213" s="37" t="s">
        <v>405</v>
      </c>
      <c r="B1213" s="22">
        <v>-4.2498108086874871E-5</v>
      </c>
      <c r="C1213" s="22"/>
      <c r="D1213" s="22"/>
    </row>
    <row r="1214" spans="1:4" x14ac:dyDescent="0.25">
      <c r="A1214" s="37" t="s">
        <v>406</v>
      </c>
      <c r="B1214" s="22">
        <v>4.9498671614855885E-4</v>
      </c>
      <c r="C1214" s="22"/>
      <c r="D1214" s="22"/>
    </row>
    <row r="1215" spans="1:4" x14ac:dyDescent="0.25">
      <c r="A1215" s="37" t="s">
        <v>407</v>
      </c>
      <c r="B1215" s="22">
        <v>1.4799833297729499E-3</v>
      </c>
      <c r="C1215" s="22"/>
      <c r="D1215" s="22"/>
    </row>
    <row r="1216" spans="1:4" x14ac:dyDescent="0.25">
      <c r="A1216" s="37" t="s">
        <v>408</v>
      </c>
      <c r="B1216" s="22">
        <v>8.2501772340037817E-4</v>
      </c>
      <c r="C1216" s="22"/>
      <c r="D1216" s="22"/>
    </row>
    <row r="1217" spans="1:4" x14ac:dyDescent="0.25">
      <c r="A1217" s="37" t="s">
        <v>409</v>
      </c>
      <c r="B1217" s="22">
        <v>3.749128336494331E-5</v>
      </c>
      <c r="C1217" s="22"/>
      <c r="D1217" s="22"/>
    </row>
    <row r="1218" spans="1:4" x14ac:dyDescent="0.25">
      <c r="A1218" s="37" t="s">
        <v>410</v>
      </c>
      <c r="B1218" s="22">
        <v>1.2254716784809724E-4</v>
      </c>
      <c r="C1218" s="22"/>
      <c r="D1218" s="22"/>
    </row>
    <row r="1219" spans="1:4" x14ac:dyDescent="0.25">
      <c r="A1219" s="37" t="s">
        <v>411</v>
      </c>
      <c r="B1219" s="22">
        <v>7.7456268627428988E-5</v>
      </c>
      <c r="C1219" s="22"/>
      <c r="D1219" s="22"/>
    </row>
    <row r="1220" spans="1:4" x14ac:dyDescent="0.25">
      <c r="A1220" s="37" t="s">
        <v>412</v>
      </c>
      <c r="B1220" s="22">
        <v>5.0068101700162193E-6</v>
      </c>
      <c r="C1220" s="22"/>
      <c r="D1220" s="22"/>
    </row>
    <row r="1221" spans="1:4" x14ac:dyDescent="0.25">
      <c r="A1221" s="37" t="s">
        <v>413</v>
      </c>
      <c r="B1221" s="22">
        <v>1.5252825141942608E-4</v>
      </c>
      <c r="C1221" s="22"/>
      <c r="D1221" s="22"/>
    </row>
    <row r="1222" spans="1:4" x14ac:dyDescent="0.25">
      <c r="A1222" s="37" t="s">
        <v>414</v>
      </c>
      <c r="B1222" s="22">
        <v>-1.2001394043181804E-4</v>
      </c>
      <c r="C1222" s="22"/>
      <c r="D1222" s="22"/>
    </row>
    <row r="1223" spans="1:4" x14ac:dyDescent="0.25">
      <c r="A1223" s="37" t="s">
        <v>415</v>
      </c>
      <c r="B1223" s="22">
        <v>-6.2495477322954752E-5</v>
      </c>
      <c r="C1223" s="22"/>
      <c r="D1223" s="22"/>
    </row>
    <row r="1224" spans="1:4" x14ac:dyDescent="0.25">
      <c r="A1224" s="2">
        <v>47</v>
      </c>
      <c r="B1224" s="22">
        <v>7.0497988926945134E-5</v>
      </c>
      <c r="C1224" s="22"/>
      <c r="D1224" s="22"/>
    </row>
    <row r="1225" spans="1:4" x14ac:dyDescent="0.25">
      <c r="A1225" s="37" t="s">
        <v>392</v>
      </c>
      <c r="B1225" s="22">
        <v>-8.7529421307408484E-5</v>
      </c>
      <c r="C1225" s="22"/>
      <c r="D1225" s="22"/>
    </row>
    <row r="1226" spans="1:4" x14ac:dyDescent="0.25">
      <c r="A1226" s="37" t="s">
        <v>393</v>
      </c>
      <c r="B1226" s="22">
        <v>1.7499924115327298E-4</v>
      </c>
      <c r="C1226" s="22"/>
      <c r="D1226" s="22"/>
    </row>
    <row r="1227" spans="1:4" x14ac:dyDescent="0.25">
      <c r="A1227" s="37" t="s">
        <v>394</v>
      </c>
      <c r="B1227" s="22">
        <v>5.74886944377795E-5</v>
      </c>
      <c r="C1227" s="22"/>
      <c r="D1227" s="22"/>
    </row>
    <row r="1228" spans="1:4" x14ac:dyDescent="0.25">
      <c r="A1228" s="37" t="s">
        <v>395</v>
      </c>
      <c r="B1228" s="22">
        <v>4.7504850954283252E-5</v>
      </c>
      <c r="C1228" s="22"/>
      <c r="D1228" s="22"/>
    </row>
    <row r="1229" spans="1:4" x14ac:dyDescent="0.25">
      <c r="A1229" s="37" t="s">
        <v>396</v>
      </c>
      <c r="B1229" s="22">
        <v>5.0747393106576044E-4</v>
      </c>
      <c r="C1229" s="22"/>
      <c r="D1229" s="22"/>
    </row>
    <row r="1230" spans="1:4" x14ac:dyDescent="0.25">
      <c r="A1230" s="37" t="s">
        <v>397</v>
      </c>
      <c r="B1230" s="22">
        <v>3.1250715983333099E-4</v>
      </c>
      <c r="C1230" s="22"/>
      <c r="D1230" s="22"/>
    </row>
    <row r="1231" spans="1:4" x14ac:dyDescent="0.25">
      <c r="A1231" s="37" t="s">
        <v>398</v>
      </c>
      <c r="B1231" s="22">
        <v>-2.6747585070552277E-4</v>
      </c>
      <c r="C1231" s="22"/>
      <c r="D1231" s="22"/>
    </row>
    <row r="1232" spans="1:4" x14ac:dyDescent="0.25">
      <c r="A1232" s="37" t="s">
        <v>399</v>
      </c>
      <c r="B1232" s="22">
        <v>-2.0751358533743769E-4</v>
      </c>
      <c r="C1232" s="22"/>
      <c r="D1232" s="22"/>
    </row>
    <row r="1233" spans="1:4" x14ac:dyDescent="0.25">
      <c r="A1233" s="37" t="s">
        <v>400</v>
      </c>
      <c r="B1233" s="22">
        <v>-1.2496114140958533E-4</v>
      </c>
      <c r="C1233" s="22"/>
      <c r="D1233" s="22"/>
    </row>
    <row r="1234" spans="1:4" x14ac:dyDescent="0.25">
      <c r="A1234" s="37" t="s">
        <v>401</v>
      </c>
      <c r="B1234" s="22">
        <v>2.8496979211922746E-4</v>
      </c>
      <c r="C1234" s="22"/>
      <c r="D1234" s="22"/>
    </row>
    <row r="1235" spans="1:4" x14ac:dyDescent="0.25">
      <c r="A1235" s="37" t="s">
        <v>402</v>
      </c>
      <c r="B1235" s="22">
        <v>-1.2000203123534461E-3</v>
      </c>
      <c r="C1235" s="22"/>
      <c r="D1235" s="22"/>
    </row>
    <row r="1236" spans="1:4" x14ac:dyDescent="0.25">
      <c r="A1236" s="37" t="s">
        <v>403</v>
      </c>
      <c r="B1236" s="22">
        <v>-9.3749161896994478E-4</v>
      </c>
      <c r="C1236" s="22"/>
      <c r="D1236" s="22"/>
    </row>
    <row r="1237" spans="1:4" x14ac:dyDescent="0.25">
      <c r="A1237" s="37" t="s">
        <v>404</v>
      </c>
      <c r="B1237" s="22">
        <v>4.7504892791039277E-5</v>
      </c>
      <c r="C1237" s="22"/>
      <c r="D1237" s="22"/>
    </row>
    <row r="1238" spans="1:4" x14ac:dyDescent="0.25">
      <c r="A1238" s="37" t="s">
        <v>405</v>
      </c>
      <c r="B1238" s="22">
        <v>-4.2498108086874871E-5</v>
      </c>
      <c r="C1238" s="22"/>
      <c r="D1238" s="22"/>
    </row>
    <row r="1239" spans="1:4" x14ac:dyDescent="0.25">
      <c r="A1239" s="37" t="s">
        <v>406</v>
      </c>
      <c r="B1239" s="22">
        <v>4.9498671614855885E-4</v>
      </c>
      <c r="C1239" s="22"/>
      <c r="D1239" s="22"/>
    </row>
    <row r="1240" spans="1:4" x14ac:dyDescent="0.25">
      <c r="A1240" s="37" t="s">
        <v>407</v>
      </c>
      <c r="B1240" s="22">
        <v>1.4799833297729499E-3</v>
      </c>
      <c r="C1240" s="22"/>
      <c r="D1240" s="22"/>
    </row>
    <row r="1241" spans="1:4" x14ac:dyDescent="0.25">
      <c r="A1241" s="37" t="s">
        <v>408</v>
      </c>
      <c r="B1241" s="22">
        <v>8.2501772340037817E-4</v>
      </c>
      <c r="C1241" s="22"/>
      <c r="D1241" s="22"/>
    </row>
    <row r="1242" spans="1:4" x14ac:dyDescent="0.25">
      <c r="A1242" s="37" t="s">
        <v>409</v>
      </c>
      <c r="B1242" s="22">
        <v>3.749128336494331E-5</v>
      </c>
      <c r="C1242" s="22"/>
      <c r="D1242" s="22"/>
    </row>
    <row r="1243" spans="1:4" x14ac:dyDescent="0.25">
      <c r="A1243" s="37" t="s">
        <v>410</v>
      </c>
      <c r="B1243" s="22">
        <v>1.2254716784809724E-4</v>
      </c>
      <c r="C1243" s="22"/>
      <c r="D1243" s="22"/>
    </row>
    <row r="1244" spans="1:4" x14ac:dyDescent="0.25">
      <c r="A1244" s="37" t="s">
        <v>411</v>
      </c>
      <c r="B1244" s="22">
        <v>7.7456268627428988E-5</v>
      </c>
      <c r="C1244" s="22"/>
      <c r="D1244" s="22"/>
    </row>
    <row r="1245" spans="1:4" x14ac:dyDescent="0.25">
      <c r="A1245" s="37" t="s">
        <v>412</v>
      </c>
      <c r="B1245" s="22">
        <v>5.0068101700162193E-6</v>
      </c>
      <c r="C1245" s="22"/>
      <c r="D1245" s="22"/>
    </row>
    <row r="1246" spans="1:4" x14ac:dyDescent="0.25">
      <c r="A1246" s="37" t="s">
        <v>413</v>
      </c>
      <c r="B1246" s="22">
        <v>1.5252825141942608E-4</v>
      </c>
      <c r="C1246" s="22"/>
      <c r="D1246" s="22"/>
    </row>
    <row r="1247" spans="1:4" x14ac:dyDescent="0.25">
      <c r="A1247" s="37" t="s">
        <v>414</v>
      </c>
      <c r="B1247" s="22">
        <v>-1.2001394043181804E-4</v>
      </c>
      <c r="C1247" s="22"/>
      <c r="D1247" s="22"/>
    </row>
    <row r="1248" spans="1:4" x14ac:dyDescent="0.25">
      <c r="A1248" s="37" t="s">
        <v>415</v>
      </c>
      <c r="B1248" s="22">
        <v>-6.2495477322954752E-5</v>
      </c>
      <c r="C1248" s="22"/>
      <c r="D1248" s="22"/>
    </row>
    <row r="1249" spans="1:4" x14ac:dyDescent="0.25">
      <c r="A1249" s="37" t="s">
        <v>416</v>
      </c>
      <c r="B1249" s="22">
        <v>1.8498306599212802E-4</v>
      </c>
      <c r="C1249" s="22"/>
      <c r="D1249" s="22"/>
    </row>
    <row r="1250" spans="1:4" x14ac:dyDescent="0.25">
      <c r="A1250" s="2">
        <v>48</v>
      </c>
      <c r="B1250" s="22">
        <v>7.6799391554231862E-5</v>
      </c>
      <c r="C1250" s="22"/>
      <c r="D1250" s="22"/>
    </row>
    <row r="1251" spans="1:4" x14ac:dyDescent="0.25">
      <c r="A1251" s="37" t="s">
        <v>393</v>
      </c>
      <c r="B1251" s="22">
        <v>1.7499924115327298E-4</v>
      </c>
      <c r="C1251" s="22"/>
      <c r="D1251" s="22"/>
    </row>
    <row r="1252" spans="1:4" x14ac:dyDescent="0.25">
      <c r="A1252" s="37" t="s">
        <v>394</v>
      </c>
      <c r="B1252" s="22">
        <v>5.74886944377795E-5</v>
      </c>
      <c r="C1252" s="22"/>
      <c r="D1252" s="22"/>
    </row>
    <row r="1253" spans="1:4" x14ac:dyDescent="0.25">
      <c r="A1253" s="37" t="s">
        <v>395</v>
      </c>
      <c r="B1253" s="22">
        <v>4.7504850954283252E-5</v>
      </c>
      <c r="C1253" s="22"/>
      <c r="D1253" s="22"/>
    </row>
    <row r="1254" spans="1:4" x14ac:dyDescent="0.25">
      <c r="A1254" s="37" t="s">
        <v>396</v>
      </c>
      <c r="B1254" s="22">
        <v>5.0747393106576044E-4</v>
      </c>
      <c r="C1254" s="22"/>
      <c r="D1254" s="22"/>
    </row>
    <row r="1255" spans="1:4" x14ac:dyDescent="0.25">
      <c r="A1255" s="37" t="s">
        <v>397</v>
      </c>
      <c r="B1255" s="22">
        <v>3.1250715983333099E-4</v>
      </c>
      <c r="C1255" s="22"/>
      <c r="D1255" s="22"/>
    </row>
    <row r="1256" spans="1:4" x14ac:dyDescent="0.25">
      <c r="A1256" s="37" t="s">
        <v>398</v>
      </c>
      <c r="B1256" s="22">
        <v>-2.6747585070552277E-4</v>
      </c>
      <c r="C1256" s="22"/>
      <c r="D1256" s="22"/>
    </row>
    <row r="1257" spans="1:4" x14ac:dyDescent="0.25">
      <c r="A1257" s="37" t="s">
        <v>399</v>
      </c>
      <c r="B1257" s="22">
        <v>-2.0751358533743769E-4</v>
      </c>
      <c r="C1257" s="22"/>
      <c r="D1257" s="22"/>
    </row>
    <row r="1258" spans="1:4" x14ac:dyDescent="0.25">
      <c r="A1258" s="37" t="s">
        <v>400</v>
      </c>
      <c r="B1258" s="22">
        <v>-1.2496114140958533E-4</v>
      </c>
      <c r="C1258" s="22"/>
      <c r="D1258" s="22"/>
    </row>
    <row r="1259" spans="1:4" x14ac:dyDescent="0.25">
      <c r="A1259" s="37" t="s">
        <v>401</v>
      </c>
      <c r="B1259" s="22">
        <v>2.8496979211922746E-4</v>
      </c>
      <c r="C1259" s="22"/>
      <c r="D1259" s="22"/>
    </row>
    <row r="1260" spans="1:4" x14ac:dyDescent="0.25">
      <c r="A1260" s="37" t="s">
        <v>402</v>
      </c>
      <c r="B1260" s="22">
        <v>-1.2000203123534461E-3</v>
      </c>
      <c r="C1260" s="22"/>
      <c r="D1260" s="22"/>
    </row>
    <row r="1261" spans="1:4" x14ac:dyDescent="0.25">
      <c r="A1261" s="37" t="s">
        <v>403</v>
      </c>
      <c r="B1261" s="22">
        <v>-9.3749161896994478E-4</v>
      </c>
      <c r="C1261" s="22"/>
      <c r="D1261" s="22"/>
    </row>
    <row r="1262" spans="1:4" x14ac:dyDescent="0.25">
      <c r="A1262" s="37" t="s">
        <v>404</v>
      </c>
      <c r="B1262" s="22">
        <v>4.7504892791039277E-5</v>
      </c>
      <c r="C1262" s="22"/>
      <c r="D1262" s="22"/>
    </row>
    <row r="1263" spans="1:4" x14ac:dyDescent="0.25">
      <c r="A1263" s="37" t="s">
        <v>405</v>
      </c>
      <c r="B1263" s="22">
        <v>-4.2498108086874871E-5</v>
      </c>
      <c r="C1263" s="22"/>
      <c r="D1263" s="22"/>
    </row>
    <row r="1264" spans="1:4" x14ac:dyDescent="0.25">
      <c r="A1264" s="37" t="s">
        <v>406</v>
      </c>
      <c r="B1264" s="22">
        <v>4.9498671614855885E-4</v>
      </c>
      <c r="C1264" s="22"/>
      <c r="D1264" s="22"/>
    </row>
    <row r="1265" spans="1:4" x14ac:dyDescent="0.25">
      <c r="A1265" s="37" t="s">
        <v>407</v>
      </c>
      <c r="B1265" s="22">
        <v>1.4799833297729499E-3</v>
      </c>
      <c r="C1265" s="22"/>
      <c r="D1265" s="22"/>
    </row>
    <row r="1266" spans="1:4" x14ac:dyDescent="0.25">
      <c r="A1266" s="37" t="s">
        <v>408</v>
      </c>
      <c r="B1266" s="22">
        <v>8.2501772340037817E-4</v>
      </c>
      <c r="C1266" s="22"/>
      <c r="D1266" s="22"/>
    </row>
    <row r="1267" spans="1:4" x14ac:dyDescent="0.25">
      <c r="A1267" s="37" t="s">
        <v>409</v>
      </c>
      <c r="B1267" s="22">
        <v>3.749128336494331E-5</v>
      </c>
      <c r="C1267" s="22"/>
      <c r="D1267" s="22"/>
    </row>
    <row r="1268" spans="1:4" x14ac:dyDescent="0.25">
      <c r="A1268" s="37" t="s">
        <v>410</v>
      </c>
      <c r="B1268" s="22">
        <v>1.2254716784809724E-4</v>
      </c>
      <c r="C1268" s="22"/>
      <c r="D1268" s="22"/>
    </row>
    <row r="1269" spans="1:4" x14ac:dyDescent="0.25">
      <c r="A1269" s="37" t="s">
        <v>411</v>
      </c>
      <c r="B1269" s="22">
        <v>7.7456268627428988E-5</v>
      </c>
      <c r="C1269" s="22"/>
      <c r="D1269" s="22"/>
    </row>
    <row r="1270" spans="1:4" x14ac:dyDescent="0.25">
      <c r="A1270" s="37" t="s">
        <v>412</v>
      </c>
      <c r="B1270" s="22">
        <v>5.0068101700162193E-6</v>
      </c>
      <c r="C1270" s="22"/>
      <c r="D1270" s="22"/>
    </row>
    <row r="1271" spans="1:4" x14ac:dyDescent="0.25">
      <c r="A1271" s="37" t="s">
        <v>413</v>
      </c>
      <c r="B1271" s="22">
        <v>1.5252825141942608E-4</v>
      </c>
      <c r="C1271" s="22"/>
      <c r="D1271" s="22"/>
    </row>
    <row r="1272" spans="1:4" x14ac:dyDescent="0.25">
      <c r="A1272" s="37" t="s">
        <v>414</v>
      </c>
      <c r="B1272" s="22">
        <v>-1.2001394043181804E-4</v>
      </c>
      <c r="C1272" s="22"/>
      <c r="D1272" s="22"/>
    </row>
    <row r="1273" spans="1:4" x14ac:dyDescent="0.25">
      <c r="A1273" s="37" t="s">
        <v>415</v>
      </c>
      <c r="B1273" s="22">
        <v>-6.2495477322954752E-5</v>
      </c>
      <c r="C1273" s="22"/>
      <c r="D1273" s="22"/>
    </row>
    <row r="1274" spans="1:4" x14ac:dyDescent="0.25">
      <c r="A1274" s="37" t="s">
        <v>416</v>
      </c>
      <c r="B1274" s="22">
        <v>1.8498306599212802E-4</v>
      </c>
      <c r="C1274" s="22"/>
      <c r="D1274" s="22"/>
    </row>
    <row r="1275" spans="1:4" x14ac:dyDescent="0.25">
      <c r="A1275" s="37" t="s">
        <v>417</v>
      </c>
      <c r="B1275" s="22">
        <v>7.0005644374759868E-5</v>
      </c>
      <c r="C1275" s="22"/>
      <c r="D1275" s="22"/>
    </row>
    <row r="1276" spans="1:4" x14ac:dyDescent="0.25">
      <c r="A1276" s="2">
        <v>49</v>
      </c>
      <c r="B1276" s="22">
        <v>7.1299074916168927E-5</v>
      </c>
      <c r="C1276" s="22"/>
      <c r="D1276" s="22"/>
    </row>
    <row r="1277" spans="1:4" x14ac:dyDescent="0.25">
      <c r="A1277" s="37" t="s">
        <v>394</v>
      </c>
      <c r="B1277" s="22">
        <v>5.74886944377795E-5</v>
      </c>
      <c r="C1277" s="22"/>
      <c r="D1277" s="22"/>
    </row>
    <row r="1278" spans="1:4" x14ac:dyDescent="0.25">
      <c r="A1278" s="37" t="s">
        <v>395</v>
      </c>
      <c r="B1278" s="22">
        <v>4.7504850954283252E-5</v>
      </c>
      <c r="C1278" s="22"/>
      <c r="D1278" s="22"/>
    </row>
    <row r="1279" spans="1:4" x14ac:dyDescent="0.25">
      <c r="A1279" s="37" t="s">
        <v>396</v>
      </c>
      <c r="B1279" s="22">
        <v>5.0747393106576044E-4</v>
      </c>
      <c r="C1279" s="22"/>
      <c r="D1279" s="22"/>
    </row>
    <row r="1280" spans="1:4" x14ac:dyDescent="0.25">
      <c r="A1280" s="37" t="s">
        <v>397</v>
      </c>
      <c r="B1280" s="22">
        <v>3.1250715983333099E-4</v>
      </c>
      <c r="C1280" s="22"/>
      <c r="D1280" s="22"/>
    </row>
    <row r="1281" spans="1:4" x14ac:dyDescent="0.25">
      <c r="A1281" s="37" t="s">
        <v>398</v>
      </c>
      <c r="B1281" s="22">
        <v>-2.6747585070552277E-4</v>
      </c>
      <c r="C1281" s="22"/>
      <c r="D1281" s="22"/>
    </row>
    <row r="1282" spans="1:4" x14ac:dyDescent="0.25">
      <c r="A1282" s="37" t="s">
        <v>399</v>
      </c>
      <c r="B1282" s="22">
        <v>-2.0751358533743769E-4</v>
      </c>
      <c r="C1282" s="22"/>
      <c r="D1282" s="22"/>
    </row>
    <row r="1283" spans="1:4" x14ac:dyDescent="0.25">
      <c r="A1283" s="37" t="s">
        <v>400</v>
      </c>
      <c r="B1283" s="22">
        <v>-1.2496114140958533E-4</v>
      </c>
      <c r="C1283" s="22"/>
      <c r="D1283" s="22"/>
    </row>
    <row r="1284" spans="1:4" x14ac:dyDescent="0.25">
      <c r="A1284" s="37" t="s">
        <v>401</v>
      </c>
      <c r="B1284" s="22">
        <v>2.8496979211922746E-4</v>
      </c>
      <c r="C1284" s="22"/>
      <c r="D1284" s="22"/>
    </row>
    <row r="1285" spans="1:4" x14ac:dyDescent="0.25">
      <c r="A1285" s="37" t="s">
        <v>402</v>
      </c>
      <c r="B1285" s="22">
        <v>-1.2000203123534461E-3</v>
      </c>
      <c r="C1285" s="22"/>
      <c r="D1285" s="22"/>
    </row>
    <row r="1286" spans="1:4" x14ac:dyDescent="0.25">
      <c r="A1286" s="37" t="s">
        <v>403</v>
      </c>
      <c r="B1286" s="22">
        <v>-9.3749161896994478E-4</v>
      </c>
      <c r="C1286" s="22"/>
      <c r="D1286" s="22"/>
    </row>
    <row r="1287" spans="1:4" x14ac:dyDescent="0.25">
      <c r="A1287" s="37" t="s">
        <v>404</v>
      </c>
      <c r="B1287" s="22">
        <v>4.7504892791039277E-5</v>
      </c>
      <c r="C1287" s="22"/>
      <c r="D1287" s="22"/>
    </row>
    <row r="1288" spans="1:4" x14ac:dyDescent="0.25">
      <c r="A1288" s="37" t="s">
        <v>405</v>
      </c>
      <c r="B1288" s="22">
        <v>-4.2498108086874871E-5</v>
      </c>
      <c r="C1288" s="22"/>
      <c r="D1288" s="22"/>
    </row>
    <row r="1289" spans="1:4" x14ac:dyDescent="0.25">
      <c r="A1289" s="37" t="s">
        <v>406</v>
      </c>
      <c r="B1289" s="22">
        <v>4.9498671614855885E-4</v>
      </c>
      <c r="C1289" s="22"/>
      <c r="D1289" s="22"/>
    </row>
    <row r="1290" spans="1:4" x14ac:dyDescent="0.25">
      <c r="A1290" s="37" t="s">
        <v>407</v>
      </c>
      <c r="B1290" s="22">
        <v>1.4799833297729499E-3</v>
      </c>
      <c r="C1290" s="22"/>
      <c r="D1290" s="22"/>
    </row>
    <row r="1291" spans="1:4" x14ac:dyDescent="0.25">
      <c r="A1291" s="37" t="s">
        <v>408</v>
      </c>
      <c r="B1291" s="22">
        <v>8.2501772340037817E-4</v>
      </c>
      <c r="C1291" s="22"/>
      <c r="D1291" s="22"/>
    </row>
    <row r="1292" spans="1:4" x14ac:dyDescent="0.25">
      <c r="A1292" s="37" t="s">
        <v>409</v>
      </c>
      <c r="B1292" s="22">
        <v>3.749128336494331E-5</v>
      </c>
      <c r="C1292" s="22"/>
      <c r="D1292" s="22"/>
    </row>
    <row r="1293" spans="1:4" x14ac:dyDescent="0.25">
      <c r="A1293" s="37" t="s">
        <v>410</v>
      </c>
      <c r="B1293" s="22">
        <v>1.2254716784809724E-4</v>
      </c>
      <c r="C1293" s="22"/>
      <c r="D1293" s="22"/>
    </row>
    <row r="1294" spans="1:4" x14ac:dyDescent="0.25">
      <c r="A1294" s="37" t="s">
        <v>411</v>
      </c>
      <c r="B1294" s="22">
        <v>7.7456268627428988E-5</v>
      </c>
      <c r="C1294" s="22"/>
      <c r="D1294" s="22"/>
    </row>
    <row r="1295" spans="1:4" x14ac:dyDescent="0.25">
      <c r="A1295" s="37" t="s">
        <v>412</v>
      </c>
      <c r="B1295" s="22">
        <v>5.0068101700162193E-6</v>
      </c>
      <c r="C1295" s="22"/>
      <c r="D1295" s="22"/>
    </row>
    <row r="1296" spans="1:4" x14ac:dyDescent="0.25">
      <c r="A1296" s="37" t="s">
        <v>413</v>
      </c>
      <c r="B1296" s="22">
        <v>1.5252825141942608E-4</v>
      </c>
      <c r="C1296" s="22"/>
      <c r="D1296" s="22"/>
    </row>
    <row r="1297" spans="1:4" x14ac:dyDescent="0.25">
      <c r="A1297" s="37" t="s">
        <v>414</v>
      </c>
      <c r="B1297" s="22">
        <v>-1.2001394043181804E-4</v>
      </c>
      <c r="C1297" s="22"/>
      <c r="D1297" s="22"/>
    </row>
    <row r="1298" spans="1:4" x14ac:dyDescent="0.25">
      <c r="A1298" s="37" t="s">
        <v>415</v>
      </c>
      <c r="B1298" s="22">
        <v>-6.2495477322954752E-5</v>
      </c>
      <c r="C1298" s="22"/>
      <c r="D1298" s="22"/>
    </row>
    <row r="1299" spans="1:4" x14ac:dyDescent="0.25">
      <c r="A1299" s="37" t="s">
        <v>416</v>
      </c>
      <c r="B1299" s="22">
        <v>1.8498306599212802E-4</v>
      </c>
      <c r="C1299" s="22"/>
      <c r="D1299" s="22"/>
    </row>
    <row r="1300" spans="1:4" x14ac:dyDescent="0.25">
      <c r="A1300" s="37" t="s">
        <v>417</v>
      </c>
      <c r="B1300" s="22">
        <v>7.0005644374759868E-5</v>
      </c>
      <c r="C1300" s="22"/>
      <c r="D1300" s="22"/>
    </row>
    <row r="1301" spans="1:4" x14ac:dyDescent="0.25">
      <c r="A1301" s="37" t="s">
        <v>418</v>
      </c>
      <c r="B1301" s="22">
        <v>3.7491325201699551E-5</v>
      </c>
      <c r="C1301" s="22"/>
      <c r="D1301" s="22"/>
    </row>
    <row r="1302" spans="1:4" x14ac:dyDescent="0.25">
      <c r="A1302" s="2">
        <v>50</v>
      </c>
      <c r="B1302" s="22">
        <v>6.1000583373242866E-5</v>
      </c>
      <c r="C1302" s="22">
        <v>6.5121908740550896E-5</v>
      </c>
      <c r="D1302" s="22">
        <v>6.9555486737229441E-5</v>
      </c>
    </row>
    <row r="1303" spans="1:4" x14ac:dyDescent="0.25">
      <c r="A1303" s="37" t="s">
        <v>395</v>
      </c>
      <c r="B1303" s="22">
        <v>4.7504850954283252E-5</v>
      </c>
      <c r="C1303" s="22">
        <v>6.1285405536182252E-5</v>
      </c>
      <c r="D1303" s="22">
        <v>4.2273859435226497E-5</v>
      </c>
    </row>
    <row r="1304" spans="1:4" x14ac:dyDescent="0.25">
      <c r="A1304" s="37" t="s">
        <v>396</v>
      </c>
      <c r="B1304" s="22">
        <v>5.0747393106576044E-4</v>
      </c>
      <c r="C1304" s="22">
        <v>5.3718546405434608E-4</v>
      </c>
      <c r="D1304" s="22">
        <v>4.9716851208359003E-5</v>
      </c>
    </row>
    <row r="1305" spans="1:4" x14ac:dyDescent="0.25">
      <c r="A1305" s="37" t="s">
        <v>397</v>
      </c>
      <c r="B1305" s="22">
        <v>3.1250715983333099E-4</v>
      </c>
      <c r="C1305" s="22">
        <v>2.8259756072657199E-4</v>
      </c>
      <c r="D1305" s="22">
        <v>8.7084641563705992E-5</v>
      </c>
    </row>
    <row r="1306" spans="1:4" x14ac:dyDescent="0.25">
      <c r="A1306" s="37" t="s">
        <v>398</v>
      </c>
      <c r="B1306" s="22">
        <v>-2.6747585070552277E-4</v>
      </c>
      <c r="C1306" s="22">
        <v>-2.2198968144948573E-4</v>
      </c>
      <c r="D1306" s="22">
        <v>4.5486169256037E-5</v>
      </c>
    </row>
    <row r="1307" spans="1:4" x14ac:dyDescent="0.25">
      <c r="A1307" s="37" t="s">
        <v>399</v>
      </c>
      <c r="B1307" s="22">
        <v>-2.0751358533743769E-4</v>
      </c>
      <c r="C1307" s="22">
        <v>-2.2795820450483023E-4</v>
      </c>
      <c r="D1307" s="22">
        <v>4.6221703541959523E-5</v>
      </c>
    </row>
    <row r="1308" spans="1:4" x14ac:dyDescent="0.25">
      <c r="A1308" s="37" t="s">
        <v>400</v>
      </c>
      <c r="B1308" s="22">
        <v>-1.2496114140958533E-4</v>
      </c>
      <c r="C1308" s="22">
        <v>-7.7623456149922344E-5</v>
      </c>
      <c r="D1308" s="22">
        <v>8.7191251964214032E-5</v>
      </c>
    </row>
    <row r="1309" spans="1:4" x14ac:dyDescent="0.25">
      <c r="A1309" s="37" t="s">
        <v>401</v>
      </c>
      <c r="B1309" s="22">
        <v>2.8496979211922746E-4</v>
      </c>
      <c r="C1309" s="22">
        <v>2.0892030079267001E-4</v>
      </c>
      <c r="D1309" s="22">
        <v>1.1107451791758657E-4</v>
      </c>
    </row>
    <row r="1310" spans="1:4" x14ac:dyDescent="0.25">
      <c r="A1310" s="37" t="s">
        <v>402</v>
      </c>
      <c r="B1310" s="22">
        <v>-1.2000203123534461E-3</v>
      </c>
      <c r="C1310" s="22">
        <v>-1.2356670922599739E-3</v>
      </c>
      <c r="D1310" s="22">
        <v>1.2397032605804194E-4</v>
      </c>
    </row>
    <row r="1311" spans="1:4" x14ac:dyDescent="0.25">
      <c r="A1311" s="37" t="s">
        <v>403</v>
      </c>
      <c r="B1311" s="22">
        <v>-9.3749161896994478E-4</v>
      </c>
      <c r="C1311" s="22">
        <v>-9.7466289844305579E-4</v>
      </c>
      <c r="D1311" s="22">
        <v>1.3643733291246698E-4</v>
      </c>
    </row>
    <row r="1312" spans="1:4" x14ac:dyDescent="0.25">
      <c r="A1312" s="37" t="s">
        <v>404</v>
      </c>
      <c r="B1312" s="22">
        <v>4.7504892791039277E-5</v>
      </c>
      <c r="C1312" s="22">
        <v>8.1433074001324645E-5</v>
      </c>
      <c r="D1312" s="22">
        <v>3.6337014762466424E-5</v>
      </c>
    </row>
    <row r="1313" spans="1:4" x14ac:dyDescent="0.25">
      <c r="A1313" s="37" t="s">
        <v>405</v>
      </c>
      <c r="B1313" s="22">
        <v>-4.2498108086874871E-5</v>
      </c>
      <c r="C1313" s="22">
        <v>-2.9042350433883149E-5</v>
      </c>
      <c r="D1313" s="22">
        <v>5.6494047385058284E-5</v>
      </c>
    </row>
    <row r="1314" spans="1:4" x14ac:dyDescent="0.25">
      <c r="A1314" s="37" t="s">
        <v>406</v>
      </c>
      <c r="B1314" s="22">
        <v>4.9498671614855885E-4</v>
      </c>
      <c r="C1314" s="22">
        <v>5.2246165068936502E-4</v>
      </c>
      <c r="D1314" s="22">
        <v>7.1855740316093824E-5</v>
      </c>
    </row>
    <row r="1315" spans="1:4" x14ac:dyDescent="0.25">
      <c r="A1315" s="37" t="s">
        <v>407</v>
      </c>
      <c r="B1315" s="22">
        <v>1.4799833297729499E-3</v>
      </c>
      <c r="C1315" s="22">
        <v>1.5467338380403825E-3</v>
      </c>
      <c r="D1315" s="22">
        <v>6.6927634179592512E-5</v>
      </c>
    </row>
    <row r="1316" spans="1:4" x14ac:dyDescent="0.25">
      <c r="A1316" s="37" t="s">
        <v>408</v>
      </c>
      <c r="B1316" s="22">
        <v>8.2501772340037817E-4</v>
      </c>
      <c r="C1316" s="22">
        <v>8.2617311636568047E-4</v>
      </c>
      <c r="D1316" s="22">
        <v>3.0710085411556248E-5</v>
      </c>
    </row>
    <row r="1317" spans="1:4" x14ac:dyDescent="0.25">
      <c r="A1317" s="37" t="s">
        <v>409</v>
      </c>
      <c r="B1317" s="22">
        <v>3.749128336494331E-5</v>
      </c>
      <c r="C1317" s="22">
        <v>4.7656096285209033E-5</v>
      </c>
      <c r="D1317" s="22">
        <v>3.5910265069105723E-5</v>
      </c>
    </row>
    <row r="1318" spans="1:4" x14ac:dyDescent="0.25">
      <c r="A1318" s="37" t="s">
        <v>410</v>
      </c>
      <c r="B1318" s="22">
        <v>1.2254716784809724E-4</v>
      </c>
      <c r="C1318" s="22">
        <v>7.913674835435816E-5</v>
      </c>
      <c r="D1318" s="22">
        <v>9.1586879534588539E-5</v>
      </c>
    </row>
    <row r="1319" spans="1:4" x14ac:dyDescent="0.25">
      <c r="A1319" s="37" t="s">
        <v>411</v>
      </c>
      <c r="B1319" s="22">
        <v>7.7456268627428988E-5</v>
      </c>
      <c r="C1319" s="22">
        <v>5.0048031255300911E-5</v>
      </c>
      <c r="D1319" s="22">
        <v>1.0876734842213392E-4</v>
      </c>
    </row>
    <row r="1320" spans="1:4" x14ac:dyDescent="0.25">
      <c r="A1320" s="37" t="s">
        <v>412</v>
      </c>
      <c r="B1320" s="22">
        <v>5.0068101700162193E-6</v>
      </c>
      <c r="C1320" s="22">
        <v>-5.5082980452423055E-6</v>
      </c>
      <c r="D1320" s="22">
        <v>1.3112592228026196E-4</v>
      </c>
    </row>
    <row r="1321" spans="1:4" x14ac:dyDescent="0.25">
      <c r="A1321" s="37" t="s">
        <v>413</v>
      </c>
      <c r="B1321" s="22">
        <v>1.5252825141942608E-4</v>
      </c>
      <c r="C1321" s="22">
        <v>1.5270459516614188E-4</v>
      </c>
      <c r="D1321" s="22">
        <v>6.7830540501745296E-5</v>
      </c>
    </row>
    <row r="1322" spans="1:4" x14ac:dyDescent="0.25">
      <c r="A1322" s="37" t="s">
        <v>414</v>
      </c>
      <c r="B1322" s="22">
        <v>-1.2001394043181804E-4</v>
      </c>
      <c r="C1322" s="22">
        <v>-4.0744545783510849E-5</v>
      </c>
      <c r="D1322" s="22">
        <v>7.9269394648307201E-5</v>
      </c>
    </row>
    <row r="1323" spans="1:4" x14ac:dyDescent="0.25">
      <c r="A1323" s="37" t="s">
        <v>415</v>
      </c>
      <c r="B1323" s="22">
        <v>-6.2495477322954752E-5</v>
      </c>
      <c r="C1323" s="22">
        <v>-9.7803222161019235E-5</v>
      </c>
      <c r="D1323" s="22">
        <v>5.0006095989374498E-5</v>
      </c>
    </row>
    <row r="1324" spans="1:4" x14ac:dyDescent="0.25">
      <c r="A1324" s="37" t="s">
        <v>416</v>
      </c>
      <c r="B1324" s="22">
        <v>1.8498306599212802E-4</v>
      </c>
      <c r="C1324" s="22">
        <v>2.5660323444753874E-4</v>
      </c>
      <c r="D1324" s="22">
        <v>7.1620168455410722E-5</v>
      </c>
    </row>
    <row r="1325" spans="1:4" x14ac:dyDescent="0.25">
      <c r="A1325" s="37" t="s">
        <v>417</v>
      </c>
      <c r="B1325" s="22">
        <v>7.0005644374759868E-5</v>
      </c>
      <c r="C1325" s="22">
        <v>5.3486514843825723E-5</v>
      </c>
      <c r="D1325" s="22">
        <v>2.5093319891311701E-5</v>
      </c>
    </row>
    <row r="1326" spans="1:4" x14ac:dyDescent="0.25">
      <c r="A1326" s="37" t="s">
        <v>418</v>
      </c>
      <c r="B1326" s="22">
        <v>3.7491325201699551E-5</v>
      </c>
      <c r="C1326" s="22">
        <v>2.1478763983395684E-5</v>
      </c>
      <c r="D1326" s="22">
        <v>3.366646456015586E-5</v>
      </c>
    </row>
    <row r="1327" spans="1:4" x14ac:dyDescent="0.25">
      <c r="A1327" s="37" t="s">
        <v>419</v>
      </c>
      <c r="B1327" s="22">
        <v>-1.99973594135372E-4</v>
      </c>
      <c r="C1327" s="22">
        <v>-1.8885692679759813E-4</v>
      </c>
      <c r="D1327" s="22">
        <v>5.2229593165975557E-5</v>
      </c>
    </row>
    <row r="1328" spans="1:4" x14ac:dyDescent="0.25">
      <c r="A1328" s="2">
        <v>51</v>
      </c>
      <c r="B1328" s="22">
        <v>4.580020729918019E-5</v>
      </c>
      <c r="C1328" s="22">
        <v>2.5655584556716252E-5</v>
      </c>
      <c r="D1328" s="22">
        <v>7.3207696630106471E-5</v>
      </c>
    </row>
    <row r="1329" spans="1:4" x14ac:dyDescent="0.25">
      <c r="A1329" s="37" t="s">
        <v>396</v>
      </c>
      <c r="B1329" s="22">
        <v>5.0747393106576044E-4</v>
      </c>
      <c r="C1329" s="22">
        <v>5.2012199739692754E-4</v>
      </c>
      <c r="D1329" s="22">
        <v>2.4154076527338499E-5</v>
      </c>
    </row>
    <row r="1330" spans="1:4" x14ac:dyDescent="0.25">
      <c r="A1330" s="37" t="s">
        <v>397</v>
      </c>
      <c r="B1330" s="22">
        <v>3.1250715983333099E-4</v>
      </c>
      <c r="C1330" s="22">
        <v>3.3452652860432874E-4</v>
      </c>
      <c r="D1330" s="22">
        <v>7.3729963332880248E-5</v>
      </c>
    </row>
    <row r="1331" spans="1:4" x14ac:dyDescent="0.25">
      <c r="A1331" s="37" t="s">
        <v>398</v>
      </c>
      <c r="B1331" s="22">
        <v>-2.6747585070552277E-4</v>
      </c>
      <c r="C1331" s="22">
        <v>-3.3819580494309776E-4</v>
      </c>
      <c r="D1331" s="22">
        <v>1.070989783329425E-4</v>
      </c>
    </row>
    <row r="1332" spans="1:4" x14ac:dyDescent="0.25">
      <c r="A1332" s="37" t="s">
        <v>399</v>
      </c>
      <c r="B1332" s="22">
        <v>-2.0751358533743769E-4</v>
      </c>
      <c r="C1332" s="22">
        <v>-2.199109953835432E-4</v>
      </c>
      <c r="D1332" s="22">
        <v>2.962694316011E-5</v>
      </c>
    </row>
    <row r="1333" spans="1:4" x14ac:dyDescent="0.25">
      <c r="A1333" s="37" t="s">
        <v>400</v>
      </c>
      <c r="B1333" s="22">
        <v>-1.2496114140958533E-4</v>
      </c>
      <c r="C1333" s="22">
        <v>-1.8184912573815376E-4</v>
      </c>
      <c r="D1333" s="22">
        <v>6.8914531084374446E-5</v>
      </c>
    </row>
    <row r="1334" spans="1:4" x14ac:dyDescent="0.25">
      <c r="A1334" s="37" t="s">
        <v>401</v>
      </c>
      <c r="B1334" s="22">
        <v>2.8496979211922746E-4</v>
      </c>
      <c r="C1334" s="22">
        <v>3.0065798500800151E-4</v>
      </c>
      <c r="D1334" s="22">
        <v>7.6482369422592564E-5</v>
      </c>
    </row>
    <row r="1335" spans="1:4" x14ac:dyDescent="0.25">
      <c r="A1335" s="37" t="s">
        <v>402</v>
      </c>
      <c r="B1335" s="22">
        <v>-1.2000203123534461E-3</v>
      </c>
      <c r="C1335" s="22">
        <v>-1.3038802389928612E-3</v>
      </c>
      <c r="D1335" s="22">
        <v>1.3981591018818969E-4</v>
      </c>
    </row>
    <row r="1336" spans="1:4" x14ac:dyDescent="0.25">
      <c r="A1336" s="37" t="s">
        <v>403</v>
      </c>
      <c r="B1336" s="22">
        <v>-9.3749161896994478E-4</v>
      </c>
      <c r="C1336" s="22">
        <v>-9.9463922742870723E-4</v>
      </c>
      <c r="D1336" s="22">
        <v>6.151006164145599E-5</v>
      </c>
    </row>
    <row r="1337" spans="1:4" x14ac:dyDescent="0.25">
      <c r="A1337" s="37" t="s">
        <v>404</v>
      </c>
      <c r="B1337" s="22">
        <v>4.7504892791039277E-5</v>
      </c>
      <c r="C1337" s="22">
        <v>-4.4977431571169386E-5</v>
      </c>
      <c r="D1337" s="22">
        <v>9.2482324362208655E-5</v>
      </c>
    </row>
    <row r="1338" spans="1:4" x14ac:dyDescent="0.25">
      <c r="A1338" s="37" t="s">
        <v>405</v>
      </c>
      <c r="B1338" s="22">
        <v>-4.2498108086874871E-5</v>
      </c>
      <c r="C1338" s="22">
        <v>-5.6414348364342004E-5</v>
      </c>
      <c r="D1338" s="22">
        <v>1.0621848559821963E-4</v>
      </c>
    </row>
    <row r="1339" spans="1:4" x14ac:dyDescent="0.25">
      <c r="A1339" s="37" t="s">
        <v>406</v>
      </c>
      <c r="B1339" s="22">
        <v>4.9498671614855885E-4</v>
      </c>
      <c r="C1339" s="22">
        <v>5.1611773233162109E-4</v>
      </c>
      <c r="D1339" s="22">
        <v>5.8813655414267829E-5</v>
      </c>
    </row>
    <row r="1340" spans="1:4" x14ac:dyDescent="0.25">
      <c r="A1340" s="37" t="s">
        <v>407</v>
      </c>
      <c r="B1340" s="22">
        <v>1.4799833297729499E-3</v>
      </c>
      <c r="C1340" s="22">
        <v>1.4363248774316151E-3</v>
      </c>
      <c r="D1340" s="22">
        <v>4.5345019316299998E-5</v>
      </c>
    </row>
    <row r="1341" spans="1:4" x14ac:dyDescent="0.25">
      <c r="A1341" s="37" t="s">
        <v>408</v>
      </c>
      <c r="B1341" s="22">
        <v>8.2501772340037817E-4</v>
      </c>
      <c r="C1341" s="22">
        <v>8.5148273501545288E-4</v>
      </c>
      <c r="D1341" s="22">
        <v>3.717627623700713E-5</v>
      </c>
    </row>
    <row r="1342" spans="1:4" x14ac:dyDescent="0.25">
      <c r="A1342" s="37" t="s">
        <v>409</v>
      </c>
      <c r="B1342" s="22">
        <v>3.749128336494331E-5</v>
      </c>
      <c r="C1342" s="22">
        <v>1.367770928482061E-4</v>
      </c>
      <c r="D1342" s="22">
        <v>1.4200024997990134E-4</v>
      </c>
    </row>
    <row r="1343" spans="1:4" x14ac:dyDescent="0.25">
      <c r="A1343" s="37" t="s">
        <v>410</v>
      </c>
      <c r="B1343" s="22">
        <v>1.2254716784809724E-4</v>
      </c>
      <c r="C1343" s="22">
        <v>1.559320676278729E-4</v>
      </c>
      <c r="D1343" s="22">
        <v>4.4946556499781179E-5</v>
      </c>
    </row>
    <row r="1344" spans="1:4" x14ac:dyDescent="0.25">
      <c r="A1344" s="37" t="s">
        <v>411</v>
      </c>
      <c r="B1344" s="22">
        <v>7.7456268627428988E-5</v>
      </c>
      <c r="C1344" s="22">
        <v>4.4477744154392256E-6</v>
      </c>
      <c r="D1344" s="22">
        <v>1.3980052102624524E-4</v>
      </c>
    </row>
    <row r="1345" spans="1:4" x14ac:dyDescent="0.25">
      <c r="A1345" s="37" t="s">
        <v>412</v>
      </c>
      <c r="B1345" s="22">
        <v>5.0068101700162193E-6</v>
      </c>
      <c r="C1345" s="22">
        <v>-2.4966902174128377E-5</v>
      </c>
      <c r="D1345" s="22">
        <v>6.4974005681506391E-5</v>
      </c>
    </row>
    <row r="1346" spans="1:4" x14ac:dyDescent="0.25">
      <c r="A1346" s="37" t="s">
        <v>413</v>
      </c>
      <c r="B1346" s="22">
        <v>1.5252825141942608E-4</v>
      </c>
      <c r="C1346" s="22">
        <v>1.9677512273119643E-4</v>
      </c>
      <c r="D1346" s="22">
        <v>6.2873250044503866E-5</v>
      </c>
    </row>
    <row r="1347" spans="1:4" x14ac:dyDescent="0.25">
      <c r="A1347" s="37" t="s">
        <v>414</v>
      </c>
      <c r="B1347" s="22">
        <v>-1.2001394043181804E-4</v>
      </c>
      <c r="C1347" s="22">
        <v>-9.2421811132226153E-5</v>
      </c>
      <c r="D1347" s="22">
        <v>3.1316439162765096E-5</v>
      </c>
    </row>
    <row r="1348" spans="1:4" x14ac:dyDescent="0.25">
      <c r="A1348" s="37" t="s">
        <v>415</v>
      </c>
      <c r="B1348" s="22">
        <v>-6.2495477322954752E-5</v>
      </c>
      <c r="C1348" s="22">
        <v>-1.5282731692423124E-4</v>
      </c>
      <c r="D1348" s="22">
        <v>9.033183960127651E-5</v>
      </c>
    </row>
    <row r="1349" spans="1:4" x14ac:dyDescent="0.25">
      <c r="A1349" s="37" t="s">
        <v>416</v>
      </c>
      <c r="B1349" s="22">
        <v>1.8498306599212802E-4</v>
      </c>
      <c r="C1349" s="22">
        <v>1.969797706351529E-4</v>
      </c>
      <c r="D1349" s="22">
        <v>6.4391762634841102E-5</v>
      </c>
    </row>
    <row r="1350" spans="1:4" x14ac:dyDescent="0.25">
      <c r="A1350" s="37" t="s">
        <v>417</v>
      </c>
      <c r="B1350" s="22">
        <v>7.0005644374759868E-5</v>
      </c>
      <c r="C1350" s="22">
        <v>7.9497922342852757E-6</v>
      </c>
      <c r="D1350" s="22">
        <v>6.2055852140474599E-5</v>
      </c>
    </row>
    <row r="1351" spans="1:4" x14ac:dyDescent="0.25">
      <c r="A1351" s="37" t="s">
        <v>418</v>
      </c>
      <c r="B1351" s="22">
        <v>3.7491325201699551E-5</v>
      </c>
      <c r="C1351" s="22">
        <v>2.8877821023337202E-7</v>
      </c>
      <c r="D1351" s="22">
        <v>5.7843143622449174E-5</v>
      </c>
    </row>
    <row r="1352" spans="1:4" x14ac:dyDescent="0.25">
      <c r="A1352" s="37" t="s">
        <v>419</v>
      </c>
      <c r="B1352" s="22">
        <v>-1.99973594135372E-4</v>
      </c>
      <c r="C1352" s="22">
        <v>-2.3449007858289406E-4</v>
      </c>
      <c r="D1352" s="22">
        <v>6.4210307755274549E-5</v>
      </c>
    </row>
    <row r="1353" spans="1:4" x14ac:dyDescent="0.25">
      <c r="A1353" s="37" t="s">
        <v>420</v>
      </c>
      <c r="B1353" s="22">
        <v>-3.325045508972838E-4</v>
      </c>
      <c r="C1353" s="22">
        <v>-3.7241935933707271E-4</v>
      </c>
      <c r="D1353" s="22">
        <v>8.4079892985755496E-5</v>
      </c>
    </row>
    <row r="1354" spans="1:4" x14ac:dyDescent="0.25">
      <c r="A1354" s="2">
        <v>52</v>
      </c>
      <c r="B1354" s="22">
        <v>1.8500088408472816E-5</v>
      </c>
      <c r="C1354" s="22">
        <v>3.7799170199832576E-5</v>
      </c>
      <c r="D1354" s="22">
        <v>7.6139206717016359E-5</v>
      </c>
    </row>
    <row r="1355" spans="1:4" x14ac:dyDescent="0.25">
      <c r="A1355" s="37" t="s">
        <v>397</v>
      </c>
      <c r="B1355" s="22">
        <v>3.1250715983333099E-4</v>
      </c>
      <c r="C1355" s="22">
        <v>3.4078784665325651E-4</v>
      </c>
      <c r="D1355" s="22">
        <v>5.8617006288841502E-5</v>
      </c>
    </row>
    <row r="1356" spans="1:4" x14ac:dyDescent="0.25">
      <c r="A1356" s="37" t="s">
        <v>398</v>
      </c>
      <c r="B1356" s="22">
        <v>-2.6747585070552277E-4</v>
      </c>
      <c r="C1356" s="22">
        <v>-2.8817062411690125E-4</v>
      </c>
      <c r="D1356" s="22">
        <v>8.1190897617488991E-5</v>
      </c>
    </row>
    <row r="1357" spans="1:4" x14ac:dyDescent="0.25">
      <c r="A1357" s="37" t="s">
        <v>399</v>
      </c>
      <c r="B1357" s="22">
        <v>-2.0751358533743769E-4</v>
      </c>
      <c r="C1357" s="22">
        <v>-1.6694080204615591E-4</v>
      </c>
      <c r="D1357" s="22">
        <v>1.3434420088742605E-4</v>
      </c>
    </row>
    <row r="1358" spans="1:4" x14ac:dyDescent="0.25">
      <c r="A1358" s="37" t="s">
        <v>400</v>
      </c>
      <c r="B1358" s="22">
        <v>-1.2496114140958533E-4</v>
      </c>
      <c r="C1358" s="22">
        <v>-9.7478047791810213E-5</v>
      </c>
      <c r="D1358" s="22">
        <v>5.0398607527313397E-5</v>
      </c>
    </row>
    <row r="1359" spans="1:4" x14ac:dyDescent="0.25">
      <c r="A1359" s="37" t="s">
        <v>401</v>
      </c>
      <c r="B1359" s="22">
        <v>2.8496979211922746E-4</v>
      </c>
      <c r="C1359" s="22">
        <v>2.8071711494703777E-4</v>
      </c>
      <c r="D1359" s="22">
        <v>1.025107958412263E-4</v>
      </c>
    </row>
    <row r="1360" spans="1:4" x14ac:dyDescent="0.25">
      <c r="A1360" s="37" t="s">
        <v>402</v>
      </c>
      <c r="B1360" s="22">
        <v>-1.2000203123534461E-3</v>
      </c>
      <c r="C1360" s="22">
        <v>-1.1659578813123525E-3</v>
      </c>
      <c r="D1360" s="22">
        <v>3.4751829844026652E-5</v>
      </c>
    </row>
    <row r="1361" spans="1:4" x14ac:dyDescent="0.25">
      <c r="A1361" s="37" t="s">
        <v>403</v>
      </c>
      <c r="B1361" s="22">
        <v>-9.3749161896994478E-4</v>
      </c>
      <c r="C1361" s="22">
        <v>-8.7838478248158903E-4</v>
      </c>
      <c r="D1361" s="22">
        <v>9.1344683823990758E-5</v>
      </c>
    </row>
    <row r="1362" spans="1:4" x14ac:dyDescent="0.25">
      <c r="A1362" s="37" t="s">
        <v>404</v>
      </c>
      <c r="B1362" s="22">
        <v>4.7504892791039277E-5</v>
      </c>
      <c r="C1362" s="22">
        <v>5.3175330322119502E-5</v>
      </c>
      <c r="D1362" s="22">
        <v>9.326234066975322E-5</v>
      </c>
    </row>
    <row r="1363" spans="1:4" x14ac:dyDescent="0.25">
      <c r="A1363" s="37" t="s">
        <v>405</v>
      </c>
      <c r="B1363" s="22">
        <v>-4.2498108086874871E-5</v>
      </c>
      <c r="C1363" s="22">
        <v>-1.3998986105434752E-5</v>
      </c>
      <c r="D1363" s="22">
        <v>1.5011793948360738E-4</v>
      </c>
    </row>
    <row r="1364" spans="1:4" x14ac:dyDescent="0.25">
      <c r="A1364" s="37" t="s">
        <v>406</v>
      </c>
      <c r="B1364" s="22">
        <v>4.9498671614855885E-4</v>
      </c>
      <c r="C1364" s="22">
        <v>5.0147841466241429E-4</v>
      </c>
      <c r="D1364" s="22">
        <v>1.2351656732789609E-4</v>
      </c>
    </row>
    <row r="1365" spans="1:4" x14ac:dyDescent="0.25">
      <c r="A1365" s="37" t="s">
        <v>407</v>
      </c>
      <c r="B1365" s="22">
        <v>1.4799833297729499E-3</v>
      </c>
      <c r="C1365" s="22">
        <v>1.4978548861108727E-3</v>
      </c>
      <c r="D1365" s="22">
        <v>2.7335481718182499E-5</v>
      </c>
    </row>
    <row r="1366" spans="1:4" x14ac:dyDescent="0.25">
      <c r="A1366" s="37" t="s">
        <v>408</v>
      </c>
      <c r="B1366" s="22">
        <v>8.2501772340037817E-4</v>
      </c>
      <c r="C1366" s="22">
        <v>8.4992773918202136E-4</v>
      </c>
      <c r="D1366" s="22">
        <v>6.9276877184165872E-5</v>
      </c>
    </row>
    <row r="1367" spans="1:4" x14ac:dyDescent="0.25">
      <c r="A1367" s="37" t="s">
        <v>409</v>
      </c>
      <c r="B1367" s="22">
        <v>3.749128336494331E-5</v>
      </c>
      <c r="C1367" s="22">
        <v>4.2457797007955405E-5</v>
      </c>
      <c r="D1367" s="22">
        <v>5.08663620166769E-5</v>
      </c>
    </row>
    <row r="1368" spans="1:4" x14ac:dyDescent="0.25">
      <c r="A1368" s="37" t="s">
        <v>410</v>
      </c>
      <c r="B1368" s="22">
        <v>1.2254716784809724E-4</v>
      </c>
      <c r="C1368" s="22">
        <v>1.3477139509632247E-4</v>
      </c>
      <c r="D1368" s="22">
        <v>3.9593433029949726E-5</v>
      </c>
    </row>
    <row r="1369" spans="1:4" x14ac:dyDescent="0.25">
      <c r="A1369" s="37" t="s">
        <v>411</v>
      </c>
      <c r="B1369" s="22">
        <v>7.7456268627428988E-5</v>
      </c>
      <c r="C1369" s="22">
        <v>1.386388576065655E-4</v>
      </c>
      <c r="D1369" s="22">
        <v>1.3872185081709149E-4</v>
      </c>
    </row>
    <row r="1370" spans="1:4" x14ac:dyDescent="0.25">
      <c r="A1370" s="37" t="s">
        <v>412</v>
      </c>
      <c r="B1370" s="22">
        <v>5.0068101700162193E-6</v>
      </c>
      <c r="C1370" s="22">
        <v>5.8085462455892588E-5</v>
      </c>
      <c r="D1370" s="22">
        <v>7.7994776233936353E-5</v>
      </c>
    </row>
    <row r="1371" spans="1:4" x14ac:dyDescent="0.25">
      <c r="A1371" s="37" t="s">
        <v>413</v>
      </c>
      <c r="B1371" s="22">
        <v>1.5252825141942608E-4</v>
      </c>
      <c r="C1371" s="22">
        <v>1.6619752932456306E-4</v>
      </c>
      <c r="D1371" s="22">
        <v>5.0169261157861525E-5</v>
      </c>
    </row>
    <row r="1372" spans="1:4" x14ac:dyDescent="0.25">
      <c r="A1372" s="37" t="s">
        <v>414</v>
      </c>
      <c r="B1372" s="22">
        <v>-1.2001394043181804E-4</v>
      </c>
      <c r="C1372" s="22">
        <v>-9.4477962193195722E-5</v>
      </c>
      <c r="D1372" s="22">
        <v>3.9982595808396832E-5</v>
      </c>
    </row>
    <row r="1373" spans="1:4" x14ac:dyDescent="0.25">
      <c r="A1373" s="37" t="s">
        <v>415</v>
      </c>
      <c r="B1373" s="22">
        <v>-6.2495477322954752E-5</v>
      </c>
      <c r="C1373" s="22">
        <v>-9.2051037427154261E-5</v>
      </c>
      <c r="D1373" s="22">
        <v>9.1707644969574501E-5</v>
      </c>
    </row>
    <row r="1374" spans="1:4" x14ac:dyDescent="0.25">
      <c r="A1374" s="37" t="s">
        <v>416</v>
      </c>
      <c r="B1374" s="22">
        <v>1.8498306599212802E-4</v>
      </c>
      <c r="C1374" s="22">
        <v>2.4785394089121843E-4</v>
      </c>
      <c r="D1374" s="22">
        <v>7.8793140346533551E-5</v>
      </c>
    </row>
    <row r="1375" spans="1:4" x14ac:dyDescent="0.25">
      <c r="A1375" s="37" t="s">
        <v>417</v>
      </c>
      <c r="B1375" s="22">
        <v>7.0005644374759868E-5</v>
      </c>
      <c r="C1375" s="22">
        <v>3.6516904401651104E-5</v>
      </c>
      <c r="D1375" s="22">
        <v>5.0338337132416274E-5</v>
      </c>
    </row>
    <row r="1376" spans="1:4" x14ac:dyDescent="0.25">
      <c r="A1376" s="37" t="s">
        <v>418</v>
      </c>
      <c r="B1376" s="22">
        <v>3.7491325201699551E-5</v>
      </c>
      <c r="C1376" s="22">
        <v>4.2000636312877861E-5</v>
      </c>
      <c r="D1376" s="22">
        <v>4.5713029976468696E-5</v>
      </c>
    </row>
    <row r="1377" spans="1:4" x14ac:dyDescent="0.25">
      <c r="A1377" s="37" t="s">
        <v>419</v>
      </c>
      <c r="B1377" s="22">
        <v>-1.99973594135372E-4</v>
      </c>
      <c r="C1377" s="22">
        <v>-1.7333187133772288E-4</v>
      </c>
      <c r="D1377" s="22">
        <v>9.4388782599707889E-5</v>
      </c>
    </row>
    <row r="1378" spans="1:4" x14ac:dyDescent="0.25">
      <c r="A1378" s="37" t="s">
        <v>420</v>
      </c>
      <c r="B1378" s="22">
        <v>-3.325045508972838E-4</v>
      </c>
      <c r="C1378" s="22">
        <v>-3.1821897573536262E-4</v>
      </c>
      <c r="D1378" s="22">
        <v>6.238590503926412E-5</v>
      </c>
    </row>
    <row r="1379" spans="1:4" x14ac:dyDescent="0.25">
      <c r="A1379" s="37" t="s">
        <v>421</v>
      </c>
      <c r="B1379" s="22">
        <v>-1.7502904120192403E-4</v>
      </c>
      <c r="C1379" s="22">
        <v>-1.564736294312751E-4</v>
      </c>
      <c r="D1379" s="22">
        <v>6.6157820583612098E-5</v>
      </c>
    </row>
    <row r="1380" spans="1:4" x14ac:dyDescent="0.25">
      <c r="A1380" s="2">
        <v>53</v>
      </c>
      <c r="B1380" s="22">
        <v>1.3999937218613768E-5</v>
      </c>
      <c r="C1380" s="22">
        <v>-2.9254601031426107E-6</v>
      </c>
      <c r="D1380" s="22">
        <v>7.412225349980877E-5</v>
      </c>
    </row>
    <row r="1381" spans="1:4" x14ac:dyDescent="0.25">
      <c r="A1381" s="37" t="s">
        <v>398</v>
      </c>
      <c r="B1381" s="22">
        <v>-2.6747585070552277E-4</v>
      </c>
      <c r="C1381" s="22">
        <v>-2.9292789258761326E-4</v>
      </c>
      <c r="D1381" s="22">
        <v>3.3596908906475001E-5</v>
      </c>
    </row>
    <row r="1382" spans="1:4" x14ac:dyDescent="0.25">
      <c r="A1382" s="37" t="s">
        <v>399</v>
      </c>
      <c r="B1382" s="22">
        <v>-2.0751358533743769E-4</v>
      </c>
      <c r="C1382" s="22">
        <v>-1.8551053562987363E-4</v>
      </c>
      <c r="D1382" s="22">
        <v>1.080290048776078E-4</v>
      </c>
    </row>
    <row r="1383" spans="1:4" x14ac:dyDescent="0.25">
      <c r="A1383" s="37" t="s">
        <v>400</v>
      </c>
      <c r="B1383" s="22">
        <v>-1.2496114140958533E-4</v>
      </c>
      <c r="C1383" s="22">
        <v>-1.2924742986797366E-4</v>
      </c>
      <c r="D1383" s="22">
        <v>9.0153207565890842E-5</v>
      </c>
    </row>
    <row r="1384" spans="1:4" x14ac:dyDescent="0.25">
      <c r="A1384" s="37" t="s">
        <v>401</v>
      </c>
      <c r="B1384" s="22">
        <v>2.8496979211922746E-4</v>
      </c>
      <c r="C1384" s="22">
        <v>2.3545403018943034E-4</v>
      </c>
      <c r="D1384" s="22">
        <v>5.5803011491661898E-5</v>
      </c>
    </row>
    <row r="1385" spans="1:4" x14ac:dyDescent="0.25">
      <c r="A1385" s="37" t="s">
        <v>402</v>
      </c>
      <c r="B1385" s="22">
        <v>-1.2000203123534461E-3</v>
      </c>
      <c r="C1385" s="22">
        <v>-1.2254425018909396E-3</v>
      </c>
      <c r="D1385" s="22">
        <v>9.9574804153236451E-5</v>
      </c>
    </row>
    <row r="1386" spans="1:4" x14ac:dyDescent="0.25">
      <c r="A1386" s="37" t="s">
        <v>403</v>
      </c>
      <c r="B1386" s="22">
        <v>-9.3749161896994478E-4</v>
      </c>
      <c r="C1386" s="22">
        <v>-9.5243840405601088E-4</v>
      </c>
      <c r="D1386" s="22">
        <v>4.8376026825281246E-5</v>
      </c>
    </row>
    <row r="1387" spans="1:4" x14ac:dyDescent="0.25">
      <c r="A1387" s="37" t="s">
        <v>404</v>
      </c>
      <c r="B1387" s="22">
        <v>4.7504892791039277E-5</v>
      </c>
      <c r="C1387" s="22">
        <v>4.1696761400089552E-5</v>
      </c>
      <c r="D1387" s="22">
        <v>4.1723475078469925E-5</v>
      </c>
    </row>
    <row r="1388" spans="1:4" x14ac:dyDescent="0.25">
      <c r="A1388" s="37" t="s">
        <v>405</v>
      </c>
      <c r="B1388" s="22">
        <v>-4.2498108086874871E-5</v>
      </c>
      <c r="C1388" s="22">
        <v>-9.0570852080418371E-5</v>
      </c>
      <c r="D1388" s="22">
        <v>8.929583873396049E-5</v>
      </c>
    </row>
    <row r="1389" spans="1:4" x14ac:dyDescent="0.25">
      <c r="A1389" s="37" t="s">
        <v>406</v>
      </c>
      <c r="B1389" s="22">
        <v>4.9498671614855885E-4</v>
      </c>
      <c r="C1389" s="22">
        <v>4.2119852878386149E-4</v>
      </c>
      <c r="D1389" s="22">
        <v>9.0262934463682321E-5</v>
      </c>
    </row>
    <row r="1390" spans="1:4" x14ac:dyDescent="0.25">
      <c r="A1390" s="37" t="s">
        <v>407</v>
      </c>
      <c r="B1390" s="22">
        <v>1.4799833297729499E-3</v>
      </c>
      <c r="C1390" s="22">
        <v>1.4845346740912648E-3</v>
      </c>
      <c r="D1390" s="22">
        <v>3.7906895158809998E-5</v>
      </c>
    </row>
    <row r="1391" spans="1:4" x14ac:dyDescent="0.25">
      <c r="A1391" s="37" t="s">
        <v>408</v>
      </c>
      <c r="B1391" s="22">
        <v>8.2501772340037817E-4</v>
      </c>
      <c r="C1391" s="22">
        <v>8.3713524509221218E-4</v>
      </c>
      <c r="D1391" s="22">
        <v>3.5830224078380872E-5</v>
      </c>
    </row>
    <row r="1392" spans="1:4" x14ac:dyDescent="0.25">
      <c r="A1392" s="37" t="s">
        <v>409</v>
      </c>
      <c r="B1392" s="22">
        <v>3.749128336494331E-5</v>
      </c>
      <c r="C1392" s="22">
        <v>7.6152027759235244E-5</v>
      </c>
      <c r="D1392" s="22">
        <v>1.2628557851712696E-4</v>
      </c>
    </row>
    <row r="1393" spans="1:4" x14ac:dyDescent="0.25">
      <c r="A1393" s="37" t="s">
        <v>410</v>
      </c>
      <c r="B1393" s="22">
        <v>1.2254716784809724E-4</v>
      </c>
      <c r="C1393" s="22">
        <v>1.0405984721728611E-4</v>
      </c>
      <c r="D1393" s="22">
        <v>8.1892034359043288E-5</v>
      </c>
    </row>
    <row r="1394" spans="1:4" x14ac:dyDescent="0.25">
      <c r="A1394" s="37" t="s">
        <v>411</v>
      </c>
      <c r="B1394" s="22">
        <v>7.7456268627428988E-5</v>
      </c>
      <c r="C1394" s="22">
        <v>7.1605463745072484E-5</v>
      </c>
      <c r="D1394" s="22">
        <v>6.2581810198025995E-5</v>
      </c>
    </row>
    <row r="1395" spans="1:4" x14ac:dyDescent="0.25">
      <c r="A1395" s="37" t="s">
        <v>412</v>
      </c>
      <c r="B1395" s="22">
        <v>5.0068101700162193E-6</v>
      </c>
      <c r="C1395" s="22">
        <v>5.5836458159320794E-6</v>
      </c>
      <c r="D1395" s="22">
        <v>1.1152677097925336E-4</v>
      </c>
    </row>
    <row r="1396" spans="1:4" x14ac:dyDescent="0.25">
      <c r="A1396" s="37" t="s">
        <v>413</v>
      </c>
      <c r="B1396" s="22">
        <v>1.5252825141942608E-4</v>
      </c>
      <c r="C1396" s="22">
        <v>6.0065907746320773E-5</v>
      </c>
      <c r="D1396" s="22">
        <v>9.2462343673105297E-5</v>
      </c>
    </row>
    <row r="1397" spans="1:4" x14ac:dyDescent="0.25">
      <c r="A1397" s="37" t="s">
        <v>414</v>
      </c>
      <c r="B1397" s="22">
        <v>-1.2001394043181804E-4</v>
      </c>
      <c r="C1397" s="22">
        <v>-1.1792555233114402E-4</v>
      </c>
      <c r="D1397" s="22">
        <v>6.1212399486976454E-5</v>
      </c>
    </row>
    <row r="1398" spans="1:4" x14ac:dyDescent="0.25">
      <c r="A1398" s="37" t="s">
        <v>415</v>
      </c>
      <c r="B1398" s="22">
        <v>-6.2495477322954752E-5</v>
      </c>
      <c r="C1398" s="22">
        <v>-1.1576715769479059E-4</v>
      </c>
      <c r="D1398" s="22">
        <v>1.2204024096718066E-4</v>
      </c>
    </row>
    <row r="1399" spans="1:4" x14ac:dyDescent="0.25">
      <c r="A1399" s="37" t="s">
        <v>416</v>
      </c>
      <c r="B1399" s="22">
        <v>1.8498306599212802E-4</v>
      </c>
      <c r="C1399" s="22">
        <v>2.3707706350251101E-4</v>
      </c>
      <c r="D1399" s="22">
        <v>5.4181389714358476E-5</v>
      </c>
    </row>
    <row r="1400" spans="1:4" x14ac:dyDescent="0.25">
      <c r="A1400" s="37" t="s">
        <v>417</v>
      </c>
      <c r="B1400" s="22">
        <v>7.0005644374759868E-5</v>
      </c>
      <c r="C1400" s="22">
        <v>2.7253188818576871E-5</v>
      </c>
      <c r="D1400" s="22">
        <v>4.3106463635922254E-5</v>
      </c>
    </row>
    <row r="1401" spans="1:4" x14ac:dyDescent="0.25">
      <c r="A1401" s="37" t="s">
        <v>418</v>
      </c>
      <c r="B1401" s="22">
        <v>3.7491325201699551E-5</v>
      </c>
      <c r="C1401" s="22">
        <v>4.675908712670226E-5</v>
      </c>
      <c r="D1401" s="22">
        <v>5.5710250308038694E-5</v>
      </c>
    </row>
    <row r="1402" spans="1:4" x14ac:dyDescent="0.25">
      <c r="A1402" s="37" t="s">
        <v>419</v>
      </c>
      <c r="B1402" s="22">
        <v>-1.99973594135372E-4</v>
      </c>
      <c r="C1402" s="22">
        <v>-2.3438632160832645E-4</v>
      </c>
      <c r="D1402" s="22">
        <v>7.3451921707600921E-5</v>
      </c>
    </row>
    <row r="1403" spans="1:4" x14ac:dyDescent="0.25">
      <c r="A1403" s="37" t="s">
        <v>420</v>
      </c>
      <c r="B1403" s="22">
        <v>-3.325045508972838E-4</v>
      </c>
      <c r="C1403" s="22">
        <v>-3.4934822906507179E-4</v>
      </c>
      <c r="D1403" s="22">
        <v>5.0889833801193E-5</v>
      </c>
    </row>
    <row r="1404" spans="1:4" x14ac:dyDescent="0.25">
      <c r="A1404" s="37" t="s">
        <v>421</v>
      </c>
      <c r="B1404" s="22">
        <v>-1.7502904120192403E-4</v>
      </c>
      <c r="C1404" s="22">
        <v>-1.7118746609412494E-4</v>
      </c>
      <c r="D1404" s="22">
        <v>1.1864567886732393E-4</v>
      </c>
    </row>
    <row r="1405" spans="1:4" x14ac:dyDescent="0.25">
      <c r="A1405" s="37" t="s">
        <v>422</v>
      </c>
      <c r="B1405" s="22">
        <v>2.0000338008685511E-4</v>
      </c>
      <c r="C1405" s="22">
        <v>1.4304036903922679E-4</v>
      </c>
      <c r="D1405" s="22">
        <v>6.8517289946612355E-5</v>
      </c>
    </row>
    <row r="1406" spans="1:4" x14ac:dyDescent="0.25">
      <c r="A1406" s="2">
        <v>54</v>
      </c>
      <c r="B1406" s="22">
        <v>4.2899846812360736E-5</v>
      </c>
      <c r="C1406" s="22">
        <v>5.0103574428703922E-5</v>
      </c>
      <c r="D1406" s="22">
        <v>7.1511087442104664E-5</v>
      </c>
    </row>
    <row r="1407" spans="1:4" x14ac:dyDescent="0.25">
      <c r="A1407" s="37" t="s">
        <v>399</v>
      </c>
      <c r="B1407" s="22">
        <v>-2.0751358533743769E-4</v>
      </c>
      <c r="C1407" s="22">
        <v>-1.8729692237684492E-4</v>
      </c>
      <c r="D1407" s="22">
        <v>6.9581943535012975E-5</v>
      </c>
    </row>
    <row r="1408" spans="1:4" x14ac:dyDescent="0.25">
      <c r="A1408" s="37" t="s">
        <v>400</v>
      </c>
      <c r="B1408" s="22">
        <v>-1.2496114140958533E-4</v>
      </c>
      <c r="C1408" s="22">
        <v>-8.8577568021719371E-5</v>
      </c>
      <c r="D1408" s="22">
        <v>9.9861123089795055E-5</v>
      </c>
    </row>
    <row r="1409" spans="1:4" x14ac:dyDescent="0.25">
      <c r="A1409" s="37" t="s">
        <v>401</v>
      </c>
      <c r="B1409" s="22">
        <v>2.8496979211922746E-4</v>
      </c>
      <c r="C1409" s="22">
        <v>2.5744955746631598E-4</v>
      </c>
      <c r="D1409" s="22">
        <v>1.0481006574991655E-4</v>
      </c>
    </row>
    <row r="1410" spans="1:4" x14ac:dyDescent="0.25">
      <c r="A1410" s="37" t="s">
        <v>402</v>
      </c>
      <c r="B1410" s="22">
        <v>-1.2000203123534461E-3</v>
      </c>
      <c r="C1410" s="22">
        <v>-1.1823991208075309E-3</v>
      </c>
      <c r="D1410" s="22">
        <v>5.1080584853480199E-5</v>
      </c>
    </row>
    <row r="1411" spans="1:4" x14ac:dyDescent="0.25">
      <c r="A1411" s="37" t="s">
        <v>403</v>
      </c>
      <c r="B1411" s="22">
        <v>-9.3749161896994478E-4</v>
      </c>
      <c r="C1411" s="22">
        <v>-9.3654804186371447E-4</v>
      </c>
      <c r="D1411" s="22">
        <v>9.9888349723190311E-5</v>
      </c>
    </row>
    <row r="1412" spans="1:4" x14ac:dyDescent="0.25">
      <c r="A1412" s="37" t="s">
        <v>404</v>
      </c>
      <c r="B1412" s="22">
        <v>4.7504892791039277E-5</v>
      </c>
      <c r="C1412" s="22">
        <v>2.5774095774977349E-5</v>
      </c>
      <c r="D1412" s="22">
        <v>7.3873939982149669E-5</v>
      </c>
    </row>
    <row r="1413" spans="1:4" x14ac:dyDescent="0.25">
      <c r="A1413" s="37" t="s">
        <v>405</v>
      </c>
      <c r="B1413" s="22">
        <v>-4.2498108086874871E-5</v>
      </c>
      <c r="C1413" s="22">
        <v>-2.3417418560711677E-5</v>
      </c>
      <c r="D1413" s="22">
        <v>7.3824630817398293E-5</v>
      </c>
    </row>
    <row r="1414" spans="1:4" x14ac:dyDescent="0.25">
      <c r="A1414" s="37" t="s">
        <v>406</v>
      </c>
      <c r="B1414" s="22">
        <v>4.9498671614855885E-4</v>
      </c>
      <c r="C1414" s="22">
        <v>5.243445521045957E-4</v>
      </c>
      <c r="D1414" s="22">
        <v>6.6785765739044064E-5</v>
      </c>
    </row>
    <row r="1415" spans="1:4" x14ac:dyDescent="0.25">
      <c r="A1415" s="37" t="s">
        <v>407</v>
      </c>
      <c r="B1415" s="22">
        <v>1.4799833297729499E-3</v>
      </c>
      <c r="C1415" s="22">
        <v>1.533425005618485E-3</v>
      </c>
      <c r="D1415" s="22">
        <v>5.3441675845535005E-5</v>
      </c>
    </row>
    <row r="1416" spans="1:4" x14ac:dyDescent="0.25">
      <c r="A1416" s="37" t="s">
        <v>408</v>
      </c>
      <c r="B1416" s="22">
        <v>8.2501772340037817E-4</v>
      </c>
      <c r="C1416" s="22">
        <v>8.5858702368568553E-4</v>
      </c>
      <c r="D1416" s="22">
        <v>8.323679867317111E-5</v>
      </c>
    </row>
    <row r="1417" spans="1:4" x14ac:dyDescent="0.25">
      <c r="A1417" s="37" t="s">
        <v>409</v>
      </c>
      <c r="B1417" s="22">
        <v>3.749128336494331E-5</v>
      </c>
      <c r="C1417" s="22">
        <v>2.4206279704230702E-5</v>
      </c>
      <c r="D1417" s="22">
        <v>5.7356231991434402E-5</v>
      </c>
    </row>
    <row r="1418" spans="1:4" x14ac:dyDescent="0.25">
      <c r="A1418" s="37" t="s">
        <v>410</v>
      </c>
      <c r="B1418" s="22">
        <v>1.2254716784809724E-4</v>
      </c>
      <c r="C1418" s="22">
        <v>9.7972595540341017E-5</v>
      </c>
      <c r="D1418" s="22">
        <v>1.1874503252329313E-4</v>
      </c>
    </row>
    <row r="1419" spans="1:4" x14ac:dyDescent="0.25">
      <c r="A1419" s="37" t="s">
        <v>411</v>
      </c>
      <c r="B1419" s="22">
        <v>7.7456268627428988E-5</v>
      </c>
      <c r="C1419" s="22">
        <v>8.1387785940023496E-5</v>
      </c>
      <c r="D1419" s="22">
        <v>6.9785351115569992E-5</v>
      </c>
    </row>
    <row r="1420" spans="1:4" x14ac:dyDescent="0.25">
      <c r="A1420" s="37" t="s">
        <v>412</v>
      </c>
      <c r="B1420" s="22">
        <v>5.0068101700162193E-6</v>
      </c>
      <c r="C1420" s="22">
        <v>-1.1583478510601722E-5</v>
      </c>
      <c r="D1420" s="22">
        <v>9.6545635358325052E-5</v>
      </c>
    </row>
    <row r="1421" spans="1:4" x14ac:dyDescent="0.25">
      <c r="A1421" s="37" t="s">
        <v>413</v>
      </c>
      <c r="B1421" s="22">
        <v>1.5252825141942608E-4</v>
      </c>
      <c r="C1421" s="22">
        <v>1.8207431253358669E-4</v>
      </c>
      <c r="D1421" s="22">
        <v>7.2395579763906466E-5</v>
      </c>
    </row>
    <row r="1422" spans="1:4" x14ac:dyDescent="0.25">
      <c r="A1422" s="37" t="s">
        <v>414</v>
      </c>
      <c r="B1422" s="22">
        <v>-1.2001394043181804E-4</v>
      </c>
      <c r="C1422" s="22">
        <v>-6.9341415837698015E-5</v>
      </c>
      <c r="D1422" s="22">
        <v>5.0672524594120021E-5</v>
      </c>
    </row>
    <row r="1423" spans="1:4" x14ac:dyDescent="0.25">
      <c r="A1423" s="37" t="s">
        <v>415</v>
      </c>
      <c r="B1423" s="22">
        <v>-6.2495477322954752E-5</v>
      </c>
      <c r="C1423" s="22">
        <v>-1.1203454960195824E-4</v>
      </c>
      <c r="D1423" s="22">
        <v>1.2626967691176124E-4</v>
      </c>
    </row>
    <row r="1424" spans="1:4" x14ac:dyDescent="0.25">
      <c r="A1424" s="37" t="s">
        <v>416</v>
      </c>
      <c r="B1424" s="22">
        <v>1.8498306599212802E-4</v>
      </c>
      <c r="C1424" s="22">
        <v>2.0534581562969825E-4</v>
      </c>
      <c r="D1424" s="22">
        <v>5.3866220696363727E-5</v>
      </c>
    </row>
    <row r="1425" spans="1:4" x14ac:dyDescent="0.25">
      <c r="A1425" s="37" t="s">
        <v>417</v>
      </c>
      <c r="B1425" s="22">
        <v>7.0005644374759868E-5</v>
      </c>
      <c r="C1425" s="22">
        <v>5.3851012125960578E-5</v>
      </c>
      <c r="D1425" s="22">
        <v>6.5216767325182445E-5</v>
      </c>
    </row>
    <row r="1426" spans="1:4" x14ac:dyDescent="0.25">
      <c r="A1426" s="37" t="s">
        <v>418</v>
      </c>
      <c r="B1426" s="22">
        <v>3.7491325201699551E-5</v>
      </c>
      <c r="C1426" s="22">
        <v>4.3604925849649678E-5</v>
      </c>
      <c r="D1426" s="22">
        <v>2.6321235964132878E-5</v>
      </c>
    </row>
    <row r="1427" spans="1:4" x14ac:dyDescent="0.25">
      <c r="A1427" s="37" t="s">
        <v>419</v>
      </c>
      <c r="B1427" s="22">
        <v>-1.99973594135372E-4</v>
      </c>
      <c r="C1427" s="22">
        <v>-2.380764544795966E-4</v>
      </c>
      <c r="D1427" s="22">
        <v>5.7693754570209103E-5</v>
      </c>
    </row>
    <row r="1428" spans="1:4" x14ac:dyDescent="0.25">
      <c r="A1428" s="37" t="s">
        <v>420</v>
      </c>
      <c r="B1428" s="22">
        <v>-3.325045508972838E-4</v>
      </c>
      <c r="C1428" s="22">
        <v>-3.1305561060435128E-4</v>
      </c>
      <c r="D1428" s="22">
        <v>6.3818035414442E-5</v>
      </c>
    </row>
    <row r="1429" spans="1:4" x14ac:dyDescent="0.25">
      <c r="A1429" s="37" t="s">
        <v>421</v>
      </c>
      <c r="B1429" s="22">
        <v>-1.7502904120192403E-4</v>
      </c>
      <c r="C1429" s="22">
        <v>-1.5602810617565391E-4</v>
      </c>
      <c r="D1429" s="22">
        <v>6.1831519815313919E-5</v>
      </c>
    </row>
    <row r="1430" spans="1:4" x14ac:dyDescent="0.25">
      <c r="A1430" s="37" t="s">
        <v>422</v>
      </c>
      <c r="B1430" s="22">
        <v>2.0000338008685511E-4</v>
      </c>
      <c r="C1430" s="22">
        <v>2.2556429576070514E-4</v>
      </c>
      <c r="D1430" s="22">
        <v>5.4398504289565472E-5</v>
      </c>
    </row>
    <row r="1431" spans="1:4" x14ac:dyDescent="0.25">
      <c r="A1431" s="37" t="s">
        <v>423</v>
      </c>
      <c r="B1431" s="22">
        <v>4.5502188913815189E-4</v>
      </c>
      <c r="C1431" s="22">
        <v>4.5736078982372424E-4</v>
      </c>
      <c r="D1431" s="22">
        <v>3.6476237710303652E-5</v>
      </c>
    </row>
    <row r="1432" spans="1:4" x14ac:dyDescent="0.25">
      <c r="A1432" s="2">
        <v>55</v>
      </c>
      <c r="B1432" s="22">
        <v>4.8999785649357193E-5</v>
      </c>
      <c r="C1432" s="22">
        <v>6.5938012172637279E-5</v>
      </c>
      <c r="D1432" s="22">
        <v>6.9582178424525425E-5</v>
      </c>
    </row>
    <row r="1433" spans="1:4" x14ac:dyDescent="0.25">
      <c r="A1433" s="37" t="s">
        <v>400</v>
      </c>
      <c r="B1433" s="22">
        <v>-1.2496114140958533E-4</v>
      </c>
      <c r="C1433" s="22">
        <v>-1.0493746412976166E-4</v>
      </c>
      <c r="D1433" s="22">
        <v>7.2140837801271322E-5</v>
      </c>
    </row>
    <row r="1434" spans="1:4" x14ac:dyDescent="0.25">
      <c r="A1434" s="37" t="s">
        <v>401</v>
      </c>
      <c r="B1434" s="22">
        <v>2.8496979211922746E-4</v>
      </c>
      <c r="C1434" s="22">
        <v>3.1031690741656354E-4</v>
      </c>
      <c r="D1434" s="22">
        <v>9.9120945378672047E-5</v>
      </c>
    </row>
    <row r="1435" spans="1:4" x14ac:dyDescent="0.25">
      <c r="A1435" s="37" t="s">
        <v>402</v>
      </c>
      <c r="B1435" s="22">
        <v>-1.2000203123534461E-3</v>
      </c>
      <c r="C1435" s="22">
        <v>-1.1723741845344165E-3</v>
      </c>
      <c r="D1435" s="22">
        <v>9.536986817692945E-5</v>
      </c>
    </row>
    <row r="1436" spans="1:4" x14ac:dyDescent="0.25">
      <c r="A1436" s="37" t="s">
        <v>403</v>
      </c>
      <c r="B1436" s="22">
        <v>-9.3749161896994478E-4</v>
      </c>
      <c r="C1436" s="22">
        <v>-9.5944274471548754E-4</v>
      </c>
      <c r="D1436" s="22">
        <v>7.1125310569187738E-5</v>
      </c>
    </row>
    <row r="1437" spans="1:4" x14ac:dyDescent="0.25">
      <c r="A1437" s="37" t="s">
        <v>404</v>
      </c>
      <c r="B1437" s="22">
        <v>4.7504892791039277E-5</v>
      </c>
      <c r="C1437" s="22">
        <v>5.5409884680557379E-5</v>
      </c>
      <c r="D1437" s="22">
        <v>6.0301042594801151E-5</v>
      </c>
    </row>
    <row r="1438" spans="1:4" x14ac:dyDescent="0.25">
      <c r="A1438" s="37" t="s">
        <v>405</v>
      </c>
      <c r="B1438" s="22">
        <v>-4.2498108086874871E-5</v>
      </c>
      <c r="C1438" s="22">
        <v>-2.6588511900627E-5</v>
      </c>
      <c r="D1438" s="22">
        <v>8.9367809778196131E-5</v>
      </c>
    </row>
    <row r="1439" spans="1:4" x14ac:dyDescent="0.25">
      <c r="A1439" s="37" t="s">
        <v>406</v>
      </c>
      <c r="B1439" s="22">
        <v>4.9498671614855885E-4</v>
      </c>
      <c r="C1439" s="22">
        <v>5.3104680773685643E-4</v>
      </c>
      <c r="D1439" s="22">
        <v>7.0337167926482453E-5</v>
      </c>
    </row>
    <row r="1440" spans="1:4" x14ac:dyDescent="0.25">
      <c r="A1440" s="37" t="s">
        <v>407</v>
      </c>
      <c r="B1440" s="22">
        <v>1.4799833297729499E-3</v>
      </c>
      <c r="C1440" s="22">
        <v>1.5138100134208798E-3</v>
      </c>
      <c r="D1440" s="22">
        <v>8.6297281086445004E-5</v>
      </c>
    </row>
    <row r="1441" spans="1:4" x14ac:dyDescent="0.25">
      <c r="A1441" s="37" t="s">
        <v>408</v>
      </c>
      <c r="B1441" s="22">
        <v>8.2501772340037817E-4</v>
      </c>
      <c r="C1441" s="22">
        <v>8.2209272659383606E-4</v>
      </c>
      <c r="D1441" s="22">
        <v>3.7727117160102922E-5</v>
      </c>
    </row>
    <row r="1442" spans="1:4" x14ac:dyDescent="0.25">
      <c r="A1442" s="37" t="s">
        <v>409</v>
      </c>
      <c r="B1442" s="22">
        <v>3.749128336494331E-5</v>
      </c>
      <c r="C1442" s="22">
        <v>4.4069522118661255E-5</v>
      </c>
      <c r="D1442" s="22">
        <v>1.3982622294861344E-4</v>
      </c>
    </row>
    <row r="1443" spans="1:4" x14ac:dyDescent="0.25">
      <c r="A1443" s="37" t="s">
        <v>410</v>
      </c>
      <c r="B1443" s="22">
        <v>1.2254716784809724E-4</v>
      </c>
      <c r="C1443" s="22">
        <v>1.505641685071169E-4</v>
      </c>
      <c r="D1443" s="22">
        <v>6.9482595790759674E-5</v>
      </c>
    </row>
    <row r="1444" spans="1:4" x14ac:dyDescent="0.25">
      <c r="A1444" s="37" t="s">
        <v>411</v>
      </c>
      <c r="B1444" s="22">
        <v>7.7456268627428988E-5</v>
      </c>
      <c r="C1444" s="22">
        <v>8.9151779320673221E-5</v>
      </c>
      <c r="D1444" s="22">
        <v>9.594316179573073E-5</v>
      </c>
    </row>
    <row r="1445" spans="1:4" x14ac:dyDescent="0.25">
      <c r="A1445" s="37" t="s">
        <v>412</v>
      </c>
      <c r="B1445" s="22">
        <v>5.0068101700162193E-6</v>
      </c>
      <c r="C1445" s="22">
        <v>1.0562605893937895E-5</v>
      </c>
      <c r="D1445" s="22">
        <v>8.3606164480443167E-5</v>
      </c>
    </row>
    <row r="1446" spans="1:4" x14ac:dyDescent="0.25">
      <c r="A1446" s="37" t="s">
        <v>413</v>
      </c>
      <c r="B1446" s="22">
        <v>1.5252825141942608E-4</v>
      </c>
      <c r="C1446" s="22">
        <v>1.669747584003291E-4</v>
      </c>
      <c r="D1446" s="22">
        <v>5.2016040712033013E-5</v>
      </c>
    </row>
    <row r="1447" spans="1:4" x14ac:dyDescent="0.25">
      <c r="A1447" s="37" t="s">
        <v>414</v>
      </c>
      <c r="B1447" s="22">
        <v>-1.2001394043181804E-4</v>
      </c>
      <c r="C1447" s="22">
        <v>-9.4638434347871307E-5</v>
      </c>
      <c r="D1447" s="22">
        <v>1.0926377581199626E-4</v>
      </c>
    </row>
    <row r="1448" spans="1:4" x14ac:dyDescent="0.25">
      <c r="A1448" s="37" t="s">
        <v>415</v>
      </c>
      <c r="B1448" s="22">
        <v>-6.2495477322954752E-5</v>
      </c>
      <c r="C1448" s="22">
        <v>-8.4126284491503747E-5</v>
      </c>
      <c r="D1448" s="22">
        <v>7.2632825322216499E-5</v>
      </c>
    </row>
    <row r="1449" spans="1:4" x14ac:dyDescent="0.25">
      <c r="A1449" s="37" t="s">
        <v>416</v>
      </c>
      <c r="B1449" s="22">
        <v>1.8498306599212802E-4</v>
      </c>
      <c r="C1449" s="22">
        <v>2.3398115627060179E-4</v>
      </c>
      <c r="D1449" s="22">
        <v>8.3295553849893676E-5</v>
      </c>
    </row>
    <row r="1450" spans="1:4" x14ac:dyDescent="0.25">
      <c r="A1450" s="37" t="s">
        <v>417</v>
      </c>
      <c r="B1450" s="22">
        <v>7.0005644374759868E-5</v>
      </c>
      <c r="C1450" s="22">
        <v>5.6246064104925751E-5</v>
      </c>
      <c r="D1450" s="22">
        <v>1.3759580269834124E-5</v>
      </c>
    </row>
    <row r="1451" spans="1:4" x14ac:dyDescent="0.25">
      <c r="A1451" s="37" t="s">
        <v>418</v>
      </c>
      <c r="B1451" s="22">
        <v>3.7491325201699551E-5</v>
      </c>
      <c r="C1451" s="22">
        <v>7.7645658166147999E-5</v>
      </c>
      <c r="D1451" s="22">
        <v>4.0154332964448448E-5</v>
      </c>
    </row>
    <row r="1452" spans="1:4" x14ac:dyDescent="0.25">
      <c r="A1452" s="37" t="s">
        <v>419</v>
      </c>
      <c r="B1452" s="22">
        <v>-1.99973594135372E-4</v>
      </c>
      <c r="C1452" s="22">
        <v>-1.7692273104330525E-4</v>
      </c>
      <c r="D1452" s="22">
        <v>3.0671162676299248E-5</v>
      </c>
    </row>
    <row r="1453" spans="1:4" x14ac:dyDescent="0.25">
      <c r="A1453" s="37" t="s">
        <v>420</v>
      </c>
      <c r="B1453" s="22">
        <v>-3.325045508972838E-4</v>
      </c>
      <c r="C1453" s="22">
        <v>-3.4379709541099146E-4</v>
      </c>
      <c r="D1453" s="22">
        <v>4.8169018555199755E-5</v>
      </c>
    </row>
    <row r="1454" spans="1:4" x14ac:dyDescent="0.25">
      <c r="A1454" s="37" t="s">
        <v>421</v>
      </c>
      <c r="B1454" s="22">
        <v>-1.7502904120192403E-4</v>
      </c>
      <c r="C1454" s="22">
        <v>-1.4800656026636727E-4</v>
      </c>
      <c r="D1454" s="22">
        <v>6.5877789893420278E-5</v>
      </c>
    </row>
    <row r="1455" spans="1:4" x14ac:dyDescent="0.25">
      <c r="A1455" s="37" t="s">
        <v>422</v>
      </c>
      <c r="B1455" s="22">
        <v>2.0000338008685511E-4</v>
      </c>
      <c r="C1455" s="22">
        <v>2.2415308740164641E-4</v>
      </c>
      <c r="D1455" s="22">
        <v>3.8686510379193276E-5</v>
      </c>
    </row>
    <row r="1456" spans="1:4" x14ac:dyDescent="0.25">
      <c r="A1456" s="37" t="s">
        <v>423</v>
      </c>
      <c r="B1456" s="22">
        <v>4.5502188913815189E-4</v>
      </c>
      <c r="C1456" s="22">
        <v>5.1858305050700448E-4</v>
      </c>
      <c r="D1456" s="22">
        <v>6.356116136885263E-5</v>
      </c>
    </row>
    <row r="1457" spans="1:4" x14ac:dyDescent="0.25">
      <c r="A1457" s="37" t="s">
        <v>424</v>
      </c>
      <c r="B1457" s="22">
        <v>-5.5015114412526275E-5</v>
      </c>
      <c r="C1457" s="22">
        <v>-4.5323875383474014E-5</v>
      </c>
      <c r="D1457" s="22">
        <v>5.0821183322113749E-5</v>
      </c>
    </row>
    <row r="1458" spans="1:4" x14ac:dyDescent="0.25">
      <c r="A1458" s="2">
        <v>56</v>
      </c>
      <c r="B1458" s="22">
        <v>6.4998863672371837E-5</v>
      </c>
      <c r="C1458" s="22">
        <v>6.17655710857433E-5</v>
      </c>
      <c r="D1458" s="22">
        <v>6.8466685984276603E-5</v>
      </c>
    </row>
    <row r="1459" spans="1:4" x14ac:dyDescent="0.25">
      <c r="A1459" s="37" t="s">
        <v>401</v>
      </c>
      <c r="B1459" s="22">
        <v>2.8496979211922746E-4</v>
      </c>
      <c r="C1459" s="22">
        <v>3.2727192410675343E-4</v>
      </c>
      <c r="D1459" s="22">
        <v>1.0290850150340694E-4</v>
      </c>
    </row>
    <row r="1460" spans="1:4" x14ac:dyDescent="0.25">
      <c r="A1460" s="37" t="s">
        <v>402</v>
      </c>
      <c r="B1460" s="22">
        <v>-1.2000203123534461E-3</v>
      </c>
      <c r="C1460" s="22">
        <v>-1.2677876302404916E-3</v>
      </c>
      <c r="D1460" s="22">
        <v>6.7767317887045521E-5</v>
      </c>
    </row>
    <row r="1461" spans="1:4" x14ac:dyDescent="0.25">
      <c r="A1461" s="37" t="s">
        <v>403</v>
      </c>
      <c r="B1461" s="22">
        <v>-9.3749161896994478E-4</v>
      </c>
      <c r="C1461" s="22">
        <v>-9.4132170124794335E-4</v>
      </c>
      <c r="D1461" s="22">
        <v>6.2185430579119507E-5</v>
      </c>
    </row>
    <row r="1462" spans="1:4" x14ac:dyDescent="0.25">
      <c r="A1462" s="37" t="s">
        <v>404</v>
      </c>
      <c r="B1462" s="22">
        <v>4.7504892791039277E-5</v>
      </c>
      <c r="C1462" s="22">
        <v>7.6074804042036676E-5</v>
      </c>
      <c r="D1462" s="22">
        <v>5.451429422009825E-5</v>
      </c>
    </row>
    <row r="1463" spans="1:4" x14ac:dyDescent="0.25">
      <c r="A1463" s="37" t="s">
        <v>405</v>
      </c>
      <c r="B1463" s="22">
        <v>-4.2498108086874871E-5</v>
      </c>
      <c r="C1463" s="22">
        <v>-6.6491826146375429E-5</v>
      </c>
      <c r="D1463" s="22">
        <v>5.3141888201935054E-5</v>
      </c>
    </row>
    <row r="1464" spans="1:4" x14ac:dyDescent="0.25">
      <c r="A1464" s="37" t="s">
        <v>406</v>
      </c>
      <c r="B1464" s="22">
        <v>4.9498671614855885E-4</v>
      </c>
      <c r="C1464" s="22">
        <v>4.4233718654140873E-4</v>
      </c>
      <c r="D1464" s="22">
        <v>1.3893266623199509E-4</v>
      </c>
    </row>
    <row r="1465" spans="1:4" x14ac:dyDescent="0.25">
      <c r="A1465" s="37" t="s">
        <v>407</v>
      </c>
      <c r="B1465" s="22">
        <v>1.4799833297729499E-3</v>
      </c>
      <c r="C1465" s="22">
        <v>1.4888789155520473E-3</v>
      </c>
      <c r="D1465" s="22">
        <v>7.2055205237122504E-5</v>
      </c>
    </row>
    <row r="1466" spans="1:4" x14ac:dyDescent="0.25">
      <c r="A1466" s="37" t="s">
        <v>408</v>
      </c>
      <c r="B1466" s="22">
        <v>8.2501772340037817E-4</v>
      </c>
      <c r="C1466" s="22">
        <v>8.4047273412579595E-4</v>
      </c>
      <c r="D1466" s="22">
        <v>5.777316619060112E-5</v>
      </c>
    </row>
    <row r="1467" spans="1:4" x14ac:dyDescent="0.25">
      <c r="A1467" s="37" t="s">
        <v>409</v>
      </c>
      <c r="B1467" s="22">
        <v>3.749128336494331E-5</v>
      </c>
      <c r="C1467" s="22">
        <v>9.2819571818836347E-5</v>
      </c>
      <c r="D1467" s="22">
        <v>1.0977669489875555E-4</v>
      </c>
    </row>
    <row r="1468" spans="1:4" x14ac:dyDescent="0.25">
      <c r="A1468" s="37" t="s">
        <v>410</v>
      </c>
      <c r="B1468" s="22">
        <v>1.2254716784809724E-4</v>
      </c>
      <c r="C1468" s="22">
        <v>1.5741441893624126E-4</v>
      </c>
      <c r="D1468" s="22">
        <v>7.1382197347702513E-5</v>
      </c>
    </row>
    <row r="1469" spans="1:4" x14ac:dyDescent="0.25">
      <c r="A1469" s="37" t="s">
        <v>411</v>
      </c>
      <c r="B1469" s="22">
        <v>7.7456268627428988E-5</v>
      </c>
      <c r="C1469" s="22">
        <v>7.9886824096320116E-5</v>
      </c>
      <c r="D1469" s="22">
        <v>9.4943839940242605E-5</v>
      </c>
    </row>
    <row r="1470" spans="1:4" x14ac:dyDescent="0.25">
      <c r="A1470" s="37" t="s">
        <v>412</v>
      </c>
      <c r="B1470" s="22">
        <v>5.0068101700162193E-6</v>
      </c>
      <c r="C1470" s="22">
        <v>5.7803913477981708E-6</v>
      </c>
      <c r="D1470" s="22">
        <v>1.2148740051998195E-4</v>
      </c>
    </row>
    <row r="1471" spans="1:4" x14ac:dyDescent="0.25">
      <c r="A1471" s="37" t="s">
        <v>413</v>
      </c>
      <c r="B1471" s="22">
        <v>1.5252825141942608E-4</v>
      </c>
      <c r="C1471" s="22">
        <v>1.3920147648605052E-4</v>
      </c>
      <c r="D1471" s="22">
        <v>8.3769147749989954E-5</v>
      </c>
    </row>
    <row r="1472" spans="1:4" x14ac:dyDescent="0.25">
      <c r="A1472" s="37" t="s">
        <v>414</v>
      </c>
      <c r="B1472" s="22">
        <v>-1.2001394043181804E-4</v>
      </c>
      <c r="C1472" s="22">
        <v>-1.6341960781574033E-4</v>
      </c>
      <c r="D1472" s="22">
        <v>6.4081559685291722E-5</v>
      </c>
    </row>
    <row r="1473" spans="1:4" x14ac:dyDescent="0.25">
      <c r="A1473" s="37" t="s">
        <v>415</v>
      </c>
      <c r="B1473" s="22">
        <v>-6.2495477322954752E-5</v>
      </c>
      <c r="C1473" s="22">
        <v>-8.6178901256062253E-5</v>
      </c>
      <c r="D1473" s="22">
        <v>7.5874791946262501E-5</v>
      </c>
    </row>
    <row r="1474" spans="1:4" x14ac:dyDescent="0.25">
      <c r="A1474" s="37" t="s">
        <v>416</v>
      </c>
      <c r="B1474" s="22">
        <v>1.8498306599212802E-4</v>
      </c>
      <c r="C1474" s="22">
        <v>1.6058600067481149E-4</v>
      </c>
      <c r="D1474" s="22">
        <v>2.4397065317316524E-5</v>
      </c>
    </row>
    <row r="1475" spans="1:4" x14ac:dyDescent="0.25">
      <c r="A1475" s="37" t="s">
        <v>417</v>
      </c>
      <c r="B1475" s="22">
        <v>7.0005644374759868E-5</v>
      </c>
      <c r="C1475" s="22">
        <v>1.8867976905312277E-5</v>
      </c>
      <c r="D1475" s="22">
        <v>5.5378517572535297E-5</v>
      </c>
    </row>
    <row r="1476" spans="1:4" x14ac:dyDescent="0.25">
      <c r="A1476" s="37" t="s">
        <v>418</v>
      </c>
      <c r="B1476" s="22">
        <v>3.7491325201699551E-5</v>
      </c>
      <c r="C1476" s="22">
        <v>5.7692162954481413E-5</v>
      </c>
      <c r="D1476" s="22">
        <v>3.7283873098203872E-5</v>
      </c>
    </row>
    <row r="1477" spans="1:4" x14ac:dyDescent="0.25">
      <c r="A1477" s="37" t="s">
        <v>419</v>
      </c>
      <c r="B1477" s="22">
        <v>-1.99973594135372E-4</v>
      </c>
      <c r="C1477" s="22">
        <v>-1.660301149968288E-4</v>
      </c>
      <c r="D1477" s="22">
        <v>3.3943479138543169E-5</v>
      </c>
    </row>
    <row r="1478" spans="1:4" x14ac:dyDescent="0.25">
      <c r="A1478" s="37" t="s">
        <v>420</v>
      </c>
      <c r="B1478" s="22">
        <v>-3.325045508972838E-4</v>
      </c>
      <c r="C1478" s="22">
        <v>-3.22689906170126E-4</v>
      </c>
      <c r="D1478" s="22">
        <v>1.9118309865007753E-5</v>
      </c>
    </row>
    <row r="1479" spans="1:4" x14ac:dyDescent="0.25">
      <c r="A1479" s="37" t="s">
        <v>421</v>
      </c>
      <c r="B1479" s="22">
        <v>-1.7502904120192403E-4</v>
      </c>
      <c r="C1479" s="22">
        <v>-1.5612789002261715E-4</v>
      </c>
      <c r="D1479" s="22">
        <v>9.6795276931516128E-5</v>
      </c>
    </row>
    <row r="1480" spans="1:4" x14ac:dyDescent="0.25">
      <c r="A1480" s="37" t="s">
        <v>422</v>
      </c>
      <c r="B1480" s="22">
        <v>2.0000338008685511E-4</v>
      </c>
      <c r="C1480" s="22">
        <v>1.8018174341705167E-4</v>
      </c>
      <c r="D1480" s="22">
        <v>4.9216723709832945E-5</v>
      </c>
    </row>
    <row r="1481" spans="1:4" x14ac:dyDescent="0.25">
      <c r="A1481" s="37" t="s">
        <v>423</v>
      </c>
      <c r="B1481" s="22">
        <v>4.5502188913815189E-4</v>
      </c>
      <c r="C1481" s="22">
        <v>4.5103040156391227E-4</v>
      </c>
      <c r="D1481" s="22">
        <v>4.8717410209064878E-5</v>
      </c>
    </row>
    <row r="1482" spans="1:4" x14ac:dyDescent="0.25">
      <c r="A1482" s="37" t="s">
        <v>424</v>
      </c>
      <c r="B1482" s="22">
        <v>-5.5015114412526275E-5</v>
      </c>
      <c r="C1482" s="22">
        <v>-6.1189733060018652E-5</v>
      </c>
      <c r="D1482" s="22">
        <v>6.2018624703341602E-5</v>
      </c>
    </row>
    <row r="1483" spans="1:4" x14ac:dyDescent="0.25">
      <c r="A1483" s="37" t="s">
        <v>425</v>
      </c>
      <c r="B1483" s="22">
        <v>2.7501580916578021E-4</v>
      </c>
      <c r="C1483" s="22">
        <v>2.5688005553092775E-4</v>
      </c>
      <c r="D1483" s="22">
        <v>5.4203766922001494E-5</v>
      </c>
    </row>
    <row r="1484" spans="1:4" x14ac:dyDescent="0.25">
      <c r="A1484" s="2">
        <v>57</v>
      </c>
      <c r="B1484" s="22">
        <v>9.4300506461877267E-5</v>
      </c>
      <c r="C1484" s="22">
        <v>1.1778691381095998E-4</v>
      </c>
      <c r="D1484" s="22">
        <v>7.8055748313090405E-5</v>
      </c>
    </row>
    <row r="1485" spans="1:4" x14ac:dyDescent="0.25">
      <c r="A1485" s="37" t="s">
        <v>402</v>
      </c>
      <c r="B1485" s="22">
        <v>-1.2000203123534461E-3</v>
      </c>
      <c r="C1485" s="22">
        <v>-1.2324644258114841E-3</v>
      </c>
      <c r="D1485" s="22">
        <v>3.2444113458038174E-5</v>
      </c>
    </row>
    <row r="1486" spans="1:4" x14ac:dyDescent="0.25">
      <c r="A1486" s="37" t="s">
        <v>403</v>
      </c>
      <c r="B1486" s="22">
        <v>-9.3749161896994478E-4</v>
      </c>
      <c r="C1486" s="22">
        <v>-9.222481257893392E-4</v>
      </c>
      <c r="D1486" s="22">
        <v>3.4924478313770102E-5</v>
      </c>
    </row>
    <row r="1487" spans="1:4" x14ac:dyDescent="0.25">
      <c r="A1487" s="37" t="s">
        <v>404</v>
      </c>
      <c r="B1487" s="22">
        <v>4.7504892791039277E-5</v>
      </c>
      <c r="C1487" s="22">
        <v>9.9430659020072239E-5</v>
      </c>
      <c r="D1487" s="22">
        <v>7.1636262646279715E-5</v>
      </c>
    </row>
    <row r="1488" spans="1:4" x14ac:dyDescent="0.25">
      <c r="A1488" s="37" t="s">
        <v>405</v>
      </c>
      <c r="B1488" s="22">
        <v>-4.2498108086874871E-5</v>
      </c>
      <c r="C1488" s="22">
        <v>-2.2499338228954246E-5</v>
      </c>
      <c r="D1488" s="22">
        <v>1.0345436749048538E-4</v>
      </c>
    </row>
    <row r="1489" spans="1:4" x14ac:dyDescent="0.25">
      <c r="A1489" s="37" t="s">
        <v>406</v>
      </c>
      <c r="B1489" s="22">
        <v>4.9498671614855885E-4</v>
      </c>
      <c r="C1489" s="22">
        <v>5.6497616787964879E-4</v>
      </c>
      <c r="D1489" s="22">
        <v>9.2995385784889074E-5</v>
      </c>
    </row>
    <row r="1490" spans="1:4" x14ac:dyDescent="0.25">
      <c r="A1490" s="37" t="s">
        <v>407</v>
      </c>
      <c r="B1490" s="22">
        <v>1.4799833297729499E-3</v>
      </c>
      <c r="C1490" s="22">
        <v>1.5045025793369875E-3</v>
      </c>
      <c r="D1490" s="22">
        <v>1.3472474529407748E-4</v>
      </c>
    </row>
    <row r="1491" spans="1:4" x14ac:dyDescent="0.25">
      <c r="A1491" s="37" t="s">
        <v>408</v>
      </c>
      <c r="B1491" s="22">
        <v>8.2501772340037817E-4</v>
      </c>
      <c r="C1491" s="22">
        <v>8.1479801701789104E-4</v>
      </c>
      <c r="D1491" s="22">
        <v>6.4343314079450575E-5</v>
      </c>
    </row>
    <row r="1492" spans="1:4" x14ac:dyDescent="0.25">
      <c r="A1492" s="37" t="s">
        <v>409</v>
      </c>
      <c r="B1492" s="22">
        <v>3.749128336494331E-5</v>
      </c>
      <c r="C1492" s="22">
        <v>5.7052322517847263E-5</v>
      </c>
      <c r="D1492" s="22">
        <v>1.3426722034637345E-4</v>
      </c>
    </row>
    <row r="1493" spans="1:4" x14ac:dyDescent="0.25">
      <c r="A1493" s="37" t="s">
        <v>410</v>
      </c>
      <c r="B1493" s="22">
        <v>1.2254716784809724E-4</v>
      </c>
      <c r="C1493" s="22">
        <v>1.7174065851577322E-4</v>
      </c>
      <c r="D1493" s="22">
        <v>6.5357110543118473E-5</v>
      </c>
    </row>
    <row r="1494" spans="1:4" x14ac:dyDescent="0.25">
      <c r="A1494" s="37" t="s">
        <v>411</v>
      </c>
      <c r="B1494" s="22">
        <v>7.7456268627428988E-5</v>
      </c>
      <c r="C1494" s="22">
        <v>7.7906622209411621E-5</v>
      </c>
      <c r="D1494" s="22">
        <v>1.2557364516396736E-4</v>
      </c>
    </row>
    <row r="1495" spans="1:4" x14ac:dyDescent="0.25">
      <c r="A1495" s="37" t="s">
        <v>412</v>
      </c>
      <c r="B1495" s="22">
        <v>5.0068101700162193E-6</v>
      </c>
      <c r="C1495" s="22">
        <v>6.5208095293200946E-5</v>
      </c>
      <c r="D1495" s="22">
        <v>1.3529201260098522E-4</v>
      </c>
    </row>
    <row r="1496" spans="1:4" x14ac:dyDescent="0.25">
      <c r="A1496" s="37" t="s">
        <v>413</v>
      </c>
      <c r="B1496" s="22">
        <v>1.5252825141942608E-4</v>
      </c>
      <c r="C1496" s="22">
        <v>1.8292785443918555E-4</v>
      </c>
      <c r="D1496" s="22">
        <v>7.7910223808430574E-5</v>
      </c>
    </row>
    <row r="1497" spans="1:4" x14ac:dyDescent="0.25">
      <c r="A1497" s="37" t="s">
        <v>414</v>
      </c>
      <c r="B1497" s="22">
        <v>-1.2001394043181804E-4</v>
      </c>
      <c r="C1497" s="22">
        <v>-8.0615168371878194E-5</v>
      </c>
      <c r="D1497" s="22">
        <v>9.9947952548973357E-5</v>
      </c>
    </row>
    <row r="1498" spans="1:4" x14ac:dyDescent="0.25">
      <c r="A1498" s="37" t="s">
        <v>415</v>
      </c>
      <c r="B1498" s="22">
        <v>-6.2495477322954752E-5</v>
      </c>
      <c r="C1498" s="22">
        <v>-1.1408890895836524E-4</v>
      </c>
      <c r="D1498" s="22">
        <v>1.1260822248004878E-4</v>
      </c>
    </row>
    <row r="1499" spans="1:4" x14ac:dyDescent="0.25">
      <c r="A1499" s="37" t="s">
        <v>416</v>
      </c>
      <c r="B1499" s="22">
        <v>1.8498306599212802E-4</v>
      </c>
      <c r="C1499" s="22">
        <v>1.7568085240782222E-4</v>
      </c>
      <c r="D1499" s="22">
        <v>5.5566622904734794E-5</v>
      </c>
    </row>
    <row r="1500" spans="1:4" x14ac:dyDescent="0.25">
      <c r="A1500" s="37" t="s">
        <v>417</v>
      </c>
      <c r="B1500" s="22">
        <v>7.0005644374759868E-5</v>
      </c>
      <c r="C1500" s="22">
        <v>1.1637877832981751E-4</v>
      </c>
      <c r="D1500" s="22">
        <v>4.6373133955057622E-5</v>
      </c>
    </row>
    <row r="1501" spans="1:4" x14ac:dyDescent="0.25">
      <c r="A1501" s="37" t="s">
        <v>418</v>
      </c>
      <c r="B1501" s="22">
        <v>3.7491325201699551E-5</v>
      </c>
      <c r="C1501" s="22">
        <v>8.1302056969434502E-5</v>
      </c>
      <c r="D1501" s="22">
        <v>6.8570337134588031E-5</v>
      </c>
    </row>
    <row r="1502" spans="1:4" x14ac:dyDescent="0.25">
      <c r="A1502" s="37" t="s">
        <v>419</v>
      </c>
      <c r="B1502" s="22">
        <v>-1.99973594135372E-4</v>
      </c>
      <c r="C1502" s="22">
        <v>-1.8156046644435251E-4</v>
      </c>
      <c r="D1502" s="22">
        <v>6.97323484928345E-5</v>
      </c>
    </row>
    <row r="1503" spans="1:4" x14ac:dyDescent="0.25">
      <c r="A1503" s="37" t="s">
        <v>420</v>
      </c>
      <c r="B1503" s="22">
        <v>-3.325045508972838E-4</v>
      </c>
      <c r="C1503" s="22">
        <v>-3.1138179838308149E-4</v>
      </c>
      <c r="D1503" s="22">
        <v>5.625429912470275E-5</v>
      </c>
    </row>
    <row r="1504" spans="1:4" x14ac:dyDescent="0.25">
      <c r="A1504" s="37" t="s">
        <v>421</v>
      </c>
      <c r="B1504" s="22">
        <v>-1.7502904120192403E-4</v>
      </c>
      <c r="C1504" s="22">
        <v>-2.1767046416698593E-4</v>
      </c>
      <c r="D1504" s="22">
        <v>8.4772331661042401E-5</v>
      </c>
    </row>
    <row r="1505" spans="1:4" x14ac:dyDescent="0.25">
      <c r="A1505" s="37" t="s">
        <v>422</v>
      </c>
      <c r="B1505" s="22">
        <v>2.0000338008685511E-4</v>
      </c>
      <c r="C1505" s="22">
        <v>2.7300348301650956E-4</v>
      </c>
      <c r="D1505" s="22">
        <v>7.734389328106745E-5</v>
      </c>
    </row>
    <row r="1506" spans="1:4" x14ac:dyDescent="0.25">
      <c r="A1506" s="37" t="s">
        <v>423</v>
      </c>
      <c r="B1506" s="22">
        <v>4.5502188913815189E-4</v>
      </c>
      <c r="C1506" s="22">
        <v>4.751197166115162E-4</v>
      </c>
      <c r="D1506" s="22">
        <v>4.652029474527793E-5</v>
      </c>
    </row>
    <row r="1507" spans="1:4" x14ac:dyDescent="0.25">
      <c r="A1507" s="37" t="s">
        <v>424</v>
      </c>
      <c r="B1507" s="22">
        <v>-5.5015114412526275E-5</v>
      </c>
      <c r="C1507" s="22">
        <v>-9.97888491838231E-6</v>
      </c>
      <c r="D1507" s="22">
        <v>4.5036229494143951E-5</v>
      </c>
    </row>
    <row r="1508" spans="1:4" x14ac:dyDescent="0.25">
      <c r="A1508" s="37" t="s">
        <v>425</v>
      </c>
      <c r="B1508" s="22">
        <v>2.7501580916578021E-4</v>
      </c>
      <c r="C1508" s="22">
        <v>3.0222522764233948E-4</v>
      </c>
      <c r="D1508" s="22">
        <v>5.8328689192421748E-5</v>
      </c>
    </row>
    <row r="1509" spans="1:4" x14ac:dyDescent="0.25">
      <c r="A1509" s="37" t="s">
        <v>426</v>
      </c>
      <c r="B1509" s="22">
        <v>1.0175108618568638E-3</v>
      </c>
      <c r="C1509" s="22">
        <v>1.0749273351393647E-3</v>
      </c>
      <c r="D1509" s="22">
        <v>5.7416473282501E-5</v>
      </c>
    </row>
    <row r="1510" spans="1:4" x14ac:dyDescent="0.25">
      <c r="A1510" s="2">
        <v>58</v>
      </c>
      <c r="B1510" s="22">
        <v>1.842999449218041E-4</v>
      </c>
      <c r="C1510" s="22">
        <v>1.9811629905689185E-4</v>
      </c>
      <c r="D1510" s="22">
        <v>7.086214193350301E-5</v>
      </c>
    </row>
    <row r="1511" spans="1:4" x14ac:dyDescent="0.25">
      <c r="A1511" s="37" t="s">
        <v>403</v>
      </c>
      <c r="B1511" s="22">
        <v>-9.3749161896994478E-4</v>
      </c>
      <c r="C1511" s="22">
        <v>-9.3158753588795673E-4</v>
      </c>
      <c r="D1511" s="22">
        <v>6.7743931140285067E-5</v>
      </c>
    </row>
    <row r="1512" spans="1:4" x14ac:dyDescent="0.25">
      <c r="A1512" s="37" t="s">
        <v>404</v>
      </c>
      <c r="B1512" s="22">
        <v>4.7504892791039277E-5</v>
      </c>
      <c r="C1512" s="22">
        <v>8.3813902165275054E-5</v>
      </c>
      <c r="D1512" s="22">
        <v>1.0426234621263568E-4</v>
      </c>
    </row>
    <row r="1513" spans="1:4" x14ac:dyDescent="0.25">
      <c r="A1513" s="37" t="s">
        <v>405</v>
      </c>
      <c r="B1513" s="22">
        <v>-4.2498108086874871E-5</v>
      </c>
      <c r="C1513" s="22">
        <v>-3.1769701308803497E-5</v>
      </c>
      <c r="D1513" s="22">
        <v>6.2390565290116126E-5</v>
      </c>
    </row>
    <row r="1514" spans="1:4" x14ac:dyDescent="0.25">
      <c r="A1514" s="37" t="s">
        <v>406</v>
      </c>
      <c r="B1514" s="22">
        <v>4.9498671614855885E-4</v>
      </c>
      <c r="C1514" s="22">
        <v>5.2573060747818003E-4</v>
      </c>
      <c r="D1514" s="22">
        <v>5.9663097999873829E-5</v>
      </c>
    </row>
    <row r="1515" spans="1:4" x14ac:dyDescent="0.25">
      <c r="A1515" s="37" t="s">
        <v>407</v>
      </c>
      <c r="B1515" s="22">
        <v>1.4799833297729499E-3</v>
      </c>
      <c r="C1515" s="22">
        <v>1.4886624412611125E-3</v>
      </c>
      <c r="D1515" s="22">
        <v>7.20465905033025E-5</v>
      </c>
    </row>
    <row r="1516" spans="1:4" x14ac:dyDescent="0.25">
      <c r="A1516" s="37" t="s">
        <v>408</v>
      </c>
      <c r="B1516" s="22">
        <v>8.2501772340037817E-4</v>
      </c>
      <c r="C1516" s="22">
        <v>8.4008779413125034E-4</v>
      </c>
      <c r="D1516" s="22">
        <v>6.5225534854107835E-5</v>
      </c>
    </row>
    <row r="1517" spans="1:4" x14ac:dyDescent="0.25">
      <c r="A1517" s="37" t="s">
        <v>409</v>
      </c>
      <c r="B1517" s="22">
        <v>3.749128336494331E-5</v>
      </c>
      <c r="C1517" s="22">
        <v>1.4256485701480401E-4</v>
      </c>
      <c r="D1517" s="22">
        <v>1.5135372814256668E-4</v>
      </c>
    </row>
    <row r="1518" spans="1:4" x14ac:dyDescent="0.25">
      <c r="A1518" s="37" t="s">
        <v>410</v>
      </c>
      <c r="B1518" s="22">
        <v>1.2254716784809724E-4</v>
      </c>
      <c r="C1518" s="22">
        <v>1.317462451879694E-4</v>
      </c>
      <c r="D1518" s="22">
        <v>5.6007888360909128E-5</v>
      </c>
    </row>
    <row r="1519" spans="1:4" x14ac:dyDescent="0.25">
      <c r="A1519" s="37" t="s">
        <v>411</v>
      </c>
      <c r="B1519" s="22">
        <v>7.7456268627428988E-5</v>
      </c>
      <c r="C1519" s="22">
        <v>6.8807954789917749E-5</v>
      </c>
      <c r="D1519" s="22">
        <v>1.1710603064329926E-4</v>
      </c>
    </row>
    <row r="1520" spans="1:4" x14ac:dyDescent="0.25">
      <c r="A1520" s="37" t="s">
        <v>412</v>
      </c>
      <c r="B1520" s="22">
        <v>5.0068101700162193E-6</v>
      </c>
      <c r="C1520" s="22">
        <v>1.0563439900579493E-5</v>
      </c>
      <c r="D1520" s="22">
        <v>1.3383990426518727E-4</v>
      </c>
    </row>
    <row r="1521" spans="1:4" x14ac:dyDescent="0.25">
      <c r="A1521" s="37" t="s">
        <v>413</v>
      </c>
      <c r="B1521" s="22">
        <v>1.5252825141942608E-4</v>
      </c>
      <c r="C1521" s="22">
        <v>1.7193229496115242E-4</v>
      </c>
      <c r="D1521" s="22">
        <v>5.0350013680145101E-5</v>
      </c>
    </row>
    <row r="1522" spans="1:4" x14ac:dyDescent="0.25">
      <c r="A1522" s="37" t="s">
        <v>414</v>
      </c>
      <c r="B1522" s="22">
        <v>-1.2001394043181804E-4</v>
      </c>
      <c r="C1522" s="22">
        <v>-1.3476346384777582E-4</v>
      </c>
      <c r="D1522" s="22">
        <v>5.9551275171543225E-5</v>
      </c>
    </row>
    <row r="1523" spans="1:4" x14ac:dyDescent="0.25">
      <c r="A1523" s="37" t="s">
        <v>415</v>
      </c>
      <c r="B1523" s="22">
        <v>-6.2495477322954752E-5</v>
      </c>
      <c r="C1523" s="22">
        <v>-1.2366536611807522E-4</v>
      </c>
      <c r="D1523" s="22">
        <v>7.1985738031799001E-5</v>
      </c>
    </row>
    <row r="1524" spans="1:4" x14ac:dyDescent="0.25">
      <c r="A1524" s="37" t="s">
        <v>416</v>
      </c>
      <c r="B1524" s="22">
        <v>1.8498306599212802E-4</v>
      </c>
      <c r="C1524" s="22">
        <v>2.0438619139895298E-4</v>
      </c>
      <c r="D1524" s="22">
        <v>5.6668968682061004E-5</v>
      </c>
    </row>
    <row r="1525" spans="1:4" x14ac:dyDescent="0.25">
      <c r="A1525" s="37" t="s">
        <v>417</v>
      </c>
      <c r="B1525" s="22">
        <v>7.0005644374759868E-5</v>
      </c>
      <c r="C1525" s="22">
        <v>8.1417813589723556E-5</v>
      </c>
      <c r="D1525" s="22">
        <v>2.6103925165443628E-5</v>
      </c>
    </row>
    <row r="1526" spans="1:4" x14ac:dyDescent="0.25">
      <c r="A1526" s="37" t="s">
        <v>418</v>
      </c>
      <c r="B1526" s="22">
        <v>3.7491325201699551E-5</v>
      </c>
      <c r="C1526" s="22">
        <v>4.4412678107619496E-5</v>
      </c>
      <c r="D1526" s="22">
        <v>1.944970063050305E-5</v>
      </c>
    </row>
    <row r="1527" spans="1:4" x14ac:dyDescent="0.25">
      <c r="A1527" s="37" t="s">
        <v>419</v>
      </c>
      <c r="B1527" s="22">
        <v>-1.99973594135372E-4</v>
      </c>
      <c r="C1527" s="22">
        <v>-1.2196347051940406E-4</v>
      </c>
      <c r="D1527" s="22">
        <v>9.9082228189217587E-5</v>
      </c>
    </row>
    <row r="1528" spans="1:4" x14ac:dyDescent="0.25">
      <c r="A1528" s="37" t="s">
        <v>420</v>
      </c>
      <c r="B1528" s="22">
        <v>-3.325045508972838E-4</v>
      </c>
      <c r="C1528" s="22">
        <v>-3.8526575372088722E-4</v>
      </c>
      <c r="D1528" s="22">
        <v>5.8777575759450001E-5</v>
      </c>
    </row>
    <row r="1529" spans="1:4" x14ac:dyDescent="0.25">
      <c r="A1529" s="37" t="s">
        <v>421</v>
      </c>
      <c r="B1529" s="22">
        <v>-1.7502904120192403E-4</v>
      </c>
      <c r="C1529" s="22">
        <v>-1.450677609682316E-4</v>
      </c>
      <c r="D1529" s="22">
        <v>6.0321057389956076E-5</v>
      </c>
    </row>
    <row r="1530" spans="1:4" x14ac:dyDescent="0.25">
      <c r="A1530" s="37" t="s">
        <v>422</v>
      </c>
      <c r="B1530" s="22">
        <v>2.0000338008685511E-4</v>
      </c>
      <c r="C1530" s="22">
        <v>1.8298921963832998E-4</v>
      </c>
      <c r="D1530" s="22">
        <v>6.0183581126693644E-5</v>
      </c>
    </row>
    <row r="1531" spans="1:4" x14ac:dyDescent="0.25">
      <c r="A1531" s="37" t="s">
        <v>423</v>
      </c>
      <c r="B1531" s="22">
        <v>4.5502188913815189E-4</v>
      </c>
      <c r="C1531" s="22">
        <v>5.0974303758266615E-4</v>
      </c>
      <c r="D1531" s="22">
        <v>6.9103819441807004E-5</v>
      </c>
    </row>
    <row r="1532" spans="1:4" x14ac:dyDescent="0.25">
      <c r="A1532" s="37" t="s">
        <v>424</v>
      </c>
      <c r="B1532" s="22">
        <v>-5.5015114412526275E-5</v>
      </c>
      <c r="C1532" s="22">
        <v>-7.518898451053241E-5</v>
      </c>
      <c r="D1532" s="22">
        <v>6.5743245841076836E-5</v>
      </c>
    </row>
    <row r="1533" spans="1:4" x14ac:dyDescent="0.25">
      <c r="A1533" s="37" t="s">
        <v>425</v>
      </c>
      <c r="B1533" s="22">
        <v>2.7501580916578021E-4</v>
      </c>
      <c r="C1533" s="22">
        <v>3.2731475221226003E-4</v>
      </c>
      <c r="D1533" s="22">
        <v>5.2298943046479753E-5</v>
      </c>
    </row>
    <row r="1534" spans="1:4" x14ac:dyDescent="0.25">
      <c r="A1534" s="37" t="s">
        <v>426</v>
      </c>
      <c r="B1534" s="22">
        <v>1.0175108618568638E-3</v>
      </c>
      <c r="C1534" s="22">
        <v>1.0203573656326625E-3</v>
      </c>
      <c r="D1534" s="22">
        <v>3.4333173971389755E-5</v>
      </c>
    </row>
    <row r="1535" spans="1:4" x14ac:dyDescent="0.25">
      <c r="A1535" s="37" t="s">
        <v>427</v>
      </c>
      <c r="B1535" s="22">
        <v>1.0499656491447242E-3</v>
      </c>
      <c r="C1535" s="22">
        <v>1.067648918251507E-3</v>
      </c>
      <c r="D1535" s="22">
        <v>9.7960684797725758E-5</v>
      </c>
    </row>
    <row r="1536" spans="1:4" x14ac:dyDescent="0.25">
      <c r="A1536" s="2">
        <v>59</v>
      </c>
      <c r="B1536" s="22">
        <v>2.2279977561993292E-4</v>
      </c>
      <c r="C1536" s="22">
        <v>2.3270190778930559E-4</v>
      </c>
      <c r="D1536" s="22">
        <v>8.3343355508986797E-5</v>
      </c>
    </row>
    <row r="1537" spans="1:4" x14ac:dyDescent="0.25">
      <c r="A1537" s="37" t="s">
        <v>404</v>
      </c>
      <c r="B1537" s="22">
        <v>4.7504892791039277E-5</v>
      </c>
      <c r="C1537" s="22">
        <v>7.2891530408014741E-5</v>
      </c>
      <c r="D1537" s="22">
        <v>8.2479173897809029E-5</v>
      </c>
    </row>
    <row r="1538" spans="1:4" x14ac:dyDescent="0.25">
      <c r="A1538" s="37" t="s">
        <v>405</v>
      </c>
      <c r="B1538" s="22">
        <v>-4.2498108086874871E-5</v>
      </c>
      <c r="C1538" s="22">
        <v>-2.3091607545211622E-5</v>
      </c>
      <c r="D1538" s="22">
        <v>7.1334173298964648E-5</v>
      </c>
    </row>
    <row r="1539" spans="1:4" x14ac:dyDescent="0.25">
      <c r="A1539" s="37" t="s">
        <v>406</v>
      </c>
      <c r="B1539" s="22">
        <v>4.9498671614855885E-4</v>
      </c>
      <c r="C1539" s="22">
        <v>5.0410460062266761E-4</v>
      </c>
      <c r="D1539" s="22">
        <v>1.1221328168176036E-4</v>
      </c>
    </row>
    <row r="1540" spans="1:4" x14ac:dyDescent="0.25">
      <c r="A1540" s="37" t="s">
        <v>407</v>
      </c>
      <c r="B1540" s="22">
        <v>1.4799833297729499E-3</v>
      </c>
      <c r="C1540" s="22">
        <v>1.4981439453549674E-3</v>
      </c>
      <c r="D1540" s="22">
        <v>2.2960244677962499E-5</v>
      </c>
    </row>
    <row r="1541" spans="1:4" x14ac:dyDescent="0.25">
      <c r="A1541" s="37" t="s">
        <v>408</v>
      </c>
      <c r="B1541" s="22">
        <v>8.2501772340037817E-4</v>
      </c>
      <c r="C1541" s="22">
        <v>8.2801706230384395E-4</v>
      </c>
      <c r="D1541" s="22">
        <v>8.7495296611450626E-5</v>
      </c>
    </row>
    <row r="1542" spans="1:4" x14ac:dyDescent="0.25">
      <c r="A1542" s="37" t="s">
        <v>409</v>
      </c>
      <c r="B1542" s="22">
        <v>3.749128336494331E-5</v>
      </c>
      <c r="C1542" s="22">
        <v>6.186973951116674E-5</v>
      </c>
      <c r="D1542" s="22">
        <v>1.2241852164152095E-4</v>
      </c>
    </row>
    <row r="1543" spans="1:4" x14ac:dyDescent="0.25">
      <c r="A1543" s="37" t="s">
        <v>410</v>
      </c>
      <c r="B1543" s="22">
        <v>1.2254716784809724E-4</v>
      </c>
      <c r="C1543" s="22">
        <v>1.4538541472575162E-4</v>
      </c>
      <c r="D1543" s="22">
        <v>1.0553836727922337E-4</v>
      </c>
    </row>
    <row r="1544" spans="1:4" x14ac:dyDescent="0.25">
      <c r="A1544" s="37" t="s">
        <v>411</v>
      </c>
      <c r="B1544" s="22">
        <v>7.7456268627428988E-5</v>
      </c>
      <c r="C1544" s="22">
        <v>1.1008191881955998E-4</v>
      </c>
      <c r="D1544" s="22">
        <v>1.6162054248525251E-4</v>
      </c>
    </row>
    <row r="1545" spans="1:4" x14ac:dyDescent="0.25">
      <c r="A1545" s="37" t="s">
        <v>412</v>
      </c>
      <c r="B1545" s="22">
        <v>5.0068101700162193E-6</v>
      </c>
      <c r="C1545" s="22">
        <v>3.7474030250450698E-5</v>
      </c>
      <c r="D1545" s="22">
        <v>9.3010157797834971E-5</v>
      </c>
    </row>
    <row r="1546" spans="1:4" x14ac:dyDescent="0.25">
      <c r="A1546" s="37" t="s">
        <v>413</v>
      </c>
      <c r="B1546" s="22">
        <v>1.5252825141942608E-4</v>
      </c>
      <c r="C1546" s="22">
        <v>1.627290203032315E-4</v>
      </c>
      <c r="D1546" s="22">
        <v>7.4014937126776149E-5</v>
      </c>
    </row>
    <row r="1547" spans="1:4" x14ac:dyDescent="0.25">
      <c r="A1547" s="37" t="s">
        <v>414</v>
      </c>
      <c r="B1547" s="22">
        <v>-1.2001394043181804E-4</v>
      </c>
      <c r="C1547" s="22">
        <v>-6.8265328081906854E-5</v>
      </c>
      <c r="D1547" s="22">
        <v>5.1748612349911195E-5</v>
      </c>
    </row>
    <row r="1548" spans="1:4" x14ac:dyDescent="0.25">
      <c r="A1548" s="37" t="s">
        <v>415</v>
      </c>
      <c r="B1548" s="22">
        <v>-6.2495477322954752E-5</v>
      </c>
      <c r="C1548" s="22">
        <v>-1.5233254316626688E-4</v>
      </c>
      <c r="D1548" s="22">
        <v>1.7776917729861436E-4</v>
      </c>
    </row>
    <row r="1549" spans="1:4" x14ac:dyDescent="0.25">
      <c r="A1549" s="37" t="s">
        <v>416</v>
      </c>
      <c r="B1549" s="22">
        <v>1.8498306599212802E-4</v>
      </c>
      <c r="C1549" s="22">
        <v>2.2001308025210175E-4</v>
      </c>
      <c r="D1549" s="22">
        <v>8.2396207290003225E-5</v>
      </c>
    </row>
    <row r="1550" spans="1:4" x14ac:dyDescent="0.25">
      <c r="A1550" s="37" t="s">
        <v>417</v>
      </c>
      <c r="B1550" s="22">
        <v>7.0005644374759868E-5</v>
      </c>
      <c r="C1550" s="22">
        <v>3.4611260616657207E-5</v>
      </c>
      <c r="D1550" s="22">
        <v>4.1483283439447174E-5</v>
      </c>
    </row>
    <row r="1551" spans="1:4" x14ac:dyDescent="0.25">
      <c r="A1551" s="37" t="s">
        <v>418</v>
      </c>
      <c r="B1551" s="22">
        <v>3.7491325201699551E-5</v>
      </c>
      <c r="C1551" s="22">
        <v>2.4120769921864815E-5</v>
      </c>
      <c r="D1551" s="22">
        <v>6.451248646044393E-5</v>
      </c>
    </row>
    <row r="1552" spans="1:4" x14ac:dyDescent="0.25">
      <c r="A1552" s="37" t="s">
        <v>419</v>
      </c>
      <c r="B1552" s="22">
        <v>-1.99973594135372E-4</v>
      </c>
      <c r="C1552" s="22">
        <v>-1.7847917843027969E-4</v>
      </c>
      <c r="D1552" s="22">
        <v>8.3397550042718703E-5</v>
      </c>
    </row>
    <row r="1553" spans="1:4" x14ac:dyDescent="0.25">
      <c r="A1553" s="37" t="s">
        <v>420</v>
      </c>
      <c r="B1553" s="22">
        <v>-3.325045508972838E-4</v>
      </c>
      <c r="C1553" s="22">
        <v>-3.4268301988049654E-4</v>
      </c>
      <c r="D1553" s="22">
        <v>1.0151458172913419E-4</v>
      </c>
    </row>
    <row r="1554" spans="1:4" x14ac:dyDescent="0.25">
      <c r="A1554" s="37" t="s">
        <v>421</v>
      </c>
      <c r="B1554" s="22">
        <v>-1.7502904120192403E-4</v>
      </c>
      <c r="C1554" s="22">
        <v>-1.5578779175484645E-4</v>
      </c>
      <c r="D1554" s="22">
        <v>1.0783097832245392E-4</v>
      </c>
    </row>
    <row r="1555" spans="1:4" x14ac:dyDescent="0.25">
      <c r="A1555" s="37" t="s">
        <v>422</v>
      </c>
      <c r="B1555" s="22">
        <v>2.0000338008685511E-4</v>
      </c>
      <c r="C1555" s="22">
        <v>1.6026468983909575E-4</v>
      </c>
      <c r="D1555" s="22">
        <v>8.4547034930437885E-5</v>
      </c>
    </row>
    <row r="1556" spans="1:4" x14ac:dyDescent="0.25">
      <c r="A1556" s="37" t="s">
        <v>423</v>
      </c>
      <c r="B1556" s="22">
        <v>4.5502188913815189E-4</v>
      </c>
      <c r="C1556" s="22">
        <v>4.6353578363778059E-4</v>
      </c>
      <c r="D1556" s="22">
        <v>4.9556960220798176E-5</v>
      </c>
    </row>
    <row r="1557" spans="1:4" x14ac:dyDescent="0.25">
      <c r="A1557" s="37" t="s">
        <v>424</v>
      </c>
      <c r="B1557" s="22">
        <v>-5.5015114412526275E-5</v>
      </c>
      <c r="C1557" s="22">
        <v>-3.8035354918975053E-5</v>
      </c>
      <c r="D1557" s="22">
        <v>3.8090310226834723E-5</v>
      </c>
    </row>
    <row r="1558" spans="1:4" x14ac:dyDescent="0.25">
      <c r="A1558" s="37" t="s">
        <v>425</v>
      </c>
      <c r="B1558" s="22">
        <v>2.7501580916578021E-4</v>
      </c>
      <c r="C1558" s="22">
        <v>2.553295707912193E-4</v>
      </c>
      <c r="D1558" s="22">
        <v>6.1250757426022995E-5</v>
      </c>
    </row>
    <row r="1559" spans="1:4" x14ac:dyDescent="0.25">
      <c r="A1559" s="37" t="s">
        <v>426</v>
      </c>
      <c r="B1559" s="22">
        <v>1.0175108618568638E-3</v>
      </c>
      <c r="C1559" s="22">
        <v>1.0458200267748912E-3</v>
      </c>
      <c r="D1559" s="22">
        <v>3.87229811167325E-5</v>
      </c>
    </row>
    <row r="1560" spans="1:4" x14ac:dyDescent="0.25">
      <c r="A1560" s="37" t="s">
        <v>427</v>
      </c>
      <c r="B1560" s="22">
        <v>1.0499656491447242E-3</v>
      </c>
      <c r="C1560" s="22">
        <v>1.0565761331235999E-3</v>
      </c>
      <c r="D1560" s="22">
        <v>8.6380154243670011E-5</v>
      </c>
    </row>
    <row r="1561" spans="1:4" x14ac:dyDescent="0.25">
      <c r="A1561" s="37" t="s">
        <v>428</v>
      </c>
      <c r="B1561" s="22">
        <v>2.5004148483276259E-5</v>
      </c>
      <c r="C1561" s="22">
        <v>9.5253941253758262E-5</v>
      </c>
      <c r="D1561" s="22">
        <v>8.1298116128891002E-5</v>
      </c>
    </row>
    <row r="1562" spans="1:4" x14ac:dyDescent="0.25">
      <c r="A1562" s="2">
        <v>60</v>
      </c>
      <c r="B1562" s="22">
        <v>2.1880030344618718E-4</v>
      </c>
      <c r="C1562" s="22">
        <v>2.3284710181314963E-4</v>
      </c>
      <c r="D1562" s="22">
        <v>8.6553162507243525E-5</v>
      </c>
    </row>
    <row r="1563" spans="1:4" x14ac:dyDescent="0.25">
      <c r="A1563" s="37" t="s">
        <v>405</v>
      </c>
      <c r="B1563" s="22">
        <v>-4.2498108086874871E-5</v>
      </c>
      <c r="C1563" s="22">
        <v>-5.6907603720901514E-5</v>
      </c>
      <c r="D1563" s="22">
        <v>1.0318484419258311E-4</v>
      </c>
    </row>
    <row r="1564" spans="1:4" x14ac:dyDescent="0.25">
      <c r="A1564" s="37" t="s">
        <v>406</v>
      </c>
      <c r="B1564" s="22">
        <v>4.9498671614855885E-4</v>
      </c>
      <c r="C1564" s="22">
        <v>5.7599473160507755E-4</v>
      </c>
      <c r="D1564" s="22">
        <v>9.5900096255263769E-5</v>
      </c>
    </row>
    <row r="1565" spans="1:4" x14ac:dyDescent="0.25">
      <c r="A1565" s="37" t="s">
        <v>407</v>
      </c>
      <c r="B1565" s="22">
        <v>1.4799833297729499E-3</v>
      </c>
      <c r="C1565" s="22">
        <v>1.5234521706588575E-3</v>
      </c>
      <c r="D1565" s="22">
        <v>1.6663991846144251E-4</v>
      </c>
    </row>
    <row r="1566" spans="1:4" x14ac:dyDescent="0.25">
      <c r="A1566" s="37" t="s">
        <v>408</v>
      </c>
      <c r="B1566" s="22">
        <v>8.2501772340037817E-4</v>
      </c>
      <c r="C1566" s="22">
        <v>7.95636784459931E-4</v>
      </c>
      <c r="D1566" s="22">
        <v>3.2680090953362123E-5</v>
      </c>
    </row>
    <row r="1567" spans="1:4" x14ac:dyDescent="0.25">
      <c r="A1567" s="37" t="s">
        <v>409</v>
      </c>
      <c r="B1567" s="22">
        <v>3.749128336494331E-5</v>
      </c>
      <c r="C1567" s="22">
        <v>5.5378670367645262E-5</v>
      </c>
      <c r="D1567" s="22">
        <v>1.2948148832947446E-4</v>
      </c>
    </row>
    <row r="1568" spans="1:4" x14ac:dyDescent="0.25">
      <c r="A1568" s="37" t="s">
        <v>410</v>
      </c>
      <c r="B1568" s="22">
        <v>1.2254716784809724E-4</v>
      </c>
      <c r="C1568" s="22">
        <v>1.1766223087761329E-4</v>
      </c>
      <c r="D1568" s="22">
        <v>9.5583413894928553E-5</v>
      </c>
    </row>
    <row r="1569" spans="1:4" x14ac:dyDescent="0.25">
      <c r="A1569" s="37" t="s">
        <v>411</v>
      </c>
      <c r="B1569" s="22">
        <v>7.7456268627428988E-5</v>
      </c>
      <c r="C1569" s="22">
        <v>4.7961875679902698E-5</v>
      </c>
      <c r="D1569" s="22">
        <v>1.3025314910919395E-4</v>
      </c>
    </row>
    <row r="1570" spans="1:4" x14ac:dyDescent="0.25">
      <c r="A1570" s="37" t="s">
        <v>412</v>
      </c>
      <c r="B1570" s="22">
        <v>5.0068101700162193E-6</v>
      </c>
      <c r="C1570" s="22">
        <v>2.8948228646186025E-5</v>
      </c>
      <c r="D1570" s="22">
        <v>9.9739871075144309E-5</v>
      </c>
    </row>
    <row r="1571" spans="1:4" x14ac:dyDescent="0.25">
      <c r="A1571" s="37" t="s">
        <v>413</v>
      </c>
      <c r="B1571" s="22">
        <v>1.5252825141942608E-4</v>
      </c>
      <c r="C1571" s="22">
        <v>1.4689678482682206E-4</v>
      </c>
      <c r="D1571" s="22">
        <v>5.8703927606984507E-5</v>
      </c>
    </row>
    <row r="1572" spans="1:4" x14ac:dyDescent="0.25">
      <c r="A1572" s="37" t="s">
        <v>414</v>
      </c>
      <c r="B1572" s="22">
        <v>-1.2001394043181804E-4</v>
      </c>
      <c r="C1572" s="22">
        <v>-1.2932008917232457E-4</v>
      </c>
      <c r="D1572" s="22">
        <v>8.351642941306647E-5</v>
      </c>
    </row>
    <row r="1573" spans="1:4" x14ac:dyDescent="0.25">
      <c r="A1573" s="37" t="s">
        <v>415</v>
      </c>
      <c r="B1573" s="22">
        <v>-6.2495477322954752E-5</v>
      </c>
      <c r="C1573" s="22">
        <v>-1.0625685354170833E-4</v>
      </c>
      <c r="D1573" s="22">
        <v>1.175792294816344E-4</v>
      </c>
    </row>
    <row r="1574" spans="1:4" x14ac:dyDescent="0.25">
      <c r="A1574" s="37" t="s">
        <v>416</v>
      </c>
      <c r="B1574" s="22">
        <v>1.8498306599212802E-4</v>
      </c>
      <c r="C1574" s="22">
        <v>2.5310428281954966E-4</v>
      </c>
      <c r="D1574" s="22">
        <v>1.4434007789532183E-4</v>
      </c>
    </row>
    <row r="1575" spans="1:4" x14ac:dyDescent="0.25">
      <c r="A1575" s="37" t="s">
        <v>417</v>
      </c>
      <c r="B1575" s="22">
        <v>7.0005644374759868E-5</v>
      </c>
      <c r="C1575" s="22">
        <v>6.3675641285953989E-5</v>
      </c>
      <c r="D1575" s="22">
        <v>9.8732554761227369E-5</v>
      </c>
    </row>
    <row r="1576" spans="1:4" x14ac:dyDescent="0.25">
      <c r="A1576" s="37" t="s">
        <v>418</v>
      </c>
      <c r="B1576" s="22">
        <v>3.7491325201699551E-5</v>
      </c>
      <c r="C1576" s="22">
        <v>7.7276070442167124E-5</v>
      </c>
      <c r="D1576" s="22">
        <v>4.4767302824766423E-5</v>
      </c>
    </row>
    <row r="1577" spans="1:4" x14ac:dyDescent="0.25">
      <c r="A1577" s="37" t="s">
        <v>419</v>
      </c>
      <c r="B1577" s="22">
        <v>-1.99973594135372E-4</v>
      </c>
      <c r="C1577" s="22">
        <v>-1.5062959391798367E-4</v>
      </c>
      <c r="D1577" s="22">
        <v>7.3936245826189257E-5</v>
      </c>
    </row>
    <row r="1578" spans="1:4" x14ac:dyDescent="0.25">
      <c r="A1578" s="37" t="s">
        <v>420</v>
      </c>
      <c r="B1578" s="22">
        <v>-3.325045508972838E-4</v>
      </c>
      <c r="C1578" s="22">
        <v>-3.4409290310577479E-4</v>
      </c>
      <c r="D1578" s="22">
        <v>4.9646412662695998E-5</v>
      </c>
    </row>
    <row r="1579" spans="1:4" x14ac:dyDescent="0.25">
      <c r="A1579" s="37" t="s">
        <v>421</v>
      </c>
      <c r="B1579" s="22">
        <v>-1.7502904120192403E-4</v>
      </c>
      <c r="C1579" s="22">
        <v>-1.6475947813887612E-4</v>
      </c>
      <c r="D1579" s="22">
        <v>4.7002060455270383E-5</v>
      </c>
    </row>
    <row r="1580" spans="1:4" x14ac:dyDescent="0.25">
      <c r="A1580" s="37" t="s">
        <v>422</v>
      </c>
      <c r="B1580" s="22">
        <v>2.0000338008685511E-4</v>
      </c>
      <c r="C1580" s="22">
        <v>2.0114473136345639E-4</v>
      </c>
      <c r="D1580" s="22">
        <v>4.7645072299928728E-5</v>
      </c>
    </row>
    <row r="1581" spans="1:4" x14ac:dyDescent="0.25">
      <c r="A1581" s="37" t="s">
        <v>423</v>
      </c>
      <c r="B1581" s="22">
        <v>4.5502188913815189E-4</v>
      </c>
      <c r="C1581" s="22">
        <v>5.2170992512401437E-4</v>
      </c>
      <c r="D1581" s="22">
        <v>1.3699386272492131E-4</v>
      </c>
    </row>
    <row r="1582" spans="1:4" x14ac:dyDescent="0.25">
      <c r="A1582" s="37" t="s">
        <v>424</v>
      </c>
      <c r="B1582" s="22">
        <v>-5.5015114412526275E-5</v>
      </c>
      <c r="C1582" s="22">
        <v>-7.052875753288382E-5</v>
      </c>
      <c r="D1582" s="22">
        <v>4.9990231673291446E-5</v>
      </c>
    </row>
    <row r="1583" spans="1:4" x14ac:dyDescent="0.25">
      <c r="A1583" s="37" t="s">
        <v>425</v>
      </c>
      <c r="B1583" s="22">
        <v>2.7501580916578021E-4</v>
      </c>
      <c r="C1583" s="22">
        <v>3.2677378476364701E-4</v>
      </c>
      <c r="D1583" s="22">
        <v>1.0281657159794175E-4</v>
      </c>
    </row>
    <row r="1584" spans="1:4" x14ac:dyDescent="0.25">
      <c r="A1584" s="37" t="s">
        <v>426</v>
      </c>
      <c r="B1584" s="22">
        <v>1.0175108618568638E-3</v>
      </c>
      <c r="C1584" s="22">
        <v>1.0258411857648763E-3</v>
      </c>
      <c r="D1584" s="22">
        <v>7.2303395427297503E-5</v>
      </c>
    </row>
    <row r="1585" spans="1:4" x14ac:dyDescent="0.25">
      <c r="A1585" s="37" t="s">
        <v>427</v>
      </c>
      <c r="B1585" s="22">
        <v>1.0499656491447242E-3</v>
      </c>
      <c r="C1585" s="22">
        <v>1.0803273180499664E-3</v>
      </c>
      <c r="D1585" s="22">
        <v>5.7879515225067003E-5</v>
      </c>
    </row>
    <row r="1586" spans="1:4" x14ac:dyDescent="0.25">
      <c r="A1586" s="37" t="s">
        <v>428</v>
      </c>
      <c r="B1586" s="22">
        <v>2.5004148483276259E-5</v>
      </c>
      <c r="C1586" s="22">
        <v>7.8179273259593011E-5</v>
      </c>
      <c r="D1586" s="22">
        <v>8.377204721909926E-5</v>
      </c>
    </row>
    <row r="1587" spans="1:4" x14ac:dyDescent="0.25">
      <c r="A1587" s="37" t="s">
        <v>429</v>
      </c>
      <c r="B1587" s="22">
        <v>-5.2481911552604261E-5</v>
      </c>
      <c r="C1587" s="22">
        <v>-7.6290865536065999E-5</v>
      </c>
      <c r="D1587" s="22">
        <v>4.0741253314990778E-5</v>
      </c>
    </row>
    <row r="1588" spans="1:4" x14ac:dyDescent="0.25">
      <c r="A1588" s="2">
        <v>61</v>
      </c>
      <c r="B1588" s="22">
        <v>2.4300097960804128E-4</v>
      </c>
      <c r="C1588" s="22">
        <v>2.2349870240759607E-4</v>
      </c>
      <c r="D1588" s="22">
        <v>9.7090150366057151E-5</v>
      </c>
    </row>
    <row r="1589" spans="1:4" x14ac:dyDescent="0.25">
      <c r="A1589" s="37" t="s">
        <v>406</v>
      </c>
      <c r="B1589" s="22">
        <v>4.9498671614855885E-4</v>
      </c>
      <c r="C1589" s="22">
        <v>4.7805516442167497E-4</v>
      </c>
      <c r="D1589" s="22">
        <v>6.9370054916360814E-5</v>
      </c>
    </row>
    <row r="1590" spans="1:4" x14ac:dyDescent="0.25">
      <c r="A1590" s="37" t="s">
        <v>407</v>
      </c>
      <c r="B1590" s="22">
        <v>1.4799833297729499E-3</v>
      </c>
      <c r="C1590" s="22">
        <v>1.4793495356570899E-3</v>
      </c>
      <c r="D1590" s="22">
        <v>6.0534657677635002E-5</v>
      </c>
    </row>
    <row r="1591" spans="1:4" x14ac:dyDescent="0.25">
      <c r="A1591" s="37" t="s">
        <v>408</v>
      </c>
      <c r="B1591" s="22">
        <v>8.2501772340037817E-4</v>
      </c>
      <c r="C1591" s="22">
        <v>7.8568536991951944E-4</v>
      </c>
      <c r="D1591" s="22">
        <v>1.008842700684928E-4</v>
      </c>
    </row>
    <row r="1592" spans="1:4" x14ac:dyDescent="0.25">
      <c r="A1592" s="37" t="s">
        <v>409</v>
      </c>
      <c r="B1592" s="22">
        <v>3.749128336494331E-5</v>
      </c>
      <c r="C1592" s="22">
        <v>5.6345746997976757E-5</v>
      </c>
      <c r="D1592" s="22">
        <v>1.3095689246256346E-4</v>
      </c>
    </row>
    <row r="1593" spans="1:4" x14ac:dyDescent="0.25">
      <c r="A1593" s="37" t="s">
        <v>410</v>
      </c>
      <c r="B1593" s="22">
        <v>1.2254716784809724E-4</v>
      </c>
      <c r="C1593" s="22">
        <v>1.5264326793840174E-4</v>
      </c>
      <c r="D1593" s="22">
        <v>1.02766036434332E-4</v>
      </c>
    </row>
    <row r="1594" spans="1:4" x14ac:dyDescent="0.25">
      <c r="A1594" s="37" t="s">
        <v>411</v>
      </c>
      <c r="B1594" s="22">
        <v>7.7456268627428988E-5</v>
      </c>
      <c r="C1594" s="22">
        <v>3.8409343687817597E-5</v>
      </c>
      <c r="D1594" s="22">
        <v>1.363642695650921E-4</v>
      </c>
    </row>
    <row r="1595" spans="1:4" x14ac:dyDescent="0.25">
      <c r="A1595" s="37" t="s">
        <v>412</v>
      </c>
      <c r="B1595" s="22">
        <v>5.0068101700162193E-6</v>
      </c>
      <c r="C1595" s="22">
        <v>-4.7424016884178705E-5</v>
      </c>
      <c r="D1595" s="22">
        <v>1.4858780195936555E-4</v>
      </c>
    </row>
    <row r="1596" spans="1:4" x14ac:dyDescent="0.25">
      <c r="A1596" s="37" t="s">
        <v>413</v>
      </c>
      <c r="B1596" s="22">
        <v>1.5252825141942608E-4</v>
      </c>
      <c r="C1596" s="22">
        <v>1.4612293944082927E-4</v>
      </c>
      <c r="D1596" s="22">
        <v>7.1286493948719121E-5</v>
      </c>
    </row>
    <row r="1597" spans="1:4" x14ac:dyDescent="0.25">
      <c r="A1597" s="37" t="s">
        <v>414</v>
      </c>
      <c r="B1597" s="22">
        <v>-1.2001394043181804E-4</v>
      </c>
      <c r="C1597" s="22">
        <v>-1.3989949093229378E-4</v>
      </c>
      <c r="D1597" s="22">
        <v>3.399227534828227E-5</v>
      </c>
    </row>
    <row r="1598" spans="1:4" x14ac:dyDescent="0.25">
      <c r="A1598" s="37" t="s">
        <v>415</v>
      </c>
      <c r="B1598" s="22">
        <v>-6.2495477322954752E-5</v>
      </c>
      <c r="C1598" s="22">
        <v>-1.1372078006388611E-4</v>
      </c>
      <c r="D1598" s="22">
        <v>1.3390610547503462E-4</v>
      </c>
    </row>
    <row r="1599" spans="1:4" x14ac:dyDescent="0.25">
      <c r="A1599" s="37" t="s">
        <v>416</v>
      </c>
      <c r="B1599" s="22">
        <v>1.8498306599212802E-4</v>
      </c>
      <c r="C1599" s="22">
        <v>2.3080268692865529E-4</v>
      </c>
      <c r="D1599" s="22">
        <v>7.1189724621945196E-5</v>
      </c>
    </row>
    <row r="1600" spans="1:4" x14ac:dyDescent="0.25">
      <c r="A1600" s="37" t="s">
        <v>417</v>
      </c>
      <c r="B1600" s="22">
        <v>7.0005644374759868E-5</v>
      </c>
      <c r="C1600" s="22">
        <v>2.5521949282847494E-5</v>
      </c>
      <c r="D1600" s="22">
        <v>1.0772741006803688E-4</v>
      </c>
    </row>
    <row r="1601" spans="1:4" x14ac:dyDescent="0.25">
      <c r="A1601" s="37" t="s">
        <v>418</v>
      </c>
      <c r="B1601" s="22">
        <v>3.7491325201699551E-5</v>
      </c>
      <c r="C1601" s="22">
        <v>7.7108743425924263E-6</v>
      </c>
      <c r="D1601" s="22">
        <v>1.345792843494564E-4</v>
      </c>
    </row>
    <row r="1602" spans="1:4" x14ac:dyDescent="0.25">
      <c r="A1602" s="37" t="s">
        <v>419</v>
      </c>
      <c r="B1602" s="22">
        <v>-1.99973594135372E-4</v>
      </c>
      <c r="C1602" s="22">
        <v>-1.767511066645967E-4</v>
      </c>
      <c r="D1602" s="22">
        <v>1.0133291380043369E-4</v>
      </c>
    </row>
    <row r="1603" spans="1:4" x14ac:dyDescent="0.25">
      <c r="A1603" s="37" t="s">
        <v>420</v>
      </c>
      <c r="B1603" s="22">
        <v>-3.325045508972838E-4</v>
      </c>
      <c r="C1603" s="22">
        <v>-4.0843220085662324E-4</v>
      </c>
      <c r="D1603" s="22">
        <v>1.6063081602624149E-4</v>
      </c>
    </row>
    <row r="1604" spans="1:4" x14ac:dyDescent="0.25">
      <c r="A1604" s="37" t="s">
        <v>421</v>
      </c>
      <c r="B1604" s="22">
        <v>-1.7502904120192403E-4</v>
      </c>
      <c r="C1604" s="22">
        <v>-1.8973407259181846E-4</v>
      </c>
      <c r="D1604" s="22">
        <v>8.8160727500508006E-5</v>
      </c>
    </row>
    <row r="1605" spans="1:4" x14ac:dyDescent="0.25">
      <c r="A1605" s="37" t="s">
        <v>422</v>
      </c>
      <c r="B1605" s="22">
        <v>2.0000338008685511E-4</v>
      </c>
      <c r="C1605" s="22">
        <v>1.1238524984946695E-4</v>
      </c>
      <c r="D1605" s="22">
        <v>1.2753442297253043E-4</v>
      </c>
    </row>
    <row r="1606" spans="1:4" x14ac:dyDescent="0.25">
      <c r="A1606" s="37" t="s">
        <v>423</v>
      </c>
      <c r="B1606" s="22">
        <v>4.5502188913815189E-4</v>
      </c>
      <c r="C1606" s="22">
        <v>4.7850539976934702E-4</v>
      </c>
      <c r="D1606" s="22">
        <v>1.1035961415473163E-4</v>
      </c>
    </row>
    <row r="1607" spans="1:4" x14ac:dyDescent="0.25">
      <c r="A1607" s="37" t="s">
        <v>424</v>
      </c>
      <c r="B1607" s="22">
        <v>-5.5015114412526275E-5</v>
      </c>
      <c r="C1607" s="22">
        <v>-6.2719584093429392E-5</v>
      </c>
      <c r="D1607" s="22">
        <v>1.4467494111158851E-5</v>
      </c>
    </row>
    <row r="1608" spans="1:4" x14ac:dyDescent="0.25">
      <c r="A1608" s="37" t="s">
        <v>425</v>
      </c>
      <c r="B1608" s="22">
        <v>2.7501580916578021E-4</v>
      </c>
      <c r="C1608" s="22">
        <v>2.2391142556443726E-4</v>
      </c>
      <c r="D1608" s="22">
        <v>6.9125591835473004E-5</v>
      </c>
    </row>
    <row r="1609" spans="1:4" x14ac:dyDescent="0.25">
      <c r="A1609" s="37" t="s">
        <v>426</v>
      </c>
      <c r="B1609" s="22">
        <v>1.0175108618568638E-3</v>
      </c>
      <c r="C1609" s="22">
        <v>1.0111405645147908E-3</v>
      </c>
      <c r="D1609" s="22">
        <v>6.0786951507907998E-5</v>
      </c>
    </row>
    <row r="1610" spans="1:4" x14ac:dyDescent="0.25">
      <c r="A1610" s="37" t="s">
        <v>427</v>
      </c>
      <c r="B1610" s="22">
        <v>1.0499656491447242E-3</v>
      </c>
      <c r="C1610" s="22">
        <v>1.0339159198338159E-3</v>
      </c>
      <c r="D1610" s="22">
        <v>7.4047493399121748E-5</v>
      </c>
    </row>
    <row r="1611" spans="1:4" x14ac:dyDescent="0.25">
      <c r="A1611" s="37" t="s">
        <v>428</v>
      </c>
      <c r="B1611" s="22">
        <v>2.5004148483276259E-5</v>
      </c>
      <c r="C1611" s="22">
        <v>5.3874005971010761E-5</v>
      </c>
      <c r="D1611" s="22">
        <v>1.07486550405156E-4</v>
      </c>
    </row>
    <row r="1612" spans="1:4" x14ac:dyDescent="0.25">
      <c r="A1612" s="37" t="s">
        <v>429</v>
      </c>
      <c r="B1612" s="22">
        <v>-5.2481911552604261E-5</v>
      </c>
      <c r="C1612" s="22">
        <v>-1.1711750426002249E-4</v>
      </c>
      <c r="D1612" s="22">
        <v>1.195710735828471E-4</v>
      </c>
    </row>
    <row r="1613" spans="1:4" x14ac:dyDescent="0.25">
      <c r="A1613" s="37" t="s">
        <v>430</v>
      </c>
      <c r="B1613" s="22">
        <v>5.6251879595947739E-4</v>
      </c>
      <c r="C1613" s="22">
        <v>5.288868724164788E-4</v>
      </c>
      <c r="D1613" s="22">
        <v>9.1604832960002147E-5</v>
      </c>
    </row>
    <row r="1614" spans="1:4" x14ac:dyDescent="0.25">
      <c r="A1614" s="2">
        <v>62</v>
      </c>
      <c r="B1614" s="22">
        <v>2.7990102302283059E-4</v>
      </c>
      <c r="C1614" s="22">
        <v>2.8836374164711745E-4</v>
      </c>
      <c r="D1614" s="22">
        <v>9.9053092985741735E-5</v>
      </c>
    </row>
    <row r="1615" spans="1:4" x14ac:dyDescent="0.25">
      <c r="A1615" s="37" t="s">
        <v>407</v>
      </c>
      <c r="B1615" s="22">
        <v>1.4799833297729499E-3</v>
      </c>
      <c r="C1615" s="22">
        <v>1.5128316008485849E-3</v>
      </c>
      <c r="D1615" s="22">
        <v>9.0384273789825007E-5</v>
      </c>
    </row>
    <row r="1616" spans="1:4" x14ac:dyDescent="0.25">
      <c r="A1616" s="37" t="s">
        <v>408</v>
      </c>
      <c r="B1616" s="22">
        <v>8.2501772340037817E-4</v>
      </c>
      <c r="C1616" s="22">
        <v>7.98680451225664E-4</v>
      </c>
      <c r="D1616" s="22">
        <v>1.1941206230403642E-4</v>
      </c>
    </row>
    <row r="1617" spans="1:4" x14ac:dyDescent="0.25">
      <c r="A1617" s="37" t="s">
        <v>409</v>
      </c>
      <c r="B1617" s="22">
        <v>3.749128336494331E-5</v>
      </c>
      <c r="C1617" s="22">
        <v>1.478486566384164E-4</v>
      </c>
      <c r="D1617" s="22">
        <v>1.930327554191536E-4</v>
      </c>
    </row>
    <row r="1618" spans="1:4" x14ac:dyDescent="0.25">
      <c r="A1618" s="37" t="s">
        <v>410</v>
      </c>
      <c r="B1618" s="22">
        <v>1.2254716784809724E-4</v>
      </c>
      <c r="C1618" s="22">
        <v>8.5513509475276833E-5</v>
      </c>
      <c r="D1618" s="22">
        <v>6.9539126343443072E-5</v>
      </c>
    </row>
    <row r="1619" spans="1:4" x14ac:dyDescent="0.25">
      <c r="A1619" s="37" t="s">
        <v>411</v>
      </c>
      <c r="B1619" s="22">
        <v>7.7456268627428988E-5</v>
      </c>
      <c r="C1619" s="22">
        <v>6.3618408603359868E-6</v>
      </c>
      <c r="D1619" s="22">
        <v>1.3264664539747168E-4</v>
      </c>
    </row>
    <row r="1620" spans="1:4" x14ac:dyDescent="0.25">
      <c r="A1620" s="37" t="s">
        <v>412</v>
      </c>
      <c r="B1620" s="22">
        <v>5.0068101700162193E-6</v>
      </c>
      <c r="C1620" s="22">
        <v>3.89695524063427E-5</v>
      </c>
      <c r="D1620" s="22">
        <v>1.4366780487762298E-4</v>
      </c>
    </row>
    <row r="1621" spans="1:4" x14ac:dyDescent="0.25">
      <c r="A1621" s="37" t="s">
        <v>413</v>
      </c>
      <c r="B1621" s="22">
        <v>1.5252825141942608E-4</v>
      </c>
      <c r="C1621" s="22">
        <v>2.1840752879143138E-4</v>
      </c>
      <c r="D1621" s="22">
        <v>7.6456322403828272E-5</v>
      </c>
    </row>
    <row r="1622" spans="1:4" x14ac:dyDescent="0.25">
      <c r="A1622" s="37" t="s">
        <v>414</v>
      </c>
      <c r="B1622" s="22">
        <v>-1.2001394043181804E-4</v>
      </c>
      <c r="C1622" s="22">
        <v>-9.3245356765692231E-5</v>
      </c>
      <c r="D1622" s="22">
        <v>7.8382975516433335E-5</v>
      </c>
    </row>
    <row r="1623" spans="1:4" x14ac:dyDescent="0.25">
      <c r="A1623" s="37" t="s">
        <v>415</v>
      </c>
      <c r="B1623" s="22">
        <v>-6.2495477322954752E-5</v>
      </c>
      <c r="C1623" s="22">
        <v>-7.584467448396037E-5</v>
      </c>
      <c r="D1623" s="22">
        <v>9.8634193363977883E-5</v>
      </c>
    </row>
    <row r="1624" spans="1:4" x14ac:dyDescent="0.25">
      <c r="A1624" s="37" t="s">
        <v>416</v>
      </c>
      <c r="B1624" s="22">
        <v>1.8498306599212802E-4</v>
      </c>
      <c r="C1624" s="22">
        <v>2.3270886231330218E-4</v>
      </c>
      <c r="D1624" s="22">
        <v>7.9337329225381796E-5</v>
      </c>
    </row>
    <row r="1625" spans="1:4" x14ac:dyDescent="0.25">
      <c r="A1625" s="37" t="s">
        <v>417</v>
      </c>
      <c r="B1625" s="22">
        <v>7.0005644374759868E-5</v>
      </c>
      <c r="C1625" s="22">
        <v>5.6634328473137389E-5</v>
      </c>
      <c r="D1625" s="22">
        <v>1.002425621550172E-4</v>
      </c>
    </row>
    <row r="1626" spans="1:4" x14ac:dyDescent="0.25">
      <c r="A1626" s="37" t="s">
        <v>418</v>
      </c>
      <c r="B1626" s="22">
        <v>3.7491325201699551E-5</v>
      </c>
      <c r="C1626" s="22">
        <v>4.2471266681332122E-5</v>
      </c>
      <c r="D1626" s="22">
        <v>4.6047931789416927E-5</v>
      </c>
    </row>
    <row r="1627" spans="1:4" x14ac:dyDescent="0.25">
      <c r="A1627" s="37" t="s">
        <v>419</v>
      </c>
      <c r="B1627" s="22">
        <v>-1.99973594135372E-4</v>
      </c>
      <c r="C1627" s="22">
        <v>-1.9117420197289924E-4</v>
      </c>
      <c r="D1627" s="22">
        <v>1.2699203762167575E-4</v>
      </c>
    </row>
    <row r="1628" spans="1:4" x14ac:dyDescent="0.25">
      <c r="A1628" s="37" t="s">
        <v>420</v>
      </c>
      <c r="B1628" s="22">
        <v>-3.325045508972838E-4</v>
      </c>
      <c r="C1628" s="22">
        <v>-4.1238817721023224E-4</v>
      </c>
      <c r="D1628" s="22">
        <v>1.0320379806216801E-4</v>
      </c>
    </row>
    <row r="1629" spans="1:4" x14ac:dyDescent="0.25">
      <c r="A1629" s="37" t="s">
        <v>421</v>
      </c>
      <c r="B1629" s="22">
        <v>-1.7502904120192403E-4</v>
      </c>
      <c r="C1629" s="22">
        <v>-1.6009397950256249E-4</v>
      </c>
      <c r="D1629" s="22">
        <v>8.8683731519268003E-5</v>
      </c>
    </row>
    <row r="1630" spans="1:4" x14ac:dyDescent="0.25">
      <c r="A1630" s="37" t="s">
        <v>422</v>
      </c>
      <c r="B1630" s="22">
        <v>2.0000338008685511E-4</v>
      </c>
      <c r="C1630" s="22">
        <v>1.9337833236932051E-4</v>
      </c>
      <c r="D1630" s="22">
        <v>6.2206888287619127E-5</v>
      </c>
    </row>
    <row r="1631" spans="1:4" x14ac:dyDescent="0.25">
      <c r="A1631" s="37" t="s">
        <v>423</v>
      </c>
      <c r="B1631" s="22">
        <v>4.5502188913815189E-4</v>
      </c>
      <c r="C1631" s="22">
        <v>4.6719489955648918E-4</v>
      </c>
      <c r="D1631" s="22">
        <v>7.6634876222669995E-5</v>
      </c>
    </row>
    <row r="1632" spans="1:4" x14ac:dyDescent="0.25">
      <c r="A1632" s="37" t="s">
        <v>424</v>
      </c>
      <c r="B1632" s="22">
        <v>-5.5015114412526275E-5</v>
      </c>
      <c r="C1632" s="22">
        <v>-6.9686846813965503E-5</v>
      </c>
      <c r="D1632" s="22">
        <v>6.1167276385276759E-5</v>
      </c>
    </row>
    <row r="1633" spans="1:4" x14ac:dyDescent="0.25">
      <c r="A1633" s="37" t="s">
        <v>425</v>
      </c>
      <c r="B1633" s="22">
        <v>2.7501580916578021E-4</v>
      </c>
      <c r="C1633" s="22">
        <v>2.3641665757168003E-4</v>
      </c>
      <c r="D1633" s="22">
        <v>1.0406255751149574E-4</v>
      </c>
    </row>
    <row r="1634" spans="1:4" x14ac:dyDescent="0.25">
      <c r="A1634" s="37" t="s">
        <v>426</v>
      </c>
      <c r="B1634" s="22">
        <v>1.0175108618568638E-3</v>
      </c>
      <c r="C1634" s="22">
        <v>1.0385385903646238E-3</v>
      </c>
      <c r="D1634" s="22">
        <v>5.4844691476320002E-5</v>
      </c>
    </row>
    <row r="1635" spans="1:4" x14ac:dyDescent="0.25">
      <c r="A1635" s="37" t="s">
        <v>427</v>
      </c>
      <c r="B1635" s="22">
        <v>1.0499656491447242E-3</v>
      </c>
      <c r="C1635" s="22">
        <v>1.0813236731337388E-3</v>
      </c>
      <c r="D1635" s="22">
        <v>1.530370063846945E-4</v>
      </c>
    </row>
    <row r="1636" spans="1:4" x14ac:dyDescent="0.25">
      <c r="A1636" s="37" t="s">
        <v>428</v>
      </c>
      <c r="B1636" s="22">
        <v>2.5004148483276259E-5</v>
      </c>
      <c r="C1636" s="22">
        <v>6.9126319431234232E-5</v>
      </c>
      <c r="D1636" s="22">
        <v>5.9569290897342996E-5</v>
      </c>
    </row>
    <row r="1637" spans="1:4" x14ac:dyDescent="0.25">
      <c r="A1637" s="37" t="s">
        <v>429</v>
      </c>
      <c r="B1637" s="22">
        <v>-5.2481911552604261E-5</v>
      </c>
      <c r="C1637" s="22">
        <v>-8.2745296822395135E-5</v>
      </c>
      <c r="D1637" s="22">
        <v>8.9392819063505009E-5</v>
      </c>
    </row>
    <row r="1638" spans="1:4" x14ac:dyDescent="0.25">
      <c r="A1638" s="37" t="s">
        <v>430</v>
      </c>
      <c r="B1638" s="22">
        <v>5.6251879595947739E-4</v>
      </c>
      <c r="C1638" s="22">
        <v>6.4219516639241268E-4</v>
      </c>
      <c r="D1638" s="22">
        <v>1.5182632000687574E-4</v>
      </c>
    </row>
    <row r="1639" spans="1:4" x14ac:dyDescent="0.25">
      <c r="A1639" s="37" t="s">
        <v>431</v>
      </c>
      <c r="B1639" s="22">
        <v>1.4174878015182925E-3</v>
      </c>
      <c r="C1639" s="22">
        <v>1.4256708382163201E-3</v>
      </c>
      <c r="D1639" s="22">
        <v>1.1692204861902251E-4</v>
      </c>
    </row>
    <row r="1640" spans="1:4" x14ac:dyDescent="0.25">
      <c r="A1640" s="2">
        <v>63</v>
      </c>
      <c r="B1640" s="22">
        <v>2.4960159964393836E-4</v>
      </c>
      <c r="C1640" s="22">
        <v>2.4985880002986949E-4</v>
      </c>
      <c r="D1640" s="22">
        <v>1.0698664931169359E-4</v>
      </c>
    </row>
    <row r="1641" spans="1:4" x14ac:dyDescent="0.25">
      <c r="A1641" s="37" t="s">
        <v>408</v>
      </c>
      <c r="B1641" s="22">
        <v>8.2501772340037817E-4</v>
      </c>
      <c r="C1641" s="22">
        <v>7.6687375621986565E-4</v>
      </c>
      <c r="D1641" s="22">
        <v>1.219758851220824E-4</v>
      </c>
    </row>
    <row r="1642" spans="1:4" x14ac:dyDescent="0.25">
      <c r="A1642" s="37" t="s">
        <v>409</v>
      </c>
      <c r="B1642" s="22">
        <v>3.749128336494331E-5</v>
      </c>
      <c r="C1642" s="22">
        <v>3.5614690204966146E-5</v>
      </c>
      <c r="D1642" s="22">
        <v>1.4111409109318634E-4</v>
      </c>
    </row>
    <row r="1643" spans="1:4" x14ac:dyDescent="0.25">
      <c r="A1643" s="37" t="s">
        <v>410</v>
      </c>
      <c r="B1643" s="22">
        <v>1.2254716784809724E-4</v>
      </c>
      <c r="C1643" s="22">
        <v>1.4921467300155211E-4</v>
      </c>
      <c r="D1643" s="22">
        <v>1.0975587065331632E-4</v>
      </c>
    </row>
    <row r="1644" spans="1:4" x14ac:dyDescent="0.25">
      <c r="A1644" s="37" t="s">
        <v>411</v>
      </c>
      <c r="B1644" s="22">
        <v>7.7456268627428988E-5</v>
      </c>
      <c r="C1644" s="22">
        <v>1.0368339690103309E-4</v>
      </c>
      <c r="D1644" s="22">
        <v>1.3694527342522658E-4</v>
      </c>
    </row>
    <row r="1645" spans="1:4" x14ac:dyDescent="0.25">
      <c r="A1645" s="37" t="s">
        <v>412</v>
      </c>
      <c r="B1645" s="22">
        <v>5.0068101700162193E-6</v>
      </c>
      <c r="C1645" s="22">
        <v>7.2145981675930725E-5</v>
      </c>
      <c r="D1645" s="22">
        <v>1.56555313651552E-4</v>
      </c>
    </row>
    <row r="1646" spans="1:4" x14ac:dyDescent="0.25">
      <c r="A1646" s="37" t="s">
        <v>413</v>
      </c>
      <c r="B1646" s="22">
        <v>1.5252825141942608E-4</v>
      </c>
      <c r="C1646" s="22">
        <v>1.5132893554437027E-4</v>
      </c>
      <c r="D1646" s="22">
        <v>7.0403053769041204E-5</v>
      </c>
    </row>
    <row r="1647" spans="1:4" x14ac:dyDescent="0.25">
      <c r="A1647" s="37" t="s">
        <v>414</v>
      </c>
      <c r="B1647" s="22">
        <v>-1.2001394043181804E-4</v>
      </c>
      <c r="C1647" s="22">
        <v>-1.7739018221618602E-4</v>
      </c>
      <c r="D1647" s="22">
        <v>8.9647311142471451E-5</v>
      </c>
    </row>
    <row r="1648" spans="1:4" x14ac:dyDescent="0.25">
      <c r="A1648" s="37" t="s">
        <v>415</v>
      </c>
      <c r="B1648" s="22">
        <v>-6.2495477322954752E-5</v>
      </c>
      <c r="C1648" s="22">
        <v>-7.9186485891113948E-5</v>
      </c>
      <c r="D1648" s="22">
        <v>1.009980569506298E-4</v>
      </c>
    </row>
    <row r="1649" spans="1:4" x14ac:dyDescent="0.25">
      <c r="A1649" s="37" t="s">
        <v>416</v>
      </c>
      <c r="B1649" s="22">
        <v>1.8498306599212802E-4</v>
      </c>
      <c r="C1649" s="22">
        <v>2.1909248516749369E-4</v>
      </c>
      <c r="D1649" s="22">
        <v>1.1999901562376181E-4</v>
      </c>
    </row>
    <row r="1650" spans="1:4" x14ac:dyDescent="0.25">
      <c r="A1650" s="37" t="s">
        <v>417</v>
      </c>
      <c r="B1650" s="22">
        <v>7.0005644374759868E-5</v>
      </c>
      <c r="C1650" s="22">
        <v>7.4209670856362236E-5</v>
      </c>
      <c r="D1650" s="22">
        <v>1.6973463789327059E-4</v>
      </c>
    </row>
    <row r="1651" spans="1:4" x14ac:dyDescent="0.25">
      <c r="A1651" s="37" t="s">
        <v>418</v>
      </c>
      <c r="B1651" s="22">
        <v>3.7491325201699551E-5</v>
      </c>
      <c r="C1651" s="22">
        <v>7.2340964834438772E-5</v>
      </c>
      <c r="D1651" s="22">
        <v>3.4849639632739222E-5</v>
      </c>
    </row>
    <row r="1652" spans="1:4" x14ac:dyDescent="0.25">
      <c r="A1652" s="37" t="s">
        <v>419</v>
      </c>
      <c r="B1652" s="22">
        <v>-1.99973594135372E-4</v>
      </c>
      <c r="C1652" s="22">
        <v>-8.6289169985320863E-5</v>
      </c>
      <c r="D1652" s="22">
        <v>1.845288222739325E-4</v>
      </c>
    </row>
    <row r="1653" spans="1:4" x14ac:dyDescent="0.25">
      <c r="A1653" s="37" t="s">
        <v>420</v>
      </c>
      <c r="B1653" s="22">
        <v>-3.325045508972838E-4</v>
      </c>
      <c r="C1653" s="22">
        <v>-3.220407670596615E-4</v>
      </c>
      <c r="D1653" s="22">
        <v>1.0506782928132475E-4</v>
      </c>
    </row>
    <row r="1654" spans="1:4" x14ac:dyDescent="0.25">
      <c r="A1654" s="37" t="s">
        <v>421</v>
      </c>
      <c r="B1654" s="22">
        <v>-1.7502904120192403E-4</v>
      </c>
      <c r="C1654" s="22">
        <v>-1.76814999576891E-4</v>
      </c>
      <c r="D1654" s="22">
        <v>7.3135115599143509E-5</v>
      </c>
    </row>
    <row r="1655" spans="1:4" x14ac:dyDescent="0.25">
      <c r="A1655" s="37" t="s">
        <v>422</v>
      </c>
      <c r="B1655" s="22">
        <v>2.0000338008685511E-4</v>
      </c>
      <c r="C1655" s="22">
        <v>1.5683775018260332E-4</v>
      </c>
      <c r="D1655" s="22">
        <v>5.1009490562137271E-5</v>
      </c>
    </row>
    <row r="1656" spans="1:4" x14ac:dyDescent="0.25">
      <c r="A1656" s="37" t="s">
        <v>423</v>
      </c>
      <c r="B1656" s="22">
        <v>4.5502188913815189E-4</v>
      </c>
      <c r="C1656" s="22">
        <v>4.9640571319287097E-4</v>
      </c>
      <c r="D1656" s="22">
        <v>8.1172551517738666E-5</v>
      </c>
    </row>
    <row r="1657" spans="1:4" x14ac:dyDescent="0.25">
      <c r="A1657" s="37" t="s">
        <v>424</v>
      </c>
      <c r="B1657" s="22">
        <v>-5.5015114412526275E-5</v>
      </c>
      <c r="C1657" s="22">
        <v>-8.3534137615970503E-5</v>
      </c>
      <c r="D1657" s="22">
        <v>7.9857813375383774E-5</v>
      </c>
    </row>
    <row r="1658" spans="1:4" x14ac:dyDescent="0.25">
      <c r="A1658" s="37" t="s">
        <v>425</v>
      </c>
      <c r="B1658" s="22">
        <v>2.7501580916578021E-4</v>
      </c>
      <c r="C1658" s="22">
        <v>2.1636660676449526E-4</v>
      </c>
      <c r="D1658" s="22">
        <v>6.5203399572056492E-5</v>
      </c>
    </row>
    <row r="1659" spans="1:4" x14ac:dyDescent="0.25">
      <c r="A1659" s="37" t="s">
        <v>426</v>
      </c>
      <c r="B1659" s="22">
        <v>1.0175108618568638E-3</v>
      </c>
      <c r="C1659" s="22">
        <v>1.015281784930266E-3</v>
      </c>
      <c r="D1659" s="22">
        <v>1.4760512567590825E-4</v>
      </c>
    </row>
    <row r="1660" spans="1:4" x14ac:dyDescent="0.25">
      <c r="A1660" s="37" t="s">
        <v>427</v>
      </c>
      <c r="B1660" s="22">
        <v>1.0499656491447242E-3</v>
      </c>
      <c r="C1660" s="22">
        <v>1.068386118276976E-3</v>
      </c>
      <c r="D1660" s="22">
        <v>9.1704612714240498E-5</v>
      </c>
    </row>
    <row r="1661" spans="1:4" x14ac:dyDescent="0.25">
      <c r="A1661" s="37" t="s">
        <v>428</v>
      </c>
      <c r="B1661" s="22">
        <v>2.5004148483276259E-5</v>
      </c>
      <c r="C1661" s="22">
        <v>1.1945588266826224E-4</v>
      </c>
      <c r="D1661" s="22">
        <v>1.538020987936765E-4</v>
      </c>
    </row>
    <row r="1662" spans="1:4" x14ac:dyDescent="0.25">
      <c r="A1662" s="37" t="s">
        <v>429</v>
      </c>
      <c r="B1662" s="22">
        <v>-5.2481911552604261E-5</v>
      </c>
      <c r="C1662" s="22">
        <v>-1.0241493646390153E-4</v>
      </c>
      <c r="D1662" s="22">
        <v>6.5080579133791399E-5</v>
      </c>
    </row>
    <row r="1663" spans="1:4" x14ac:dyDescent="0.25">
      <c r="A1663" s="37" t="s">
        <v>430</v>
      </c>
      <c r="B1663" s="22">
        <v>5.6251879595947739E-4</v>
      </c>
      <c r="C1663" s="22">
        <v>5.1200593225075787E-4</v>
      </c>
      <c r="D1663" s="22">
        <v>1.8188121157436521E-4</v>
      </c>
    </row>
    <row r="1664" spans="1:4" x14ac:dyDescent="0.25">
      <c r="A1664" s="37" t="s">
        <v>431</v>
      </c>
      <c r="B1664" s="22">
        <v>1.4174878015182925E-3</v>
      </c>
      <c r="C1664" s="22">
        <v>1.3655652001034451E-3</v>
      </c>
      <c r="D1664" s="22">
        <v>8.1867066910492508E-5</v>
      </c>
    </row>
    <row r="1665" spans="1:4" x14ac:dyDescent="0.25">
      <c r="A1665" s="37" t="s">
        <v>432</v>
      </c>
      <c r="B1665" s="22">
        <v>7.224977453006438E-4</v>
      </c>
      <c r="C1665" s="22">
        <v>6.7933113678009358E-4</v>
      </c>
      <c r="D1665" s="22">
        <v>6.0772366850870252E-5</v>
      </c>
    </row>
    <row r="1666" spans="1:4" x14ac:dyDescent="0.25">
      <c r="A1666" s="2">
        <v>64</v>
      </c>
      <c r="B1666" s="22">
        <v>2.3510098006227067E-4</v>
      </c>
      <c r="C1666" s="22">
        <v>2.4952372095867755E-4</v>
      </c>
      <c r="D1666" s="22">
        <v>1.4251736800360908E-4</v>
      </c>
    </row>
    <row r="1667" spans="1:4" x14ac:dyDescent="0.25">
      <c r="A1667" s="37" t="s">
        <v>409</v>
      </c>
      <c r="B1667" s="22">
        <v>3.749128336494331E-5</v>
      </c>
      <c r="C1667" s="22">
        <v>-8.8751548901200023E-6</v>
      </c>
      <c r="D1667" s="22">
        <v>1.8918854584626382E-4</v>
      </c>
    </row>
    <row r="1668" spans="1:4" x14ac:dyDescent="0.25">
      <c r="A1668" s="37" t="s">
        <v>410</v>
      </c>
      <c r="B1668" s="22">
        <v>1.2254716784809724E-4</v>
      </c>
      <c r="C1668" s="22">
        <v>1.4957613257138291E-4</v>
      </c>
      <c r="D1668" s="22">
        <v>1.2338062970229617E-4</v>
      </c>
    </row>
    <row r="1669" spans="1:4" x14ac:dyDescent="0.25">
      <c r="A1669" s="37" t="s">
        <v>411</v>
      </c>
      <c r="B1669" s="22">
        <v>7.7456268627428988E-5</v>
      </c>
      <c r="C1669" s="22">
        <v>1.2536974372778792E-4</v>
      </c>
      <c r="D1669" s="22">
        <v>2.2346214336721481E-4</v>
      </c>
    </row>
    <row r="1670" spans="1:4" x14ac:dyDescent="0.25">
      <c r="A1670" s="37" t="s">
        <v>412</v>
      </c>
      <c r="B1670" s="22">
        <v>5.0068101700162193E-6</v>
      </c>
      <c r="C1670" s="22">
        <v>7.8133969509508434E-5</v>
      </c>
      <c r="D1670" s="22">
        <v>1.0489508895261669E-4</v>
      </c>
    </row>
    <row r="1671" spans="1:4" x14ac:dyDescent="0.25">
      <c r="A1671" s="37" t="s">
        <v>413</v>
      </c>
      <c r="B1671" s="22">
        <v>1.5252825141942608E-4</v>
      </c>
      <c r="C1671" s="22">
        <v>1.4064412243897112E-4</v>
      </c>
      <c r="D1671" s="22">
        <v>1.5302605788747331E-4</v>
      </c>
    </row>
    <row r="1672" spans="1:4" x14ac:dyDescent="0.25">
      <c r="A1672" s="37" t="s">
        <v>414</v>
      </c>
      <c r="B1672" s="22">
        <v>-1.2001394043181804E-4</v>
      </c>
      <c r="C1672" s="22">
        <v>-1.0008374556491617E-4</v>
      </c>
      <c r="D1672" s="22">
        <v>3.4629593756107876E-5</v>
      </c>
    </row>
    <row r="1673" spans="1:4" x14ac:dyDescent="0.25">
      <c r="A1673" s="37" t="s">
        <v>415</v>
      </c>
      <c r="B1673" s="22">
        <v>-6.2495477322954752E-5</v>
      </c>
      <c r="C1673" s="22">
        <v>-3.0033725124667473E-5</v>
      </c>
      <c r="D1673" s="22">
        <v>8.072823584370778E-5</v>
      </c>
    </row>
    <row r="1674" spans="1:4" x14ac:dyDescent="0.25">
      <c r="A1674" s="37" t="s">
        <v>416</v>
      </c>
      <c r="B1674" s="22">
        <v>1.8498306599212802E-4</v>
      </c>
      <c r="C1674" s="22">
        <v>1.8923237530543732E-4</v>
      </c>
      <c r="D1674" s="22">
        <v>9.0067372184421158E-5</v>
      </c>
    </row>
    <row r="1675" spans="1:4" x14ac:dyDescent="0.25">
      <c r="A1675" s="37" t="s">
        <v>417</v>
      </c>
      <c r="B1675" s="22">
        <v>7.0005644374759868E-5</v>
      </c>
      <c r="C1675" s="22">
        <v>1.0891944248214715E-4</v>
      </c>
      <c r="D1675" s="22">
        <v>1.1344879158059483E-4</v>
      </c>
    </row>
    <row r="1676" spans="1:4" x14ac:dyDescent="0.25">
      <c r="A1676" s="37" t="s">
        <v>418</v>
      </c>
      <c r="B1676" s="22">
        <v>3.7491325201699551E-5</v>
      </c>
      <c r="C1676" s="22">
        <v>5.3530610784946374E-5</v>
      </c>
      <c r="D1676" s="22">
        <v>1.0297087192157052E-4</v>
      </c>
    </row>
    <row r="1677" spans="1:4" x14ac:dyDescent="0.25">
      <c r="A1677" s="37" t="s">
        <v>419</v>
      </c>
      <c r="B1677" s="22">
        <v>-1.99973594135372E-4</v>
      </c>
      <c r="C1677" s="22">
        <v>-2.8082114658900526E-4</v>
      </c>
      <c r="D1677" s="22">
        <v>1.5678799536544824E-4</v>
      </c>
    </row>
    <row r="1678" spans="1:4" x14ac:dyDescent="0.25">
      <c r="A1678" s="37" t="s">
        <v>420</v>
      </c>
      <c r="B1678" s="22">
        <v>-3.325045508972838E-4</v>
      </c>
      <c r="C1678" s="22">
        <v>-4.2306793329771603E-4</v>
      </c>
      <c r="D1678" s="22">
        <v>1.4940214532543875E-4</v>
      </c>
    </row>
    <row r="1679" spans="1:4" x14ac:dyDescent="0.25">
      <c r="A1679" s="37" t="s">
        <v>421</v>
      </c>
      <c r="B1679" s="22">
        <v>-1.7502904120192403E-4</v>
      </c>
      <c r="C1679" s="22">
        <v>-1.940429810929345E-4</v>
      </c>
      <c r="D1679" s="22">
        <v>7.8904282418079512E-5</v>
      </c>
    </row>
    <row r="1680" spans="1:4" x14ac:dyDescent="0.25">
      <c r="A1680" s="37" t="s">
        <v>422</v>
      </c>
      <c r="B1680" s="22">
        <v>2.0000338008685511E-4</v>
      </c>
      <c r="C1680" s="22">
        <v>2.0821461339437519E-4</v>
      </c>
      <c r="D1680" s="22">
        <v>1.4267628421293918E-4</v>
      </c>
    </row>
    <row r="1681" spans="1:4" x14ac:dyDescent="0.25">
      <c r="A1681" s="37" t="s">
        <v>423</v>
      </c>
      <c r="B1681" s="22">
        <v>4.5502188913815189E-4</v>
      </c>
      <c r="C1681" s="22">
        <v>4.4450787390815105E-4</v>
      </c>
      <c r="D1681" s="22">
        <v>1.6830873755679959E-4</v>
      </c>
    </row>
    <row r="1682" spans="1:4" x14ac:dyDescent="0.25">
      <c r="A1682" s="37" t="s">
        <v>424</v>
      </c>
      <c r="B1682" s="22">
        <v>-5.5015114412526275E-5</v>
      </c>
      <c r="C1682" s="22">
        <v>-1.0565987759036946E-4</v>
      </c>
      <c r="D1682" s="22">
        <v>8.9242666945210807E-5</v>
      </c>
    </row>
    <row r="1683" spans="1:4" x14ac:dyDescent="0.25">
      <c r="A1683" s="37" t="s">
        <v>425</v>
      </c>
      <c r="B1683" s="22">
        <v>2.7501580916578021E-4</v>
      </c>
      <c r="C1683" s="22">
        <v>2.5012117112055378E-4</v>
      </c>
      <c r="D1683" s="22">
        <v>2.4243231018772498E-4</v>
      </c>
    </row>
    <row r="1684" spans="1:4" x14ac:dyDescent="0.25">
      <c r="A1684" s="37" t="s">
        <v>426</v>
      </c>
      <c r="B1684" s="22">
        <v>1.0175108618568638E-3</v>
      </c>
      <c r="C1684" s="22">
        <v>1.1006270797224718E-3</v>
      </c>
      <c r="D1684" s="22">
        <v>1.01298021036198E-4</v>
      </c>
    </row>
    <row r="1685" spans="1:4" x14ac:dyDescent="0.25">
      <c r="A1685" s="37" t="s">
        <v>427</v>
      </c>
      <c r="B1685" s="22">
        <v>1.0499656491447242E-3</v>
      </c>
      <c r="C1685" s="22">
        <v>1.1321768979541951E-3</v>
      </c>
      <c r="D1685" s="22">
        <v>3.6507754703052076E-4</v>
      </c>
    </row>
    <row r="1686" spans="1:4" x14ac:dyDescent="0.25">
      <c r="A1686" s="37" t="s">
        <v>428</v>
      </c>
      <c r="B1686" s="22">
        <v>2.5004148483276259E-5</v>
      </c>
      <c r="C1686" s="22">
        <v>2.7352249162504233E-5</v>
      </c>
      <c r="D1686" s="22">
        <v>6.5046548115788001E-5</v>
      </c>
    </row>
    <row r="1687" spans="1:4" x14ac:dyDescent="0.25">
      <c r="A1687" s="37" t="s">
        <v>429</v>
      </c>
      <c r="B1687" s="22">
        <v>-5.2481911552604261E-5</v>
      </c>
      <c r="C1687" s="22">
        <v>-2.0915110326313676E-5</v>
      </c>
      <c r="D1687" s="22">
        <v>2.5249455120501807E-4</v>
      </c>
    </row>
    <row r="1688" spans="1:4" x14ac:dyDescent="0.25">
      <c r="A1688" s="37" t="s">
        <v>430</v>
      </c>
      <c r="B1688" s="22">
        <v>5.6251879595947739E-4</v>
      </c>
      <c r="C1688" s="22">
        <v>5.5886033442220759E-4</v>
      </c>
      <c r="D1688" s="22">
        <v>2.0724462865473413E-4</v>
      </c>
    </row>
    <row r="1689" spans="1:4" x14ac:dyDescent="0.25">
      <c r="A1689" s="37" t="s">
        <v>431</v>
      </c>
      <c r="B1689" s="22">
        <v>1.4174878015182925E-3</v>
      </c>
      <c r="C1689" s="22">
        <v>1.5452088264282775E-3</v>
      </c>
      <c r="D1689" s="22">
        <v>1.3965854304842E-4</v>
      </c>
    </row>
    <row r="1690" spans="1:4" x14ac:dyDescent="0.25">
      <c r="A1690" s="37" t="s">
        <v>433</v>
      </c>
      <c r="B1690" s="22">
        <v>4.6250223385868572E-4</v>
      </c>
      <c r="C1690" s="22">
        <v>5.4300326883094364E-4</v>
      </c>
      <c r="D1690" s="22">
        <v>8.0501034972257993E-5</v>
      </c>
    </row>
    <row r="1691" spans="1:4" x14ac:dyDescent="0.25">
      <c r="A1691" s="37" t="s">
        <v>432</v>
      </c>
      <c r="B1691" s="22">
        <v>7.224977453006438E-4</v>
      </c>
      <c r="C1691" s="22">
        <v>7.4611398667911945E-4</v>
      </c>
      <c r="D1691" s="22">
        <v>1.0806157297338275E-4</v>
      </c>
    </row>
    <row r="1692" spans="1:4" x14ac:dyDescent="0.25">
      <c r="A1692" s="2">
        <v>65</v>
      </c>
      <c r="B1692" s="22">
        <v>2.4050116116995938E-4</v>
      </c>
      <c r="C1692" s="22">
        <v>2.3361749000969215E-4</v>
      </c>
      <c r="D1692" s="22">
        <v>1.4322791458880617E-4</v>
      </c>
    </row>
    <row r="1693" spans="1:4" x14ac:dyDescent="0.25">
      <c r="A1693" s="37" t="s">
        <v>410</v>
      </c>
      <c r="B1693" s="22">
        <v>1.2254716784809724E-4</v>
      </c>
      <c r="C1693" s="22">
        <v>1.4247661238186974E-4</v>
      </c>
      <c r="D1693" s="22">
        <v>1.5089933003764602E-4</v>
      </c>
    </row>
    <row r="1694" spans="1:4" x14ac:dyDescent="0.25">
      <c r="A1694" s="37" t="s">
        <v>411</v>
      </c>
      <c r="B1694" s="22">
        <v>7.7456268627428988E-5</v>
      </c>
      <c r="C1694" s="22">
        <v>-2.2485437511932251E-5</v>
      </c>
      <c r="D1694" s="22">
        <v>1.3484232113114574E-4</v>
      </c>
    </row>
    <row r="1695" spans="1:4" x14ac:dyDescent="0.25">
      <c r="A1695" s="37" t="s">
        <v>412</v>
      </c>
      <c r="B1695" s="22">
        <v>5.0068101700162193E-6</v>
      </c>
      <c r="C1695" s="22">
        <v>6.4533387558185509E-5</v>
      </c>
      <c r="D1695" s="22">
        <v>5.9526577388169298E-5</v>
      </c>
    </row>
    <row r="1696" spans="1:4" x14ac:dyDescent="0.25">
      <c r="A1696" s="37" t="s">
        <v>413</v>
      </c>
      <c r="B1696" s="22">
        <v>1.5252825141942608E-4</v>
      </c>
      <c r="C1696" s="22">
        <v>1.5117769362404951E-4</v>
      </c>
      <c r="D1696" s="22">
        <v>1.4920859575795459E-4</v>
      </c>
    </row>
    <row r="1697" spans="1:4" x14ac:dyDescent="0.25">
      <c r="A1697" s="37" t="s">
        <v>414</v>
      </c>
      <c r="B1697" s="22">
        <v>-1.2001394043181804E-4</v>
      </c>
      <c r="C1697" s="22">
        <v>5.7574427501094489E-6</v>
      </c>
      <c r="D1697" s="22">
        <v>1.2577138318192748E-4</v>
      </c>
    </row>
    <row r="1698" spans="1:4" x14ac:dyDescent="0.25">
      <c r="A1698" s="37" t="s">
        <v>415</v>
      </c>
      <c r="B1698" s="22">
        <v>-6.2495477322954752E-5</v>
      </c>
      <c r="C1698" s="22">
        <v>-8.5395294263434981E-5</v>
      </c>
      <c r="D1698" s="22">
        <v>1.6861315907590329E-4</v>
      </c>
    </row>
    <row r="1699" spans="1:4" x14ac:dyDescent="0.25">
      <c r="A1699" s="37" t="s">
        <v>416</v>
      </c>
      <c r="B1699" s="22">
        <v>1.8498306599212802E-4</v>
      </c>
      <c r="C1699" s="22">
        <v>2.0943721528965406E-4</v>
      </c>
      <c r="D1699" s="22">
        <v>9.9603816579474464E-5</v>
      </c>
    </row>
    <row r="1700" spans="1:4" x14ac:dyDescent="0.25">
      <c r="A1700" s="37" t="s">
        <v>417</v>
      </c>
      <c r="B1700" s="22">
        <v>7.0005644374759868E-5</v>
      </c>
      <c r="C1700" s="22">
        <v>1.2364987560431473E-4</v>
      </c>
      <c r="D1700" s="22">
        <v>8.2797516370192116E-5</v>
      </c>
    </row>
    <row r="1701" spans="1:4" x14ac:dyDescent="0.25">
      <c r="A1701" s="37" t="s">
        <v>418</v>
      </c>
      <c r="B1701" s="22">
        <v>3.7491325201699551E-5</v>
      </c>
      <c r="C1701" s="22">
        <v>4.3241843741273051E-6</v>
      </c>
      <c r="D1701" s="22">
        <v>7.1262039455177755E-5</v>
      </c>
    </row>
    <row r="1702" spans="1:4" x14ac:dyDescent="0.25">
      <c r="A1702" s="37" t="s">
        <v>419</v>
      </c>
      <c r="B1702" s="22">
        <v>-1.99973594135372E-4</v>
      </c>
      <c r="C1702" s="22">
        <v>-1.9251458434155227E-4</v>
      </c>
      <c r="D1702" s="22">
        <v>1.4588975682272573E-4</v>
      </c>
    </row>
    <row r="1703" spans="1:4" x14ac:dyDescent="0.25">
      <c r="A1703" s="37" t="s">
        <v>420</v>
      </c>
      <c r="B1703" s="22">
        <v>-3.325045508972838E-4</v>
      </c>
      <c r="C1703" s="22">
        <v>-3.3558462746441348E-4</v>
      </c>
      <c r="D1703" s="22">
        <v>6.3632829551352242E-5</v>
      </c>
    </row>
    <row r="1704" spans="1:4" x14ac:dyDescent="0.25">
      <c r="A1704" s="37" t="s">
        <v>421</v>
      </c>
      <c r="B1704" s="22">
        <v>-1.7502904120192403E-4</v>
      </c>
      <c r="C1704" s="22">
        <v>-6.2475002778228494E-5</v>
      </c>
      <c r="D1704" s="22">
        <v>1.3764197683485701E-4</v>
      </c>
    </row>
    <row r="1705" spans="1:4" x14ac:dyDescent="0.25">
      <c r="A1705" s="37" t="s">
        <v>422</v>
      </c>
      <c r="B1705" s="22">
        <v>2.0000338008685511E-4</v>
      </c>
      <c r="C1705" s="22">
        <v>2.050128059636335E-4</v>
      </c>
      <c r="D1705" s="22">
        <v>1.0326433221052862E-4</v>
      </c>
    </row>
    <row r="1706" spans="1:4" x14ac:dyDescent="0.25">
      <c r="A1706" s="37" t="s">
        <v>423</v>
      </c>
      <c r="B1706" s="22">
        <v>4.5502188913815189E-4</v>
      </c>
      <c r="C1706" s="22">
        <v>4.6622353693237572E-4</v>
      </c>
      <c r="D1706" s="22">
        <v>1.8173739408666839E-4</v>
      </c>
    </row>
    <row r="1707" spans="1:4" x14ac:dyDescent="0.25">
      <c r="A1707" s="37" t="s">
        <v>424</v>
      </c>
      <c r="B1707" s="22">
        <v>-5.5015114412526275E-5</v>
      </c>
      <c r="C1707" s="22">
        <v>-1.4300241855380583E-4</v>
      </c>
      <c r="D1707" s="22">
        <v>1.0272912186337639E-4</v>
      </c>
    </row>
    <row r="1708" spans="1:4" x14ac:dyDescent="0.25">
      <c r="A1708" s="37" t="s">
        <v>425</v>
      </c>
      <c r="B1708" s="22">
        <v>2.7501580916578021E-4</v>
      </c>
      <c r="C1708" s="22">
        <v>2.8642437609960325E-4</v>
      </c>
      <c r="D1708" s="22">
        <v>1.5670638458686951E-4</v>
      </c>
    </row>
    <row r="1709" spans="1:4" x14ac:dyDescent="0.25">
      <c r="A1709" s="37" t="s">
        <v>426</v>
      </c>
      <c r="B1709" s="22">
        <v>1.0175108618568638E-3</v>
      </c>
      <c r="C1709" s="22">
        <v>9.2859338474227018E-4</v>
      </c>
      <c r="D1709" s="22">
        <v>2.3534386855317448E-4</v>
      </c>
    </row>
    <row r="1710" spans="1:4" x14ac:dyDescent="0.25">
      <c r="A1710" s="37" t="s">
        <v>427</v>
      </c>
      <c r="B1710" s="22">
        <v>1.0499656491447242E-3</v>
      </c>
      <c r="C1710" s="22">
        <v>9.423249430255972E-4</v>
      </c>
      <c r="D1710" s="22">
        <v>1.07640706119127E-4</v>
      </c>
    </row>
    <row r="1711" spans="1:4" x14ac:dyDescent="0.25">
      <c r="A1711" s="37" t="s">
        <v>428</v>
      </c>
      <c r="B1711" s="22">
        <v>2.5004148483276259E-5</v>
      </c>
      <c r="C1711" s="22">
        <v>1.9514171071932841E-5</v>
      </c>
      <c r="D1711" s="22">
        <v>3.2897358505579156E-4</v>
      </c>
    </row>
    <row r="1712" spans="1:4" x14ac:dyDescent="0.25">
      <c r="A1712" s="37" t="s">
        <v>429</v>
      </c>
      <c r="B1712" s="22">
        <v>-5.2481911552604261E-5</v>
      </c>
      <c r="C1712" s="22">
        <v>-9.1183379879566874E-5</v>
      </c>
      <c r="D1712" s="22">
        <v>3.87014683269626E-5</v>
      </c>
    </row>
    <row r="1713" spans="1:4" x14ac:dyDescent="0.25">
      <c r="A1713" s="37" t="s">
        <v>430</v>
      </c>
      <c r="B1713" s="22">
        <v>5.6251879595947739E-4</v>
      </c>
      <c r="C1713" s="22">
        <v>5.6843239144655031E-4</v>
      </c>
      <c r="D1713" s="22">
        <v>1.74978967152128E-4</v>
      </c>
    </row>
    <row r="1714" spans="1:4" x14ac:dyDescent="0.25">
      <c r="A1714" s="37" t="s">
        <v>431</v>
      </c>
      <c r="B1714" s="22">
        <v>1.4174878015182925E-3</v>
      </c>
      <c r="C1714" s="22">
        <v>1.4097717066761102E-3</v>
      </c>
      <c r="D1714" s="22">
        <v>1.9128204439766751E-4</v>
      </c>
    </row>
    <row r="1715" spans="1:4" x14ac:dyDescent="0.25">
      <c r="A1715" s="37" t="s">
        <v>433</v>
      </c>
      <c r="B1715" s="22">
        <v>4.6250223385868572E-4</v>
      </c>
      <c r="C1715" s="22">
        <v>4.8960920685203768E-4</v>
      </c>
      <c r="D1715" s="22">
        <v>1.7495328211225561E-4</v>
      </c>
    </row>
    <row r="1716" spans="1:4" x14ac:dyDescent="0.25">
      <c r="A1716" s="37" t="s">
        <v>434</v>
      </c>
      <c r="B1716" s="22">
        <v>1.7249581105716039E-4</v>
      </c>
      <c r="C1716" s="22">
        <v>7.8848439102330127E-5</v>
      </c>
      <c r="D1716" s="22">
        <v>1.4243997213725374E-4</v>
      </c>
    </row>
    <row r="1717" spans="1:4" x14ac:dyDescent="0.25">
      <c r="A1717" s="37" t="s">
        <v>432</v>
      </c>
      <c r="B1717" s="22">
        <v>7.224977453006438E-4</v>
      </c>
      <c r="C1717" s="22">
        <v>6.7696662154048681E-4</v>
      </c>
      <c r="D1717" s="22">
        <v>2.5225743593182453E-4</v>
      </c>
    </row>
    <row r="1718" spans="1:4" x14ac:dyDescent="0.25">
      <c r="A1718" s="2">
        <v>66</v>
      </c>
      <c r="B1718" s="22">
        <v>2.2769808347220549E-4</v>
      </c>
      <c r="C1718" s="22">
        <v>1.9432584564128778E-4</v>
      </c>
      <c r="D1718" s="22">
        <v>1.4537145973008618E-4</v>
      </c>
    </row>
    <row r="1719" spans="1:4" x14ac:dyDescent="0.25">
      <c r="A1719" s="37" t="s">
        <v>411</v>
      </c>
      <c r="B1719" s="22">
        <v>7.7456268627428988E-5</v>
      </c>
      <c r="C1719" s="22">
        <v>4.8027305183495736E-5</v>
      </c>
      <c r="D1719" s="22">
        <v>2.3298669066207378E-4</v>
      </c>
    </row>
    <row r="1720" spans="1:4" x14ac:dyDescent="0.25">
      <c r="A1720" s="37" t="s">
        <v>412</v>
      </c>
      <c r="B1720" s="22">
        <v>5.0068101700162193E-6</v>
      </c>
      <c r="C1720" s="22">
        <v>5.7685403589857674E-5</v>
      </c>
      <c r="D1720" s="22">
        <v>1.9958448501711262E-4</v>
      </c>
    </row>
    <row r="1721" spans="1:4" x14ac:dyDescent="0.25">
      <c r="A1721" s="37" t="s">
        <v>413</v>
      </c>
      <c r="B1721" s="22">
        <v>1.5252825141942608E-4</v>
      </c>
      <c r="C1721" s="22">
        <v>5.3076199492352275E-5</v>
      </c>
      <c r="D1721" s="22">
        <v>1.8487090210328474E-4</v>
      </c>
    </row>
    <row r="1722" spans="1:4" x14ac:dyDescent="0.25">
      <c r="A1722" s="37" t="s">
        <v>414</v>
      </c>
      <c r="B1722" s="22">
        <v>-1.2001394043181804E-4</v>
      </c>
      <c r="C1722" s="22">
        <v>-6.5395530327805399E-5</v>
      </c>
      <c r="D1722" s="22">
        <v>7.2701071076153149E-5</v>
      </c>
    </row>
    <row r="1723" spans="1:4" x14ac:dyDescent="0.25">
      <c r="A1723" s="37" t="s">
        <v>415</v>
      </c>
      <c r="B1723" s="22">
        <v>-6.2495477322954752E-5</v>
      </c>
      <c r="C1723" s="22">
        <v>-1.6058522123785235E-4</v>
      </c>
      <c r="D1723" s="22">
        <v>1.776631925167749E-4</v>
      </c>
    </row>
    <row r="1724" spans="1:4" x14ac:dyDescent="0.25">
      <c r="A1724" s="37" t="s">
        <v>416</v>
      </c>
      <c r="B1724" s="22">
        <v>1.8498306599212802E-4</v>
      </c>
      <c r="C1724" s="22">
        <v>1.8296384041605052E-4</v>
      </c>
      <c r="D1724" s="22">
        <v>1.1176413136126946E-4</v>
      </c>
    </row>
    <row r="1725" spans="1:4" x14ac:dyDescent="0.25">
      <c r="A1725" s="37" t="s">
        <v>417</v>
      </c>
      <c r="B1725" s="22">
        <v>7.0005644374759868E-5</v>
      </c>
      <c r="C1725" s="22">
        <v>-2.8198900054121701E-5</v>
      </c>
      <c r="D1725" s="22">
        <v>1.3096018437863682E-4</v>
      </c>
    </row>
    <row r="1726" spans="1:4" x14ac:dyDescent="0.25">
      <c r="A1726" s="37" t="s">
        <v>418</v>
      </c>
      <c r="B1726" s="22">
        <v>3.7491325201699551E-5</v>
      </c>
      <c r="C1726" s="22">
        <v>-3.0902960133971653E-5</v>
      </c>
      <c r="D1726" s="22">
        <v>9.8937438451685201E-5</v>
      </c>
    </row>
    <row r="1727" spans="1:4" x14ac:dyDescent="0.25">
      <c r="A1727" s="37" t="s">
        <v>419</v>
      </c>
      <c r="B1727" s="22">
        <v>-1.99973594135372E-4</v>
      </c>
      <c r="C1727" s="22">
        <v>-1.9965520527875929E-4</v>
      </c>
      <c r="D1727" s="22">
        <v>1.0621367232488379E-4</v>
      </c>
    </row>
    <row r="1728" spans="1:4" x14ac:dyDescent="0.25">
      <c r="A1728" s="37" t="s">
        <v>420</v>
      </c>
      <c r="B1728" s="22">
        <v>-3.325045508972838E-4</v>
      </c>
      <c r="C1728" s="22">
        <v>-3.56574670149712E-4</v>
      </c>
      <c r="D1728" s="22">
        <v>9.9138604127802253E-5</v>
      </c>
    </row>
    <row r="1729" spans="1:4" x14ac:dyDescent="0.25">
      <c r="A1729" s="37" t="s">
        <v>421</v>
      </c>
      <c r="B1729" s="22">
        <v>-1.7502904120192403E-4</v>
      </c>
      <c r="C1729" s="22">
        <v>-1.4880837807140784E-4</v>
      </c>
      <c r="D1729" s="22">
        <v>6.3776449678698175E-5</v>
      </c>
    </row>
    <row r="1730" spans="1:4" x14ac:dyDescent="0.25">
      <c r="A1730" s="37" t="s">
        <v>422</v>
      </c>
      <c r="B1730" s="22">
        <v>2.0000338008685511E-4</v>
      </c>
      <c r="C1730" s="22">
        <v>1.8803445982484835E-4</v>
      </c>
      <c r="D1730" s="22">
        <v>9.1995741058781521E-5</v>
      </c>
    </row>
    <row r="1731" spans="1:4" x14ac:dyDescent="0.25">
      <c r="A1731" s="37" t="s">
        <v>423</v>
      </c>
      <c r="B1731" s="22">
        <v>4.5502188913815189E-4</v>
      </c>
      <c r="C1731" s="22">
        <v>4.1319379488413677E-4</v>
      </c>
      <c r="D1731" s="22">
        <v>1.3746174590778537E-4</v>
      </c>
    </row>
    <row r="1732" spans="1:4" x14ac:dyDescent="0.25">
      <c r="A1732" s="37" t="s">
        <v>424</v>
      </c>
      <c r="B1732" s="22">
        <v>-5.5015114412526275E-5</v>
      </c>
      <c r="C1732" s="22">
        <v>-1.15753118734574E-4</v>
      </c>
      <c r="D1732" s="22">
        <v>1.1737973363779025E-4</v>
      </c>
    </row>
    <row r="1733" spans="1:4" x14ac:dyDescent="0.25">
      <c r="A1733" s="37" t="s">
        <v>425</v>
      </c>
      <c r="B1733" s="22">
        <v>2.7501580916578021E-4</v>
      </c>
      <c r="C1733" s="22">
        <v>2.4196259255404473E-4</v>
      </c>
      <c r="D1733" s="22">
        <v>1.6887145829969251E-4</v>
      </c>
    </row>
    <row r="1734" spans="1:4" x14ac:dyDescent="0.25">
      <c r="A1734" s="37" t="s">
        <v>426</v>
      </c>
      <c r="B1734" s="22">
        <v>1.0175108618568638E-3</v>
      </c>
      <c r="C1734" s="22">
        <v>9.9581643735291523E-4</v>
      </c>
      <c r="D1734" s="22">
        <v>1.9505315140122651E-4</v>
      </c>
    </row>
    <row r="1735" spans="1:4" x14ac:dyDescent="0.25">
      <c r="A1735" s="37" t="s">
        <v>427</v>
      </c>
      <c r="B1735" s="22">
        <v>1.0499656491447242E-3</v>
      </c>
      <c r="C1735" s="22">
        <v>1.0452052229084092E-3</v>
      </c>
      <c r="D1735" s="22">
        <v>1.720020954962825E-4</v>
      </c>
    </row>
    <row r="1736" spans="1:4" x14ac:dyDescent="0.25">
      <c r="A1736" s="37" t="s">
        <v>428</v>
      </c>
      <c r="B1736" s="22">
        <v>2.5004148483276259E-5</v>
      </c>
      <c r="C1736" s="22">
        <v>5.8546222135191756E-5</v>
      </c>
      <c r="D1736" s="22">
        <v>1.23027322842972E-4</v>
      </c>
    </row>
    <row r="1737" spans="1:4" x14ac:dyDescent="0.25">
      <c r="A1737" s="37" t="s">
        <v>429</v>
      </c>
      <c r="B1737" s="22">
        <v>-5.2481911552604261E-5</v>
      </c>
      <c r="C1737" s="22">
        <v>-1.9948614863096731E-4</v>
      </c>
      <c r="D1737" s="22">
        <v>2.465242832840886E-4</v>
      </c>
    </row>
    <row r="1738" spans="1:4" x14ac:dyDescent="0.25">
      <c r="A1738" s="37" t="s">
        <v>430</v>
      </c>
      <c r="B1738" s="22">
        <v>5.6251879595947739E-4</v>
      </c>
      <c r="C1738" s="22">
        <v>5.3670239958592079E-4</v>
      </c>
      <c r="D1738" s="22">
        <v>7.9941521107684645E-5</v>
      </c>
    </row>
    <row r="1739" spans="1:4" x14ac:dyDescent="0.25">
      <c r="A1739" s="37" t="s">
        <v>431</v>
      </c>
      <c r="B1739" s="22">
        <v>1.4174878015182925E-3</v>
      </c>
      <c r="C1739" s="22">
        <v>1.295275753363965E-3</v>
      </c>
      <c r="D1739" s="22">
        <v>1.7712765838951249E-4</v>
      </c>
    </row>
    <row r="1740" spans="1:4" x14ac:dyDescent="0.25">
      <c r="A1740" s="37" t="s">
        <v>433</v>
      </c>
      <c r="B1740" s="22">
        <v>4.6250223385868572E-4</v>
      </c>
      <c r="C1740" s="22">
        <v>4.2444876089575679E-4</v>
      </c>
      <c r="D1740" s="22">
        <v>2.13217888813233E-4</v>
      </c>
    </row>
    <row r="1741" spans="1:4" x14ac:dyDescent="0.25">
      <c r="A1741" s="37" t="s">
        <v>434</v>
      </c>
      <c r="B1741" s="22">
        <v>1.7249581105716039E-4</v>
      </c>
      <c r="C1741" s="22">
        <v>1.0361947420278748E-4</v>
      </c>
      <c r="D1741" s="22">
        <v>1.2282421334930388E-4</v>
      </c>
    </row>
    <row r="1742" spans="1:4" x14ac:dyDescent="0.25">
      <c r="A1742" s="37" t="s">
        <v>435</v>
      </c>
      <c r="B1742" s="22">
        <v>-1.975297745957505E-4</v>
      </c>
      <c r="C1742" s="22">
        <v>-2.6758631429402147E-4</v>
      </c>
      <c r="D1742" s="22">
        <v>1.88870351848891E-4</v>
      </c>
    </row>
    <row r="1743" spans="1:4" x14ac:dyDescent="0.25">
      <c r="A1743" s="37" t="s">
        <v>432</v>
      </c>
      <c r="B1743" s="22">
        <v>7.224977453006438E-4</v>
      </c>
      <c r="C1743" s="22">
        <v>7.8653472155565504E-4</v>
      </c>
      <c r="D1743" s="22">
        <v>1.2139250611653474E-4</v>
      </c>
    </row>
    <row r="1744" spans="1:4" x14ac:dyDescent="0.25">
      <c r="A1744" s="2">
        <v>67</v>
      </c>
      <c r="B1744" s="22">
        <v>2.1450042047945335E-4</v>
      </c>
      <c r="C1744" s="22">
        <v>2.3557338825185077E-4</v>
      </c>
      <c r="D1744" s="22">
        <v>1.8468507171064637E-4</v>
      </c>
    </row>
    <row r="1745" spans="1:4" x14ac:dyDescent="0.25">
      <c r="A1745" s="37" t="s">
        <v>412</v>
      </c>
      <c r="B1745" s="22">
        <v>5.0068101700162193E-6</v>
      </c>
      <c r="C1745" s="22">
        <v>4.0338000189876779E-5</v>
      </c>
      <c r="D1745" s="22">
        <v>2.5081670014515139E-4</v>
      </c>
    </row>
    <row r="1746" spans="1:4" x14ac:dyDescent="0.25">
      <c r="A1746" s="37" t="s">
        <v>413</v>
      </c>
      <c r="B1746" s="22">
        <v>1.5252825141942608E-4</v>
      </c>
      <c r="C1746" s="22">
        <v>1.4884615484334057E-4</v>
      </c>
      <c r="D1746" s="22">
        <v>1.6926084208535036E-4</v>
      </c>
    </row>
    <row r="1747" spans="1:4" x14ac:dyDescent="0.25">
      <c r="A1747" s="37" t="s">
        <v>414</v>
      </c>
      <c r="B1747" s="22">
        <v>-1.2001394043181804E-4</v>
      </c>
      <c r="C1747" s="22">
        <v>-3.0435149710683523E-5</v>
      </c>
      <c r="D1747" s="22">
        <v>1.6018244241422502E-4</v>
      </c>
    </row>
    <row r="1748" spans="1:4" x14ac:dyDescent="0.25">
      <c r="A1748" s="37" t="s">
        <v>415</v>
      </c>
      <c r="B1748" s="22">
        <v>-6.2495477322954752E-5</v>
      </c>
      <c r="C1748" s="22">
        <v>-5.0696489324764129E-5</v>
      </c>
      <c r="D1748" s="22">
        <v>1.5318970372391063E-4</v>
      </c>
    </row>
    <row r="1749" spans="1:4" x14ac:dyDescent="0.25">
      <c r="A1749" s="37" t="s">
        <v>416</v>
      </c>
      <c r="B1749" s="22">
        <v>1.8498306599212802E-4</v>
      </c>
      <c r="C1749" s="22">
        <v>2.1602817423627124E-4</v>
      </c>
      <c r="D1749" s="22">
        <v>1.1427793515395024E-4</v>
      </c>
    </row>
    <row r="1750" spans="1:4" x14ac:dyDescent="0.25">
      <c r="A1750" s="37" t="s">
        <v>417</v>
      </c>
      <c r="B1750" s="22">
        <v>7.0005644374759868E-5</v>
      </c>
      <c r="C1750" s="22">
        <v>9.2529541689145817E-5</v>
      </c>
      <c r="D1750" s="22">
        <v>1.1672596974676705E-4</v>
      </c>
    </row>
    <row r="1751" spans="1:4" x14ac:dyDescent="0.25">
      <c r="A1751" s="37" t="s">
        <v>418</v>
      </c>
      <c r="B1751" s="22">
        <v>3.7491325201699551E-5</v>
      </c>
      <c r="C1751" s="22">
        <v>-9.8017833352061451E-6</v>
      </c>
      <c r="D1751" s="22">
        <v>7.820457062734915E-5</v>
      </c>
    </row>
    <row r="1752" spans="1:4" x14ac:dyDescent="0.25">
      <c r="A1752" s="37" t="s">
        <v>419</v>
      </c>
      <c r="B1752" s="22">
        <v>-1.99973594135372E-4</v>
      </c>
      <c r="C1752" s="22">
        <v>-5.5061416617263522E-5</v>
      </c>
      <c r="D1752" s="22">
        <v>2.0895773542406454E-4</v>
      </c>
    </row>
    <row r="1753" spans="1:4" x14ac:dyDescent="0.25">
      <c r="A1753" s="37" t="s">
        <v>420</v>
      </c>
      <c r="B1753" s="22">
        <v>-3.325045508972838E-4</v>
      </c>
      <c r="C1753" s="22">
        <v>-4.0747074149294338E-4</v>
      </c>
      <c r="D1753" s="22">
        <v>1.7481939880781289E-4</v>
      </c>
    </row>
    <row r="1754" spans="1:4" x14ac:dyDescent="0.25">
      <c r="A1754" s="37" t="s">
        <v>421</v>
      </c>
      <c r="B1754" s="22">
        <v>-1.7502904120192403E-4</v>
      </c>
      <c r="C1754" s="22">
        <v>-2.3080936080077674E-4</v>
      </c>
      <c r="D1754" s="22">
        <v>1.4196224765328225E-4</v>
      </c>
    </row>
    <row r="1755" spans="1:4" x14ac:dyDescent="0.25">
      <c r="A1755" s="37" t="s">
        <v>422</v>
      </c>
      <c r="B1755" s="22">
        <v>2.0000338008685511E-4</v>
      </c>
      <c r="C1755" s="22">
        <v>2.7725983454729425E-4</v>
      </c>
      <c r="D1755" s="22">
        <v>7.7256454460439137E-5</v>
      </c>
    </row>
    <row r="1756" spans="1:4" x14ac:dyDescent="0.25">
      <c r="A1756" s="37" t="s">
        <v>423</v>
      </c>
      <c r="B1756" s="22">
        <v>4.5502188913815189E-4</v>
      </c>
      <c r="C1756" s="22">
        <v>3.9252235364983773E-4</v>
      </c>
      <c r="D1756" s="22">
        <v>2.0130241500737584E-4</v>
      </c>
    </row>
    <row r="1757" spans="1:4" x14ac:dyDescent="0.25">
      <c r="A1757" s="37" t="s">
        <v>424</v>
      </c>
      <c r="B1757" s="22">
        <v>-5.5015114412526275E-5</v>
      </c>
      <c r="C1757" s="22">
        <v>3.3387204894097427E-5</v>
      </c>
      <c r="D1757" s="22">
        <v>2.2908695427759069E-4</v>
      </c>
    </row>
    <row r="1758" spans="1:4" x14ac:dyDescent="0.25">
      <c r="A1758" s="37" t="s">
        <v>425</v>
      </c>
      <c r="B1758" s="22">
        <v>2.7501580916578021E-4</v>
      </c>
      <c r="C1758" s="22">
        <v>3.3920264104381317E-4</v>
      </c>
      <c r="D1758" s="22">
        <v>1.6389638039981889E-4</v>
      </c>
    </row>
    <row r="1759" spans="1:4" x14ac:dyDescent="0.25">
      <c r="A1759" s="37" t="s">
        <v>426</v>
      </c>
      <c r="B1759" s="22">
        <v>1.0175108618568638E-3</v>
      </c>
      <c r="C1759" s="22">
        <v>1.1113217478850841E-3</v>
      </c>
      <c r="D1759" s="22">
        <v>1.7478932568338023E-4</v>
      </c>
    </row>
    <row r="1760" spans="1:4" x14ac:dyDescent="0.25">
      <c r="A1760" s="37" t="s">
        <v>427</v>
      </c>
      <c r="B1760" s="22">
        <v>1.0499656491447242E-3</v>
      </c>
      <c r="C1760" s="22">
        <v>8.8777266500983431E-4</v>
      </c>
      <c r="D1760" s="22">
        <v>3.0941657314542545E-4</v>
      </c>
    </row>
    <row r="1761" spans="1:4" x14ac:dyDescent="0.25">
      <c r="A1761" s="37" t="s">
        <v>428</v>
      </c>
      <c r="B1761" s="22">
        <v>2.5004148483276259E-5</v>
      </c>
      <c r="C1761" s="22">
        <v>1.408747120876796E-4</v>
      </c>
      <c r="D1761" s="22">
        <v>2.9378351609921115E-4</v>
      </c>
    </row>
    <row r="1762" spans="1:4" x14ac:dyDescent="0.25">
      <c r="A1762" s="37" t="s">
        <v>429</v>
      </c>
      <c r="B1762" s="22">
        <v>-5.2481911552604261E-5</v>
      </c>
      <c r="C1762" s="22">
        <v>-3.4023280022665994E-5</v>
      </c>
      <c r="D1762" s="22">
        <v>2.3925823916215428E-4</v>
      </c>
    </row>
    <row r="1763" spans="1:4" x14ac:dyDescent="0.25">
      <c r="A1763" s="37" t="s">
        <v>430</v>
      </c>
      <c r="B1763" s="22">
        <v>5.6251879595947739E-4</v>
      </c>
      <c r="C1763" s="22">
        <v>6.8742879739147752E-4</v>
      </c>
      <c r="D1763" s="22">
        <v>2.8810856656491513E-4</v>
      </c>
    </row>
    <row r="1764" spans="1:4" x14ac:dyDescent="0.25">
      <c r="A1764" s="37" t="s">
        <v>431</v>
      </c>
      <c r="B1764" s="22">
        <v>1.4174878015182925E-3</v>
      </c>
      <c r="C1764" s="22">
        <v>1.36508868308738E-3</v>
      </c>
      <c r="D1764" s="22">
        <v>1.7366872634738749E-4</v>
      </c>
    </row>
    <row r="1765" spans="1:4" x14ac:dyDescent="0.25">
      <c r="A1765" s="37" t="s">
        <v>433</v>
      </c>
      <c r="B1765" s="22">
        <v>4.6250223385868572E-4</v>
      </c>
      <c r="C1765" s="22">
        <v>3.7281009281286975E-4</v>
      </c>
      <c r="D1765" s="22">
        <v>2.5029400421772147E-4</v>
      </c>
    </row>
    <row r="1766" spans="1:4" x14ac:dyDescent="0.25">
      <c r="A1766" s="37" t="s">
        <v>434</v>
      </c>
      <c r="B1766" s="22">
        <v>1.7249581105716039E-4</v>
      </c>
      <c r="C1766" s="22">
        <v>2.1389864559750999E-4</v>
      </c>
      <c r="D1766" s="22">
        <v>2.0699500419141259E-4</v>
      </c>
    </row>
    <row r="1767" spans="1:4" x14ac:dyDescent="0.25">
      <c r="A1767" s="37" t="s">
        <v>435</v>
      </c>
      <c r="B1767" s="22">
        <v>-1.975297745957505E-4</v>
      </c>
      <c r="C1767" s="22">
        <v>-1.4212746100383827E-4</v>
      </c>
      <c r="D1767" s="22">
        <v>1.6177738507394676E-4</v>
      </c>
    </row>
    <row r="1768" spans="1:4" x14ac:dyDescent="0.25">
      <c r="A1768" s="37" t="s">
        <v>436</v>
      </c>
      <c r="B1768" s="22">
        <v>-2.5248530619137449E-4</v>
      </c>
      <c r="C1768" s="22">
        <v>-2.8751191712217427E-4</v>
      </c>
      <c r="D1768" s="22">
        <v>1.6380340639443624E-4</v>
      </c>
    </row>
    <row r="1769" spans="1:4" x14ac:dyDescent="0.25">
      <c r="A1769" s="37" t="s">
        <v>432</v>
      </c>
      <c r="B1769" s="22">
        <v>7.224977453006438E-4</v>
      </c>
      <c r="C1769" s="22">
        <v>8.1796305676107317E-4</v>
      </c>
      <c r="D1769" s="22">
        <v>1.152922959590795E-4</v>
      </c>
    </row>
    <row r="1770" spans="1:4" x14ac:dyDescent="0.25">
      <c r="A1770" s="2">
        <v>68</v>
      </c>
      <c r="B1770" s="22">
        <v>1.9770025362959149E-4</v>
      </c>
      <c r="C1770" s="22">
        <v>1.3824117935428153E-4</v>
      </c>
      <c r="D1770" s="22">
        <v>2.6738407193761322E-4</v>
      </c>
    </row>
    <row r="1771" spans="1:4" x14ac:dyDescent="0.25">
      <c r="A1771" s="37" t="s">
        <v>413</v>
      </c>
      <c r="B1771" s="22">
        <v>1.5252825141942608E-4</v>
      </c>
      <c r="C1771" s="22">
        <v>2.3342961139860574E-4</v>
      </c>
      <c r="D1771" s="22">
        <v>2.5487548373348529E-4</v>
      </c>
    </row>
    <row r="1772" spans="1:4" x14ac:dyDescent="0.25">
      <c r="A1772" s="37" t="s">
        <v>414</v>
      </c>
      <c r="B1772" s="22">
        <v>-1.2001394043181804E-4</v>
      </c>
      <c r="C1772" s="22">
        <v>-2.2196511565653E-5</v>
      </c>
      <c r="D1772" s="22">
        <v>9.7817428866165049E-5</v>
      </c>
    </row>
    <row r="1773" spans="1:4" x14ac:dyDescent="0.25">
      <c r="A1773" s="37" t="s">
        <v>415</v>
      </c>
      <c r="B1773" s="22">
        <v>-6.2495477322954752E-5</v>
      </c>
      <c r="C1773" s="22">
        <v>-2.3875975421105988E-4</v>
      </c>
      <c r="D1773" s="22">
        <v>3.4298337959626213E-4</v>
      </c>
    </row>
    <row r="1774" spans="1:4" x14ac:dyDescent="0.25">
      <c r="A1774" s="37" t="s">
        <v>416</v>
      </c>
      <c r="B1774" s="22">
        <v>1.8498306599212802E-4</v>
      </c>
      <c r="C1774" s="22">
        <v>4.8235734993795848E-5</v>
      </c>
      <c r="D1774" s="22">
        <v>1.7696317127047212E-4</v>
      </c>
    </row>
    <row r="1775" spans="1:4" x14ac:dyDescent="0.25">
      <c r="A1775" s="37" t="s">
        <v>417</v>
      </c>
      <c r="B1775" s="22">
        <v>7.0005644374759868E-5</v>
      </c>
      <c r="C1775" s="22">
        <v>1.8749906485027179E-4</v>
      </c>
      <c r="D1775" s="22">
        <v>2.7590033096203142E-4</v>
      </c>
    </row>
    <row r="1776" spans="1:4" x14ac:dyDescent="0.25">
      <c r="A1776" s="37" t="s">
        <v>418</v>
      </c>
      <c r="B1776" s="22">
        <v>3.7491325201699551E-5</v>
      </c>
      <c r="C1776" s="22">
        <v>-1.1515382357174533E-4</v>
      </c>
      <c r="D1776" s="22">
        <v>2.2447306037065562E-4</v>
      </c>
    </row>
    <row r="1777" spans="1:4" x14ac:dyDescent="0.25">
      <c r="A1777" s="37" t="s">
        <v>419</v>
      </c>
      <c r="B1777" s="22">
        <v>-1.99973594135372E-4</v>
      </c>
      <c r="C1777" s="22">
        <v>-1.6108834506667336E-4</v>
      </c>
      <c r="D1777" s="22">
        <v>1.9286189444756022E-4</v>
      </c>
    </row>
    <row r="1778" spans="1:4" x14ac:dyDescent="0.25">
      <c r="A1778" s="37" t="s">
        <v>420</v>
      </c>
      <c r="B1778" s="22">
        <v>-3.325045508972838E-4</v>
      </c>
      <c r="C1778" s="22">
        <v>-5.4277459639706649E-4</v>
      </c>
      <c r="D1778" s="22">
        <v>2.5875693972920983E-4</v>
      </c>
    </row>
    <row r="1779" spans="1:4" x14ac:dyDescent="0.25">
      <c r="A1779" s="37" t="s">
        <v>421</v>
      </c>
      <c r="B1779" s="22">
        <v>-1.7502904120192403E-4</v>
      </c>
      <c r="C1779" s="22">
        <v>-1.2423941370798275E-4</v>
      </c>
      <c r="D1779" s="22">
        <v>1.7474500600656023E-4</v>
      </c>
    </row>
    <row r="1780" spans="1:4" x14ac:dyDescent="0.25">
      <c r="A1780" s="37" t="s">
        <v>422</v>
      </c>
      <c r="B1780" s="22">
        <v>2.0000338008685511E-4</v>
      </c>
      <c r="C1780" s="22">
        <v>4.8755137686384853E-4</v>
      </c>
      <c r="D1780" s="22">
        <v>2.9731902577623286E-4</v>
      </c>
    </row>
    <row r="1781" spans="1:4" x14ac:dyDescent="0.25">
      <c r="A1781" s="37" t="s">
        <v>423</v>
      </c>
      <c r="B1781" s="22">
        <v>4.5502188913815189E-4</v>
      </c>
      <c r="C1781" s="22">
        <v>1.7543478134030021E-4</v>
      </c>
      <c r="D1781" s="22">
        <v>4.5479738764697686E-4</v>
      </c>
    </row>
    <row r="1782" spans="1:4" x14ac:dyDescent="0.25">
      <c r="A1782" s="37" t="s">
        <v>424</v>
      </c>
      <c r="B1782" s="22">
        <v>-5.5015114412526275E-5</v>
      </c>
      <c r="C1782" s="22">
        <v>-6.7940191001980823E-5</v>
      </c>
      <c r="D1782" s="22">
        <v>2.1690699941245844E-4</v>
      </c>
    </row>
    <row r="1783" spans="1:4" x14ac:dyDescent="0.25">
      <c r="A1783" s="37" t="s">
        <v>425</v>
      </c>
      <c r="B1783" s="22">
        <v>2.7501580916578021E-4</v>
      </c>
      <c r="C1783" s="22">
        <v>-1.5395452464872343E-5</v>
      </c>
      <c r="D1783" s="22">
        <v>6.7984427096234943E-4</v>
      </c>
    </row>
    <row r="1784" spans="1:4" x14ac:dyDescent="0.25">
      <c r="A1784" s="37" t="s">
        <v>426</v>
      </c>
      <c r="B1784" s="22">
        <v>1.0175108618568638E-3</v>
      </c>
      <c r="C1784" s="22">
        <v>8.0148064080276527E-4</v>
      </c>
      <c r="D1784" s="22">
        <v>2.160302210540985E-4</v>
      </c>
    </row>
    <row r="1785" spans="1:4" x14ac:dyDescent="0.25">
      <c r="A1785" s="37" t="s">
        <v>427</v>
      </c>
      <c r="B1785" s="22">
        <v>1.0499656491447242E-3</v>
      </c>
      <c r="C1785" s="22">
        <v>6.4647533872630469E-4</v>
      </c>
      <c r="D1785" s="22">
        <v>4.6636186016257847E-4</v>
      </c>
    </row>
    <row r="1786" spans="1:4" x14ac:dyDescent="0.25">
      <c r="A1786" s="37" t="s">
        <v>428</v>
      </c>
      <c r="B1786" s="22">
        <v>2.5004148483276259E-5</v>
      </c>
      <c r="C1786" s="22">
        <v>2.7663253240461916E-4</v>
      </c>
      <c r="D1786" s="22">
        <v>3.6314184944785644E-4</v>
      </c>
    </row>
    <row r="1787" spans="1:4" x14ac:dyDescent="0.25">
      <c r="A1787" s="37" t="s">
        <v>429</v>
      </c>
      <c r="B1787" s="22">
        <v>-5.2481911552604261E-5</v>
      </c>
      <c r="C1787" s="22">
        <v>-3.6612680196412861E-4</v>
      </c>
      <c r="D1787" s="22">
        <v>3.1364489041152432E-4</v>
      </c>
    </row>
    <row r="1788" spans="1:4" x14ac:dyDescent="0.25">
      <c r="A1788" s="37" t="s">
        <v>430</v>
      </c>
      <c r="B1788" s="22">
        <v>5.6251879595947739E-4</v>
      </c>
      <c r="C1788" s="22">
        <v>4.6047833893680956E-4</v>
      </c>
      <c r="D1788" s="22">
        <v>3.1251040036295362E-4</v>
      </c>
    </row>
    <row r="1789" spans="1:4" x14ac:dyDescent="0.25">
      <c r="A1789" s="37" t="s">
        <v>431</v>
      </c>
      <c r="B1789" s="22">
        <v>1.4174878015182925E-3</v>
      </c>
      <c r="C1789" s="22">
        <v>1.1347746913088494E-3</v>
      </c>
      <c r="D1789" s="22">
        <v>2.82713110209443E-4</v>
      </c>
    </row>
    <row r="1790" spans="1:4" x14ac:dyDescent="0.25">
      <c r="A1790" s="37" t="s">
        <v>433</v>
      </c>
      <c r="B1790" s="22">
        <v>4.6250223385868572E-4</v>
      </c>
      <c r="C1790" s="22">
        <v>3.3045006057363935E-4</v>
      </c>
      <c r="D1790" s="22">
        <v>1.3205217328504638E-4</v>
      </c>
    </row>
    <row r="1791" spans="1:4" x14ac:dyDescent="0.25">
      <c r="A1791" s="37" t="s">
        <v>434</v>
      </c>
      <c r="B1791" s="22">
        <v>1.7249581105716039E-4</v>
      </c>
      <c r="C1791" s="22">
        <v>1.7429595845897E-4</v>
      </c>
      <c r="D1791" s="22">
        <v>1.8285906389792214E-4</v>
      </c>
    </row>
    <row r="1792" spans="1:4" x14ac:dyDescent="0.25">
      <c r="A1792" s="37" t="s">
        <v>435</v>
      </c>
      <c r="B1792" s="22">
        <v>-1.975297745957505E-4</v>
      </c>
      <c r="C1792" s="22">
        <v>-1.0638548519636959E-4</v>
      </c>
      <c r="D1792" s="22">
        <v>2.7625107213680188E-4</v>
      </c>
    </row>
    <row r="1793" spans="1:4" x14ac:dyDescent="0.25">
      <c r="A1793" s="37" t="s">
        <v>436</v>
      </c>
      <c r="B1793" s="22">
        <v>-2.5248530619137449E-4</v>
      </c>
      <c r="C1793" s="22">
        <v>-3.2221066066995247E-4</v>
      </c>
      <c r="D1793" s="22">
        <v>1.4155699864204502E-4</v>
      </c>
    </row>
    <row r="1794" spans="1:4" x14ac:dyDescent="0.25">
      <c r="A1794" s="37" t="s">
        <v>437</v>
      </c>
      <c r="B1794" s="22">
        <v>-4.1499736107652996E-4</v>
      </c>
      <c r="C1794" s="22">
        <v>-2.9000776612520001E-4</v>
      </c>
      <c r="D1794" s="22">
        <v>1.4344873579830145E-4</v>
      </c>
    </row>
    <row r="1795" spans="1:4" x14ac:dyDescent="0.25">
      <c r="A1795" s="37" t="s">
        <v>432</v>
      </c>
      <c r="B1795" s="22">
        <v>7.224977453006438E-4</v>
      </c>
      <c r="C1795" s="22">
        <v>8.7157015514094296E-4</v>
      </c>
      <c r="D1795" s="22">
        <v>2.0578704425133927E-4</v>
      </c>
    </row>
    <row r="1796" spans="1:4" x14ac:dyDescent="0.25">
      <c r="A1796" s="2">
        <v>69</v>
      </c>
      <c r="B1796" s="22"/>
      <c r="C1796" s="22">
        <v>-2.2902053206053036E-5</v>
      </c>
      <c r="D1796" s="22"/>
    </row>
    <row r="1797" spans="1:4" x14ac:dyDescent="0.25">
      <c r="A1797" s="37" t="s">
        <v>317</v>
      </c>
      <c r="B1797" s="22"/>
      <c r="C1797" s="22">
        <v>-2.2902053206053036E-5</v>
      </c>
      <c r="D1797" s="22"/>
    </row>
    <row r="1798" spans="1:4" x14ac:dyDescent="0.25">
      <c r="A1798" s="2">
        <v>70</v>
      </c>
      <c r="B1798" s="22"/>
      <c r="C1798" s="22">
        <v>1.1228385963477194E-4</v>
      </c>
      <c r="D1798" s="22"/>
    </row>
    <row r="1799" spans="1:4" x14ac:dyDescent="0.25">
      <c r="A1799" s="37" t="s">
        <v>317</v>
      </c>
      <c r="B1799" s="22"/>
      <c r="C1799" s="22">
        <v>1.1228385963477194E-4</v>
      </c>
      <c r="D1799" s="22"/>
    </row>
    <row r="1800" spans="1:4" x14ac:dyDescent="0.25">
      <c r="A1800" s="2">
        <v>71</v>
      </c>
      <c r="B1800" s="22"/>
      <c r="C1800" s="22">
        <v>1.2324258857915985E-4</v>
      </c>
      <c r="D1800" s="22"/>
    </row>
    <row r="1801" spans="1:4" x14ac:dyDescent="0.25">
      <c r="A1801" s="37" t="s">
        <v>317</v>
      </c>
      <c r="B1801" s="22"/>
      <c r="C1801" s="22">
        <v>1.2324258857915985E-4</v>
      </c>
      <c r="D1801" s="22"/>
    </row>
    <row r="1802" spans="1:4" x14ac:dyDescent="0.25">
      <c r="A1802" s="2" t="s">
        <v>1</v>
      </c>
      <c r="B1802" s="22">
        <v>-2.4885561873209871E-5</v>
      </c>
      <c r="C1802" s="22">
        <v>1.4138808394816363E-4</v>
      </c>
      <c r="D1802" s="22">
        <v>1.0566919907011285E-4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5"/>
  <sheetViews>
    <sheetView tabSelected="1" zoomScale="85" zoomScaleNormal="85" workbookViewId="0">
      <selection activeCell="A54" sqref="A54"/>
    </sheetView>
  </sheetViews>
  <sheetFormatPr defaultRowHeight="15" x14ac:dyDescent="0.25"/>
  <cols>
    <col min="1" max="1" width="17.7109375" customWidth="1"/>
    <col min="2" max="2" width="22.85546875" bestFit="1" customWidth="1"/>
    <col min="3" max="3" width="25.5703125" bestFit="1" customWidth="1"/>
    <col min="4" max="4" width="21.7109375" bestFit="1" customWidth="1"/>
  </cols>
  <sheetData>
    <row r="1" spans="1:8" x14ac:dyDescent="0.25">
      <c r="A1" s="1" t="s">
        <v>0</v>
      </c>
      <c r="B1" t="s">
        <v>135</v>
      </c>
      <c r="C1" t="s">
        <v>136</v>
      </c>
      <c r="D1" t="s">
        <v>137</v>
      </c>
      <c r="G1" t="s">
        <v>131</v>
      </c>
      <c r="H1" s="32">
        <f>GETPIVOTDATA("Average of ERRORBASE",$A$1)</f>
        <v>1.025639082257895E-4</v>
      </c>
    </row>
    <row r="2" spans="1:8" x14ac:dyDescent="0.25">
      <c r="A2" s="2" t="s">
        <v>354</v>
      </c>
      <c r="B2" s="3">
        <v>1.1682575345039352</v>
      </c>
      <c r="C2" s="3"/>
      <c r="D2" s="3"/>
    </row>
    <row r="3" spans="1:8" x14ac:dyDescent="0.25">
      <c r="A3" s="2" t="s">
        <v>355</v>
      </c>
      <c r="B3" s="3">
        <v>1.1690800189971899</v>
      </c>
      <c r="C3" s="3"/>
      <c r="D3" s="3"/>
    </row>
    <row r="4" spans="1:8" x14ac:dyDescent="0.25">
      <c r="A4" s="2" t="s">
        <v>356</v>
      </c>
      <c r="B4" s="3">
        <v>1.1692175269126874</v>
      </c>
      <c r="C4" s="3"/>
      <c r="D4" s="3"/>
    </row>
    <row r="5" spans="1:8" x14ac:dyDescent="0.25">
      <c r="A5" s="2" t="s">
        <v>346</v>
      </c>
      <c r="B5" s="3">
        <v>1.1690249741077401</v>
      </c>
      <c r="C5" s="3"/>
      <c r="D5" s="3"/>
    </row>
    <row r="6" spans="1:8" x14ac:dyDescent="0.25">
      <c r="A6" s="2" t="s">
        <v>357</v>
      </c>
      <c r="B6" s="3">
        <v>1.1699250042438525</v>
      </c>
      <c r="C6" s="3"/>
      <c r="D6" s="3"/>
    </row>
    <row r="7" spans="1:8" x14ac:dyDescent="0.25">
      <c r="A7" s="2" t="s">
        <v>358</v>
      </c>
      <c r="B7" s="3">
        <v>1.1697050034999874</v>
      </c>
      <c r="C7" s="3"/>
      <c r="D7" s="3"/>
    </row>
    <row r="8" spans="1:8" x14ac:dyDescent="0.25">
      <c r="A8" s="2" t="s">
        <v>340</v>
      </c>
      <c r="B8" s="3">
        <v>1.1693825125694275</v>
      </c>
      <c r="C8" s="3"/>
      <c r="D8" s="3"/>
    </row>
    <row r="9" spans="1:8" x14ac:dyDescent="0.25">
      <c r="A9" s="2" t="s">
        <v>359</v>
      </c>
      <c r="B9" s="3">
        <v>1.1694424748420724</v>
      </c>
      <c r="C9" s="3"/>
      <c r="D9" s="3"/>
    </row>
    <row r="10" spans="1:8" x14ac:dyDescent="0.25">
      <c r="A10" s="2" t="s">
        <v>360</v>
      </c>
      <c r="B10" s="3">
        <v>1.1699849963188149</v>
      </c>
      <c r="C10" s="3"/>
      <c r="D10" s="3"/>
    </row>
    <row r="11" spans="1:8" x14ac:dyDescent="0.25">
      <c r="A11" s="2" t="s">
        <v>361</v>
      </c>
      <c r="B11" s="3">
        <v>1.1684624850749949</v>
      </c>
      <c r="C11" s="3"/>
      <c r="D11" s="3"/>
    </row>
    <row r="12" spans="1:8" x14ac:dyDescent="0.25">
      <c r="A12" s="2" t="s">
        <v>362</v>
      </c>
      <c r="B12" s="3">
        <v>1.1673249602317801</v>
      </c>
      <c r="C12" s="3"/>
      <c r="D12" s="3"/>
    </row>
    <row r="13" spans="1:8" x14ac:dyDescent="0.25">
      <c r="A13" s="2" t="s">
        <v>363</v>
      </c>
      <c r="B13" s="3">
        <v>1.1676025092601776</v>
      </c>
      <c r="C13" s="3"/>
      <c r="D13" s="3"/>
    </row>
    <row r="14" spans="1:8" x14ac:dyDescent="0.25">
      <c r="A14" s="2" t="s">
        <v>364</v>
      </c>
      <c r="B14" s="3">
        <v>1.1687700152397149</v>
      </c>
      <c r="C14" s="3"/>
      <c r="D14" s="3"/>
    </row>
    <row r="15" spans="1:8" x14ac:dyDescent="0.25">
      <c r="A15" s="2" t="s">
        <v>338</v>
      </c>
      <c r="B15" s="3">
        <v>1.1700724959373476</v>
      </c>
      <c r="C15" s="3"/>
      <c r="D15" s="3"/>
    </row>
    <row r="16" spans="1:8" x14ac:dyDescent="0.25">
      <c r="A16" s="2" t="s">
        <v>365</v>
      </c>
      <c r="B16" s="3">
        <v>1.171657502651215</v>
      </c>
      <c r="C16" s="3"/>
      <c r="D16" s="3"/>
    </row>
    <row r="17" spans="1:4" x14ac:dyDescent="0.25">
      <c r="A17" s="2" t="s">
        <v>366</v>
      </c>
      <c r="B17" s="3">
        <v>1.1727750003337849</v>
      </c>
      <c r="C17" s="3"/>
      <c r="D17" s="3"/>
    </row>
    <row r="18" spans="1:4" x14ac:dyDescent="0.25">
      <c r="A18" s="2" t="s">
        <v>367</v>
      </c>
      <c r="B18" s="3">
        <v>1.1725600063800825</v>
      </c>
      <c r="C18" s="3"/>
      <c r="D18" s="3"/>
    </row>
    <row r="19" spans="1:4" x14ac:dyDescent="0.25">
      <c r="A19" s="2" t="s">
        <v>368</v>
      </c>
      <c r="B19" s="3">
        <v>1.1726324856281276</v>
      </c>
      <c r="C19" s="3"/>
      <c r="D19" s="3"/>
    </row>
    <row r="20" spans="1:4" x14ac:dyDescent="0.25">
      <c r="A20" s="2" t="s">
        <v>369</v>
      </c>
      <c r="B20" s="3">
        <v>1.1734150052070624</v>
      </c>
      <c r="C20" s="3"/>
      <c r="D20" s="3"/>
    </row>
    <row r="21" spans="1:4" x14ac:dyDescent="0.25">
      <c r="A21" s="2" t="s">
        <v>370</v>
      </c>
      <c r="B21" s="3">
        <v>1.17348748445511</v>
      </c>
      <c r="C21" s="3"/>
      <c r="D21" s="3"/>
    </row>
    <row r="22" spans="1:4" x14ac:dyDescent="0.25">
      <c r="A22" s="2" t="s">
        <v>371</v>
      </c>
      <c r="B22" s="3">
        <v>1.1735224723815925</v>
      </c>
      <c r="C22" s="3"/>
      <c r="D22" s="3"/>
    </row>
    <row r="23" spans="1:4" x14ac:dyDescent="0.25">
      <c r="A23" s="2" t="s">
        <v>372</v>
      </c>
      <c r="B23" s="3">
        <v>1.173359990119935</v>
      </c>
      <c r="C23" s="3"/>
      <c r="D23" s="3"/>
    </row>
    <row r="24" spans="1:4" x14ac:dyDescent="0.25">
      <c r="A24" s="2" t="s">
        <v>373</v>
      </c>
      <c r="B24" s="3">
        <v>1.1733424961566925</v>
      </c>
      <c r="C24" s="3"/>
      <c r="D24" s="3"/>
    </row>
    <row r="25" spans="1:4" x14ac:dyDescent="0.25">
      <c r="A25" s="2" t="s">
        <v>374</v>
      </c>
      <c r="B25" s="3">
        <v>1.1731449961662275</v>
      </c>
      <c r="C25" s="3"/>
      <c r="D25" s="3"/>
    </row>
    <row r="26" spans="1:4" x14ac:dyDescent="0.25">
      <c r="A26" s="2" t="s">
        <v>375</v>
      </c>
      <c r="B26" s="3">
        <v>1.1731824874877925</v>
      </c>
      <c r="C26" s="3"/>
      <c r="D26" s="3"/>
    </row>
    <row r="27" spans="1:4" x14ac:dyDescent="0.25">
      <c r="A27" s="2" t="s">
        <v>376</v>
      </c>
      <c r="B27" s="3">
        <v>1.1730699837207774</v>
      </c>
      <c r="C27" s="3"/>
      <c r="D27" s="3"/>
    </row>
    <row r="28" spans="1:4" x14ac:dyDescent="0.25">
      <c r="A28" s="2" t="s">
        <v>377</v>
      </c>
      <c r="B28" s="3">
        <v>1.1727575361728675</v>
      </c>
      <c r="C28" s="3"/>
      <c r="D28" s="3"/>
    </row>
    <row r="29" spans="1:4" x14ac:dyDescent="0.25">
      <c r="A29" s="2" t="s">
        <v>378</v>
      </c>
      <c r="B29" s="3">
        <v>1.1719225049018875</v>
      </c>
      <c r="C29" s="3"/>
      <c r="D29" s="3"/>
    </row>
    <row r="30" spans="1:4" x14ac:dyDescent="0.25">
      <c r="A30" s="2" t="s">
        <v>379</v>
      </c>
      <c r="B30" s="3">
        <v>1.1712050139904024</v>
      </c>
      <c r="C30" s="3"/>
      <c r="D30" s="3"/>
    </row>
    <row r="31" spans="1:4" x14ac:dyDescent="0.25">
      <c r="A31" s="2" t="s">
        <v>380</v>
      </c>
      <c r="B31" s="3">
        <v>1.1711800396442427</v>
      </c>
      <c r="C31" s="3"/>
      <c r="D31" s="3"/>
    </row>
    <row r="32" spans="1:4" x14ac:dyDescent="0.25">
      <c r="A32" s="2" t="s">
        <v>381</v>
      </c>
      <c r="B32" s="3">
        <v>1.1710400283336648</v>
      </c>
      <c r="C32" s="3"/>
      <c r="D32" s="3"/>
    </row>
    <row r="33" spans="1:4" x14ac:dyDescent="0.25">
      <c r="A33" s="2" t="s">
        <v>382</v>
      </c>
      <c r="B33" s="3">
        <v>1.1705974936485299</v>
      </c>
      <c r="C33" s="3"/>
      <c r="D33" s="3"/>
    </row>
    <row r="34" spans="1:4" x14ac:dyDescent="0.25">
      <c r="A34" s="2" t="s">
        <v>383</v>
      </c>
      <c r="B34" s="3">
        <v>1.1686399877071376</v>
      </c>
      <c r="C34" s="3"/>
      <c r="D34" s="3"/>
    </row>
    <row r="35" spans="1:4" x14ac:dyDescent="0.25">
      <c r="A35" s="2" t="s">
        <v>384</v>
      </c>
      <c r="B35" s="3">
        <v>1.1667975187301625</v>
      </c>
      <c r="C35" s="3"/>
      <c r="D35" s="3"/>
    </row>
    <row r="36" spans="1:4" x14ac:dyDescent="0.25">
      <c r="A36" s="2" t="s">
        <v>385</v>
      </c>
      <c r="B36" s="3">
        <v>1.1656950116157498</v>
      </c>
      <c r="C36" s="3"/>
      <c r="D36" s="3"/>
    </row>
    <row r="37" spans="1:4" x14ac:dyDescent="0.25">
      <c r="A37" s="2" t="s">
        <v>386</v>
      </c>
      <c r="B37" s="3">
        <v>1.1657399833202375</v>
      </c>
      <c r="C37" s="3"/>
      <c r="D37" s="3"/>
    </row>
    <row r="38" spans="1:4" x14ac:dyDescent="0.25">
      <c r="A38" s="2" t="s">
        <v>387</v>
      </c>
      <c r="B38" s="3">
        <v>1.165872514247895</v>
      </c>
      <c r="C38" s="3"/>
      <c r="D38" s="3"/>
    </row>
    <row r="39" spans="1:4" x14ac:dyDescent="0.25">
      <c r="A39" s="2" t="s">
        <v>388</v>
      </c>
      <c r="B39" s="3">
        <v>1.1648975014686573</v>
      </c>
      <c r="C39" s="3"/>
      <c r="D39" s="3"/>
    </row>
    <row r="40" spans="1:4" x14ac:dyDescent="0.25">
      <c r="A40" s="2" t="s">
        <v>389</v>
      </c>
      <c r="B40" s="3">
        <v>1.1643275022506725</v>
      </c>
      <c r="C40" s="3"/>
      <c r="D40" s="3"/>
    </row>
    <row r="41" spans="1:4" x14ac:dyDescent="0.25">
      <c r="A41" s="2" t="s">
        <v>390</v>
      </c>
      <c r="B41" s="3">
        <v>1.1642925143241873</v>
      </c>
      <c r="C41" s="3"/>
      <c r="D41" s="3"/>
    </row>
    <row r="42" spans="1:4" x14ac:dyDescent="0.25">
      <c r="A42" s="2" t="s">
        <v>391</v>
      </c>
      <c r="B42" s="3">
        <v>1.1640450358390799</v>
      </c>
      <c r="C42" s="3"/>
      <c r="D42" s="3"/>
    </row>
    <row r="43" spans="1:4" x14ac:dyDescent="0.25">
      <c r="A43" s="2" t="s">
        <v>392</v>
      </c>
      <c r="B43" s="3">
        <v>1.1639575064182275</v>
      </c>
      <c r="C43" s="3"/>
      <c r="D43" s="3"/>
    </row>
    <row r="44" spans="1:4" x14ac:dyDescent="0.25">
      <c r="A44" s="2" t="s">
        <v>393</v>
      </c>
      <c r="B44" s="3">
        <v>1.16413250565529</v>
      </c>
      <c r="C44" s="3"/>
      <c r="D44" s="3"/>
    </row>
    <row r="45" spans="1:4" x14ac:dyDescent="0.25">
      <c r="A45" s="2" t="s">
        <v>394</v>
      </c>
      <c r="B45" s="3">
        <v>1.164189994335175</v>
      </c>
      <c r="C45" s="3"/>
      <c r="D45" s="3"/>
    </row>
    <row r="46" spans="1:4" x14ac:dyDescent="0.25">
      <c r="A46" s="2" t="s">
        <v>395</v>
      </c>
      <c r="B46" s="3">
        <v>1.1642374992370623</v>
      </c>
      <c r="C46" s="3"/>
      <c r="D46" s="3"/>
    </row>
    <row r="47" spans="1:4" x14ac:dyDescent="0.25">
      <c r="A47" s="2" t="s">
        <v>396</v>
      </c>
      <c r="B47" s="3">
        <v>1.16474497318268</v>
      </c>
      <c r="C47" s="3"/>
      <c r="D47" s="3"/>
    </row>
    <row r="48" spans="1:4" x14ac:dyDescent="0.25">
      <c r="A48" s="2" t="s">
        <v>397</v>
      </c>
      <c r="B48" s="3">
        <v>1.1650574803352352</v>
      </c>
      <c r="C48" s="3"/>
      <c r="D48" s="3"/>
    </row>
    <row r="49" spans="1:4" x14ac:dyDescent="0.25">
      <c r="A49" s="2" t="s">
        <v>398</v>
      </c>
      <c r="B49" s="3">
        <v>1.1647900044918049</v>
      </c>
      <c r="C49" s="3"/>
      <c r="D49" s="3"/>
    </row>
    <row r="50" spans="1:4" x14ac:dyDescent="0.25">
      <c r="A50" s="2" t="s">
        <v>399</v>
      </c>
      <c r="B50" s="3">
        <v>1.1645824909210225</v>
      </c>
      <c r="C50" s="3"/>
      <c r="D50" s="3"/>
    </row>
    <row r="51" spans="1:4" x14ac:dyDescent="0.25">
      <c r="A51" s="2" t="s">
        <v>400</v>
      </c>
      <c r="B51" s="3">
        <v>1.16445752978325</v>
      </c>
      <c r="C51" s="3"/>
      <c r="D51" s="3"/>
    </row>
    <row r="52" spans="1:4" x14ac:dyDescent="0.25">
      <c r="A52" s="2" t="s">
        <v>401</v>
      </c>
      <c r="B52" s="3">
        <v>1.16474249958992</v>
      </c>
      <c r="C52" s="3">
        <v>1.1646664142608649</v>
      </c>
      <c r="D52" s="3">
        <v>1.1107325553499999E-4</v>
      </c>
    </row>
    <row r="53" spans="1:4" x14ac:dyDescent="0.25">
      <c r="A53" s="2" t="s">
        <v>402</v>
      </c>
      <c r="B53" s="3">
        <v>1.1635424792766575</v>
      </c>
      <c r="C53" s="3">
        <v>1.1634386181831375</v>
      </c>
      <c r="D53" s="3">
        <v>1.3980269432E-4</v>
      </c>
    </row>
    <row r="54" spans="1:4" x14ac:dyDescent="0.25">
      <c r="A54" s="2" t="s">
        <v>403</v>
      </c>
      <c r="B54" s="3">
        <v>1.1626049876213076</v>
      </c>
      <c r="C54" s="3">
        <v>1.1626640856266024</v>
      </c>
      <c r="D54" s="3">
        <v>9.1344118119999999E-5</v>
      </c>
    </row>
    <row r="55" spans="1:4" x14ac:dyDescent="0.25">
      <c r="A55" s="2" t="s">
        <v>404</v>
      </c>
      <c r="B55" s="3">
        <v>1.1626524925231951</v>
      </c>
      <c r="C55" s="3">
        <v>1.1626466810703275</v>
      </c>
      <c r="D55" s="3">
        <v>4.1753053667500001E-5</v>
      </c>
    </row>
    <row r="56" spans="1:4" x14ac:dyDescent="0.25">
      <c r="A56" s="2" t="s">
        <v>405</v>
      </c>
      <c r="B56" s="3">
        <v>1.1626099944114676</v>
      </c>
      <c r="C56" s="3">
        <v>1.1626290678977975</v>
      </c>
      <c r="D56" s="3">
        <v>7.3850154875000011E-5</v>
      </c>
    </row>
    <row r="57" spans="1:4" x14ac:dyDescent="0.25">
      <c r="A57" s="2" t="s">
        <v>406</v>
      </c>
      <c r="B57" s="3">
        <v>1.1631049811840048</v>
      </c>
      <c r="C57" s="3">
        <v>1.1631410419940951</v>
      </c>
      <c r="D57" s="3">
        <v>7.0333480834999996E-5</v>
      </c>
    </row>
    <row r="58" spans="1:4" x14ac:dyDescent="0.25">
      <c r="A58" s="2" t="s">
        <v>407</v>
      </c>
      <c r="B58" s="3">
        <v>1.16458496451378</v>
      </c>
      <c r="C58" s="3">
        <v>1.16459384560585</v>
      </c>
      <c r="D58" s="3">
        <v>7.2062015534999992E-5</v>
      </c>
    </row>
    <row r="59" spans="1:4" x14ac:dyDescent="0.25">
      <c r="A59" s="2" t="s">
        <v>408</v>
      </c>
      <c r="B59" s="3">
        <v>1.165409982204435</v>
      </c>
      <c r="C59" s="3">
        <v>1.1653997600078574</v>
      </c>
      <c r="D59" s="3">
        <v>6.4343214037499994E-5</v>
      </c>
    </row>
    <row r="60" spans="1:4" x14ac:dyDescent="0.25">
      <c r="A60" s="2" t="s">
        <v>409</v>
      </c>
      <c r="B60" s="3">
        <v>1.1654474735260001</v>
      </c>
      <c r="C60" s="3">
        <v>1.16555255651474</v>
      </c>
      <c r="D60" s="3">
        <v>1.5133619308499999E-4</v>
      </c>
    </row>
    <row r="61" spans="1:4" x14ac:dyDescent="0.25">
      <c r="A61" s="2" t="s">
        <v>410</v>
      </c>
      <c r="B61" s="3">
        <v>1.1655700206756601</v>
      </c>
      <c r="C61" s="3">
        <v>1.1655928790569301</v>
      </c>
      <c r="D61" s="3">
        <v>1.05530023575E-4</v>
      </c>
    </row>
    <row r="62" spans="1:4" x14ac:dyDescent="0.25">
      <c r="A62" s="2" t="s">
        <v>411</v>
      </c>
      <c r="B62" s="3">
        <v>1.165647476911545</v>
      </c>
      <c r="C62" s="3">
        <v>1.1656179726123825</v>
      </c>
      <c r="D62" s="3">
        <v>1.302361488325E-4</v>
      </c>
    </row>
    <row r="63" spans="1:4" x14ac:dyDescent="0.25">
      <c r="A63" s="2" t="s">
        <v>412</v>
      </c>
      <c r="B63" s="3">
        <v>1.165652483701705</v>
      </c>
      <c r="C63" s="3">
        <v>1.1656000316143027</v>
      </c>
      <c r="D63" s="3">
        <v>1.4859437942749999E-4</v>
      </c>
    </row>
    <row r="64" spans="1:4" x14ac:dyDescent="0.25">
      <c r="A64" s="2" t="s">
        <v>413</v>
      </c>
      <c r="B64" s="3">
        <v>1.1658050119876848</v>
      </c>
      <c r="C64" s="3">
        <v>1.1658709049224849</v>
      </c>
      <c r="D64" s="3">
        <v>7.6442956924999998E-5</v>
      </c>
    </row>
    <row r="65" spans="1:4" x14ac:dyDescent="0.25">
      <c r="A65" s="2" t="s">
        <v>414</v>
      </c>
      <c r="B65" s="3">
        <v>1.16568499803543</v>
      </c>
      <c r="C65" s="3">
        <v>1.165627658367155</v>
      </c>
      <c r="D65" s="3">
        <v>8.9645385745000002E-5</v>
      </c>
    </row>
    <row r="66" spans="1:4" x14ac:dyDescent="0.25">
      <c r="A66" s="2" t="s">
        <v>415</v>
      </c>
      <c r="B66" s="3">
        <v>1.1656225025653848</v>
      </c>
      <c r="C66" s="3">
        <v>1.1656549572944626</v>
      </c>
      <c r="D66" s="3">
        <v>8.0734491342500001E-5</v>
      </c>
    </row>
    <row r="67" spans="1:4" x14ac:dyDescent="0.25">
      <c r="A67" s="2" t="s">
        <v>416</v>
      </c>
      <c r="B67" s="3">
        <v>1.1658074855804426</v>
      </c>
      <c r="C67" s="3">
        <v>1.1658319234848051</v>
      </c>
      <c r="D67" s="3">
        <v>9.9599361417500006E-5</v>
      </c>
    </row>
    <row r="68" spans="1:4" x14ac:dyDescent="0.25">
      <c r="A68" s="2" t="s">
        <v>417</v>
      </c>
      <c r="B68" s="3">
        <v>1.1658774912357326</v>
      </c>
      <c r="C68" s="3">
        <v>1.1657792925834674</v>
      </c>
      <c r="D68" s="3">
        <v>1.30981206895E-4</v>
      </c>
    </row>
    <row r="69" spans="1:4" x14ac:dyDescent="0.25">
      <c r="A69" s="2" t="s">
        <v>418</v>
      </c>
      <c r="B69" s="3">
        <v>1.165914982557295</v>
      </c>
      <c r="C69" s="3">
        <v>1.1658676862716699</v>
      </c>
      <c r="D69" s="3">
        <v>7.8171491624999995E-5</v>
      </c>
    </row>
    <row r="70" spans="1:4" x14ac:dyDescent="0.25">
      <c r="A70" s="2" t="s">
        <v>419</v>
      </c>
      <c r="B70" s="3">
        <v>1.1657150089740751</v>
      </c>
      <c r="C70" s="3">
        <v>1.1657538712024698</v>
      </c>
      <c r="D70" s="3">
        <v>1.9288063049500002E-4</v>
      </c>
    </row>
    <row r="71" spans="1:4" x14ac:dyDescent="0.25">
      <c r="A71" s="2" t="s">
        <v>317</v>
      </c>
      <c r="B71" s="3"/>
      <c r="C71" s="3"/>
      <c r="D71" s="3"/>
    </row>
    <row r="72" spans="1:4" x14ac:dyDescent="0.25">
      <c r="A72" s="37">
        <v>69</v>
      </c>
      <c r="B72" s="3"/>
      <c r="C72" s="3">
        <v>1.1652449369430524</v>
      </c>
      <c r="D72" s="3"/>
    </row>
    <row r="73" spans="1:4" x14ac:dyDescent="0.25">
      <c r="A73" s="37">
        <v>70</v>
      </c>
      <c r="B73" s="3"/>
      <c r="C73" s="3">
        <v>1.1654430627822874</v>
      </c>
      <c r="D73" s="3"/>
    </row>
    <row r="74" spans="1:4" x14ac:dyDescent="0.25">
      <c r="A74" s="37">
        <v>71</v>
      </c>
      <c r="B74" s="3"/>
      <c r="C74" s="3">
        <v>1.1655417978763576</v>
      </c>
      <c r="D74" s="3"/>
    </row>
    <row r="75" spans="1:4" x14ac:dyDescent="0.25">
      <c r="A75" s="2" t="s">
        <v>1</v>
      </c>
      <c r="B75" s="3">
        <v>1.167732752319695</v>
      </c>
      <c r="C75" s="3">
        <v>1.164916320280595</v>
      </c>
      <c r="D75" s="3">
        <v>1.025639082257895E-4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8"/>
  <sheetViews>
    <sheetView topLeftCell="E7" zoomScale="85" zoomScaleNormal="85" workbookViewId="0">
      <selection activeCell="I4" sqref="I4"/>
    </sheetView>
  </sheetViews>
  <sheetFormatPr defaultRowHeight="15" x14ac:dyDescent="0.25"/>
  <cols>
    <col min="1" max="1" width="11.28515625" customWidth="1"/>
    <col min="2" max="2" width="20.28515625" customWidth="1"/>
    <col min="3" max="3" width="19.28515625" bestFit="1" customWidth="1"/>
    <col min="4" max="4" width="20.7109375" customWidth="1"/>
  </cols>
  <sheetData>
    <row r="3" spans="1:8" x14ac:dyDescent="0.25">
      <c r="B3" s="1" t="s">
        <v>153</v>
      </c>
      <c r="H3" s="5"/>
    </row>
    <row r="4" spans="1:8" x14ac:dyDescent="0.25">
      <c r="A4" s="1" t="s">
        <v>151</v>
      </c>
      <c r="B4" t="s">
        <v>150</v>
      </c>
      <c r="C4" t="s">
        <v>134</v>
      </c>
    </row>
    <row r="5" spans="1:8" x14ac:dyDescent="0.25">
      <c r="A5">
        <v>3332715.5</v>
      </c>
      <c r="B5" s="22">
        <v>5.0224243130191663E-3</v>
      </c>
      <c r="C5" s="22">
        <v>9.6970970139708789E-5</v>
      </c>
    </row>
    <row r="6" spans="1:8" x14ac:dyDescent="0.25">
      <c r="A6">
        <v>3332711.75</v>
      </c>
      <c r="B6" s="22">
        <v>6.5641059535616678E-3</v>
      </c>
      <c r="C6" s="22">
        <v>1.2748874525258508E-4</v>
      </c>
    </row>
    <row r="7" spans="1:8" x14ac:dyDescent="0.25">
      <c r="A7">
        <v>3332706.25</v>
      </c>
      <c r="B7" s="22">
        <v>5.635572805706611E-3</v>
      </c>
      <c r="C7" s="22">
        <v>1.0787485057574611E-4</v>
      </c>
    </row>
    <row r="8" spans="1:8" x14ac:dyDescent="0.25">
      <c r="A8">
        <v>3332700.75</v>
      </c>
      <c r="B8" s="22">
        <v>5.2274415226604126E-3</v>
      </c>
      <c r="C8" s="22">
        <v>1.0158056807085839E-4</v>
      </c>
    </row>
    <row r="9" spans="1:8" x14ac:dyDescent="0.25">
      <c r="A9">
        <v>3332698.75</v>
      </c>
      <c r="B9" s="22">
        <v>5.479486597132069E-3</v>
      </c>
      <c r="C9" s="22">
        <v>1.0672436975243592E-4</v>
      </c>
    </row>
    <row r="10" spans="1:8" x14ac:dyDescent="0.25">
      <c r="A10">
        <v>3332698.5</v>
      </c>
      <c r="B10" s="22">
        <v>6.6671894670243623E-3</v>
      </c>
      <c r="C10" s="22">
        <v>1.3157890091526094E-4</v>
      </c>
    </row>
    <row r="11" spans="1:8" x14ac:dyDescent="0.25">
      <c r="A11">
        <v>3332697.75</v>
      </c>
      <c r="B11" s="22">
        <v>5.8527560276592054E-3</v>
      </c>
      <c r="C11" s="22">
        <v>1.1321993534501856E-4</v>
      </c>
    </row>
    <row r="12" spans="1:8" x14ac:dyDescent="0.25">
      <c r="A12">
        <v>3332697</v>
      </c>
      <c r="B12" s="22">
        <v>5.3070759259801863E-3</v>
      </c>
      <c r="C12" s="22">
        <v>1.0387206064502894E-4</v>
      </c>
    </row>
    <row r="13" spans="1:8" x14ac:dyDescent="0.25">
      <c r="A13">
        <v>3332695.5</v>
      </c>
      <c r="B13" s="22">
        <v>3.7549615310701152E-3</v>
      </c>
      <c r="C13" s="22">
        <v>7.3207097662868439E-5</v>
      </c>
    </row>
    <row r="14" spans="1:8" x14ac:dyDescent="0.25">
      <c r="A14">
        <v>3332694.5</v>
      </c>
      <c r="B14" s="22">
        <v>4.9216710582473148E-3</v>
      </c>
      <c r="C14" s="22">
        <v>9.6281096076429549E-5</v>
      </c>
    </row>
    <row r="15" spans="1:8" x14ac:dyDescent="0.25">
      <c r="A15">
        <v>3332693.75</v>
      </c>
      <c r="B15" s="22">
        <v>4.5014885752033247E-3</v>
      </c>
      <c r="C15" s="22">
        <v>8.813027980935609E-5</v>
      </c>
    </row>
    <row r="16" spans="1:8" x14ac:dyDescent="0.25">
      <c r="A16">
        <v>3332693.25</v>
      </c>
      <c r="B16" s="22">
        <v>6.5484429452274647E-3</v>
      </c>
      <c r="C16" s="22">
        <v>1.2670893494259896E-4</v>
      </c>
    </row>
    <row r="17" spans="1:3" x14ac:dyDescent="0.25">
      <c r="A17">
        <v>3332691.75</v>
      </c>
      <c r="B17" s="22">
        <v>5.9232847844740439E-3</v>
      </c>
      <c r="C17" s="22">
        <v>1.150330356147988E-4</v>
      </c>
    </row>
    <row r="18" spans="1:3" x14ac:dyDescent="0.25">
      <c r="A18">
        <v>3332686.5</v>
      </c>
      <c r="B18" s="22">
        <v>6.0661030369565435E-3</v>
      </c>
      <c r="C18" s="22">
        <v>1.1810857926931055E-4</v>
      </c>
    </row>
    <row r="19" spans="1:3" x14ac:dyDescent="0.25">
      <c r="A19">
        <v>3332686.25</v>
      </c>
      <c r="B19" s="22">
        <v>5.4350883361429861E-3</v>
      </c>
      <c r="C19" s="22">
        <v>1.0729098496659868E-4</v>
      </c>
    </row>
    <row r="20" spans="1:3" x14ac:dyDescent="0.25">
      <c r="A20">
        <v>3332684.75</v>
      </c>
      <c r="B20" s="22">
        <v>5.7122119347025897E-3</v>
      </c>
      <c r="C20" s="22">
        <v>1.1018497504341888E-4</v>
      </c>
    </row>
    <row r="21" spans="1:3" x14ac:dyDescent="0.25">
      <c r="A21">
        <v>3332683.75</v>
      </c>
      <c r="B21" s="22">
        <v>4.8337060556820615E-3</v>
      </c>
      <c r="C21" s="22">
        <v>9.3902032834816202E-5</v>
      </c>
    </row>
    <row r="22" spans="1:3" x14ac:dyDescent="0.25">
      <c r="A22">
        <v>3332682.75</v>
      </c>
      <c r="B22" s="22">
        <v>5.1786954465665438E-3</v>
      </c>
      <c r="C22" s="22">
        <v>9.9870402012034072E-5</v>
      </c>
    </row>
    <row r="23" spans="1:3" x14ac:dyDescent="0.25">
      <c r="A23">
        <v>3332680.25</v>
      </c>
      <c r="B23" s="22">
        <v>5.4252904619236965E-3</v>
      </c>
      <c r="C23" s="22">
        <v>1.025639098411615E-4</v>
      </c>
    </row>
    <row r="24" spans="1:3" x14ac:dyDescent="0.25">
      <c r="A24">
        <v>3332676.75</v>
      </c>
      <c r="B24" s="22">
        <v>6.730489579862658E-3</v>
      </c>
      <c r="C24" s="22">
        <v>1.2992761904977098E-4</v>
      </c>
    </row>
    <row r="25" spans="1:3" x14ac:dyDescent="0.25">
      <c r="A25">
        <v>3332676.25</v>
      </c>
      <c r="B25" s="22">
        <v>5.2359290849907959E-3</v>
      </c>
      <c r="C25" s="22">
        <v>1.0167282712365318E-4</v>
      </c>
    </row>
    <row r="26" spans="1:3" x14ac:dyDescent="0.25">
      <c r="A26">
        <v>3332670.5</v>
      </c>
      <c r="B26" s="22">
        <v>5.4392737005592232E-3</v>
      </c>
      <c r="C26" s="22">
        <v>1.0635341215591243E-4</v>
      </c>
    </row>
    <row r="27" spans="1:3" x14ac:dyDescent="0.25">
      <c r="A27">
        <v>3332669.75</v>
      </c>
      <c r="B27" s="22">
        <v>4.493320066677943E-3</v>
      </c>
      <c r="C27" s="22">
        <v>8.8329740091658843E-5</v>
      </c>
    </row>
    <row r="28" spans="1:3" x14ac:dyDescent="0.25">
      <c r="A28" t="s">
        <v>1</v>
      </c>
      <c r="B28" s="22">
        <v>5.4374793753346499E-3</v>
      </c>
      <c r="C28" s="22">
        <v>1.0566919907011289E-4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0">
        <f>GETPIVOTDATA("errorH",$A$3)</f>
        <v>6.1394328358208949E-4</v>
      </c>
      <c r="C1" s="30">
        <f>GETPIVOTDATA("errorL",$A$3)</f>
        <v>5.6651044776119422E-4</v>
      </c>
      <c r="D1" s="31">
        <f>GETPIVOTDATA("Average of errHp",$A$3)</f>
        <v>0.42488741065157232</v>
      </c>
      <c r="E1" s="31">
        <f>GETPIVOTDATA("Average of errLp",$A$3)</f>
        <v>0.3920609015411316</v>
      </c>
    </row>
    <row r="3" spans="1:5" x14ac:dyDescent="0.25">
      <c r="A3" s="1" t="s">
        <v>0</v>
      </c>
      <c r="B3" t="s">
        <v>101</v>
      </c>
      <c r="C3" t="s">
        <v>102</v>
      </c>
      <c r="D3" t="s">
        <v>122</v>
      </c>
      <c r="E3" t="s">
        <v>123</v>
      </c>
    </row>
    <row r="4" spans="1:5" x14ac:dyDescent="0.25">
      <c r="A4" s="23">
        <v>43287.958333333336</v>
      </c>
      <c r="B4" s="15">
        <v>6.2199999999999998E-3</v>
      </c>
      <c r="C4" s="15">
        <v>6.058E-3</v>
      </c>
      <c r="D4" s="28">
        <v>7.4939759036144578</v>
      </c>
      <c r="E4" s="28">
        <v>7.2987951807228919</v>
      </c>
    </row>
    <row r="5" spans="1:5" x14ac:dyDescent="0.25">
      <c r="A5" s="23">
        <v>43290</v>
      </c>
      <c r="B5" s="15">
        <v>1.1202999999999999E-2</v>
      </c>
      <c r="C5" s="15">
        <v>1.0441000000000001E-2</v>
      </c>
      <c r="D5" s="28">
        <v>8.4871212121212114</v>
      </c>
      <c r="E5" s="28">
        <v>7.9098484848484851</v>
      </c>
    </row>
    <row r="6" spans="1:5" x14ac:dyDescent="0.25">
      <c r="A6" s="23">
        <v>43290.041666666664</v>
      </c>
      <c r="B6" s="15">
        <v>2.8899999999999998E-4</v>
      </c>
      <c r="C6" s="15">
        <v>4.3000000000000002E-5</v>
      </c>
      <c r="D6" s="28">
        <v>0.31413043478260866</v>
      </c>
      <c r="E6" s="28">
        <v>4.6739130434782609E-2</v>
      </c>
    </row>
    <row r="7" spans="1:5" x14ac:dyDescent="0.25">
      <c r="A7" s="23">
        <v>43290.083333333336</v>
      </c>
      <c r="B7" s="15">
        <v>3.5599999999999998E-4</v>
      </c>
      <c r="C7" s="15">
        <v>2.5700000000000001E-4</v>
      </c>
      <c r="D7" s="28">
        <v>0.39555555555555555</v>
      </c>
      <c r="E7" s="28">
        <v>0.28555555555555556</v>
      </c>
    </row>
    <row r="8" spans="1:5" x14ac:dyDescent="0.25">
      <c r="A8" s="23">
        <v>43290.125</v>
      </c>
      <c r="B8" s="15">
        <v>3.68E-4</v>
      </c>
      <c r="C8" s="15">
        <v>4.7800000000000002E-4</v>
      </c>
      <c r="D8" s="28">
        <v>0.39148936170212767</v>
      </c>
      <c r="E8" s="28">
        <v>0.50851063829787235</v>
      </c>
    </row>
    <row r="9" spans="1:5" x14ac:dyDescent="0.25">
      <c r="A9" s="23">
        <v>43290.166666666664</v>
      </c>
      <c r="B9" s="15">
        <v>7.0699999999999995E-4</v>
      </c>
      <c r="C9" s="15">
        <v>1.36E-4</v>
      </c>
      <c r="D9" s="28">
        <v>0.41588235294117648</v>
      </c>
      <c r="E9" s="28">
        <v>0.08</v>
      </c>
    </row>
    <row r="10" spans="1:5" x14ac:dyDescent="0.25">
      <c r="A10" s="23">
        <v>43290.208333333336</v>
      </c>
      <c r="B10" s="15">
        <v>4.3600000000000003E-4</v>
      </c>
      <c r="C10" s="15">
        <v>6.2000000000000003E-5</v>
      </c>
      <c r="D10" s="28">
        <v>0.55189873417721524</v>
      </c>
      <c r="E10" s="28">
        <v>7.848101265822785E-2</v>
      </c>
    </row>
    <row r="11" spans="1:5" x14ac:dyDescent="0.25">
      <c r="A11" s="23">
        <v>43290.25</v>
      </c>
      <c r="B11" s="15">
        <v>3.0299999999999999E-4</v>
      </c>
      <c r="C11" s="15">
        <v>3.77E-4</v>
      </c>
      <c r="D11" s="28">
        <v>0.3443181818181818</v>
      </c>
      <c r="E11" s="28">
        <v>0.42840909090909091</v>
      </c>
    </row>
    <row r="12" spans="1:5" x14ac:dyDescent="0.25">
      <c r="A12" s="23">
        <v>43290.291666666664</v>
      </c>
      <c r="B12" s="15">
        <v>4.64E-4</v>
      </c>
      <c r="C12" s="15">
        <v>3.2699999999999998E-4</v>
      </c>
      <c r="D12" s="28">
        <v>0.92799999999999994</v>
      </c>
      <c r="E12" s="28">
        <v>0.65399999999999991</v>
      </c>
    </row>
    <row r="13" spans="1:5" x14ac:dyDescent="0.25">
      <c r="A13" s="23">
        <v>43290.333333333336</v>
      </c>
      <c r="B13" s="15">
        <v>4.66E-4</v>
      </c>
      <c r="C13" s="15">
        <v>8.6000000000000003E-5</v>
      </c>
      <c r="D13" s="28">
        <v>0.34776119402985073</v>
      </c>
      <c r="E13" s="28">
        <v>6.4179104477611937E-2</v>
      </c>
    </row>
    <row r="14" spans="1:5" x14ac:dyDescent="0.25">
      <c r="A14" s="23">
        <v>43290.375</v>
      </c>
      <c r="B14" s="15">
        <v>4.9100000000000001E-4</v>
      </c>
      <c r="C14" s="15">
        <v>1.7899999999999999E-4</v>
      </c>
      <c r="D14" s="28">
        <v>0.28057142857142858</v>
      </c>
      <c r="E14" s="28">
        <v>0.10228571428571427</v>
      </c>
    </row>
    <row r="15" spans="1:5" x14ac:dyDescent="0.25">
      <c r="A15" s="23">
        <v>43290.416666666664</v>
      </c>
      <c r="B15" s="15">
        <v>4.0200000000000001E-4</v>
      </c>
      <c r="C15" s="15">
        <v>9.7900000000000005E-4</v>
      </c>
      <c r="D15" s="28">
        <v>0.18190045248868777</v>
      </c>
      <c r="E15" s="28">
        <v>0.4429864253393665</v>
      </c>
    </row>
    <row r="16" spans="1:5" x14ac:dyDescent="0.25">
      <c r="A16" s="23">
        <v>43290.458333333336</v>
      </c>
      <c r="B16" s="15">
        <v>7.3399999999999995E-4</v>
      </c>
      <c r="C16" s="15">
        <v>7.9799999999999999E-4</v>
      </c>
      <c r="D16" s="28">
        <v>0.46751592356687893</v>
      </c>
      <c r="E16" s="28">
        <v>0.50828025477707006</v>
      </c>
    </row>
    <row r="17" spans="1:5" x14ac:dyDescent="0.25">
      <c r="A17" s="23">
        <v>43290.5</v>
      </c>
      <c r="B17" s="15">
        <v>3.2200000000000002E-4</v>
      </c>
      <c r="C17" s="15">
        <v>1.06E-4</v>
      </c>
      <c r="D17" s="28">
        <v>0.2576</v>
      </c>
      <c r="E17" s="28">
        <v>8.48E-2</v>
      </c>
    </row>
    <row r="18" spans="1:5" x14ac:dyDescent="0.25">
      <c r="A18" s="23">
        <v>43290.541666666664</v>
      </c>
      <c r="B18" s="15">
        <v>1.5E-5</v>
      </c>
      <c r="C18" s="15">
        <v>1.7000000000000001E-4</v>
      </c>
      <c r="D18" s="28">
        <v>1.282051282051282E-2</v>
      </c>
      <c r="E18" s="28">
        <v>0.14529914529914531</v>
      </c>
    </row>
    <row r="19" spans="1:5" x14ac:dyDescent="0.25">
      <c r="A19" s="23">
        <v>43290.583333333336</v>
      </c>
      <c r="B19" s="15">
        <v>1.0269999999999999E-3</v>
      </c>
      <c r="C19" s="15">
        <v>7.6199999999999998E-4</v>
      </c>
      <c r="D19" s="28">
        <v>0.54338624338624331</v>
      </c>
      <c r="E19" s="28">
        <v>0.40317460317460319</v>
      </c>
    </row>
    <row r="20" spans="1:5" x14ac:dyDescent="0.25">
      <c r="A20" s="23">
        <v>43290.625</v>
      </c>
      <c r="B20" s="15">
        <v>2.99E-4</v>
      </c>
      <c r="C20" s="15">
        <v>2.2599999999999999E-4</v>
      </c>
      <c r="D20" s="28">
        <v>0.20620689655172417</v>
      </c>
      <c r="E20" s="28">
        <v>0.15586206896551724</v>
      </c>
    </row>
    <row r="21" spans="1:5" x14ac:dyDescent="0.25">
      <c r="A21" s="23">
        <v>43290.666666666664</v>
      </c>
      <c r="B21" s="15">
        <v>3.8299999999999999E-4</v>
      </c>
      <c r="C21" s="15">
        <v>1.472E-3</v>
      </c>
      <c r="D21" s="28">
        <v>0.14132841328413281</v>
      </c>
      <c r="E21" s="28">
        <v>0.54317343173431731</v>
      </c>
    </row>
    <row r="22" spans="1:5" x14ac:dyDescent="0.25">
      <c r="A22" s="23">
        <v>43290.708333333336</v>
      </c>
      <c r="B22" s="15">
        <v>6.8499999999999995E-4</v>
      </c>
      <c r="C22" s="15">
        <v>5.8600000000000004E-4</v>
      </c>
      <c r="D22" s="28">
        <v>0.36631016042780745</v>
      </c>
      <c r="E22" s="28">
        <v>0.31336898395721929</v>
      </c>
    </row>
    <row r="23" spans="1:5" x14ac:dyDescent="0.25">
      <c r="A23" s="23">
        <v>43290.75</v>
      </c>
      <c r="B23" s="15">
        <v>4.4099999999999999E-4</v>
      </c>
      <c r="C23" s="15">
        <v>8.1099999999999998E-4</v>
      </c>
      <c r="D23" s="28">
        <v>0.20900473933649288</v>
      </c>
      <c r="E23" s="28">
        <v>0.38436018957345974</v>
      </c>
    </row>
    <row r="24" spans="1:5" x14ac:dyDescent="0.25">
      <c r="A24" s="23">
        <v>43290.791666666664</v>
      </c>
      <c r="B24" s="15">
        <v>2.13E-4</v>
      </c>
      <c r="C24" s="15">
        <v>6.7599999999999995E-4</v>
      </c>
      <c r="D24" s="28">
        <v>0.23666666666666666</v>
      </c>
      <c r="E24" s="28">
        <v>0.75111111111111106</v>
      </c>
    </row>
    <row r="25" spans="1:5" x14ac:dyDescent="0.25">
      <c r="A25" s="23">
        <v>43290.833333333336</v>
      </c>
      <c r="B25" s="15">
        <v>4.6900000000000002E-4</v>
      </c>
      <c r="C25" s="15">
        <v>7.0399999999999998E-4</v>
      </c>
      <c r="D25" s="28">
        <v>0.2605555555555556</v>
      </c>
      <c r="E25" s="28">
        <v>0.39111111111111113</v>
      </c>
    </row>
    <row r="26" spans="1:5" x14ac:dyDescent="0.25">
      <c r="A26" s="23">
        <v>43290.875</v>
      </c>
      <c r="B26" s="15">
        <v>9.0000000000000006E-5</v>
      </c>
      <c r="C26" s="15">
        <v>1.0970000000000001E-3</v>
      </c>
      <c r="D26" s="28">
        <v>0.1475409836065574</v>
      </c>
      <c r="E26" s="28">
        <v>1.7983606557377052</v>
      </c>
    </row>
    <row r="27" spans="1:5" x14ac:dyDescent="0.25">
      <c r="A27" s="23">
        <v>43290.916666666664</v>
      </c>
      <c r="B27" s="15">
        <v>1.54E-4</v>
      </c>
      <c r="C27" s="15">
        <v>2.5799999999999998E-4</v>
      </c>
      <c r="D27" s="28">
        <v>0.11159420289855074</v>
      </c>
      <c r="E27" s="28">
        <v>0.18695652173913044</v>
      </c>
    </row>
    <row r="28" spans="1:5" x14ac:dyDescent="0.25">
      <c r="A28" s="23">
        <v>43290.958333333336</v>
      </c>
      <c r="B28" s="15">
        <v>6.7999999999999999E-5</v>
      </c>
      <c r="C28" s="15">
        <v>2.5900000000000001E-4</v>
      </c>
      <c r="D28" s="28">
        <v>9.9999999999999992E-2</v>
      </c>
      <c r="E28" s="28">
        <v>0.38088235294117645</v>
      </c>
    </row>
    <row r="29" spans="1:5" x14ac:dyDescent="0.25">
      <c r="A29" s="23">
        <v>43291</v>
      </c>
      <c r="B29" s="15">
        <v>1.8599999999999999E-4</v>
      </c>
      <c r="C29" s="15">
        <v>1.7E-5</v>
      </c>
      <c r="D29" s="28">
        <v>0.21627906976744185</v>
      </c>
      <c r="E29" s="28">
        <v>1.9767441860465116E-2</v>
      </c>
    </row>
    <row r="30" spans="1:5" x14ac:dyDescent="0.25">
      <c r="A30" s="23">
        <v>43291.041666666664</v>
      </c>
      <c r="B30" s="15">
        <v>1.4100000000000001E-4</v>
      </c>
      <c r="C30" s="15">
        <v>1.12E-4</v>
      </c>
      <c r="D30" s="28">
        <v>0.28200000000000003</v>
      </c>
      <c r="E30" s="28">
        <v>0.224</v>
      </c>
    </row>
    <row r="31" spans="1:5" x14ac:dyDescent="0.25">
      <c r="A31" s="23">
        <v>43291.083333333336</v>
      </c>
      <c r="B31" s="15">
        <v>1.75E-4</v>
      </c>
      <c r="C31" s="15">
        <v>7.2000000000000002E-5</v>
      </c>
      <c r="D31" s="28">
        <v>0.20833333333333331</v>
      </c>
      <c r="E31" s="28">
        <v>8.5714285714285715E-2</v>
      </c>
    </row>
    <row r="32" spans="1:5" x14ac:dyDescent="0.25">
      <c r="A32" s="23">
        <v>43291.125</v>
      </c>
      <c r="B32" s="15">
        <v>1.6699999999999999E-4</v>
      </c>
      <c r="C32" s="15">
        <v>1.73E-4</v>
      </c>
      <c r="D32" s="28">
        <v>0.23194444444444443</v>
      </c>
      <c r="E32" s="28">
        <v>0.24027777777777776</v>
      </c>
    </row>
    <row r="33" spans="1:5" x14ac:dyDescent="0.25">
      <c r="A33" s="23">
        <v>43291.166666666664</v>
      </c>
      <c r="B33" s="15">
        <v>2.1699999999999999E-4</v>
      </c>
      <c r="C33" s="15">
        <v>7.9199999999999995E-4</v>
      </c>
      <c r="D33" s="28">
        <v>0.15069444444444444</v>
      </c>
      <c r="E33" s="28">
        <v>0.54999999999999993</v>
      </c>
    </row>
    <row r="34" spans="1:5" x14ac:dyDescent="0.25">
      <c r="A34" s="23">
        <v>43291.208333333336</v>
      </c>
      <c r="B34" s="15">
        <v>1.12E-4</v>
      </c>
      <c r="C34" s="15">
        <v>1.18E-4</v>
      </c>
      <c r="D34" s="28">
        <v>0.12584269662921349</v>
      </c>
      <c r="E34" s="28">
        <v>0.13258426966292136</v>
      </c>
    </row>
    <row r="35" spans="1:5" x14ac:dyDescent="0.25">
      <c r="A35" s="23">
        <v>43291.25</v>
      </c>
      <c r="B35" s="15">
        <v>3.1500000000000001E-4</v>
      </c>
      <c r="C35" s="15">
        <v>1.9000000000000001E-4</v>
      </c>
      <c r="D35" s="28">
        <v>0.33510638297872342</v>
      </c>
      <c r="E35" s="28">
        <v>0.2021276595744681</v>
      </c>
    </row>
    <row r="36" spans="1:5" x14ac:dyDescent="0.25">
      <c r="A36" s="23">
        <v>43291.291666666664</v>
      </c>
      <c r="B36" s="15">
        <v>4.28E-4</v>
      </c>
      <c r="C36" s="15">
        <v>1.7699999999999999E-4</v>
      </c>
      <c r="D36" s="28">
        <v>0.54177215189873418</v>
      </c>
      <c r="E36" s="28">
        <v>0.22405063291139241</v>
      </c>
    </row>
    <row r="37" spans="1:5" x14ac:dyDescent="0.25">
      <c r="A37" s="23">
        <v>43291.333333333336</v>
      </c>
      <c r="B37" s="15">
        <v>2.1000000000000001E-4</v>
      </c>
      <c r="C37" s="15">
        <v>1.2400000000000001E-4</v>
      </c>
      <c r="D37" s="28">
        <v>0.3</v>
      </c>
      <c r="E37" s="28">
        <v>0.17714285714285716</v>
      </c>
    </row>
    <row r="38" spans="1:5" x14ac:dyDescent="0.25">
      <c r="A38" s="23">
        <v>43291.375</v>
      </c>
      <c r="B38" s="15">
        <v>2.99E-4</v>
      </c>
      <c r="C38" s="15">
        <v>4.2999999999999999E-4</v>
      </c>
      <c r="D38" s="28">
        <v>0.17183908045977012</v>
      </c>
      <c r="E38" s="28">
        <v>0.2471264367816092</v>
      </c>
    </row>
    <row r="39" spans="1:5" x14ac:dyDescent="0.25">
      <c r="A39" s="23">
        <v>43291.416666666664</v>
      </c>
      <c r="B39" s="15">
        <v>2.5000000000000001E-4</v>
      </c>
      <c r="C39" s="15">
        <v>1.75E-4</v>
      </c>
      <c r="D39" s="28">
        <v>0.16233766233766234</v>
      </c>
      <c r="E39" s="28">
        <v>0.11363636363636365</v>
      </c>
    </row>
    <row r="40" spans="1:5" x14ac:dyDescent="0.25">
      <c r="A40" s="23">
        <v>43291.458333333336</v>
      </c>
      <c r="B40" s="15">
        <v>2.13E-4</v>
      </c>
      <c r="C40" s="15">
        <v>1.663E-3</v>
      </c>
      <c r="D40" s="28">
        <v>7.8308823529411764E-2</v>
      </c>
      <c r="E40" s="28">
        <v>0.61139705882352935</v>
      </c>
    </row>
    <row r="41" spans="1:5" x14ac:dyDescent="0.25">
      <c r="A41" s="23">
        <v>43291.5</v>
      </c>
      <c r="B41" s="15">
        <v>9.1399999999999999E-4</v>
      </c>
      <c r="C41" s="15">
        <v>3.4999999999999997E-5</v>
      </c>
      <c r="D41" s="28">
        <v>0.75537190082644634</v>
      </c>
      <c r="E41" s="28">
        <v>2.8925619834710745E-2</v>
      </c>
    </row>
    <row r="42" spans="1:5" x14ac:dyDescent="0.25">
      <c r="A42" s="23">
        <v>43291.541666666664</v>
      </c>
      <c r="B42" s="15">
        <v>1.2E-4</v>
      </c>
      <c r="C42" s="15">
        <v>8.2100000000000001E-4</v>
      </c>
      <c r="D42" s="28">
        <v>5.1724137931034482E-2</v>
      </c>
      <c r="E42" s="28">
        <v>0.35387931034482761</v>
      </c>
    </row>
    <row r="43" spans="1:5" x14ac:dyDescent="0.25">
      <c r="A43" s="23">
        <v>43291.583333333336</v>
      </c>
      <c r="B43" s="15">
        <v>4.3600000000000003E-4</v>
      </c>
      <c r="C43" s="15">
        <v>2.1800000000000001E-4</v>
      </c>
      <c r="D43" s="28">
        <v>0.21909547738693469</v>
      </c>
      <c r="E43" s="28">
        <v>0.10954773869346734</v>
      </c>
    </row>
    <row r="44" spans="1:5" x14ac:dyDescent="0.25">
      <c r="A44" s="23">
        <v>43291.625</v>
      </c>
      <c r="B44" s="15">
        <v>6.1799999999999995E-4</v>
      </c>
      <c r="C44" s="15">
        <v>7.0100000000000002E-4</v>
      </c>
      <c r="D44" s="28">
        <v>0.268695652173913</v>
      </c>
      <c r="E44" s="28">
        <v>0.30478260869565221</v>
      </c>
    </row>
    <row r="45" spans="1:5" x14ac:dyDescent="0.25">
      <c r="A45" s="23">
        <v>43291.666666666664</v>
      </c>
      <c r="B45" s="15">
        <v>1.1900000000000001E-4</v>
      </c>
      <c r="C45" s="15">
        <v>5.04E-4</v>
      </c>
      <c r="D45" s="28">
        <v>8.2638888888888887E-2</v>
      </c>
      <c r="E45" s="28">
        <v>0.35</v>
      </c>
    </row>
    <row r="46" spans="1:5" x14ac:dyDescent="0.25">
      <c r="A46" s="23">
        <v>43291.708333333336</v>
      </c>
      <c r="B46" s="15">
        <v>4.7800000000000002E-4</v>
      </c>
      <c r="C46" s="15">
        <v>9.2E-5</v>
      </c>
      <c r="D46" s="28">
        <v>0.24020100502512565</v>
      </c>
      <c r="E46" s="28">
        <v>4.6231155778894473E-2</v>
      </c>
    </row>
    <row r="47" spans="1:5" x14ac:dyDescent="0.25">
      <c r="A47" s="23">
        <v>43291.75</v>
      </c>
      <c r="B47" s="15">
        <v>1.2780000000000001E-3</v>
      </c>
      <c r="C47" s="15">
        <v>7.4899999999999999E-4</v>
      </c>
      <c r="D47" s="28">
        <v>0.63582089552238807</v>
      </c>
      <c r="E47" s="28">
        <v>0.37263681592039799</v>
      </c>
    </row>
    <row r="48" spans="1:5" x14ac:dyDescent="0.25">
      <c r="A48" s="23">
        <v>43291.791666666664</v>
      </c>
      <c r="B48" s="15">
        <v>5.0500000000000002E-4</v>
      </c>
      <c r="C48" s="15">
        <v>2.7799999999999998E-4</v>
      </c>
      <c r="D48" s="28">
        <v>0.31761006289308175</v>
      </c>
      <c r="E48" s="28">
        <v>0.17484276729559747</v>
      </c>
    </row>
    <row r="49" spans="1:5" x14ac:dyDescent="0.25">
      <c r="A49" s="23">
        <v>43291.833333333336</v>
      </c>
      <c r="B49" s="15">
        <v>6.3000000000000003E-4</v>
      </c>
      <c r="C49" s="15">
        <v>6.78E-4</v>
      </c>
      <c r="D49" s="28">
        <v>0.42</v>
      </c>
      <c r="E49" s="28">
        <v>0.45200000000000001</v>
      </c>
    </row>
    <row r="50" spans="1:5" x14ac:dyDescent="0.25">
      <c r="A50" s="23">
        <v>43291.875</v>
      </c>
      <c r="B50" s="15">
        <v>3.4900000000000003E-4</v>
      </c>
      <c r="C50" s="15">
        <v>3.3799999999999998E-4</v>
      </c>
      <c r="D50" s="28">
        <v>0.42560975609756102</v>
      </c>
      <c r="E50" s="28">
        <v>0.41219512195121949</v>
      </c>
    </row>
    <row r="51" spans="1:5" x14ac:dyDescent="0.25">
      <c r="A51" s="23">
        <v>43291.916666666664</v>
      </c>
      <c r="B51" s="15">
        <v>2.2699999999999999E-4</v>
      </c>
      <c r="C51" s="15">
        <v>3.6000000000000002E-4</v>
      </c>
      <c r="D51" s="28">
        <v>0.46326530612244898</v>
      </c>
      <c r="E51" s="28">
        <v>0.73469387755102045</v>
      </c>
    </row>
    <row r="52" spans="1:5" x14ac:dyDescent="0.25">
      <c r="A52" s="23">
        <v>43291.958333333336</v>
      </c>
      <c r="B52" s="15">
        <v>9.2999999999999997E-5</v>
      </c>
      <c r="C52" s="15">
        <v>1.2899999999999999E-4</v>
      </c>
      <c r="D52" s="28">
        <v>0.14531249999999998</v>
      </c>
      <c r="E52" s="28">
        <v>0.20156249999999998</v>
      </c>
    </row>
    <row r="53" spans="1:5" x14ac:dyDescent="0.25">
      <c r="A53" s="23">
        <v>43292</v>
      </c>
      <c r="B53" s="15">
        <v>6.2000000000000003E-5</v>
      </c>
      <c r="C53" s="15">
        <v>8.25E-4</v>
      </c>
      <c r="D53" s="28">
        <v>4.4927536231884065E-2</v>
      </c>
      <c r="E53" s="28">
        <v>0.59782608695652173</v>
      </c>
    </row>
    <row r="54" spans="1:5" x14ac:dyDescent="0.25">
      <c r="A54" s="23">
        <v>43292.041666666664</v>
      </c>
      <c r="B54" s="15">
        <v>6.4700000000000001E-4</v>
      </c>
      <c r="C54" s="15">
        <v>2.8899999999999998E-4</v>
      </c>
      <c r="D54" s="28">
        <v>0.92428571428571427</v>
      </c>
      <c r="E54" s="28">
        <v>0.41285714285714281</v>
      </c>
    </row>
    <row r="55" spans="1:5" x14ac:dyDescent="0.25">
      <c r="A55" s="23">
        <v>43292.083333333336</v>
      </c>
      <c r="B55" s="15">
        <v>1.75E-4</v>
      </c>
      <c r="C55" s="15">
        <v>4.6799999999999999E-4</v>
      </c>
      <c r="D55" s="28">
        <v>0.14462809917355374</v>
      </c>
      <c r="E55" s="28">
        <v>0.38677685950413226</v>
      </c>
    </row>
    <row r="56" spans="1:5" x14ac:dyDescent="0.25">
      <c r="A56" s="23">
        <v>43292.125</v>
      </c>
      <c r="B56" s="15">
        <v>1.22E-4</v>
      </c>
      <c r="C56" s="15">
        <v>2.22E-4</v>
      </c>
      <c r="D56" s="28">
        <v>0.1506172839506173</v>
      </c>
      <c r="E56" s="28">
        <v>0.27407407407407408</v>
      </c>
    </row>
    <row r="57" spans="1:5" x14ac:dyDescent="0.25">
      <c r="A57" s="23">
        <v>43292.166666666664</v>
      </c>
      <c r="B57" s="15">
        <v>9.8999999999999994E-5</v>
      </c>
      <c r="C57" s="15">
        <v>8.7999999999999998E-5</v>
      </c>
      <c r="D57" s="28">
        <v>0.12222222222222222</v>
      </c>
      <c r="E57" s="28">
        <v>0.10864197530864197</v>
      </c>
    </row>
    <row r="58" spans="1:5" x14ac:dyDescent="0.25">
      <c r="A58" s="23">
        <v>43292.208333333336</v>
      </c>
      <c r="B58" s="15">
        <v>1.85E-4</v>
      </c>
      <c r="C58" s="15">
        <v>6.6000000000000005E-5</v>
      </c>
      <c r="D58" s="28">
        <v>0.21511627906976744</v>
      </c>
      <c r="E58" s="28">
        <v>7.6744186046511634E-2</v>
      </c>
    </row>
    <row r="59" spans="1:5" x14ac:dyDescent="0.25">
      <c r="A59" s="23">
        <v>43292.25</v>
      </c>
      <c r="B59" s="15">
        <v>2.22E-4</v>
      </c>
      <c r="C59" s="15">
        <v>2.2000000000000001E-4</v>
      </c>
      <c r="D59" s="28">
        <v>0.29599999999999999</v>
      </c>
      <c r="E59" s="28">
        <v>0.29333333333333333</v>
      </c>
    </row>
    <row r="60" spans="1:5" x14ac:dyDescent="0.25">
      <c r="A60" s="23">
        <v>43292.291666666664</v>
      </c>
      <c r="B60" s="15">
        <v>1.85E-4</v>
      </c>
      <c r="C60" s="15">
        <v>2.3699999999999999E-4</v>
      </c>
      <c r="D60" s="28">
        <v>0.23717948717948717</v>
      </c>
      <c r="E60" s="28">
        <v>0.30384615384615382</v>
      </c>
    </row>
    <row r="61" spans="1:5" x14ac:dyDescent="0.25">
      <c r="A61" s="23">
        <v>43292.333333333336</v>
      </c>
      <c r="B61" s="15">
        <v>1.8799999999999999E-4</v>
      </c>
      <c r="C61" s="15">
        <v>4.6500000000000003E-4</v>
      </c>
      <c r="D61" s="28">
        <v>0.27647058823529408</v>
      </c>
      <c r="E61" s="28">
        <v>0.68382352941176472</v>
      </c>
    </row>
    <row r="62" spans="1:5" x14ac:dyDescent="0.25">
      <c r="A62" s="23">
        <v>43292.375</v>
      </c>
      <c r="B62" s="15">
        <v>6.0400000000000004E-4</v>
      </c>
      <c r="C62" s="15">
        <v>4.8999999999999998E-5</v>
      </c>
      <c r="D62" s="28">
        <v>0.38227848101265827</v>
      </c>
      <c r="E62" s="28">
        <v>3.10126582278481E-2</v>
      </c>
    </row>
    <row r="63" spans="1:5" x14ac:dyDescent="0.25">
      <c r="A63" s="23">
        <v>43292.416666666664</v>
      </c>
      <c r="B63" s="15">
        <v>3.0299999999999999E-4</v>
      </c>
      <c r="C63" s="15">
        <v>3.7399999999999998E-4</v>
      </c>
      <c r="D63" s="28">
        <v>0.19423076923076923</v>
      </c>
      <c r="E63" s="28">
        <v>0.23974358974358972</v>
      </c>
    </row>
    <row r="64" spans="1:5" x14ac:dyDescent="0.25">
      <c r="A64" s="23">
        <v>43292.458333333336</v>
      </c>
      <c r="B64" s="15">
        <v>1.13E-4</v>
      </c>
      <c r="C64" s="15">
        <v>1.6900000000000001E-3</v>
      </c>
      <c r="D64" s="28">
        <v>3.4662576687116566E-2</v>
      </c>
      <c r="E64" s="28">
        <v>0.51840490797546013</v>
      </c>
    </row>
    <row r="65" spans="1:5" x14ac:dyDescent="0.25">
      <c r="A65" s="23">
        <v>43292.5</v>
      </c>
      <c r="B65" s="15">
        <v>1.286E-3</v>
      </c>
      <c r="C65" s="15">
        <v>2.41E-4</v>
      </c>
      <c r="D65" s="28">
        <v>0.78414634146341466</v>
      </c>
      <c r="E65" s="28">
        <v>0.14695121951219511</v>
      </c>
    </row>
    <row r="66" spans="1:5" x14ac:dyDescent="0.25">
      <c r="A66" s="23">
        <v>43292.541666666664</v>
      </c>
      <c r="B66" s="15">
        <v>4.9799999999999996E-4</v>
      </c>
      <c r="C66" s="15">
        <v>7.6400000000000003E-4</v>
      </c>
      <c r="D66" s="28">
        <v>0.32129032258064516</v>
      </c>
      <c r="E66" s="28">
        <v>0.49290322580645163</v>
      </c>
    </row>
    <row r="67" spans="1:5" x14ac:dyDescent="0.25">
      <c r="A67" s="23">
        <v>43292.583333333336</v>
      </c>
      <c r="B67" s="15">
        <v>2.5999999999999998E-5</v>
      </c>
      <c r="C67" s="15">
        <v>5.1900000000000004E-4</v>
      </c>
      <c r="D67" s="28">
        <v>1.268292682926829E-2</v>
      </c>
      <c r="E67" s="28">
        <v>0.25317073170731708</v>
      </c>
    </row>
    <row r="68" spans="1:5" x14ac:dyDescent="0.25">
      <c r="A68" s="23">
        <v>43292.625</v>
      </c>
      <c r="B68" s="15">
        <v>3.614E-3</v>
      </c>
      <c r="C68" s="15">
        <v>2.14E-4</v>
      </c>
      <c r="D68" s="28">
        <v>0.67425373134328359</v>
      </c>
      <c r="E68" s="28">
        <v>3.9925373134328354E-2</v>
      </c>
    </row>
    <row r="69" spans="1:5" x14ac:dyDescent="0.25">
      <c r="A69" s="23">
        <v>43292.666666666664</v>
      </c>
      <c r="B69" s="15">
        <v>1.297E-3</v>
      </c>
      <c r="C69" s="15">
        <v>1.7060000000000001E-3</v>
      </c>
      <c r="D69" s="28">
        <v>0.90069444444444435</v>
      </c>
      <c r="E69" s="28">
        <v>1.1847222222222222</v>
      </c>
    </row>
    <row r="70" spans="1:5" x14ac:dyDescent="0.25">
      <c r="A70" s="23">
        <v>43292.708333333336</v>
      </c>
      <c r="B70" s="15">
        <v>8.0900000000000004E-4</v>
      </c>
      <c r="C70" s="15">
        <v>1.4339999999999999E-3</v>
      </c>
      <c r="D70" s="28">
        <v>0.25440251572327044</v>
      </c>
      <c r="E70" s="28">
        <v>0.45094339622641505</v>
      </c>
    </row>
    <row r="71" spans="1:5" x14ac:dyDescent="0.25">
      <c r="A71" s="23">
        <v>43292.75</v>
      </c>
      <c r="B71" s="15">
        <v>6.4199999999999999E-4</v>
      </c>
      <c r="C71" s="15">
        <v>1.13E-4</v>
      </c>
      <c r="D71" s="28">
        <v>0.35865921787709498</v>
      </c>
      <c r="E71" s="28">
        <v>6.3128491620111735E-2</v>
      </c>
    </row>
    <row r="72" spans="1:5" x14ac:dyDescent="0.25">
      <c r="A72" s="23">
        <v>43292.791666666664</v>
      </c>
      <c r="B72" s="15">
        <v>5.9999999999999995E-4</v>
      </c>
      <c r="C72" s="15">
        <v>1.307E-3</v>
      </c>
      <c r="D72" s="28">
        <v>0.19999999999999998</v>
      </c>
      <c r="E72" s="28">
        <v>0.43566666666666665</v>
      </c>
    </row>
    <row r="73" spans="1:5" x14ac:dyDescent="0.25">
      <c r="A73" s="23">
        <v>43292.833333333336</v>
      </c>
      <c r="B73" s="15">
        <v>1.4829999999999999E-3</v>
      </c>
      <c r="C73" s="15">
        <v>1.874E-3</v>
      </c>
      <c r="D73" s="28">
        <v>0.46199376947040494</v>
      </c>
      <c r="E73" s="28">
        <v>0.58380062305295943</v>
      </c>
    </row>
    <row r="74" spans="1:5" x14ac:dyDescent="0.25">
      <c r="A74" s="23">
        <v>43292.875</v>
      </c>
      <c r="B74" s="15">
        <v>6.4700000000000001E-4</v>
      </c>
      <c r="C74" s="15">
        <v>7.6599999999999997E-4</v>
      </c>
      <c r="D74" s="28">
        <v>0.3718390804597701</v>
      </c>
      <c r="E74" s="28">
        <v>0.44022988505747124</v>
      </c>
    </row>
    <row r="75" spans="1:5" x14ac:dyDescent="0.25">
      <c r="A75" s="23">
        <v>43292.916666666664</v>
      </c>
      <c r="B75" s="15">
        <v>4.7600000000000002E-4</v>
      </c>
      <c r="C75" s="15">
        <v>5.8299999999999997E-4</v>
      </c>
      <c r="D75" s="28">
        <v>0.49072164948453606</v>
      </c>
      <c r="E75" s="28">
        <v>0.60103092783505152</v>
      </c>
    </row>
    <row r="76" spans="1:5" x14ac:dyDescent="0.25">
      <c r="A76" s="23">
        <v>43292.958333333336</v>
      </c>
      <c r="B76" s="15">
        <v>1.56E-4</v>
      </c>
      <c r="C76" s="15">
        <v>5.5699999999999999E-4</v>
      </c>
      <c r="D76" s="28">
        <v>0.26440677966101694</v>
      </c>
      <c r="E76" s="28">
        <v>0.94406779661016937</v>
      </c>
    </row>
    <row r="77" spans="1:5" x14ac:dyDescent="0.25">
      <c r="A77" s="23">
        <v>43293</v>
      </c>
      <c r="B77" s="15">
        <v>1.65E-4</v>
      </c>
      <c r="C77" s="15">
        <v>1.2400000000000001E-4</v>
      </c>
      <c r="D77" s="28">
        <v>0.19879518072289157</v>
      </c>
      <c r="E77" s="28">
        <v>0.14939759036144579</v>
      </c>
    </row>
    <row r="78" spans="1:5" x14ac:dyDescent="0.25">
      <c r="A78" s="23">
        <v>43293.041666666664</v>
      </c>
      <c r="B78" s="15">
        <v>3.86E-4</v>
      </c>
      <c r="C78" s="15">
        <v>1.2E-5</v>
      </c>
      <c r="D78" s="28">
        <v>0.98974358974358978</v>
      </c>
      <c r="E78" s="28">
        <v>3.0769230769230771E-2</v>
      </c>
    </row>
    <row r="79" spans="1:5" x14ac:dyDescent="0.25">
      <c r="A79" s="23">
        <v>43293.083333333336</v>
      </c>
      <c r="B79" s="15">
        <v>1.6799999999999999E-4</v>
      </c>
      <c r="C79" s="15">
        <v>2.1100000000000001E-4</v>
      </c>
      <c r="D79" s="28">
        <v>0.30545454545454542</v>
      </c>
      <c r="E79" s="28">
        <v>0.38363636363636361</v>
      </c>
    </row>
    <row r="80" spans="1:5" x14ac:dyDescent="0.25">
      <c r="A80" s="23">
        <v>43293.125</v>
      </c>
      <c r="B80" s="15">
        <v>5.8E-5</v>
      </c>
      <c r="C80" s="15">
        <v>2.8600000000000001E-4</v>
      </c>
      <c r="D80" s="28">
        <v>6.9879518072289162E-2</v>
      </c>
      <c r="E80" s="28">
        <v>0.34457831325301208</v>
      </c>
    </row>
    <row r="81" spans="1:5" x14ac:dyDescent="0.25">
      <c r="A81" s="23">
        <v>43293.166666666664</v>
      </c>
      <c r="B81" s="15">
        <v>3.5599999999999998E-4</v>
      </c>
      <c r="C81" s="15">
        <v>3.7599999999999998E-4</v>
      </c>
      <c r="D81" s="28">
        <v>0.43950617283950616</v>
      </c>
      <c r="E81" s="28">
        <v>0.46419753086419752</v>
      </c>
    </row>
    <row r="82" spans="1:5" x14ac:dyDescent="0.25">
      <c r="A82" s="23">
        <v>43293.208333333336</v>
      </c>
      <c r="B82" s="15">
        <v>1.3100000000000001E-4</v>
      </c>
      <c r="C82" s="15">
        <v>2.13E-4</v>
      </c>
      <c r="D82" s="28">
        <v>0.17236842105263159</v>
      </c>
      <c r="E82" s="28">
        <v>0.28026315789473683</v>
      </c>
    </row>
    <row r="83" spans="1:5" x14ac:dyDescent="0.25">
      <c r="A83" s="23">
        <v>43293.25</v>
      </c>
      <c r="B83" s="15">
        <v>1.5999999999999999E-5</v>
      </c>
      <c r="C83" s="15">
        <v>4.8000000000000001E-5</v>
      </c>
      <c r="D83" s="28">
        <v>2.5806451612903226E-2</v>
      </c>
      <c r="E83" s="28">
        <v>7.7419354838709681E-2</v>
      </c>
    </row>
    <row r="84" spans="1:5" x14ac:dyDescent="0.25">
      <c r="A84" s="23">
        <v>43293.291666666664</v>
      </c>
      <c r="B84" s="15">
        <v>1.64E-4</v>
      </c>
      <c r="C84" s="15">
        <v>2.8200000000000002E-4</v>
      </c>
      <c r="D84" s="28">
        <v>0.20499999999999999</v>
      </c>
      <c r="E84" s="28">
        <v>0.35250000000000004</v>
      </c>
    </row>
    <row r="85" spans="1:5" x14ac:dyDescent="0.25">
      <c r="A85" s="23">
        <v>43293.333333333336</v>
      </c>
      <c r="B85" s="15">
        <v>1.5799999999999999E-4</v>
      </c>
      <c r="C85" s="15">
        <v>4.6999999999999997E-5</v>
      </c>
      <c r="D85" s="28">
        <v>0.1926829268292683</v>
      </c>
      <c r="E85" s="28">
        <v>5.7317073170731703E-2</v>
      </c>
    </row>
    <row r="86" spans="1:5" x14ac:dyDescent="0.25">
      <c r="A86" s="23">
        <v>43293.375</v>
      </c>
      <c r="B86" s="15">
        <v>2.4399999999999999E-4</v>
      </c>
      <c r="C86" s="15">
        <v>4.8200000000000001E-4</v>
      </c>
      <c r="D86" s="28">
        <v>0.15947712418300655</v>
      </c>
      <c r="E86" s="28">
        <v>0.31503267973856214</v>
      </c>
    </row>
    <row r="87" spans="1:5" x14ac:dyDescent="0.25">
      <c r="A87" s="23">
        <v>43293.416666666664</v>
      </c>
      <c r="B87" s="15">
        <v>2.1800000000000001E-4</v>
      </c>
      <c r="C87" s="15">
        <v>4.3300000000000001E-4</v>
      </c>
      <c r="D87" s="28">
        <v>0.11354166666666667</v>
      </c>
      <c r="E87" s="28">
        <v>0.22552083333333334</v>
      </c>
    </row>
    <row r="88" spans="1:5" x14ac:dyDescent="0.25">
      <c r="A88" s="23">
        <v>43293.458333333336</v>
      </c>
      <c r="B88" s="15">
        <v>2.1999999999999999E-5</v>
      </c>
      <c r="C88" s="15">
        <v>1.37E-4</v>
      </c>
      <c r="D88" s="28">
        <v>1.1111111111111112E-2</v>
      </c>
      <c r="E88" s="28">
        <v>6.9191919191919193E-2</v>
      </c>
    </row>
    <row r="89" spans="1:5" x14ac:dyDescent="0.25">
      <c r="A89" s="23">
        <v>43293.5</v>
      </c>
      <c r="B89" s="15">
        <v>1.7799999999999999E-4</v>
      </c>
      <c r="C89" s="15">
        <v>1.54E-4</v>
      </c>
      <c r="D89" s="28">
        <v>0.12447552447552446</v>
      </c>
      <c r="E89" s="28">
        <v>0.10769230769230768</v>
      </c>
    </row>
    <row r="90" spans="1:5" x14ac:dyDescent="0.25">
      <c r="A90" s="23">
        <v>43293.541666666664</v>
      </c>
      <c r="B90" s="15">
        <v>5.4799999999999998E-4</v>
      </c>
      <c r="C90" s="15">
        <v>7.6099999999999996E-4</v>
      </c>
      <c r="D90" s="28">
        <v>0.26995073891625615</v>
      </c>
      <c r="E90" s="28">
        <v>0.37487684729064036</v>
      </c>
    </row>
    <row r="91" spans="1:5" x14ac:dyDescent="0.25">
      <c r="A91" s="23">
        <v>43293.583333333336</v>
      </c>
      <c r="B91" s="15">
        <v>9.9400000000000009E-4</v>
      </c>
      <c r="C91" s="15">
        <v>4.2900000000000002E-4</v>
      </c>
      <c r="D91" s="28">
        <v>0.69027777777777777</v>
      </c>
      <c r="E91" s="28">
        <v>0.29791666666666666</v>
      </c>
    </row>
    <row r="92" spans="1:5" x14ac:dyDescent="0.25">
      <c r="A92" s="23">
        <v>43293.625</v>
      </c>
      <c r="B92" s="15">
        <v>2.5460000000000001E-3</v>
      </c>
      <c r="C92" s="15">
        <v>7.2499999999999995E-4</v>
      </c>
      <c r="D92" s="28">
        <v>0.73160919540229885</v>
      </c>
      <c r="E92" s="28">
        <v>0.20833333333333331</v>
      </c>
    </row>
    <row r="93" spans="1:5" x14ac:dyDescent="0.25">
      <c r="A93" s="23">
        <v>43293.666666666664</v>
      </c>
      <c r="B93" s="15">
        <v>1.016E-3</v>
      </c>
      <c r="C93" s="15">
        <v>5.3300000000000005E-4</v>
      </c>
      <c r="D93" s="28">
        <v>0.71048951048951048</v>
      </c>
      <c r="E93" s="28">
        <v>0.37272727272727274</v>
      </c>
    </row>
    <row r="94" spans="1:5" x14ac:dyDescent="0.25">
      <c r="A94" s="23">
        <v>43293.708333333336</v>
      </c>
      <c r="B94" s="15">
        <v>2.8E-5</v>
      </c>
      <c r="C94" s="15">
        <v>2.4699999999999999E-4</v>
      </c>
      <c r="D94" s="28">
        <v>1.6666666666666666E-2</v>
      </c>
      <c r="E94" s="28">
        <v>0.1470238095238095</v>
      </c>
    </row>
    <row r="95" spans="1:5" x14ac:dyDescent="0.25">
      <c r="A95" s="23">
        <v>43293.75</v>
      </c>
      <c r="B95" s="15">
        <v>5.8900000000000001E-4</v>
      </c>
      <c r="C95" s="15">
        <v>2.4800000000000001E-4</v>
      </c>
      <c r="D95" s="28">
        <v>0.33657142857142858</v>
      </c>
      <c r="E95" s="28">
        <v>0.14171428571428571</v>
      </c>
    </row>
    <row r="96" spans="1:5" x14ac:dyDescent="0.25">
      <c r="A96" s="23">
        <v>43293.791666666664</v>
      </c>
      <c r="B96" s="15">
        <v>4.8200000000000001E-4</v>
      </c>
      <c r="C96" s="15">
        <v>7.9999999999999996E-6</v>
      </c>
      <c r="D96" s="28">
        <v>0.41551724137931034</v>
      </c>
      <c r="E96" s="28">
        <v>6.8965517241379309E-3</v>
      </c>
    </row>
    <row r="97" spans="1:5" x14ac:dyDescent="0.25">
      <c r="A97" s="23">
        <v>43293.833333333336</v>
      </c>
      <c r="B97" s="15">
        <v>3.2000000000000003E-4</v>
      </c>
      <c r="C97" s="15">
        <v>6.6399999999999999E-4</v>
      </c>
      <c r="D97" s="28">
        <v>0.186046511627907</v>
      </c>
      <c r="E97" s="28">
        <v>0.38604651162790699</v>
      </c>
    </row>
    <row r="98" spans="1:5" x14ac:dyDescent="0.25">
      <c r="A98" s="23">
        <v>43293.875</v>
      </c>
      <c r="B98" s="15">
        <v>5.9199999999999997E-4</v>
      </c>
      <c r="C98" s="15">
        <v>2.32E-4</v>
      </c>
      <c r="D98" s="28">
        <v>0.69647058823529417</v>
      </c>
      <c r="E98" s="28">
        <v>0.27294117647058824</v>
      </c>
    </row>
    <row r="99" spans="1:5" x14ac:dyDescent="0.25">
      <c r="A99" s="23">
        <v>43293.916666666664</v>
      </c>
      <c r="B99" s="15">
        <v>7.4999999999999993E-5</v>
      </c>
      <c r="C99" s="15">
        <v>1.84E-4</v>
      </c>
      <c r="D99" s="28">
        <v>8.152173913043477E-2</v>
      </c>
      <c r="E99" s="28">
        <v>0.19999999999999998</v>
      </c>
    </row>
    <row r="100" spans="1:5" x14ac:dyDescent="0.25">
      <c r="A100" s="23">
        <v>43293.958333333336</v>
      </c>
      <c r="B100" s="15">
        <v>4.3660000000000001E-3</v>
      </c>
      <c r="C100" s="15">
        <v>4.1999999999999997E-3</v>
      </c>
      <c r="D100" s="28">
        <v>7.9381818181818176</v>
      </c>
      <c r="E100" s="28">
        <v>7.6363636363636358</v>
      </c>
    </row>
    <row r="101" spans="1:5" x14ac:dyDescent="0.25">
      <c r="A101" s="23">
        <v>43294</v>
      </c>
      <c r="B101" s="15">
        <v>5.0000000000000001E-4</v>
      </c>
      <c r="C101" s="15">
        <v>5.0799999999999999E-4</v>
      </c>
      <c r="D101" s="28">
        <v>0.81967213114754101</v>
      </c>
      <c r="E101" s="28">
        <v>0.83278688524590161</v>
      </c>
    </row>
    <row r="102" spans="1:5" x14ac:dyDescent="0.25">
      <c r="A102" s="23">
        <v>43294.041666666664</v>
      </c>
      <c r="B102" s="15">
        <v>1.9900000000000001E-4</v>
      </c>
      <c r="C102" s="15">
        <v>1.2750000000000001E-3</v>
      </c>
      <c r="D102" s="28">
        <v>0.14525547445255477</v>
      </c>
      <c r="E102" s="28">
        <v>0.93065693430656948</v>
      </c>
    </row>
    <row r="103" spans="1:5" x14ac:dyDescent="0.25">
      <c r="A103" s="23">
        <v>43294.083333333336</v>
      </c>
      <c r="B103" s="15">
        <v>3.3799999999999998E-4</v>
      </c>
      <c r="C103" s="15">
        <v>3.4900000000000003E-4</v>
      </c>
      <c r="D103" s="28">
        <v>0.58275862068965512</v>
      </c>
      <c r="E103" s="28">
        <v>0.60172413793103452</v>
      </c>
    </row>
    <row r="104" spans="1:5" x14ac:dyDescent="0.25">
      <c r="A104" s="23">
        <v>43294.125</v>
      </c>
      <c r="B104" s="15">
        <v>3.4400000000000001E-4</v>
      </c>
      <c r="C104" s="15">
        <v>2.6200000000000003E-4</v>
      </c>
      <c r="D104" s="28">
        <v>0.39090909090909093</v>
      </c>
      <c r="E104" s="28">
        <v>0.29772727272727273</v>
      </c>
    </row>
    <row r="105" spans="1:5" x14ac:dyDescent="0.25">
      <c r="A105" s="23">
        <v>43294.166666666664</v>
      </c>
      <c r="B105" s="15">
        <v>4.2099999999999999E-4</v>
      </c>
      <c r="C105" s="15">
        <v>1.8100000000000001E-4</v>
      </c>
      <c r="D105" s="28">
        <v>0.38981481481481478</v>
      </c>
      <c r="E105" s="28">
        <v>0.1675925925925926</v>
      </c>
    </row>
    <row r="106" spans="1:5" x14ac:dyDescent="0.25">
      <c r="A106" s="23">
        <v>43294.208333333336</v>
      </c>
      <c r="B106" s="15">
        <v>3.0499999999999999E-4</v>
      </c>
      <c r="C106" s="15">
        <v>2.7799999999999998E-4</v>
      </c>
      <c r="D106" s="28">
        <v>0.36746987951807225</v>
      </c>
      <c r="E106" s="28">
        <v>0.33493975903614454</v>
      </c>
    </row>
    <row r="107" spans="1:5" x14ac:dyDescent="0.25">
      <c r="A107" s="23">
        <v>43294.25</v>
      </c>
      <c r="B107" s="15">
        <v>5.1500000000000005E-4</v>
      </c>
      <c r="C107" s="15">
        <v>4.0099999999999999E-4</v>
      </c>
      <c r="D107" s="28">
        <v>0.57865168539325851</v>
      </c>
      <c r="E107" s="28">
        <v>0.45056179775280902</v>
      </c>
    </row>
    <row r="108" spans="1:5" x14ac:dyDescent="0.25">
      <c r="A108" s="23">
        <v>43294.291666666664</v>
      </c>
      <c r="B108" s="15">
        <v>1.2300000000000001E-4</v>
      </c>
      <c r="C108" s="15">
        <v>1.25E-4</v>
      </c>
      <c r="D108" s="28">
        <v>0.13977272727272727</v>
      </c>
      <c r="E108" s="28">
        <v>0.14204545454545453</v>
      </c>
    </row>
    <row r="109" spans="1:5" x14ac:dyDescent="0.25">
      <c r="A109" s="23">
        <v>43294.333333333336</v>
      </c>
      <c r="B109" s="15">
        <v>3.4999999999999997E-5</v>
      </c>
      <c r="C109" s="15">
        <v>3.3599999999999998E-4</v>
      </c>
      <c r="D109" s="28">
        <v>3.888888888888889E-2</v>
      </c>
      <c r="E109" s="28">
        <v>0.37333333333333335</v>
      </c>
    </row>
    <row r="110" spans="1:5" x14ac:dyDescent="0.25">
      <c r="A110" s="23">
        <v>43294.375</v>
      </c>
      <c r="B110" s="15">
        <v>5.13E-4</v>
      </c>
      <c r="C110" s="15">
        <v>1.6720000000000001E-3</v>
      </c>
      <c r="D110" s="28">
        <v>0.24084507042253522</v>
      </c>
      <c r="E110" s="28">
        <v>0.78497652582159627</v>
      </c>
    </row>
    <row r="111" spans="1:5" x14ac:dyDescent="0.25">
      <c r="A111" s="23">
        <v>43294.416666666664</v>
      </c>
      <c r="B111" s="15">
        <v>3.6999999999999999E-4</v>
      </c>
      <c r="C111" s="15">
        <v>1.206E-3</v>
      </c>
      <c r="D111" s="28">
        <v>0.14624505928853754</v>
      </c>
      <c r="E111" s="28">
        <v>0.47667984189723317</v>
      </c>
    </row>
    <row r="112" spans="1:5" x14ac:dyDescent="0.25">
      <c r="A112" s="23">
        <v>43294.458333333336</v>
      </c>
      <c r="B112" s="15">
        <v>5.8699999999999996E-4</v>
      </c>
      <c r="C112" s="15">
        <v>7.2300000000000001E-4</v>
      </c>
      <c r="D112" s="28">
        <v>0.24978723404255315</v>
      </c>
      <c r="E112" s="28">
        <v>0.30765957446808512</v>
      </c>
    </row>
    <row r="113" spans="1:5" x14ac:dyDescent="0.25">
      <c r="A113" s="23">
        <v>43294.5</v>
      </c>
      <c r="B113" s="15">
        <v>2.9300000000000002E-4</v>
      </c>
      <c r="C113" s="15">
        <v>4.57E-4</v>
      </c>
      <c r="D113" s="28">
        <v>0.13502304147465438</v>
      </c>
      <c r="E113" s="28">
        <v>0.21059907834101382</v>
      </c>
    </row>
    <row r="114" spans="1:5" x14ac:dyDescent="0.25">
      <c r="A114" s="23">
        <v>43294.541666666664</v>
      </c>
      <c r="B114" s="15">
        <v>4.5100000000000001E-4</v>
      </c>
      <c r="C114" s="15">
        <v>3.6900000000000002E-4</v>
      </c>
      <c r="D114" s="28">
        <v>0.27839506172839507</v>
      </c>
      <c r="E114" s="28">
        <v>0.2277777777777778</v>
      </c>
    </row>
    <row r="115" spans="1:5" x14ac:dyDescent="0.25">
      <c r="A115" s="23">
        <v>43294.583333333336</v>
      </c>
      <c r="B115" s="15">
        <v>2.1900000000000001E-4</v>
      </c>
      <c r="C115" s="15">
        <v>8.3100000000000003E-4</v>
      </c>
      <c r="D115" s="28">
        <v>0.14038461538461539</v>
      </c>
      <c r="E115" s="28">
        <v>0.53269230769230769</v>
      </c>
    </row>
    <row r="116" spans="1:5" x14ac:dyDescent="0.25">
      <c r="A116" s="23">
        <v>43294.625</v>
      </c>
      <c r="B116" s="15">
        <v>9.9599999999999992E-4</v>
      </c>
      <c r="C116" s="15">
        <v>5.31E-4</v>
      </c>
      <c r="D116" s="28">
        <v>0.46111111111111108</v>
      </c>
      <c r="E116" s="28">
        <v>0.24583333333333332</v>
      </c>
    </row>
    <row r="117" spans="1:5" x14ac:dyDescent="0.25">
      <c r="A117" s="23">
        <v>43294.666666666664</v>
      </c>
      <c r="B117" s="15">
        <v>5.2099999999999998E-4</v>
      </c>
      <c r="C117" s="15">
        <v>1.45E-4</v>
      </c>
      <c r="D117" s="28">
        <v>0.4869158878504673</v>
      </c>
      <c r="E117" s="28">
        <v>0.1355140186915888</v>
      </c>
    </row>
    <row r="118" spans="1:5" x14ac:dyDescent="0.25">
      <c r="A118" s="23">
        <v>43294.708333333336</v>
      </c>
      <c r="B118" s="15">
        <v>2.006E-3</v>
      </c>
      <c r="C118" s="15">
        <v>3.3E-4</v>
      </c>
      <c r="D118" s="28">
        <v>0.67542087542087537</v>
      </c>
      <c r="E118" s="28">
        <v>0.1111111111111111</v>
      </c>
    </row>
    <row r="119" spans="1:5" x14ac:dyDescent="0.25">
      <c r="A119" s="23">
        <v>43294.75</v>
      </c>
      <c r="B119" s="15">
        <v>4.3899999999999999E-4</v>
      </c>
      <c r="C119" s="15">
        <v>5.0000000000000001E-4</v>
      </c>
      <c r="D119" s="28">
        <v>0.31811594202898552</v>
      </c>
      <c r="E119" s="28">
        <v>0.36231884057971014</v>
      </c>
    </row>
    <row r="120" spans="1:5" x14ac:dyDescent="0.25">
      <c r="A120" s="23">
        <v>43294.791666666664</v>
      </c>
      <c r="B120" s="15">
        <v>3.9399999999999998E-4</v>
      </c>
      <c r="C120" s="15">
        <v>7.4899999999999999E-4</v>
      </c>
      <c r="D120" s="28">
        <v>0.32032520325203251</v>
      </c>
      <c r="E120" s="28">
        <v>0.60894308943089437</v>
      </c>
    </row>
    <row r="121" spans="1:5" x14ac:dyDescent="0.25">
      <c r="A121" s="23">
        <v>43294.833333333336</v>
      </c>
      <c r="B121" s="15">
        <v>7.6099999999999996E-4</v>
      </c>
      <c r="C121" s="15">
        <v>1.93E-4</v>
      </c>
      <c r="D121" s="28">
        <v>0.78453608247422668</v>
      </c>
      <c r="E121" s="28">
        <v>0.19896907216494844</v>
      </c>
    </row>
    <row r="122" spans="1:5" x14ac:dyDescent="0.25">
      <c r="A122" s="23">
        <v>43294.875</v>
      </c>
      <c r="B122" s="15">
        <v>4.6299999999999998E-4</v>
      </c>
      <c r="C122" s="15">
        <v>6.78E-4</v>
      </c>
      <c r="D122" s="28">
        <v>0.53218390804597704</v>
      </c>
      <c r="E122" s="28">
        <v>0.77931034482758621</v>
      </c>
    </row>
    <row r="123" spans="1:5" x14ac:dyDescent="0.25">
      <c r="A123" s="23">
        <v>43294.916666666664</v>
      </c>
      <c r="B123" s="15">
        <v>3.4E-5</v>
      </c>
      <c r="C123" s="15">
        <v>2.4000000000000001E-5</v>
      </c>
      <c r="D123" s="28">
        <v>4.0963855421686748E-2</v>
      </c>
      <c r="E123" s="28">
        <v>2.891566265060241E-2</v>
      </c>
    </row>
    <row r="124" spans="1:5" x14ac:dyDescent="0.25">
      <c r="A124" s="23">
        <v>43294.958333333336</v>
      </c>
      <c r="B124" s="15">
        <v>1.56E-4</v>
      </c>
      <c r="C124" s="15">
        <v>2.5599999999999999E-4</v>
      </c>
      <c r="D124" s="28">
        <v>0.27368421052631581</v>
      </c>
      <c r="E124" s="28">
        <v>0.44912280701754387</v>
      </c>
    </row>
    <row r="125" spans="1:5" x14ac:dyDescent="0.25">
      <c r="A125" s="23">
        <v>43297</v>
      </c>
      <c r="B125" s="15">
        <v>2.7599999999999999E-4</v>
      </c>
      <c r="C125" s="15">
        <v>2.5999999999999998E-4</v>
      </c>
      <c r="D125" s="28">
        <v>0.26538461538461539</v>
      </c>
      <c r="E125" s="28">
        <v>0.25</v>
      </c>
    </row>
    <row r="126" spans="1:5" x14ac:dyDescent="0.25">
      <c r="A126" s="23">
        <v>43297.041666666664</v>
      </c>
      <c r="B126" s="15">
        <v>5.0699999999999996E-4</v>
      </c>
      <c r="C126" s="15">
        <v>4.4999999999999999E-4</v>
      </c>
      <c r="D126" s="28">
        <v>0.74558823529411755</v>
      </c>
      <c r="E126" s="28">
        <v>0.66176470588235292</v>
      </c>
    </row>
    <row r="127" spans="1:5" x14ac:dyDescent="0.25">
      <c r="A127" s="23">
        <v>43297.083333333336</v>
      </c>
      <c r="B127" s="15">
        <v>2.0699999999999999E-4</v>
      </c>
      <c r="C127" s="15">
        <v>3.1999999999999999E-5</v>
      </c>
      <c r="D127" s="28">
        <v>0.30441176470588233</v>
      </c>
      <c r="E127" s="28">
        <v>4.7058823529411757E-2</v>
      </c>
    </row>
    <row r="128" spans="1:5" x14ac:dyDescent="0.25">
      <c r="A128" s="23">
        <v>43297.125</v>
      </c>
      <c r="B128" s="15">
        <v>2.7E-4</v>
      </c>
      <c r="C128" s="15">
        <v>1.3799999999999999E-4</v>
      </c>
      <c r="D128" s="28">
        <v>0.28421052631578947</v>
      </c>
      <c r="E128" s="28">
        <v>0.14526315789473684</v>
      </c>
    </row>
    <row r="129" spans="1:5" x14ac:dyDescent="0.25">
      <c r="A129" s="23">
        <v>43297.166666666664</v>
      </c>
      <c r="B129" s="15">
        <v>2.4000000000000001E-5</v>
      </c>
      <c r="C129" s="15">
        <v>6.2000000000000003E-5</v>
      </c>
      <c r="D129" s="28">
        <v>2.6666666666666668E-2</v>
      </c>
      <c r="E129" s="28">
        <v>6.8888888888888888E-2</v>
      </c>
    </row>
    <row r="130" spans="1:5" x14ac:dyDescent="0.25">
      <c r="A130" s="23">
        <v>43297.208333333336</v>
      </c>
      <c r="B130" s="15">
        <v>1.5899999999999999E-4</v>
      </c>
      <c r="C130" s="15">
        <v>2.5999999999999998E-5</v>
      </c>
      <c r="D130" s="28">
        <v>0.21486486486486486</v>
      </c>
      <c r="E130" s="28">
        <v>3.513513513513513E-2</v>
      </c>
    </row>
    <row r="131" spans="1:5" x14ac:dyDescent="0.25">
      <c r="A131" s="23">
        <v>43297.25</v>
      </c>
      <c r="B131" s="15">
        <v>1.9599999999999999E-4</v>
      </c>
      <c r="C131" s="15">
        <v>1.66E-4</v>
      </c>
      <c r="D131" s="28">
        <v>0.2481012658227848</v>
      </c>
      <c r="E131" s="28">
        <v>0.21012658227848099</v>
      </c>
    </row>
    <row r="132" spans="1:5" x14ac:dyDescent="0.25">
      <c r="A132" s="23">
        <v>43297.291666666664</v>
      </c>
      <c r="B132" s="15">
        <v>2.7700000000000001E-4</v>
      </c>
      <c r="C132" s="15">
        <v>1.2300000000000001E-4</v>
      </c>
      <c r="D132" s="28">
        <v>0.5653061224489796</v>
      </c>
      <c r="E132" s="28">
        <v>0.25102040816326532</v>
      </c>
    </row>
    <row r="133" spans="1:5" x14ac:dyDescent="0.25">
      <c r="A133" s="23">
        <v>43297.333333333336</v>
      </c>
      <c r="B133" s="15">
        <v>1.7780000000000001E-3</v>
      </c>
      <c r="C133" s="15">
        <v>4.5100000000000001E-4</v>
      </c>
      <c r="D133" s="28">
        <v>0.84666666666666679</v>
      </c>
      <c r="E133" s="28">
        <v>0.21476190476190479</v>
      </c>
    </row>
    <row r="134" spans="1:5" x14ac:dyDescent="0.25">
      <c r="A134" s="23">
        <v>43297.375</v>
      </c>
      <c r="B134" s="15">
        <v>6.6200000000000005E-4</v>
      </c>
      <c r="C134" s="15">
        <v>3.1999999999999999E-5</v>
      </c>
      <c r="D134" s="28">
        <v>0.57068965517241388</v>
      </c>
      <c r="E134" s="28">
        <v>2.7586206896551724E-2</v>
      </c>
    </row>
    <row r="135" spans="1:5" x14ac:dyDescent="0.25">
      <c r="A135" s="23">
        <v>43297.416666666664</v>
      </c>
      <c r="B135" s="15">
        <v>4.8999999999999998E-5</v>
      </c>
      <c r="C135" s="15">
        <v>6.8000000000000005E-4</v>
      </c>
      <c r="D135" s="28">
        <v>2.3902439024390241E-2</v>
      </c>
      <c r="E135" s="28">
        <v>0.33170731707317075</v>
      </c>
    </row>
    <row r="136" spans="1:5" x14ac:dyDescent="0.25">
      <c r="A136" s="23">
        <v>43297.458333333336</v>
      </c>
      <c r="B136" s="15">
        <v>8.1000000000000004E-5</v>
      </c>
      <c r="C136" s="15">
        <v>2.1599999999999999E-4</v>
      </c>
      <c r="D136" s="28">
        <v>5.586206896551725E-2</v>
      </c>
      <c r="E136" s="28">
        <v>0.14896551724137932</v>
      </c>
    </row>
    <row r="137" spans="1:5" x14ac:dyDescent="0.25">
      <c r="A137" s="23">
        <v>43297.5</v>
      </c>
      <c r="B137" s="15">
        <v>3.7100000000000002E-4</v>
      </c>
      <c r="C137" s="15">
        <v>1.76E-4</v>
      </c>
      <c r="D137" s="28">
        <v>0.22901234567901238</v>
      </c>
      <c r="E137" s="28">
        <v>0.10864197530864197</v>
      </c>
    </row>
    <row r="138" spans="1:5" x14ac:dyDescent="0.25">
      <c r="A138" s="23">
        <v>43297.541666666664</v>
      </c>
      <c r="B138" s="15">
        <v>3.8200000000000002E-4</v>
      </c>
      <c r="C138" s="15">
        <v>6.02E-4</v>
      </c>
      <c r="D138" s="28">
        <v>0.28296296296296297</v>
      </c>
      <c r="E138" s="28">
        <v>0.44592592592592589</v>
      </c>
    </row>
    <row r="139" spans="1:5" x14ac:dyDescent="0.25">
      <c r="A139" s="23">
        <v>43297.583333333336</v>
      </c>
      <c r="B139" s="15">
        <v>2.7099999999999997E-4</v>
      </c>
      <c r="C139" s="15">
        <v>7.2300000000000001E-4</v>
      </c>
      <c r="D139" s="28">
        <v>0.24636363636363631</v>
      </c>
      <c r="E139" s="28">
        <v>0.65727272727272723</v>
      </c>
    </row>
    <row r="140" spans="1:5" x14ac:dyDescent="0.25">
      <c r="A140" s="23">
        <v>43297.625</v>
      </c>
      <c r="B140" s="15">
        <v>2.3599999999999999E-4</v>
      </c>
      <c r="C140" s="15">
        <v>4.6099999999999998E-4</v>
      </c>
      <c r="D140" s="28">
        <v>0.16388888888888886</v>
      </c>
      <c r="E140" s="28">
        <v>0.32013888888888886</v>
      </c>
    </row>
    <row r="141" spans="1:5" x14ac:dyDescent="0.25">
      <c r="A141" s="23">
        <v>43297.666666666664</v>
      </c>
      <c r="B141" s="15">
        <v>1.8699999999999999E-4</v>
      </c>
      <c r="C141" s="15">
        <v>3.5500000000000001E-4</v>
      </c>
      <c r="D141" s="28">
        <v>0.1272108843537415</v>
      </c>
      <c r="E141" s="28">
        <v>0.2414965986394558</v>
      </c>
    </row>
    <row r="142" spans="1:5" x14ac:dyDescent="0.25">
      <c r="A142" s="23">
        <v>43297.708333333336</v>
      </c>
      <c r="B142" s="15">
        <v>4.1E-5</v>
      </c>
      <c r="C142" s="15">
        <v>5.8200000000000005E-4</v>
      </c>
      <c r="D142" s="28">
        <v>2.0918367346938777E-2</v>
      </c>
      <c r="E142" s="28">
        <v>0.29693877551020414</v>
      </c>
    </row>
    <row r="143" spans="1:5" x14ac:dyDescent="0.25">
      <c r="A143" s="23">
        <v>43297.75</v>
      </c>
      <c r="B143" s="15">
        <v>2.4499999999999999E-4</v>
      </c>
      <c r="C143" s="15">
        <v>3.4200000000000002E-4</v>
      </c>
      <c r="D143" s="28">
        <v>0.20762711864406777</v>
      </c>
      <c r="E143" s="28">
        <v>0.28983050847457625</v>
      </c>
    </row>
    <row r="144" spans="1:5" x14ac:dyDescent="0.25">
      <c r="A144" s="23">
        <v>43297.791666666664</v>
      </c>
      <c r="B144" s="15">
        <v>4.84E-4</v>
      </c>
      <c r="C144" s="15">
        <v>1.098E-3</v>
      </c>
      <c r="D144" s="28">
        <v>0.26021505376344084</v>
      </c>
      <c r="E144" s="28">
        <v>0.5903225806451613</v>
      </c>
    </row>
    <row r="145" spans="1:5" x14ac:dyDescent="0.25">
      <c r="A145" s="23">
        <v>43297.833333333336</v>
      </c>
      <c r="B145" s="15">
        <v>7.6499999999999995E-4</v>
      </c>
      <c r="C145" s="15">
        <v>1.188E-3</v>
      </c>
      <c r="D145" s="28">
        <v>0.701834862385321</v>
      </c>
      <c r="E145" s="28">
        <v>1.0899082568807339</v>
      </c>
    </row>
    <row r="146" spans="1:5" x14ac:dyDescent="0.25">
      <c r="A146" s="23">
        <v>43297.875</v>
      </c>
      <c r="B146" s="15">
        <v>4.1E-5</v>
      </c>
      <c r="C146" s="15">
        <v>4.55E-4</v>
      </c>
      <c r="D146" s="28">
        <v>5.1249999999999997E-2</v>
      </c>
      <c r="E146" s="28">
        <v>0.56874999999999998</v>
      </c>
    </row>
    <row r="147" spans="1:5" x14ac:dyDescent="0.25">
      <c r="A147" s="23">
        <v>43297.916666666664</v>
      </c>
      <c r="B147" s="15">
        <v>4.75E-4</v>
      </c>
      <c r="C147" s="15">
        <v>1.2899999999999999E-4</v>
      </c>
      <c r="D147" s="28">
        <v>0.69852941176470584</v>
      </c>
      <c r="E147" s="28">
        <v>0.18970588235294114</v>
      </c>
    </row>
    <row r="148" spans="1:5" x14ac:dyDescent="0.25">
      <c r="A148" s="23">
        <v>43297.958333333336</v>
      </c>
      <c r="B148" s="15">
        <v>3.0219999999999999E-3</v>
      </c>
      <c r="C148" s="15">
        <v>3.0999999999999999E-3</v>
      </c>
      <c r="D148" s="28">
        <v>4.6492307692307691</v>
      </c>
      <c r="E148" s="28">
        <v>4.7692307692307692</v>
      </c>
    </row>
    <row r="149" spans="1:5" x14ac:dyDescent="0.25">
      <c r="A149" s="23">
        <v>43298</v>
      </c>
      <c r="B149" s="15">
        <v>3.0000000000000001E-6</v>
      </c>
      <c r="C149" s="15">
        <v>7.7999999999999999E-5</v>
      </c>
      <c r="D149" s="28">
        <v>5.1724137931034482E-3</v>
      </c>
      <c r="E149" s="28">
        <v>0.13448275862068965</v>
      </c>
    </row>
    <row r="150" spans="1:5" x14ac:dyDescent="0.25">
      <c r="A150" s="23">
        <v>43298.041666666664</v>
      </c>
      <c r="B150" s="15">
        <v>2.2000000000000001E-4</v>
      </c>
      <c r="C150" s="15">
        <v>1.1E-5</v>
      </c>
      <c r="D150" s="28">
        <v>0.59459459459459463</v>
      </c>
      <c r="E150" s="28">
        <v>2.9729729729729728E-2</v>
      </c>
    </row>
    <row r="151" spans="1:5" x14ac:dyDescent="0.25">
      <c r="A151" s="23">
        <v>43298.083333333336</v>
      </c>
      <c r="B151" s="15">
        <v>3.4099999999999999E-4</v>
      </c>
      <c r="C151" s="15">
        <v>3.39E-4</v>
      </c>
      <c r="D151" s="28">
        <v>0.62</v>
      </c>
      <c r="E151" s="28">
        <v>0.61636363636363634</v>
      </c>
    </row>
    <row r="152" spans="1:5" x14ac:dyDescent="0.25">
      <c r="A152" s="23">
        <v>43298.125</v>
      </c>
      <c r="B152" s="15">
        <v>2.5799999999999998E-4</v>
      </c>
      <c r="C152" s="15">
        <v>7.1000000000000005E-5</v>
      </c>
      <c r="D152" s="28">
        <v>0.29655172413793102</v>
      </c>
      <c r="E152" s="28">
        <v>8.1609195402298856E-2</v>
      </c>
    </row>
    <row r="153" spans="1:5" x14ac:dyDescent="0.25">
      <c r="A153" s="23">
        <v>43298.166666666664</v>
      </c>
      <c r="B153" s="15">
        <v>4.1899999999999999E-4</v>
      </c>
      <c r="C153" s="15">
        <v>1.7000000000000001E-4</v>
      </c>
      <c r="D153" s="28">
        <v>0.57397260273972606</v>
      </c>
      <c r="E153" s="28">
        <v>0.23287671232876714</v>
      </c>
    </row>
    <row r="154" spans="1:5" x14ac:dyDescent="0.25">
      <c r="A154" s="23">
        <v>43298.208333333336</v>
      </c>
      <c r="B154" s="15">
        <v>1.83E-4</v>
      </c>
      <c r="C154" s="15">
        <v>7.4999999999999993E-5</v>
      </c>
      <c r="D154" s="28">
        <v>0.27727272727272728</v>
      </c>
      <c r="E154" s="28">
        <v>0.11363636363636363</v>
      </c>
    </row>
    <row r="155" spans="1:5" x14ac:dyDescent="0.25">
      <c r="A155" s="23">
        <v>43298.25</v>
      </c>
      <c r="B155" s="15">
        <v>1.0939999999999999E-3</v>
      </c>
      <c r="C155" s="15">
        <v>2.5300000000000002E-4</v>
      </c>
      <c r="D155" s="28">
        <v>0.72450331125827805</v>
      </c>
      <c r="E155" s="28">
        <v>0.16754966887417219</v>
      </c>
    </row>
    <row r="156" spans="1:5" x14ac:dyDescent="0.25">
      <c r="A156" s="23">
        <v>43298.291666666664</v>
      </c>
      <c r="B156" s="15">
        <v>5.0799999999999999E-4</v>
      </c>
      <c r="C156" s="15">
        <v>1.05E-4</v>
      </c>
      <c r="D156" s="28">
        <v>0.84666666666666668</v>
      </c>
      <c r="E156" s="28">
        <v>0.17500000000000002</v>
      </c>
    </row>
    <row r="157" spans="1:5" x14ac:dyDescent="0.25">
      <c r="A157" s="23">
        <v>43298.333333333336</v>
      </c>
      <c r="B157" s="15">
        <v>3.3199999999999999E-4</v>
      </c>
      <c r="C157" s="15">
        <v>4.6999999999999997E-5</v>
      </c>
      <c r="D157" s="28">
        <v>0.55333333333333334</v>
      </c>
      <c r="E157" s="28">
        <v>7.8333333333333338E-2</v>
      </c>
    </row>
    <row r="158" spans="1:5" x14ac:dyDescent="0.25">
      <c r="A158" s="23">
        <v>43298.375</v>
      </c>
      <c r="B158" s="15">
        <v>1.835E-3</v>
      </c>
      <c r="C158" s="15">
        <v>1.18E-4</v>
      </c>
      <c r="D158" s="28">
        <v>0.73694779116465869</v>
      </c>
      <c r="E158" s="28">
        <v>4.7389558232931728E-2</v>
      </c>
    </row>
    <row r="159" spans="1:5" x14ac:dyDescent="0.25">
      <c r="A159" s="23">
        <v>43298.416666666664</v>
      </c>
      <c r="B159" s="15">
        <v>6.0899999999999995E-4</v>
      </c>
      <c r="C159" s="15">
        <v>3.3199999999999999E-4</v>
      </c>
      <c r="D159" s="28">
        <v>0.49512195121951219</v>
      </c>
      <c r="E159" s="28">
        <v>0.26991869918699185</v>
      </c>
    </row>
    <row r="160" spans="1:5" x14ac:dyDescent="0.25">
      <c r="A160" s="23">
        <v>43298.458333333336</v>
      </c>
      <c r="B160" s="15">
        <v>6.11E-4</v>
      </c>
      <c r="C160" s="15">
        <v>4.7600000000000002E-4</v>
      </c>
      <c r="D160" s="28">
        <v>0.36369047619047618</v>
      </c>
      <c r="E160" s="28">
        <v>0.28333333333333333</v>
      </c>
    </row>
    <row r="161" spans="1:5" x14ac:dyDescent="0.25">
      <c r="A161" s="23">
        <v>43298.5</v>
      </c>
      <c r="B161" s="15">
        <v>3.4900000000000003E-4</v>
      </c>
      <c r="C161" s="15">
        <v>3.97E-4</v>
      </c>
      <c r="D161" s="28">
        <v>0.22516129032258067</v>
      </c>
      <c r="E161" s="28">
        <v>0.25612903225806455</v>
      </c>
    </row>
    <row r="162" spans="1:5" x14ac:dyDescent="0.25">
      <c r="A162" s="23">
        <v>43298.541666666664</v>
      </c>
      <c r="B162" s="15">
        <v>6.9899999999999997E-4</v>
      </c>
      <c r="C162" s="15">
        <v>7.3700000000000002E-4</v>
      </c>
      <c r="D162" s="28">
        <v>0.47551020408163264</v>
      </c>
      <c r="E162" s="28">
        <v>0.50136054421768705</v>
      </c>
    </row>
    <row r="163" spans="1:5" x14ac:dyDescent="0.25">
      <c r="A163" s="23">
        <v>43298.583333333336</v>
      </c>
      <c r="B163" s="15">
        <v>3.9599999999999998E-4</v>
      </c>
      <c r="C163" s="15">
        <v>8.1800000000000004E-4</v>
      </c>
      <c r="D163" s="28">
        <v>0.20204081632653062</v>
      </c>
      <c r="E163" s="28">
        <v>0.41734693877551021</v>
      </c>
    </row>
    <row r="164" spans="1:5" x14ac:dyDescent="0.25">
      <c r="A164" s="23">
        <v>43298.625</v>
      </c>
      <c r="B164" s="15">
        <v>6.29E-4</v>
      </c>
      <c r="C164" s="15">
        <v>4.55E-4</v>
      </c>
      <c r="D164" s="28">
        <v>0.3437158469945355</v>
      </c>
      <c r="E164" s="28">
        <v>0.24863387978142076</v>
      </c>
    </row>
    <row r="165" spans="1:5" x14ac:dyDescent="0.25">
      <c r="A165" s="23">
        <v>43298.666666666664</v>
      </c>
      <c r="B165" s="15">
        <v>5.2700000000000002E-4</v>
      </c>
      <c r="C165" s="15">
        <v>4.8700000000000002E-4</v>
      </c>
      <c r="D165" s="28">
        <v>0.31000000000000005</v>
      </c>
      <c r="E165" s="28">
        <v>0.28647058823529414</v>
      </c>
    </row>
    <row r="166" spans="1:5" x14ac:dyDescent="0.25">
      <c r="A166" s="23">
        <v>43298.708333333336</v>
      </c>
      <c r="B166" s="15">
        <v>7.8700000000000005E-4</v>
      </c>
      <c r="C166" s="15">
        <v>2.9999999999999997E-4</v>
      </c>
      <c r="D166" s="28">
        <v>0.33347457627118643</v>
      </c>
      <c r="E166" s="28">
        <v>0.1271186440677966</v>
      </c>
    </row>
    <row r="167" spans="1:5" x14ac:dyDescent="0.25">
      <c r="A167" s="23">
        <v>43298.75</v>
      </c>
      <c r="B167" s="15">
        <v>4.6000000000000001E-4</v>
      </c>
      <c r="C167" s="15">
        <v>1.7179999999999999E-3</v>
      </c>
      <c r="D167" s="28">
        <v>0.14886731391585761</v>
      </c>
      <c r="E167" s="28">
        <v>0.55598705501618118</v>
      </c>
    </row>
    <row r="168" spans="1:5" x14ac:dyDescent="0.25">
      <c r="A168" s="23">
        <v>43298.791666666664</v>
      </c>
      <c r="B168" s="15">
        <v>1.689E-3</v>
      </c>
      <c r="C168" s="15">
        <v>3.3399999999999999E-4</v>
      </c>
      <c r="D168" s="28">
        <v>1.2151079136690648</v>
      </c>
      <c r="E168" s="28">
        <v>0.24028776978417266</v>
      </c>
    </row>
    <row r="169" spans="1:5" x14ac:dyDescent="0.25">
      <c r="A169" s="23">
        <v>43298.833333333336</v>
      </c>
      <c r="B169" s="15">
        <v>4.5100000000000001E-4</v>
      </c>
      <c r="C169" s="15">
        <v>1.1E-5</v>
      </c>
      <c r="D169" s="28">
        <v>0.22663316582914572</v>
      </c>
      <c r="E169" s="28">
        <v>5.5276381909547733E-3</v>
      </c>
    </row>
    <row r="170" spans="1:5" x14ac:dyDescent="0.25">
      <c r="A170" s="23">
        <v>43298.875</v>
      </c>
      <c r="B170" s="15">
        <v>8.8800000000000001E-4</v>
      </c>
      <c r="C170" s="15">
        <v>2.2599999999999999E-4</v>
      </c>
      <c r="D170" s="28">
        <v>0.78584070796460181</v>
      </c>
      <c r="E170" s="28">
        <v>0.2</v>
      </c>
    </row>
    <row r="171" spans="1:5" x14ac:dyDescent="0.25">
      <c r="A171" s="23">
        <v>43298.916666666664</v>
      </c>
      <c r="B171" s="15">
        <v>1.5200000000000001E-4</v>
      </c>
      <c r="C171" s="15">
        <v>7.7300000000000003E-4</v>
      </c>
      <c r="D171" s="28">
        <v>0.32340425531914896</v>
      </c>
      <c r="E171" s="28">
        <v>1.64468085106383</v>
      </c>
    </row>
    <row r="172" spans="1:5" x14ac:dyDescent="0.25">
      <c r="A172" s="23">
        <v>43298.958333333336</v>
      </c>
      <c r="B172" s="15">
        <v>2.02E-4</v>
      </c>
      <c r="C172" s="15">
        <v>2.8600000000000001E-4</v>
      </c>
      <c r="D172" s="28">
        <v>0.35438596491228075</v>
      </c>
      <c r="E172" s="28">
        <v>0.50175438596491229</v>
      </c>
    </row>
    <row r="173" spans="1:5" x14ac:dyDescent="0.25">
      <c r="A173" s="23">
        <v>43299</v>
      </c>
      <c r="B173" s="15">
        <v>1.54E-4</v>
      </c>
      <c r="C173" s="15">
        <v>2.1800000000000001E-4</v>
      </c>
      <c r="D173" s="28">
        <v>0.30196078431372547</v>
      </c>
      <c r="E173" s="28">
        <v>0.42745098039215684</v>
      </c>
    </row>
    <row r="174" spans="1:5" x14ac:dyDescent="0.25">
      <c r="A174" s="23">
        <v>43299.041666666664</v>
      </c>
      <c r="B174" s="15">
        <v>1.2899999999999999E-4</v>
      </c>
      <c r="C174" s="15">
        <v>5.3000000000000001E-5</v>
      </c>
      <c r="D174" s="28">
        <v>0.3</v>
      </c>
      <c r="E174" s="28">
        <v>0.12325581395348838</v>
      </c>
    </row>
    <row r="175" spans="1:5" x14ac:dyDescent="0.25">
      <c r="A175" s="23">
        <v>43299.083333333336</v>
      </c>
      <c r="B175" s="15">
        <v>2.7E-4</v>
      </c>
      <c r="C175" s="15">
        <v>6.6200000000000005E-4</v>
      </c>
      <c r="D175" s="28">
        <v>0.28421052631578947</v>
      </c>
      <c r="E175" s="28">
        <v>0.69684210526315793</v>
      </c>
    </row>
    <row r="176" spans="1:5" x14ac:dyDescent="0.25">
      <c r="A176" s="23">
        <v>43299.125</v>
      </c>
      <c r="B176" s="15">
        <v>3.59E-4</v>
      </c>
      <c r="C176" s="15">
        <v>3.9100000000000002E-4</v>
      </c>
      <c r="D176" s="28">
        <v>0.5056338028169014</v>
      </c>
      <c r="E176" s="28">
        <v>0.55070422535211272</v>
      </c>
    </row>
    <row r="177" spans="1:5" x14ac:dyDescent="0.25">
      <c r="A177" s="23">
        <v>43299.166666666664</v>
      </c>
      <c r="B177" s="15">
        <v>2.3499999999999999E-4</v>
      </c>
      <c r="C177" s="15">
        <v>1.4999999999999999E-4</v>
      </c>
      <c r="D177" s="28">
        <v>0.22815533980582522</v>
      </c>
      <c r="E177" s="28">
        <v>0.14563106796116501</v>
      </c>
    </row>
    <row r="178" spans="1:5" x14ac:dyDescent="0.25">
      <c r="A178" s="23">
        <v>43299.208333333336</v>
      </c>
      <c r="B178" s="15">
        <v>8.2999999999999998E-5</v>
      </c>
      <c r="C178" s="15">
        <v>1.25E-4</v>
      </c>
      <c r="D178" s="28">
        <v>0.10641025641025641</v>
      </c>
      <c r="E178" s="28">
        <v>0.16025641025641027</v>
      </c>
    </row>
    <row r="179" spans="1:5" x14ac:dyDescent="0.25">
      <c r="A179" s="23">
        <v>43299.25</v>
      </c>
      <c r="B179" s="15">
        <v>5.4600000000000004E-4</v>
      </c>
      <c r="C179" s="15">
        <v>3.1399999999999999E-4</v>
      </c>
      <c r="D179" s="28">
        <v>1.0705882352941176</v>
      </c>
      <c r="E179" s="28">
        <v>0.61568627450980384</v>
      </c>
    </row>
    <row r="180" spans="1:5" x14ac:dyDescent="0.25">
      <c r="A180" s="23">
        <v>43299.291666666664</v>
      </c>
      <c r="B180" s="15">
        <v>2.3599999999999999E-4</v>
      </c>
      <c r="C180" s="15">
        <v>7.9600000000000005E-4</v>
      </c>
      <c r="D180" s="28">
        <v>0.2185185185185185</v>
      </c>
      <c r="E180" s="28">
        <v>0.73703703703703705</v>
      </c>
    </row>
    <row r="181" spans="1:5" x14ac:dyDescent="0.25">
      <c r="A181" s="23">
        <v>43299.333333333336</v>
      </c>
      <c r="B181" s="15">
        <v>2.1499999999999999E-4</v>
      </c>
      <c r="C181" s="15">
        <v>4.8000000000000001E-4</v>
      </c>
      <c r="D181" s="28">
        <v>0.15925925925925924</v>
      </c>
      <c r="E181" s="28">
        <v>0.35555555555555557</v>
      </c>
    </row>
    <row r="182" spans="1:5" x14ac:dyDescent="0.25">
      <c r="A182" s="23">
        <v>43299.375</v>
      </c>
      <c r="B182" s="15">
        <v>5.1500000000000005E-4</v>
      </c>
      <c r="C182" s="15">
        <v>4.2299999999999998E-4</v>
      </c>
      <c r="D182" s="28">
        <v>0.39312977099236646</v>
      </c>
      <c r="E182" s="28">
        <v>0.3229007633587786</v>
      </c>
    </row>
    <row r="183" spans="1:5" x14ac:dyDescent="0.25">
      <c r="A183" s="23">
        <v>43299.416666666664</v>
      </c>
      <c r="B183" s="15">
        <v>4.28E-4</v>
      </c>
      <c r="C183" s="15">
        <v>4.1199999999999999E-4</v>
      </c>
      <c r="D183" s="28">
        <v>0.19022222222222224</v>
      </c>
      <c r="E183" s="28">
        <v>0.18311111111111111</v>
      </c>
    </row>
    <row r="184" spans="1:5" x14ac:dyDescent="0.25">
      <c r="A184" s="23">
        <v>43299.458333333336</v>
      </c>
      <c r="B184" s="15">
        <v>9.7199999999999999E-4</v>
      </c>
      <c r="C184" s="15">
        <v>7.2099999999999996E-4</v>
      </c>
      <c r="D184" s="28">
        <v>0.52258064516129032</v>
      </c>
      <c r="E184" s="28">
        <v>0.38763440860215048</v>
      </c>
    </row>
    <row r="185" spans="1:5" x14ac:dyDescent="0.25">
      <c r="A185" s="23">
        <v>43299.5</v>
      </c>
      <c r="B185" s="15">
        <v>2.9100000000000003E-4</v>
      </c>
      <c r="C185" s="15">
        <v>7.3099999999999999E-4</v>
      </c>
      <c r="D185" s="28">
        <v>0.20208333333333334</v>
      </c>
      <c r="E185" s="28">
        <v>0.50763888888888886</v>
      </c>
    </row>
    <row r="186" spans="1:5" x14ac:dyDescent="0.25">
      <c r="A186" s="23">
        <v>43299.541666666664</v>
      </c>
      <c r="B186" s="15">
        <v>4.0099999999999999E-4</v>
      </c>
      <c r="C186" s="15">
        <v>1.07E-4</v>
      </c>
      <c r="D186" s="28">
        <v>0.22784090909090907</v>
      </c>
      <c r="E186" s="28">
        <v>6.0795454545454541E-2</v>
      </c>
    </row>
    <row r="187" spans="1:5" x14ac:dyDescent="0.25">
      <c r="A187" s="23">
        <v>43299.583333333336</v>
      </c>
      <c r="B187" s="15">
        <v>5.9299999999999999E-4</v>
      </c>
      <c r="C187" s="15">
        <v>9.4799999999999995E-4</v>
      </c>
      <c r="D187" s="28">
        <v>0.29949494949494948</v>
      </c>
      <c r="E187" s="28">
        <v>0.47878787878787876</v>
      </c>
    </row>
    <row r="188" spans="1:5" x14ac:dyDescent="0.25">
      <c r="A188" s="23">
        <v>43299.625</v>
      </c>
      <c r="B188" s="15">
        <v>1.0020000000000001E-3</v>
      </c>
      <c r="C188" s="15">
        <v>3.5100000000000002E-4</v>
      </c>
      <c r="D188" s="28">
        <v>0.38837209302325587</v>
      </c>
      <c r="E188" s="28">
        <v>0.13604651162790699</v>
      </c>
    </row>
    <row r="189" spans="1:5" x14ac:dyDescent="0.25">
      <c r="A189" s="23">
        <v>43299.666666666664</v>
      </c>
      <c r="B189" s="15">
        <v>5.4799999999999998E-4</v>
      </c>
      <c r="C189" s="15">
        <v>1.1559999999999999E-3</v>
      </c>
      <c r="D189" s="28">
        <v>0.30786516853932583</v>
      </c>
      <c r="E189" s="28">
        <v>0.64943820224719095</v>
      </c>
    </row>
    <row r="190" spans="1:5" x14ac:dyDescent="0.25">
      <c r="A190" s="23">
        <v>43299.708333333336</v>
      </c>
      <c r="B190" s="15">
        <v>3.9599999999999998E-4</v>
      </c>
      <c r="C190" s="15">
        <v>7.2000000000000005E-4</v>
      </c>
      <c r="D190" s="28">
        <v>0.2429447852760736</v>
      </c>
      <c r="E190" s="28">
        <v>0.441717791411043</v>
      </c>
    </row>
    <row r="191" spans="1:5" x14ac:dyDescent="0.25">
      <c r="A191" s="23">
        <v>43299.75</v>
      </c>
      <c r="B191" s="15">
        <v>1.3899999999999999E-4</v>
      </c>
      <c r="C191" s="15">
        <v>1.16E-4</v>
      </c>
      <c r="D191" s="28">
        <v>0.10072463768115941</v>
      </c>
      <c r="E191" s="28">
        <v>8.4057971014492763E-2</v>
      </c>
    </row>
    <row r="192" spans="1:5" x14ac:dyDescent="0.25">
      <c r="A192" s="23">
        <v>43299.791666666664</v>
      </c>
      <c r="B192" s="15">
        <v>1.0380000000000001E-3</v>
      </c>
      <c r="C192" s="15">
        <v>5.8699999999999996E-4</v>
      </c>
      <c r="D192" s="28">
        <v>0.58977272727272734</v>
      </c>
      <c r="E192" s="28">
        <v>0.33352272727272725</v>
      </c>
    </row>
    <row r="193" spans="1:5" x14ac:dyDescent="0.25">
      <c r="A193" s="23">
        <v>43299.833333333336</v>
      </c>
      <c r="B193" s="15">
        <v>1.026E-3</v>
      </c>
      <c r="C193" s="15">
        <v>1.22E-4</v>
      </c>
      <c r="D193" s="28">
        <v>1.2825</v>
      </c>
      <c r="E193" s="28">
        <v>0.1525</v>
      </c>
    </row>
    <row r="194" spans="1:5" x14ac:dyDescent="0.25">
      <c r="A194" s="23">
        <v>43299.875</v>
      </c>
      <c r="B194" s="15">
        <v>4.84E-4</v>
      </c>
      <c r="C194" s="15">
        <v>1.64E-4</v>
      </c>
      <c r="D194" s="28">
        <v>0.74461538461538468</v>
      </c>
      <c r="E194" s="28">
        <v>0.25230769230769234</v>
      </c>
    </row>
    <row r="195" spans="1:5" x14ac:dyDescent="0.25">
      <c r="A195" s="23">
        <v>43299.916666666664</v>
      </c>
      <c r="B195" s="15">
        <v>3.7300000000000001E-4</v>
      </c>
      <c r="C195" s="15">
        <v>8.1899999999999996E-4</v>
      </c>
      <c r="D195" s="28">
        <v>0.3552380952380953</v>
      </c>
      <c r="E195" s="28">
        <v>0.78</v>
      </c>
    </row>
    <row r="196" spans="1:5" x14ac:dyDescent="0.25">
      <c r="A196" s="23">
        <v>43299.958333333336</v>
      </c>
      <c r="B196" s="15">
        <v>2.8760000000000001E-3</v>
      </c>
      <c r="C196" s="15">
        <v>2.7430000000000002E-3</v>
      </c>
      <c r="D196" s="28">
        <v>4.4937499999999995</v>
      </c>
      <c r="E196" s="28">
        <v>4.2859375000000002</v>
      </c>
    </row>
    <row r="197" spans="1:5" x14ac:dyDescent="0.25">
      <c r="A197" s="23">
        <v>43300</v>
      </c>
      <c r="B197" s="15">
        <v>1.8000000000000001E-4</v>
      </c>
      <c r="C197" s="15">
        <v>1.0900000000000001E-4</v>
      </c>
      <c r="D197" s="28">
        <v>0.20930232558139536</v>
      </c>
      <c r="E197" s="28">
        <v>0.12674418604651164</v>
      </c>
    </row>
    <row r="198" spans="1:5" x14ac:dyDescent="0.25">
      <c r="A198" s="23">
        <v>43300.041666666664</v>
      </c>
      <c r="B198" s="15">
        <v>3.79E-4</v>
      </c>
      <c r="C198" s="15">
        <v>1.07E-4</v>
      </c>
      <c r="D198" s="28">
        <v>0.90238095238095228</v>
      </c>
      <c r="E198" s="28">
        <v>0.25476190476190474</v>
      </c>
    </row>
    <row r="199" spans="1:5" x14ac:dyDescent="0.25">
      <c r="A199" s="23">
        <v>43300.083333333336</v>
      </c>
      <c r="B199" s="15">
        <v>1.26E-4</v>
      </c>
      <c r="C199" s="15">
        <v>8.8999999999999995E-5</v>
      </c>
      <c r="D199" s="28">
        <v>0.2930232558139535</v>
      </c>
      <c r="E199" s="28">
        <v>0.2069767441860465</v>
      </c>
    </row>
    <row r="200" spans="1:5" x14ac:dyDescent="0.25">
      <c r="A200" s="23">
        <v>43300.125</v>
      </c>
      <c r="B200" s="15">
        <v>7.5100000000000004E-4</v>
      </c>
      <c r="C200" s="15">
        <v>1.6899999999999999E-4</v>
      </c>
      <c r="D200" s="28">
        <v>0.72912621359223295</v>
      </c>
      <c r="E200" s="28">
        <v>0.16407766990291259</v>
      </c>
    </row>
    <row r="201" spans="1:5" x14ac:dyDescent="0.25">
      <c r="A201" s="23">
        <v>43300.166666666664</v>
      </c>
      <c r="B201" s="15">
        <v>2.0000000000000001E-4</v>
      </c>
      <c r="C201" s="15">
        <v>8.1499999999999997E-4</v>
      </c>
      <c r="D201" s="28">
        <v>0.12820512820512822</v>
      </c>
      <c r="E201" s="28">
        <v>0.52243589743589747</v>
      </c>
    </row>
    <row r="202" spans="1:5" x14ac:dyDescent="0.25">
      <c r="A202" s="23">
        <v>43300.208333333336</v>
      </c>
      <c r="B202" s="15">
        <v>2.8699999999999998E-4</v>
      </c>
      <c r="C202" s="15">
        <v>1.9699999999999999E-4</v>
      </c>
      <c r="D202" s="28">
        <v>0.27333333333333332</v>
      </c>
      <c r="E202" s="28">
        <v>0.18761904761904763</v>
      </c>
    </row>
    <row r="203" spans="1:5" x14ac:dyDescent="0.25">
      <c r="A203" s="23">
        <v>43300.25</v>
      </c>
      <c r="B203" s="15">
        <v>5.71E-4</v>
      </c>
      <c r="C203" s="15">
        <v>4.6099999999999998E-4</v>
      </c>
      <c r="D203" s="28">
        <v>0.46422764227642277</v>
      </c>
      <c r="E203" s="28">
        <v>0.37479674796747969</v>
      </c>
    </row>
    <row r="204" spans="1:5" x14ac:dyDescent="0.25">
      <c r="A204" s="23">
        <v>43300.291666666664</v>
      </c>
      <c r="B204" s="15">
        <v>4.08E-4</v>
      </c>
      <c r="C204" s="15">
        <v>2.3499999999999999E-4</v>
      </c>
      <c r="D204" s="28">
        <v>0.57464788732394367</v>
      </c>
      <c r="E204" s="28">
        <v>0.33098591549295775</v>
      </c>
    </row>
    <row r="205" spans="1:5" x14ac:dyDescent="0.25">
      <c r="A205" s="23">
        <v>43300.333333333336</v>
      </c>
      <c r="B205" s="15">
        <v>3.2200000000000002E-4</v>
      </c>
      <c r="C205" s="15">
        <v>2.2800000000000001E-4</v>
      </c>
      <c r="D205" s="28">
        <v>0.32857142857142863</v>
      </c>
      <c r="E205" s="28">
        <v>0.23265306122448981</v>
      </c>
    </row>
    <row r="206" spans="1:5" x14ac:dyDescent="0.25">
      <c r="A206" s="23">
        <v>43300.375</v>
      </c>
      <c r="B206" s="15">
        <v>2.2499999999999999E-4</v>
      </c>
      <c r="C206" s="15">
        <v>1.5499999999999999E-3</v>
      </c>
      <c r="D206" s="28">
        <v>0.09</v>
      </c>
      <c r="E206" s="28">
        <v>0.62</v>
      </c>
    </row>
    <row r="207" spans="1:5" x14ac:dyDescent="0.25">
      <c r="A207" s="23">
        <v>43300.416666666664</v>
      </c>
      <c r="B207" s="15">
        <v>8.4099999999999995E-4</v>
      </c>
      <c r="C207" s="15">
        <v>9.5699999999999995E-4</v>
      </c>
      <c r="D207" s="28">
        <v>0.39669811320754716</v>
      </c>
      <c r="E207" s="28">
        <v>0.45141509433962262</v>
      </c>
    </row>
    <row r="208" spans="1:5" x14ac:dyDescent="0.25">
      <c r="A208" s="23">
        <v>43300.458333333336</v>
      </c>
      <c r="B208" s="15">
        <v>3.8099999999999999E-4</v>
      </c>
      <c r="C208" s="15">
        <v>3.8499999999999998E-4</v>
      </c>
      <c r="D208" s="28">
        <v>0.25918367346938775</v>
      </c>
      <c r="E208" s="28">
        <v>0.26190476190476192</v>
      </c>
    </row>
    <row r="209" spans="1:5" x14ac:dyDescent="0.25">
      <c r="A209" s="23">
        <v>43300.5</v>
      </c>
      <c r="B209" s="15">
        <v>5.0000000000000001E-4</v>
      </c>
      <c r="C209" s="15">
        <v>1.042E-3</v>
      </c>
      <c r="D209" s="28">
        <v>0.24271844660194172</v>
      </c>
      <c r="E209" s="28">
        <v>0.50582524271844653</v>
      </c>
    </row>
    <row r="210" spans="1:5" x14ac:dyDescent="0.25">
      <c r="A210" s="23">
        <v>43300.541666666664</v>
      </c>
      <c r="B210" s="15">
        <v>1.7799999999999999E-4</v>
      </c>
      <c r="C210" s="15">
        <v>0</v>
      </c>
      <c r="D210" s="28">
        <v>9.3684210526315786E-2</v>
      </c>
      <c r="E210" s="28">
        <v>0</v>
      </c>
    </row>
    <row r="211" spans="1:5" x14ac:dyDescent="0.25">
      <c r="A211" s="23">
        <v>43300.583333333336</v>
      </c>
      <c r="B211" s="15">
        <v>5.8100000000000003E-4</v>
      </c>
      <c r="C211" s="15">
        <v>2.9500000000000001E-4</v>
      </c>
      <c r="D211" s="28">
        <v>0.39256756756756761</v>
      </c>
      <c r="E211" s="28">
        <v>0.19932432432432434</v>
      </c>
    </row>
    <row r="212" spans="1:5" x14ac:dyDescent="0.25">
      <c r="A212" s="23">
        <v>43300.625</v>
      </c>
      <c r="B212" s="15">
        <v>7.0200000000000004E-4</v>
      </c>
      <c r="C212" s="15">
        <v>1.3799999999999999E-3</v>
      </c>
      <c r="D212" s="28">
        <v>0.27209302325581397</v>
      </c>
      <c r="E212" s="28">
        <v>0.53488372093023262</v>
      </c>
    </row>
    <row r="213" spans="1:5" x14ac:dyDescent="0.25">
      <c r="A213" s="23">
        <v>43300.666666666664</v>
      </c>
      <c r="B213" s="15">
        <v>1.7979999999999999E-3</v>
      </c>
      <c r="C213" s="15">
        <v>1.2930000000000001E-3</v>
      </c>
      <c r="D213" s="28">
        <v>0.72793522267206479</v>
      </c>
      <c r="E213" s="28">
        <v>0.52348178137651824</v>
      </c>
    </row>
    <row r="214" spans="1:5" x14ac:dyDescent="0.25">
      <c r="A214" s="23">
        <v>43300.708333333336</v>
      </c>
      <c r="B214" s="15">
        <v>7.9600000000000005E-4</v>
      </c>
      <c r="C214" s="15">
        <v>7.9299999999999998E-4</v>
      </c>
      <c r="D214" s="28">
        <v>0.30733590733590738</v>
      </c>
      <c r="E214" s="28">
        <v>0.3061776061776062</v>
      </c>
    </row>
    <row r="215" spans="1:5" x14ac:dyDescent="0.25">
      <c r="A215" s="23">
        <v>43300.75</v>
      </c>
      <c r="B215" s="15">
        <v>1.5380000000000001E-3</v>
      </c>
      <c r="C215" s="15">
        <v>7.7200000000000001E-4</v>
      </c>
      <c r="D215" s="28">
        <v>0.8738636363636364</v>
      </c>
      <c r="E215" s="28">
        <v>0.4386363636363636</v>
      </c>
    </row>
    <row r="216" spans="1:5" x14ac:dyDescent="0.25">
      <c r="A216" s="23">
        <v>43300.791666666664</v>
      </c>
      <c r="B216" s="15">
        <v>1.35E-4</v>
      </c>
      <c r="C216" s="15">
        <v>6.9300000000000004E-4</v>
      </c>
      <c r="D216" s="28">
        <v>0.16666666666666669</v>
      </c>
      <c r="E216" s="28">
        <v>0.85555555555555562</v>
      </c>
    </row>
    <row r="217" spans="1:5" x14ac:dyDescent="0.25">
      <c r="A217" s="23">
        <v>43300.833333333336</v>
      </c>
      <c r="B217" s="15">
        <v>6.5760000000000002E-3</v>
      </c>
      <c r="C217" s="15">
        <v>3.8699999999999997E-4</v>
      </c>
      <c r="D217" s="28">
        <v>0.90205761316872435</v>
      </c>
      <c r="E217" s="28">
        <v>5.3086419753086422E-2</v>
      </c>
    </row>
    <row r="218" spans="1:5" x14ac:dyDescent="0.25">
      <c r="A218" s="23">
        <v>43300.875</v>
      </c>
      <c r="B218" s="15">
        <v>2.4689999999999998E-3</v>
      </c>
      <c r="C218" s="15">
        <v>1.292E-3</v>
      </c>
      <c r="D218" s="28">
        <v>1.2102941176470587</v>
      </c>
      <c r="E218" s="28">
        <v>0.6333333333333333</v>
      </c>
    </row>
    <row r="219" spans="1:5" x14ac:dyDescent="0.25">
      <c r="A219" s="23">
        <v>43300.916666666664</v>
      </c>
      <c r="B219" s="15">
        <v>2.0769999999999999E-3</v>
      </c>
      <c r="C219" s="15">
        <v>1.7200000000000001E-4</v>
      </c>
      <c r="D219" s="28">
        <v>1.888181818181818</v>
      </c>
      <c r="E219" s="28">
        <v>0.15636363636363637</v>
      </c>
    </row>
    <row r="220" spans="1:5" x14ac:dyDescent="0.25">
      <c r="A220" s="23">
        <v>43300.958333333336</v>
      </c>
      <c r="B220" s="15">
        <v>5.6899999999999995E-4</v>
      </c>
      <c r="C220" s="15">
        <v>6.9999999999999999E-6</v>
      </c>
      <c r="D220" s="28">
        <v>0.34907975460122698</v>
      </c>
      <c r="E220" s="28">
        <v>4.2944785276073623E-3</v>
      </c>
    </row>
    <row r="221" spans="1:5" x14ac:dyDescent="0.25">
      <c r="A221" s="23">
        <v>43301</v>
      </c>
      <c r="B221" s="15">
        <v>4.5800000000000002E-4</v>
      </c>
      <c r="C221" s="15">
        <v>4.2200000000000001E-4</v>
      </c>
      <c r="D221" s="28">
        <v>0.6450704225352113</v>
      </c>
      <c r="E221" s="28">
        <v>0.59436619718309858</v>
      </c>
    </row>
    <row r="222" spans="1:5" x14ac:dyDescent="0.25">
      <c r="A222" s="23">
        <v>43301.041666666664</v>
      </c>
      <c r="B222" s="15">
        <v>3.8200000000000002E-4</v>
      </c>
      <c r="C222" s="15">
        <v>3.4499999999999998E-4</v>
      </c>
      <c r="D222" s="28">
        <v>0.79583333333333339</v>
      </c>
      <c r="E222" s="28">
        <v>0.71875</v>
      </c>
    </row>
    <row r="223" spans="1:5" x14ac:dyDescent="0.25">
      <c r="A223" s="23">
        <v>43301.083333333336</v>
      </c>
      <c r="B223" s="15">
        <v>5.3399999999999997E-4</v>
      </c>
      <c r="C223" s="15">
        <v>5.8100000000000003E-4</v>
      </c>
      <c r="D223" s="28">
        <v>0.39850746268656712</v>
      </c>
      <c r="E223" s="28">
        <v>0.43358208955223881</v>
      </c>
    </row>
    <row r="224" spans="1:5" x14ac:dyDescent="0.25">
      <c r="A224" s="23">
        <v>43301.125</v>
      </c>
      <c r="B224" s="15">
        <v>3.9599999999999998E-4</v>
      </c>
      <c r="C224" s="15">
        <v>3.9300000000000001E-4</v>
      </c>
      <c r="D224" s="28">
        <v>0.46046511627906977</v>
      </c>
      <c r="E224" s="28">
        <v>0.45697674418604656</v>
      </c>
    </row>
    <row r="225" spans="1:5" x14ac:dyDescent="0.25">
      <c r="A225" s="23">
        <v>43301.166666666664</v>
      </c>
      <c r="B225" s="15">
        <v>2.3800000000000001E-4</v>
      </c>
      <c r="C225" s="15">
        <v>2.0539999999999998E-3</v>
      </c>
      <c r="D225" s="28">
        <v>7.0833333333333331E-2</v>
      </c>
      <c r="E225" s="28">
        <v>0.61130952380952375</v>
      </c>
    </row>
    <row r="226" spans="1:5" x14ac:dyDescent="0.25">
      <c r="A226" s="23">
        <v>43301.208333333336</v>
      </c>
      <c r="B226" s="15">
        <v>8.0800000000000002E-4</v>
      </c>
      <c r="C226" s="15">
        <v>1.2030000000000001E-3</v>
      </c>
      <c r="D226" s="28">
        <v>0.3941463414634146</v>
      </c>
      <c r="E226" s="28">
        <v>0.58682926829268289</v>
      </c>
    </row>
    <row r="227" spans="1:5" x14ac:dyDescent="0.25">
      <c r="A227" s="23">
        <v>43301.25</v>
      </c>
      <c r="B227" s="15">
        <v>7.6400000000000003E-4</v>
      </c>
      <c r="C227" s="15">
        <v>4.26E-4</v>
      </c>
      <c r="D227" s="28">
        <v>0.7717171717171718</v>
      </c>
      <c r="E227" s="28">
        <v>0.4303030303030303</v>
      </c>
    </row>
    <row r="228" spans="1:5" x14ac:dyDescent="0.25">
      <c r="A228" s="23">
        <v>43301.291666666664</v>
      </c>
      <c r="B228" s="15">
        <v>8.5700000000000001E-4</v>
      </c>
      <c r="C228" s="15">
        <v>4.8299999999999998E-4</v>
      </c>
      <c r="D228" s="28">
        <v>0.51626506024096386</v>
      </c>
      <c r="E228" s="28">
        <v>0.29096385542168673</v>
      </c>
    </row>
    <row r="229" spans="1:5" x14ac:dyDescent="0.25">
      <c r="A229" s="23">
        <v>43301.333333333336</v>
      </c>
      <c r="B229" s="15">
        <v>1.75E-4</v>
      </c>
      <c r="C229" s="15">
        <v>5.5999999999999995E-4</v>
      </c>
      <c r="D229" s="28">
        <v>0.14830508474576271</v>
      </c>
      <c r="E229" s="28">
        <v>0.47457627118644063</v>
      </c>
    </row>
    <row r="230" spans="1:5" x14ac:dyDescent="0.25">
      <c r="A230" s="23">
        <v>43301.375</v>
      </c>
      <c r="B230" s="15">
        <v>4.1E-5</v>
      </c>
      <c r="C230" s="15">
        <v>1.157E-3</v>
      </c>
      <c r="D230" s="28">
        <v>1.4642857142857143E-2</v>
      </c>
      <c r="E230" s="28">
        <v>0.41321428571428576</v>
      </c>
    </row>
    <row r="231" spans="1:5" x14ac:dyDescent="0.25">
      <c r="A231" s="23">
        <v>43301.416666666664</v>
      </c>
      <c r="B231" s="15">
        <v>8.1899999999999996E-4</v>
      </c>
      <c r="C231" s="15">
        <v>9.3099999999999997E-4</v>
      </c>
      <c r="D231" s="28">
        <v>0.33703703703703702</v>
      </c>
      <c r="E231" s="28">
        <v>0.38312757201646092</v>
      </c>
    </row>
    <row r="232" spans="1:5" x14ac:dyDescent="0.25">
      <c r="A232" s="23">
        <v>43301.458333333336</v>
      </c>
      <c r="B232" s="15">
        <v>2.0000000000000001E-4</v>
      </c>
      <c r="C232" s="15">
        <v>8.9300000000000002E-4</v>
      </c>
      <c r="D232" s="28">
        <v>0.12578616352201258</v>
      </c>
      <c r="E232" s="28">
        <v>0.56163522012578615</v>
      </c>
    </row>
    <row r="233" spans="1:5" x14ac:dyDescent="0.25">
      <c r="A233" s="23">
        <v>43301.5</v>
      </c>
      <c r="B233" s="15">
        <v>3.6499999999999998E-4</v>
      </c>
      <c r="C233" s="15">
        <v>2.0799999999999999E-4</v>
      </c>
      <c r="D233" s="28">
        <v>0.18622448979591835</v>
      </c>
      <c r="E233" s="28">
        <v>0.10612244897959183</v>
      </c>
    </row>
    <row r="234" spans="1:5" x14ac:dyDescent="0.25">
      <c r="A234" s="23">
        <v>43301.541666666664</v>
      </c>
      <c r="B234" s="15">
        <v>9.2199999999999997E-4</v>
      </c>
      <c r="C234" s="15">
        <v>5.6499999999999996E-4</v>
      </c>
      <c r="D234" s="28">
        <v>0.57624999999999993</v>
      </c>
      <c r="E234" s="28">
        <v>0.35312499999999997</v>
      </c>
    </row>
    <row r="235" spans="1:5" x14ac:dyDescent="0.25">
      <c r="A235" s="23">
        <v>43301.583333333336</v>
      </c>
      <c r="B235" s="15">
        <v>9.5E-4</v>
      </c>
      <c r="C235" s="15">
        <v>6.6600000000000003E-4</v>
      </c>
      <c r="D235" s="28">
        <v>0.52777777777777779</v>
      </c>
      <c r="E235" s="28">
        <v>0.37000000000000005</v>
      </c>
    </row>
    <row r="236" spans="1:5" x14ac:dyDescent="0.25">
      <c r="A236" s="23">
        <v>43301.625</v>
      </c>
      <c r="B236" s="15">
        <v>4.1970000000000002E-3</v>
      </c>
      <c r="C236" s="15">
        <v>8.6700000000000004E-4</v>
      </c>
      <c r="D236" s="28">
        <v>0.78011152416356877</v>
      </c>
      <c r="E236" s="28">
        <v>0.16115241635687733</v>
      </c>
    </row>
    <row r="237" spans="1:5" x14ac:dyDescent="0.25">
      <c r="A237" s="23">
        <v>43301.666666666664</v>
      </c>
      <c r="B237" s="15">
        <v>7.9000000000000001E-4</v>
      </c>
      <c r="C237" s="15">
        <v>1.5169999999999999E-3</v>
      </c>
      <c r="D237" s="28">
        <v>0.3779904306220096</v>
      </c>
      <c r="E237" s="28">
        <v>0.72583732057416273</v>
      </c>
    </row>
    <row r="238" spans="1:5" x14ac:dyDescent="0.25">
      <c r="A238" s="23">
        <v>43301.708333333336</v>
      </c>
      <c r="B238" s="15">
        <v>3.7599999999999998E-4</v>
      </c>
      <c r="C238" s="15">
        <v>3.5300000000000002E-4</v>
      </c>
      <c r="D238" s="28">
        <v>0.20888888888888887</v>
      </c>
      <c r="E238" s="28">
        <v>0.19611111111111112</v>
      </c>
    </row>
    <row r="239" spans="1:5" x14ac:dyDescent="0.25">
      <c r="A239" s="23">
        <v>43301.75</v>
      </c>
      <c r="B239" s="15">
        <v>8.7999999999999998E-5</v>
      </c>
      <c r="C239" s="15">
        <v>5.3399999999999997E-4</v>
      </c>
      <c r="D239" s="28">
        <v>8.3018867924528297E-2</v>
      </c>
      <c r="E239" s="28">
        <v>0.50377358490566038</v>
      </c>
    </row>
    <row r="240" spans="1:5" x14ac:dyDescent="0.25">
      <c r="A240" s="23">
        <v>43301.791666666664</v>
      </c>
      <c r="B240" s="15">
        <v>7.5100000000000004E-4</v>
      </c>
      <c r="C240" s="15">
        <v>4.35E-4</v>
      </c>
      <c r="D240" s="28">
        <v>0.72912621359223295</v>
      </c>
      <c r="E240" s="28">
        <v>0.42233009708737862</v>
      </c>
    </row>
    <row r="241" spans="1:5" x14ac:dyDescent="0.25">
      <c r="A241" s="23">
        <v>43301.833333333336</v>
      </c>
      <c r="B241" s="15">
        <v>7.5699999999999997E-4</v>
      </c>
      <c r="C241" s="15">
        <v>5.6400000000000005E-4</v>
      </c>
      <c r="D241" s="28">
        <v>0.45329341317365268</v>
      </c>
      <c r="E241" s="28">
        <v>0.33772455089820363</v>
      </c>
    </row>
    <row r="242" spans="1:5" x14ac:dyDescent="0.25">
      <c r="A242" s="23">
        <v>43301.875</v>
      </c>
      <c r="B242" s="15">
        <v>1.2949999999999999E-3</v>
      </c>
      <c r="C242" s="15">
        <v>1.2830000000000001E-3</v>
      </c>
      <c r="D242" s="28">
        <v>0.65736040609137059</v>
      </c>
      <c r="E242" s="28">
        <v>0.65126903553299498</v>
      </c>
    </row>
    <row r="243" spans="1:5" x14ac:dyDescent="0.25">
      <c r="A243" s="23">
        <v>43301.916666666664</v>
      </c>
      <c r="B243" s="15">
        <v>1.0889999999999999E-3</v>
      </c>
      <c r="C243" s="15">
        <v>2.03E-4</v>
      </c>
      <c r="D243" s="28">
        <v>1.089</v>
      </c>
      <c r="E243" s="28">
        <v>0.20299999999999999</v>
      </c>
    </row>
    <row r="244" spans="1:5" x14ac:dyDescent="0.25">
      <c r="A244" s="23">
        <v>43301.958333333336</v>
      </c>
      <c r="B244" s="15">
        <v>3.1100000000000002E-4</v>
      </c>
      <c r="C244" s="15">
        <v>7.45E-4</v>
      </c>
      <c r="D244" s="28">
        <v>0.2776785714285715</v>
      </c>
      <c r="E244" s="28">
        <v>0.66517857142857151</v>
      </c>
    </row>
    <row r="245" spans="1:5" x14ac:dyDescent="0.25">
      <c r="A245" s="23">
        <v>43304</v>
      </c>
      <c r="B245" s="15">
        <v>6.6399999999999999E-4</v>
      </c>
      <c r="C245" s="15">
        <v>4.1199999999999999E-4</v>
      </c>
      <c r="D245" s="28">
        <v>1.1649122807017545</v>
      </c>
      <c r="E245" s="28">
        <v>0.72280701754385968</v>
      </c>
    </row>
    <row r="246" spans="1:5" x14ac:dyDescent="0.25">
      <c r="A246" s="23">
        <v>43304.041666666664</v>
      </c>
      <c r="B246" s="15">
        <v>7.2999999999999999E-5</v>
      </c>
      <c r="C246" s="15">
        <v>5.1999999999999997E-5</v>
      </c>
      <c r="D246" s="28">
        <v>6.5178571428571433E-2</v>
      </c>
      <c r="E246" s="28">
        <v>4.642857142857143E-2</v>
      </c>
    </row>
    <row r="247" spans="1:5" x14ac:dyDescent="0.25">
      <c r="A247" s="23">
        <v>43304.083333333336</v>
      </c>
      <c r="B247" s="15">
        <v>6.7199999999999996E-4</v>
      </c>
      <c r="C247" s="15">
        <v>8.8000000000000003E-4</v>
      </c>
      <c r="D247" s="28">
        <v>0.54634146341463408</v>
      </c>
      <c r="E247" s="28">
        <v>0.71544715447154472</v>
      </c>
    </row>
    <row r="248" spans="1:5" x14ac:dyDescent="0.25">
      <c r="A248" s="23">
        <v>43304.125</v>
      </c>
      <c r="B248" s="15">
        <v>2.7799999999999998E-4</v>
      </c>
      <c r="C248" s="15">
        <v>2.6999999999999999E-5</v>
      </c>
      <c r="D248" s="28">
        <v>0.23166666666666666</v>
      </c>
      <c r="E248" s="28">
        <v>2.2500000000000003E-2</v>
      </c>
    </row>
    <row r="249" spans="1:5" x14ac:dyDescent="0.25">
      <c r="A249" s="23">
        <v>43304.166666666664</v>
      </c>
      <c r="B249" s="15">
        <v>4.5000000000000003E-5</v>
      </c>
      <c r="C249" s="15">
        <v>3.4400000000000001E-4</v>
      </c>
      <c r="D249" s="28">
        <v>2.7439024390243906E-2</v>
      </c>
      <c r="E249" s="28">
        <v>0.20975609756097563</v>
      </c>
    </row>
    <row r="250" spans="1:5" x14ac:dyDescent="0.25">
      <c r="A250" s="23">
        <v>43304.208333333336</v>
      </c>
      <c r="B250" s="15">
        <v>2.3499999999999999E-4</v>
      </c>
      <c r="C250" s="15">
        <v>4.8999999999999998E-5</v>
      </c>
      <c r="D250" s="28">
        <v>0.23039215686274508</v>
      </c>
      <c r="E250" s="28">
        <v>4.8039215686274506E-2</v>
      </c>
    </row>
    <row r="251" spans="1:5" x14ac:dyDescent="0.25">
      <c r="A251" s="23">
        <v>43304.25</v>
      </c>
      <c r="B251" s="15">
        <v>2.9599999999999998E-4</v>
      </c>
      <c r="C251" s="15">
        <v>1.8200000000000001E-4</v>
      </c>
      <c r="D251" s="28">
        <v>0.31489361702127661</v>
      </c>
      <c r="E251" s="28">
        <v>0.19361702127659575</v>
      </c>
    </row>
    <row r="252" spans="1:5" x14ac:dyDescent="0.25">
      <c r="A252" s="23">
        <v>43304.291666666664</v>
      </c>
      <c r="B252" s="15">
        <v>8.8199999999999997E-4</v>
      </c>
      <c r="C252" s="15">
        <v>5.9999999999999995E-4</v>
      </c>
      <c r="D252" s="28">
        <v>0.88200000000000001</v>
      </c>
      <c r="E252" s="28">
        <v>0.6</v>
      </c>
    </row>
    <row r="253" spans="1:5" x14ac:dyDescent="0.25">
      <c r="A253" s="23">
        <v>43304.333333333336</v>
      </c>
      <c r="B253" s="15">
        <v>1.07E-4</v>
      </c>
      <c r="C253" s="15">
        <v>4.6700000000000002E-4</v>
      </c>
      <c r="D253" s="28">
        <v>6.604938271604939E-2</v>
      </c>
      <c r="E253" s="28">
        <v>0.28827160493827164</v>
      </c>
    </row>
    <row r="254" spans="1:5" x14ac:dyDescent="0.25">
      <c r="A254" s="23">
        <v>43304.375</v>
      </c>
      <c r="B254" s="15">
        <v>2.04E-4</v>
      </c>
      <c r="C254" s="15">
        <v>4.6E-5</v>
      </c>
      <c r="D254" s="28">
        <v>0.13076923076923078</v>
      </c>
      <c r="E254" s="28">
        <v>2.9487179487179487E-2</v>
      </c>
    </row>
    <row r="255" spans="1:5" x14ac:dyDescent="0.25">
      <c r="A255" s="23">
        <v>43304.416666666664</v>
      </c>
      <c r="B255" s="15">
        <v>1.1490000000000001E-3</v>
      </c>
      <c r="C255" s="15">
        <v>3.4999999999999997E-5</v>
      </c>
      <c r="D255" s="28">
        <v>0.4031578947368421</v>
      </c>
      <c r="E255" s="28">
        <v>1.2280701754385963E-2</v>
      </c>
    </row>
    <row r="256" spans="1:5" x14ac:dyDescent="0.25">
      <c r="A256" s="23">
        <v>43304.458333333336</v>
      </c>
      <c r="B256" s="15">
        <v>1.238E-3</v>
      </c>
      <c r="C256" s="15">
        <v>2.1090000000000002E-3</v>
      </c>
      <c r="D256" s="28">
        <v>0.41266666666666663</v>
      </c>
      <c r="E256" s="28">
        <v>0.70300000000000007</v>
      </c>
    </row>
    <row r="257" spans="1:5" x14ac:dyDescent="0.25">
      <c r="A257" s="23">
        <v>43304.5</v>
      </c>
      <c r="B257" s="15">
        <v>1.2310000000000001E-3</v>
      </c>
      <c r="C257" s="15">
        <v>8.7900000000000001E-4</v>
      </c>
      <c r="D257" s="28">
        <v>0.59182692307692319</v>
      </c>
      <c r="E257" s="28">
        <v>0.4225961538461539</v>
      </c>
    </row>
    <row r="258" spans="1:5" x14ac:dyDescent="0.25">
      <c r="A258" s="23">
        <v>43304.541666666664</v>
      </c>
      <c r="B258" s="15">
        <v>9.6299999999999999E-4</v>
      </c>
      <c r="C258" s="15">
        <v>1.379E-3</v>
      </c>
      <c r="D258" s="28">
        <v>0.49384615384615388</v>
      </c>
      <c r="E258" s="28">
        <v>0.7071794871794872</v>
      </c>
    </row>
    <row r="259" spans="1:5" x14ac:dyDescent="0.25">
      <c r="A259" s="23">
        <v>43304.583333333336</v>
      </c>
      <c r="B259" s="15">
        <v>5.9299999999999999E-4</v>
      </c>
      <c r="C259" s="15">
        <v>1.168E-3</v>
      </c>
      <c r="D259" s="28">
        <v>0.8471428571428572</v>
      </c>
      <c r="E259" s="28">
        <v>1.6685714285714286</v>
      </c>
    </row>
    <row r="260" spans="1:5" x14ac:dyDescent="0.25">
      <c r="A260" s="23">
        <v>43304.625</v>
      </c>
      <c r="B260" s="15">
        <v>5.2999999999999998E-4</v>
      </c>
      <c r="C260" s="15">
        <v>3.0499999999999999E-4</v>
      </c>
      <c r="D260" s="28">
        <v>0.34640522875816993</v>
      </c>
      <c r="E260" s="28">
        <v>0.19934640522875818</v>
      </c>
    </row>
    <row r="261" spans="1:5" x14ac:dyDescent="0.25">
      <c r="A261" s="23">
        <v>43304.666666666664</v>
      </c>
      <c r="B261" s="15">
        <v>2.99E-4</v>
      </c>
      <c r="C261" s="15">
        <v>1.3090000000000001E-3</v>
      </c>
      <c r="D261" s="28">
        <v>0.13056768558951964</v>
      </c>
      <c r="E261" s="28">
        <v>0.57161572052401755</v>
      </c>
    </row>
    <row r="262" spans="1:5" x14ac:dyDescent="0.25">
      <c r="A262" s="23">
        <v>43304.708333333336</v>
      </c>
      <c r="B262" s="15">
        <v>4.1999999999999998E-5</v>
      </c>
      <c r="C262" s="15">
        <v>6.02E-4</v>
      </c>
      <c r="D262" s="28">
        <v>3.5593220338983045E-2</v>
      </c>
      <c r="E262" s="28">
        <v>0.51016949152542368</v>
      </c>
    </row>
    <row r="263" spans="1:5" x14ac:dyDescent="0.25">
      <c r="A263" s="23">
        <v>43304.75</v>
      </c>
      <c r="B263" s="15">
        <v>5.6400000000000005E-4</v>
      </c>
      <c r="C263" s="15">
        <v>9.7000000000000005E-4</v>
      </c>
      <c r="D263" s="28">
        <v>0.36153846153846159</v>
      </c>
      <c r="E263" s="28">
        <v>0.62179487179487181</v>
      </c>
    </row>
    <row r="264" spans="1:5" x14ac:dyDescent="0.25">
      <c r="A264" s="23">
        <v>43304.791666666664</v>
      </c>
      <c r="B264" s="15">
        <v>1.45E-4</v>
      </c>
      <c r="C264" s="15">
        <v>1.6799999999999999E-4</v>
      </c>
      <c r="D264" s="28">
        <v>0.11068702290076336</v>
      </c>
      <c r="E264" s="28">
        <v>0.12824427480916031</v>
      </c>
    </row>
    <row r="265" spans="1:5" x14ac:dyDescent="0.25">
      <c r="A265" s="23">
        <v>43304.833333333336</v>
      </c>
      <c r="B265" s="15">
        <v>8.6000000000000003E-5</v>
      </c>
      <c r="C265" s="15">
        <v>5.62E-4</v>
      </c>
      <c r="D265" s="28">
        <v>3.6134453781512602E-2</v>
      </c>
      <c r="E265" s="28">
        <v>0.2361344537815126</v>
      </c>
    </row>
    <row r="266" spans="1:5" x14ac:dyDescent="0.25">
      <c r="A266" s="23">
        <v>43304.875</v>
      </c>
      <c r="B266" s="15">
        <v>6.5700000000000003E-4</v>
      </c>
      <c r="C266" s="15">
        <v>3.6699999999999998E-4</v>
      </c>
      <c r="D266" s="28">
        <v>0.67040816326530617</v>
      </c>
      <c r="E266" s="28">
        <v>0.37448979591836734</v>
      </c>
    </row>
    <row r="267" spans="1:5" x14ac:dyDescent="0.25">
      <c r="A267" s="23">
        <v>43304.916666666664</v>
      </c>
      <c r="B267" s="15">
        <v>2.34E-4</v>
      </c>
      <c r="C267" s="15">
        <v>3.3500000000000001E-4</v>
      </c>
      <c r="D267" s="28">
        <v>0.21869158878504671</v>
      </c>
      <c r="E267" s="28">
        <v>0.31308411214953275</v>
      </c>
    </row>
    <row r="268" spans="1:5" x14ac:dyDescent="0.25">
      <c r="A268" s="23">
        <v>43304.958333333336</v>
      </c>
      <c r="B268" s="15">
        <v>5.7000000000000003E-5</v>
      </c>
      <c r="C268" s="15">
        <v>1.4999999999999999E-4</v>
      </c>
      <c r="D268" s="28">
        <v>8.6363636363636365E-2</v>
      </c>
      <c r="E268" s="28">
        <v>0.22727272727272727</v>
      </c>
    </row>
    <row r="269" spans="1:5" x14ac:dyDescent="0.25">
      <c r="A269" s="23">
        <v>43305</v>
      </c>
      <c r="B269" s="15">
        <v>6.3999999999999997E-5</v>
      </c>
      <c r="C269" s="15">
        <v>5.5400000000000002E-4</v>
      </c>
      <c r="D269" s="28">
        <v>6.6666666666666666E-2</v>
      </c>
      <c r="E269" s="28">
        <v>0.57708333333333339</v>
      </c>
    </row>
    <row r="270" spans="1:5" x14ac:dyDescent="0.25">
      <c r="A270" s="23">
        <v>43305.041666666664</v>
      </c>
      <c r="B270" s="15">
        <v>4.2999999999999999E-4</v>
      </c>
      <c r="C270" s="15">
        <v>4.2499999999999998E-4</v>
      </c>
      <c r="D270" s="28">
        <v>0.63235294117647056</v>
      </c>
      <c r="E270" s="28">
        <v>0.62499999999999989</v>
      </c>
    </row>
    <row r="271" spans="1:5" x14ac:dyDescent="0.25">
      <c r="A271" s="26">
        <v>43305.083333333336</v>
      </c>
      <c r="B271" s="27">
        <v>5.4299999999999997E-4</v>
      </c>
      <c r="C271" s="27">
        <v>4.1999999999999998E-5</v>
      </c>
      <c r="D271" s="29">
        <v>0.74383561643835616</v>
      </c>
      <c r="E271" s="29">
        <v>5.7534246575342465E-2</v>
      </c>
    </row>
    <row r="272" spans="1:5" x14ac:dyDescent="0.25">
      <c r="A272" s="23">
        <v>43305.125</v>
      </c>
      <c r="B272" s="15">
        <v>5.7000000000000003E-5</v>
      </c>
      <c r="C272" s="15">
        <v>1.9000000000000001E-4</v>
      </c>
      <c r="D272" s="28">
        <v>9.3442622950819676E-2</v>
      </c>
      <c r="E272" s="28">
        <v>0.31147540983606559</v>
      </c>
    </row>
    <row r="273" spans="1:5" x14ac:dyDescent="0.25">
      <c r="A273" s="23">
        <v>43305.166666666664</v>
      </c>
      <c r="B273" s="15">
        <v>4.7699999999999999E-4</v>
      </c>
      <c r="C273" s="15">
        <v>2.81E-4</v>
      </c>
      <c r="D273" s="28">
        <v>0.40769230769230769</v>
      </c>
      <c r="E273" s="28">
        <v>0.24017094017094015</v>
      </c>
    </row>
    <row r="274" spans="1:5" x14ac:dyDescent="0.25">
      <c r="A274" s="23">
        <v>43305.208333333336</v>
      </c>
      <c r="B274" s="15">
        <v>1.6100000000000001E-4</v>
      </c>
      <c r="C274" s="15">
        <v>7.1100000000000004E-4</v>
      </c>
      <c r="D274" s="28">
        <v>0.10062500000000001</v>
      </c>
      <c r="E274" s="28">
        <v>0.44437500000000002</v>
      </c>
    </row>
    <row r="275" spans="1:5" x14ac:dyDescent="0.25">
      <c r="A275" s="23">
        <v>43305.25</v>
      </c>
      <c r="B275" s="15">
        <v>3.2699999999999998E-4</v>
      </c>
      <c r="C275" s="15">
        <v>1.6699999999999999E-4</v>
      </c>
      <c r="D275" s="28">
        <v>0.51904761904761898</v>
      </c>
      <c r="E275" s="28">
        <v>0.26507936507936508</v>
      </c>
    </row>
    <row r="276" spans="1:5" x14ac:dyDescent="0.25">
      <c r="A276" s="23">
        <v>43305.291666666664</v>
      </c>
      <c r="B276" s="15">
        <v>1.83E-4</v>
      </c>
      <c r="C276" s="15">
        <v>7.5799999999999999E-4</v>
      </c>
      <c r="D276" s="28">
        <v>0.13455882352941176</v>
      </c>
      <c r="E276" s="28">
        <v>0.5573529411764705</v>
      </c>
    </row>
    <row r="277" spans="1:5" x14ac:dyDescent="0.25">
      <c r="A277" s="23">
        <v>43305.333333333336</v>
      </c>
      <c r="B277" s="15">
        <v>1.8799999999999999E-4</v>
      </c>
      <c r="C277" s="15">
        <v>5.6300000000000002E-4</v>
      </c>
      <c r="D277" s="28">
        <v>0.20659340659340658</v>
      </c>
      <c r="E277" s="28">
        <v>0.6186813186813187</v>
      </c>
    </row>
    <row r="278" spans="1:5" x14ac:dyDescent="0.25">
      <c r="A278" s="23">
        <v>43305.375</v>
      </c>
      <c r="B278" s="15">
        <v>8.0199999999999998E-4</v>
      </c>
      <c r="C278" s="15">
        <v>2.1610000000000002E-3</v>
      </c>
      <c r="D278" s="28">
        <v>0.30264150943396223</v>
      </c>
      <c r="E278" s="28">
        <v>0.81547169811320763</v>
      </c>
    </row>
    <row r="279" spans="1:5" x14ac:dyDescent="0.25">
      <c r="A279" s="23">
        <v>43305.416666666664</v>
      </c>
      <c r="B279" s="15">
        <v>3.6319999999999998E-3</v>
      </c>
      <c r="C279" s="15">
        <v>6.3299999999999999E-4</v>
      </c>
      <c r="D279" s="28">
        <v>0.72785571142284566</v>
      </c>
      <c r="E279" s="28">
        <v>0.12685370741482965</v>
      </c>
    </row>
    <row r="280" spans="1:5" x14ac:dyDescent="0.25">
      <c r="A280" s="23">
        <v>43305.458333333336</v>
      </c>
      <c r="B280" s="15">
        <v>1.91E-3</v>
      </c>
      <c r="C280" s="15">
        <v>2.6499999999999999E-4</v>
      </c>
      <c r="D280" s="28">
        <v>1.0159574468085106</v>
      </c>
      <c r="E280" s="28">
        <v>0.14095744680851063</v>
      </c>
    </row>
    <row r="281" spans="1:5" x14ac:dyDescent="0.25">
      <c r="A281" s="23">
        <v>43305.5</v>
      </c>
      <c r="B281" s="15">
        <v>2.12E-4</v>
      </c>
      <c r="C281" s="15">
        <v>1.379E-3</v>
      </c>
      <c r="D281" s="28">
        <v>0.17815126050420166</v>
      </c>
      <c r="E281" s="28">
        <v>1.1588235294117646</v>
      </c>
    </row>
    <row r="282" spans="1:5" x14ac:dyDescent="0.25">
      <c r="A282" s="23">
        <v>43305.541666666664</v>
      </c>
      <c r="B282" s="15">
        <v>1.8469999999999999E-3</v>
      </c>
      <c r="C282" s="15">
        <v>7.67E-4</v>
      </c>
      <c r="D282" s="28">
        <v>0.76322314049586781</v>
      </c>
      <c r="E282" s="28">
        <v>0.31694214876033061</v>
      </c>
    </row>
    <row r="283" spans="1:5" x14ac:dyDescent="0.25">
      <c r="A283" s="23">
        <v>43305.583333333336</v>
      </c>
      <c r="B283" s="15">
        <v>6.02E-4</v>
      </c>
      <c r="C283" s="15">
        <v>1.64E-4</v>
      </c>
      <c r="D283" s="28">
        <v>0.4123287671232877</v>
      </c>
      <c r="E283" s="28">
        <v>0.11232876712328768</v>
      </c>
    </row>
    <row r="284" spans="1:5" x14ac:dyDescent="0.25">
      <c r="A284" s="23">
        <v>43305.625</v>
      </c>
      <c r="B284" s="15">
        <v>8.0000000000000004E-4</v>
      </c>
      <c r="C284" s="15">
        <v>8.1800000000000004E-4</v>
      </c>
      <c r="D284" s="28">
        <v>0.38095238095238099</v>
      </c>
      <c r="E284" s="28">
        <v>0.38952380952380955</v>
      </c>
    </row>
    <row r="285" spans="1:5" x14ac:dyDescent="0.25">
      <c r="A285" s="23">
        <v>43305.666666666664</v>
      </c>
      <c r="B285" s="15">
        <v>1.2899999999999999E-3</v>
      </c>
      <c r="C285" s="15">
        <v>8.9300000000000002E-4</v>
      </c>
      <c r="D285" s="28">
        <v>0.56828193832599116</v>
      </c>
      <c r="E285" s="28">
        <v>0.39339207048458152</v>
      </c>
    </row>
    <row r="286" spans="1:5" x14ac:dyDescent="0.25">
      <c r="A286" s="23">
        <v>43305.708333333336</v>
      </c>
      <c r="B286" s="15">
        <v>2.7599999999999999E-4</v>
      </c>
      <c r="C286" s="15">
        <v>9.7999999999999997E-5</v>
      </c>
      <c r="D286" s="28">
        <v>0.18278145695364237</v>
      </c>
      <c r="E286" s="28">
        <v>6.4900662251655625E-2</v>
      </c>
    </row>
    <row r="287" spans="1:5" x14ac:dyDescent="0.25">
      <c r="A287" s="23">
        <v>43305.75</v>
      </c>
      <c r="B287" s="15">
        <v>5.6999999999999998E-4</v>
      </c>
      <c r="C287" s="15">
        <v>1.554E-3</v>
      </c>
      <c r="D287" s="28">
        <v>0.21673003802281368</v>
      </c>
      <c r="E287" s="28">
        <v>0.59087452471482893</v>
      </c>
    </row>
    <row r="288" spans="1:5" x14ac:dyDescent="0.25">
      <c r="A288" s="23">
        <v>43305.791666666664</v>
      </c>
      <c r="B288" s="15">
        <v>7.0500000000000001E-4</v>
      </c>
      <c r="C288" s="15">
        <v>1.2999999999999999E-5</v>
      </c>
      <c r="D288" s="28">
        <v>0.55511811023622049</v>
      </c>
      <c r="E288" s="28">
        <v>1.0236220472440943E-2</v>
      </c>
    </row>
    <row r="289" spans="1:5" x14ac:dyDescent="0.25">
      <c r="A289" s="23">
        <v>43305.833333333336</v>
      </c>
      <c r="B289" s="15">
        <v>5.6999999999999998E-4</v>
      </c>
      <c r="C289" s="15">
        <v>2.1599999999999999E-4</v>
      </c>
      <c r="D289" s="28">
        <v>0.4351145038167939</v>
      </c>
      <c r="E289" s="28">
        <v>0.16488549618320611</v>
      </c>
    </row>
    <row r="290" spans="1:5" x14ac:dyDescent="0.25">
      <c r="A290" s="23">
        <v>43305.875</v>
      </c>
      <c r="B290" s="15">
        <v>1.84E-4</v>
      </c>
      <c r="C290" s="15">
        <v>6.3E-5</v>
      </c>
      <c r="D290" s="28">
        <v>0.16283185840707964</v>
      </c>
      <c r="E290" s="28">
        <v>5.5752212389380537E-2</v>
      </c>
    </row>
    <row r="291" spans="1:5" x14ac:dyDescent="0.25">
      <c r="A291" s="23">
        <v>43305.916666666664</v>
      </c>
      <c r="B291" s="15">
        <v>3.0499999999999999E-4</v>
      </c>
      <c r="C291" s="15">
        <v>6.6399999999999999E-4</v>
      </c>
      <c r="D291" s="28">
        <v>0.37195121951219512</v>
      </c>
      <c r="E291" s="28">
        <v>0.80975609756097566</v>
      </c>
    </row>
    <row r="292" spans="1:5" x14ac:dyDescent="0.25">
      <c r="A292" s="23">
        <v>43305.958333333336</v>
      </c>
      <c r="B292" s="15"/>
      <c r="C292" s="15"/>
      <c r="D292" s="28">
        <v>0</v>
      </c>
      <c r="E292" s="28">
        <v>0</v>
      </c>
    </row>
    <row r="293" spans="1:5" x14ac:dyDescent="0.25">
      <c r="A293" s="23">
        <v>43306</v>
      </c>
      <c r="B293" s="15">
        <v>3.6699999999999998E-4</v>
      </c>
      <c r="C293" s="15">
        <v>6.1899999999999998E-4</v>
      </c>
      <c r="D293" s="28">
        <v>0.42183908045977009</v>
      </c>
      <c r="E293" s="28">
        <v>0.71149425287356316</v>
      </c>
    </row>
    <row r="294" spans="1:5" x14ac:dyDescent="0.25">
      <c r="A294" s="23">
        <v>43306.041666666664</v>
      </c>
      <c r="B294" s="15">
        <v>1.66E-4</v>
      </c>
      <c r="C294" s="15">
        <v>1.8100000000000001E-4</v>
      </c>
      <c r="D294" s="28">
        <v>0.48823529411764699</v>
      </c>
      <c r="E294" s="28">
        <v>0.53235294117647058</v>
      </c>
    </row>
    <row r="295" spans="1:5" x14ac:dyDescent="0.25">
      <c r="A295" s="23">
        <v>43306.083333333336</v>
      </c>
      <c r="B295" s="15">
        <v>4.5000000000000003E-5</v>
      </c>
      <c r="C295" s="15">
        <v>4.8000000000000001E-4</v>
      </c>
      <c r="D295" s="28">
        <v>0.10975609756097562</v>
      </c>
      <c r="E295" s="28">
        <v>1.1707317073170733</v>
      </c>
    </row>
    <row r="296" spans="1:5" x14ac:dyDescent="0.25">
      <c r="A296" s="23">
        <v>43306.125</v>
      </c>
      <c r="B296" s="15">
        <v>5.1999999999999995E-4</v>
      </c>
      <c r="C296" s="15">
        <v>7.7999999999999999E-5</v>
      </c>
      <c r="D296" s="28">
        <v>0.5</v>
      </c>
      <c r="E296" s="28">
        <v>7.5000000000000011E-2</v>
      </c>
    </row>
    <row r="297" spans="1:5" x14ac:dyDescent="0.25">
      <c r="A297" s="23">
        <v>43306.166666666664</v>
      </c>
      <c r="B297" s="15">
        <v>3.3700000000000001E-4</v>
      </c>
      <c r="C297" s="15">
        <v>1.73E-4</v>
      </c>
      <c r="D297" s="28">
        <v>0.25149253731343285</v>
      </c>
      <c r="E297" s="28">
        <v>0.1291044776119403</v>
      </c>
    </row>
    <row r="298" spans="1:5" x14ac:dyDescent="0.25">
      <c r="A298" s="23">
        <v>43306.208333333336</v>
      </c>
      <c r="B298" s="15">
        <v>1.0939999999999999E-3</v>
      </c>
      <c r="C298" s="15">
        <v>6.9899999999999997E-4</v>
      </c>
      <c r="D298" s="28">
        <v>1.2431818181818179</v>
      </c>
      <c r="E298" s="28">
        <v>0.7943181818181817</v>
      </c>
    </row>
    <row r="299" spans="1:5" x14ac:dyDescent="0.25">
      <c r="A299" s="23">
        <v>43306.25</v>
      </c>
      <c r="B299" s="15">
        <v>2.5900000000000001E-4</v>
      </c>
      <c r="C299" s="15">
        <v>2.9E-4</v>
      </c>
      <c r="D299" s="28">
        <v>0.33636363636363636</v>
      </c>
      <c r="E299" s="28">
        <v>0.37662337662337664</v>
      </c>
    </row>
    <row r="300" spans="1:5" x14ac:dyDescent="0.25">
      <c r="A300" s="23">
        <v>43306.291666666664</v>
      </c>
      <c r="B300" s="15">
        <v>2.3E-5</v>
      </c>
      <c r="C300" s="15">
        <v>3.4999999999999997E-5</v>
      </c>
      <c r="D300" s="28">
        <v>4.1818181818181817E-2</v>
      </c>
      <c r="E300" s="28">
        <v>6.363636363636363E-2</v>
      </c>
    </row>
    <row r="301" spans="1:5" x14ac:dyDescent="0.25">
      <c r="A301" s="23">
        <v>43306.333333333336</v>
      </c>
      <c r="B301" s="15">
        <v>8.2899999999999998E-4</v>
      </c>
      <c r="C301" s="15">
        <v>5.7600000000000001E-4</v>
      </c>
      <c r="D301" s="28">
        <v>0.67398373983739834</v>
      </c>
      <c r="E301" s="28">
        <v>0.4682926829268293</v>
      </c>
    </row>
    <row r="302" spans="1:5" x14ac:dyDescent="0.25">
      <c r="A302" s="23">
        <v>43306.375</v>
      </c>
      <c r="B302" s="15">
        <v>5.9699999999999998E-4</v>
      </c>
      <c r="C302" s="15">
        <v>3.4999999999999997E-5</v>
      </c>
      <c r="D302" s="28">
        <v>0.31925133689839574</v>
      </c>
      <c r="E302" s="28">
        <v>1.871657754010695E-2</v>
      </c>
    </row>
    <row r="303" spans="1:5" x14ac:dyDescent="0.25">
      <c r="A303" s="23">
        <v>43306.416666666664</v>
      </c>
      <c r="B303" s="15">
        <v>8.9800000000000004E-4</v>
      </c>
      <c r="C303" s="15">
        <v>3.3500000000000001E-4</v>
      </c>
      <c r="D303" s="28">
        <v>0.627972027972028</v>
      </c>
      <c r="E303" s="28">
        <v>0.23426573426573427</v>
      </c>
    </row>
    <row r="304" spans="1:5" x14ac:dyDescent="0.25">
      <c r="A304" s="23">
        <v>43306.458333333336</v>
      </c>
      <c r="B304" s="15">
        <v>4.2299999999999998E-4</v>
      </c>
      <c r="C304" s="15">
        <v>1.73E-4</v>
      </c>
      <c r="D304" s="28">
        <v>0.25792682926829269</v>
      </c>
      <c r="E304" s="28">
        <v>0.10548780487804879</v>
      </c>
    </row>
    <row r="305" spans="1:5" x14ac:dyDescent="0.25">
      <c r="A305" s="23">
        <v>43306.5</v>
      </c>
      <c r="B305" s="15">
        <v>3.3799999999999998E-4</v>
      </c>
      <c r="C305" s="15">
        <v>8.34E-4</v>
      </c>
      <c r="D305" s="28">
        <v>0.32500000000000001</v>
      </c>
      <c r="E305" s="28">
        <v>0.80192307692307696</v>
      </c>
    </row>
    <row r="306" spans="1:5" x14ac:dyDescent="0.25">
      <c r="A306" s="23">
        <v>43306.541666666664</v>
      </c>
      <c r="B306" s="15">
        <v>2.2499999999999999E-4</v>
      </c>
      <c r="C306" s="15">
        <v>7.3099999999999999E-4</v>
      </c>
      <c r="D306" s="28">
        <v>0.14423076923076922</v>
      </c>
      <c r="E306" s="28">
        <v>0.46858974358974359</v>
      </c>
    </row>
    <row r="307" spans="1:5" x14ac:dyDescent="0.25">
      <c r="A307" s="23">
        <v>43306.583333333336</v>
      </c>
      <c r="B307" s="15">
        <v>2.3499999999999999E-4</v>
      </c>
      <c r="C307" s="15">
        <v>6.1700000000000004E-4</v>
      </c>
      <c r="D307" s="28">
        <v>0.25543478260869562</v>
      </c>
      <c r="E307" s="28">
        <v>0.67065217391304355</v>
      </c>
    </row>
    <row r="308" spans="1:5" x14ac:dyDescent="0.25">
      <c r="A308" s="23">
        <v>43306.625</v>
      </c>
      <c r="B308" s="15">
        <v>4.7699999999999999E-4</v>
      </c>
      <c r="C308" s="15">
        <v>3.88E-4</v>
      </c>
      <c r="D308" s="28">
        <v>0.33591549295774648</v>
      </c>
      <c r="E308" s="28">
        <v>0.27323943661971828</v>
      </c>
    </row>
    <row r="309" spans="1:5" x14ac:dyDescent="0.25">
      <c r="A309" s="23">
        <v>43306.666666666664</v>
      </c>
      <c r="B309" s="15">
        <v>9.19E-4</v>
      </c>
      <c r="C309" s="15">
        <v>6.4400000000000004E-4</v>
      </c>
      <c r="D309" s="28">
        <v>0.53742690058479536</v>
      </c>
      <c r="E309" s="28">
        <v>0.37660818713450295</v>
      </c>
    </row>
    <row r="310" spans="1:5" x14ac:dyDescent="0.25">
      <c r="A310" s="23">
        <v>43306.708333333336</v>
      </c>
      <c r="B310" s="15">
        <v>7.7300000000000003E-4</v>
      </c>
      <c r="C310" s="15">
        <v>2.0699999999999998E-3</v>
      </c>
      <c r="D310" s="28">
        <v>0.28629629629629627</v>
      </c>
      <c r="E310" s="28">
        <v>0.7666666666666665</v>
      </c>
    </row>
    <row r="311" spans="1:5" x14ac:dyDescent="0.25">
      <c r="A311" s="23">
        <v>43306.75</v>
      </c>
      <c r="B311" s="15">
        <v>6.5899999999999997E-4</v>
      </c>
      <c r="C311" s="15">
        <v>2.8600000000000001E-4</v>
      </c>
      <c r="D311" s="28">
        <v>0.37443181818181814</v>
      </c>
      <c r="E311" s="28">
        <v>0.16250000000000001</v>
      </c>
    </row>
    <row r="312" spans="1:5" x14ac:dyDescent="0.25">
      <c r="A312" s="23">
        <v>43306.791666666664</v>
      </c>
      <c r="B312" s="15">
        <v>1.15E-4</v>
      </c>
      <c r="C312" s="15">
        <v>1.3999999999999999E-4</v>
      </c>
      <c r="D312" s="28">
        <v>6.8047337278106509E-2</v>
      </c>
      <c r="E312" s="28">
        <v>8.2840236686390525E-2</v>
      </c>
    </row>
    <row r="313" spans="1:5" x14ac:dyDescent="0.25">
      <c r="A313" s="23">
        <v>43306.833333333336</v>
      </c>
      <c r="B313" s="15">
        <v>1.5920000000000001E-3</v>
      </c>
      <c r="C313" s="15">
        <v>8.5700000000000001E-4</v>
      </c>
      <c r="D313" s="28">
        <v>0.7013215859030838</v>
      </c>
      <c r="E313" s="28">
        <v>0.37753303964757712</v>
      </c>
    </row>
    <row r="314" spans="1:5" x14ac:dyDescent="0.25">
      <c r="A314" s="23">
        <v>43306.875</v>
      </c>
      <c r="B314" s="15">
        <v>2.7099999999999997E-4</v>
      </c>
      <c r="C314" s="15">
        <v>6.1799999999999995E-4</v>
      </c>
      <c r="D314" s="28">
        <v>0.15224719101123596</v>
      </c>
      <c r="E314" s="28">
        <v>0.34719101123595503</v>
      </c>
    </row>
    <row r="315" spans="1:5" x14ac:dyDescent="0.25">
      <c r="A315" s="23">
        <v>43306.916666666664</v>
      </c>
      <c r="B315" s="15">
        <v>2.702E-3</v>
      </c>
      <c r="C315" s="15">
        <v>6.6200000000000005E-4</v>
      </c>
      <c r="D315" s="28">
        <v>0.678894472361809</v>
      </c>
      <c r="E315" s="28">
        <v>0.1663316582914573</v>
      </c>
    </row>
    <row r="316" spans="1:5" x14ac:dyDescent="0.25">
      <c r="A316" s="23">
        <v>43306.958333333336</v>
      </c>
      <c r="B316" s="15">
        <v>1.1709999999999999E-3</v>
      </c>
      <c r="C316" s="15">
        <v>2.1999999999999999E-5</v>
      </c>
      <c r="D316" s="28">
        <v>0.59744897959183674</v>
      </c>
      <c r="E316" s="28">
        <v>1.1224489795918367E-2</v>
      </c>
    </row>
    <row r="317" spans="1:5" x14ac:dyDescent="0.25">
      <c r="A317" s="23">
        <v>43307</v>
      </c>
      <c r="B317" s="15">
        <v>4.4999999999999999E-4</v>
      </c>
      <c r="C317" s="15">
        <v>5.5800000000000001E-4</v>
      </c>
      <c r="D317" s="28">
        <v>0.33834586466165412</v>
      </c>
      <c r="E317" s="28">
        <v>0.41954887218045112</v>
      </c>
    </row>
    <row r="318" spans="1:5" x14ac:dyDescent="0.25">
      <c r="A318" s="23">
        <v>43307.041666666664</v>
      </c>
      <c r="B318" s="15">
        <v>7.8999999999999996E-5</v>
      </c>
      <c r="C318" s="15">
        <v>5.9000000000000003E-4</v>
      </c>
      <c r="D318" s="28">
        <v>7.7450980392156851E-2</v>
      </c>
      <c r="E318" s="28">
        <v>0.57843137254901955</v>
      </c>
    </row>
    <row r="319" spans="1:5" x14ac:dyDescent="0.25">
      <c r="A319" s="23">
        <v>43307.083333333336</v>
      </c>
      <c r="B319" s="15">
        <v>1.01E-4</v>
      </c>
      <c r="C319" s="15">
        <v>6.5099999999999999E-4</v>
      </c>
      <c r="D319" s="28">
        <v>0.13466666666666666</v>
      </c>
      <c r="E319" s="28">
        <v>0.86799999999999999</v>
      </c>
    </row>
    <row r="320" spans="1:5" x14ac:dyDescent="0.25">
      <c r="A320" s="23">
        <v>43307.125</v>
      </c>
      <c r="B320" s="15">
        <v>5.6400000000000005E-4</v>
      </c>
      <c r="C320" s="15">
        <v>2.33E-4</v>
      </c>
      <c r="D320" s="28">
        <v>0.69629629629629641</v>
      </c>
      <c r="E320" s="28">
        <v>0.28765432098765431</v>
      </c>
    </row>
    <row r="321" spans="1:5" x14ac:dyDescent="0.25">
      <c r="A321" s="23">
        <v>43307.166666666664</v>
      </c>
      <c r="B321" s="15">
        <v>3.6699999999999998E-4</v>
      </c>
      <c r="C321" s="15">
        <v>2.6200000000000003E-4</v>
      </c>
      <c r="D321" s="28">
        <v>0.28015267175572517</v>
      </c>
      <c r="E321" s="28">
        <v>0.2</v>
      </c>
    </row>
    <row r="322" spans="1:5" x14ac:dyDescent="0.25">
      <c r="A322" s="23">
        <v>43307.208333333336</v>
      </c>
      <c r="B322" s="15">
        <v>1.2E-4</v>
      </c>
      <c r="C322" s="15">
        <v>1.4999999999999999E-4</v>
      </c>
      <c r="D322" s="28">
        <v>0.14285714285714285</v>
      </c>
      <c r="E322" s="28">
        <v>0.17857142857142855</v>
      </c>
    </row>
    <row r="323" spans="1:5" x14ac:dyDescent="0.25">
      <c r="A323" s="23">
        <v>43307.25</v>
      </c>
      <c r="B323" s="15">
        <v>1.3999999999999999E-4</v>
      </c>
      <c r="C323" s="15">
        <v>3.1100000000000002E-4</v>
      </c>
      <c r="D323" s="28">
        <v>0.16470588235294117</v>
      </c>
      <c r="E323" s="28">
        <v>0.36588235294117649</v>
      </c>
    </row>
    <row r="324" spans="1:5" x14ac:dyDescent="0.25">
      <c r="A324" s="23">
        <v>43307.291666666664</v>
      </c>
      <c r="B324" s="15">
        <v>1.11E-4</v>
      </c>
      <c r="C324" s="15">
        <v>6.3999999999999997E-5</v>
      </c>
      <c r="D324" s="28">
        <v>0.22653061224489796</v>
      </c>
      <c r="E324" s="28">
        <v>0.1306122448979592</v>
      </c>
    </row>
    <row r="325" spans="1:5" x14ac:dyDescent="0.25">
      <c r="A325" s="23">
        <v>43307.333333333336</v>
      </c>
      <c r="B325" s="15">
        <v>3.1999999999999999E-5</v>
      </c>
      <c r="C325" s="15">
        <v>3.3E-4</v>
      </c>
      <c r="D325" s="28">
        <v>2.9090909090909087E-2</v>
      </c>
      <c r="E325" s="28">
        <v>0.3</v>
      </c>
    </row>
    <row r="326" spans="1:5" x14ac:dyDescent="0.25">
      <c r="A326" s="23">
        <v>43307.375</v>
      </c>
      <c r="B326" s="15">
        <v>3.7500000000000001E-4</v>
      </c>
      <c r="C326" s="15">
        <v>2.6499999999999999E-4</v>
      </c>
      <c r="D326" s="28">
        <v>0.19329896907216496</v>
      </c>
      <c r="E326" s="28">
        <v>0.13659793814432988</v>
      </c>
    </row>
    <row r="327" spans="1:5" x14ac:dyDescent="0.25">
      <c r="A327" s="23">
        <v>43307.416666666664</v>
      </c>
      <c r="B327" s="15">
        <v>3.1000000000000001E-5</v>
      </c>
      <c r="C327" s="15">
        <v>4.0299999999999998E-4</v>
      </c>
      <c r="D327" s="28">
        <v>1.9496855345911949E-2</v>
      </c>
      <c r="E327" s="28">
        <v>0.25345911949685535</v>
      </c>
    </row>
    <row r="328" spans="1:5" x14ac:dyDescent="0.25">
      <c r="A328" s="23">
        <v>43307.458333333336</v>
      </c>
      <c r="B328" s="15">
        <v>1.2780000000000001E-3</v>
      </c>
      <c r="C328" s="15">
        <v>1.438E-3</v>
      </c>
      <c r="D328" s="28">
        <v>0.73448275862068968</v>
      </c>
      <c r="E328" s="28">
        <v>0.82643678160919543</v>
      </c>
    </row>
    <row r="329" spans="1:5" x14ac:dyDescent="0.25">
      <c r="A329" s="23">
        <v>43307.5</v>
      </c>
      <c r="B329" s="15">
        <v>3.57E-4</v>
      </c>
      <c r="C329" s="15">
        <v>6.6000000000000005E-5</v>
      </c>
      <c r="D329" s="28">
        <v>0.30775862068965515</v>
      </c>
      <c r="E329" s="28">
        <v>5.6896551724137934E-2</v>
      </c>
    </row>
    <row r="330" spans="1:5" x14ac:dyDescent="0.25">
      <c r="A330" s="23">
        <v>43307.541666666664</v>
      </c>
      <c r="B330" s="15">
        <v>6.9999999999999999E-6</v>
      </c>
      <c r="C330" s="15">
        <v>1.7100000000000001E-4</v>
      </c>
      <c r="D330" s="28">
        <v>6.9306930693069299E-3</v>
      </c>
      <c r="E330" s="28">
        <v>0.16930693069306932</v>
      </c>
    </row>
    <row r="331" spans="1:5" x14ac:dyDescent="0.25">
      <c r="A331" s="23">
        <v>43307.583333333336</v>
      </c>
      <c r="B331" s="15">
        <v>7.4999999999999993E-5</v>
      </c>
      <c r="C331" s="15">
        <v>9.1000000000000003E-5</v>
      </c>
      <c r="D331" s="28">
        <v>6.8181818181818177E-2</v>
      </c>
      <c r="E331" s="28">
        <v>8.2727272727272719E-2</v>
      </c>
    </row>
    <row r="332" spans="1:5" x14ac:dyDescent="0.25">
      <c r="A332" s="23">
        <v>43307.625</v>
      </c>
      <c r="B332" s="15">
        <v>1.3879999999999999E-3</v>
      </c>
      <c r="C332" s="15">
        <v>1.276E-3</v>
      </c>
      <c r="D332" s="28">
        <v>0.35865633074935399</v>
      </c>
      <c r="E332" s="28">
        <v>0.32971576227390181</v>
      </c>
    </row>
    <row r="333" spans="1:5" x14ac:dyDescent="0.25">
      <c r="A333" s="23">
        <v>43307.666666666664</v>
      </c>
      <c r="B333" s="15">
        <v>1.6559999999999999E-3</v>
      </c>
      <c r="C333" s="15">
        <v>1.516E-3</v>
      </c>
      <c r="D333" s="28">
        <v>0.61333333333333329</v>
      </c>
      <c r="E333" s="28">
        <v>0.56148148148148147</v>
      </c>
    </row>
    <row r="334" spans="1:5" x14ac:dyDescent="0.25">
      <c r="A334" s="23">
        <v>43307.708333333336</v>
      </c>
      <c r="B334" s="15">
        <v>1.6329999999999999E-3</v>
      </c>
      <c r="C334" s="15">
        <v>1.8519999999999999E-3</v>
      </c>
      <c r="D334" s="28">
        <v>0.54433333333333334</v>
      </c>
      <c r="E334" s="28">
        <v>0.61733333333333329</v>
      </c>
    </row>
    <row r="335" spans="1:5" x14ac:dyDescent="0.25">
      <c r="A335" s="23">
        <v>43307.75</v>
      </c>
      <c r="B335" s="15">
        <v>1.3100000000000001E-4</v>
      </c>
      <c r="C335" s="15">
        <v>8.0099999999999995E-4</v>
      </c>
      <c r="D335" s="28">
        <v>7.4011299435028252E-2</v>
      </c>
      <c r="E335" s="28">
        <v>0.4525423728813559</v>
      </c>
    </row>
    <row r="336" spans="1:5" x14ac:dyDescent="0.25">
      <c r="A336" s="23">
        <v>43307.791666666664</v>
      </c>
      <c r="B336" s="15">
        <v>1.1E-4</v>
      </c>
      <c r="C336" s="15">
        <v>1.16E-4</v>
      </c>
      <c r="D336" s="28">
        <v>6.2857142857142861E-2</v>
      </c>
      <c r="E336" s="28">
        <v>6.6285714285714281E-2</v>
      </c>
    </row>
    <row r="337" spans="1:5" x14ac:dyDescent="0.25">
      <c r="A337" s="23">
        <v>43307.833333333336</v>
      </c>
      <c r="B337" s="15">
        <v>8.3600000000000005E-4</v>
      </c>
      <c r="C337" s="15">
        <v>1.7E-5</v>
      </c>
      <c r="D337" s="28">
        <v>0.81165048543689322</v>
      </c>
      <c r="E337" s="28">
        <v>1.6504854368932037E-2</v>
      </c>
    </row>
    <row r="338" spans="1:5" x14ac:dyDescent="0.25">
      <c r="A338" s="23">
        <v>43307.875</v>
      </c>
      <c r="B338" s="15">
        <v>5.3499999999999999E-4</v>
      </c>
      <c r="C338" s="15">
        <v>6.2100000000000002E-4</v>
      </c>
      <c r="D338" s="28">
        <v>0.31845238095238093</v>
      </c>
      <c r="E338" s="28">
        <v>0.36964285714285716</v>
      </c>
    </row>
    <row r="339" spans="1:5" x14ac:dyDescent="0.25">
      <c r="A339" s="23">
        <v>43307.916666666664</v>
      </c>
      <c r="B339" s="15">
        <v>4.44E-4</v>
      </c>
      <c r="C339" s="15">
        <v>3.1100000000000002E-4</v>
      </c>
      <c r="D339" s="28">
        <v>0.59199999999999997</v>
      </c>
      <c r="E339" s="28">
        <v>0.41466666666666668</v>
      </c>
    </row>
    <row r="340" spans="1:5" x14ac:dyDescent="0.25">
      <c r="A340" s="23" t="s">
        <v>1</v>
      </c>
      <c r="B340" s="15">
        <v>6.1394328358208949E-4</v>
      </c>
      <c r="C340" s="15">
        <v>5.6651044776119422E-4</v>
      </c>
      <c r="D340" s="28">
        <v>0.42488741065157232</v>
      </c>
      <c r="E340" s="28">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88"/>
  <sheetViews>
    <sheetView zoomScaleNormal="100" workbookViewId="0">
      <selection activeCell="D4" sqref="D4"/>
    </sheetView>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138</v>
      </c>
      <c r="D1" t="s">
        <v>4</v>
      </c>
      <c r="E1" s="4" t="s">
        <v>438</v>
      </c>
      <c r="F1" t="s">
        <v>5</v>
      </c>
      <c r="G1" t="s">
        <v>6</v>
      </c>
      <c r="H1" t="s">
        <v>8</v>
      </c>
      <c r="I1" t="s">
        <v>9</v>
      </c>
      <c r="J1" t="s">
        <v>315</v>
      </c>
      <c r="L1"/>
      <c r="M1"/>
    </row>
    <row r="2" spans="1:13" x14ac:dyDescent="0.25">
      <c r="A2" s="4">
        <v>7632</v>
      </c>
      <c r="B2">
        <v>956</v>
      </c>
      <c r="C2" s="4">
        <v>12292</v>
      </c>
      <c r="D2" t="s">
        <v>316</v>
      </c>
      <c r="E2" s="4">
        <v>11</v>
      </c>
      <c r="F2" s="25">
        <v>43712.838321759256</v>
      </c>
      <c r="G2">
        <v>0</v>
      </c>
      <c r="H2" s="25"/>
      <c r="I2" s="25"/>
      <c r="J2" s="25" t="s">
        <v>310</v>
      </c>
      <c r="L2"/>
      <c r="M2">
        <f>3134/60/24</f>
        <v>2.1763888888888889</v>
      </c>
    </row>
    <row r="3" spans="1:13" x14ac:dyDescent="0.25">
      <c r="A3" s="4">
        <v>7632</v>
      </c>
      <c r="B3">
        <v>956</v>
      </c>
      <c r="C3" s="4">
        <v>12292</v>
      </c>
      <c r="D3" t="s">
        <v>316</v>
      </c>
      <c r="E3" s="4">
        <v>9</v>
      </c>
      <c r="F3" s="25">
        <v>43712.838310185187</v>
      </c>
      <c r="G3">
        <v>0</v>
      </c>
      <c r="H3" s="25"/>
      <c r="I3" s="25"/>
      <c r="J3" s="25" t="s">
        <v>310</v>
      </c>
      <c r="L3"/>
      <c r="M3"/>
    </row>
    <row r="4" spans="1:13" x14ac:dyDescent="0.25">
      <c r="A4" s="4">
        <v>7632</v>
      </c>
      <c r="B4">
        <v>956</v>
      </c>
      <c r="C4" s="4">
        <v>12292</v>
      </c>
      <c r="D4" t="s">
        <v>316</v>
      </c>
      <c r="E4" s="4">
        <v>10</v>
      </c>
      <c r="F4" s="25">
        <v>43712.838310185187</v>
      </c>
      <c r="G4">
        <v>0</v>
      </c>
      <c r="H4" s="25"/>
      <c r="I4" s="25"/>
      <c r="J4" s="25" t="s">
        <v>310</v>
      </c>
      <c r="L4"/>
      <c r="M4"/>
    </row>
    <row r="5" spans="1:13" x14ac:dyDescent="0.25">
      <c r="A5" s="4">
        <v>7632</v>
      </c>
      <c r="B5">
        <v>956</v>
      </c>
      <c r="C5" s="4">
        <v>12292</v>
      </c>
      <c r="D5" t="s">
        <v>316</v>
      </c>
      <c r="E5" s="4">
        <v>8</v>
      </c>
      <c r="F5" s="25">
        <v>43712.83829861111</v>
      </c>
      <c r="G5">
        <v>0</v>
      </c>
      <c r="H5" s="25"/>
      <c r="I5" s="25"/>
      <c r="J5" s="25" t="s">
        <v>310</v>
      </c>
      <c r="L5"/>
      <c r="M5"/>
    </row>
    <row r="6" spans="1:13" x14ac:dyDescent="0.25">
      <c r="A6" s="4">
        <v>7632</v>
      </c>
      <c r="B6">
        <v>956</v>
      </c>
      <c r="C6" s="4">
        <v>12292</v>
      </c>
      <c r="D6" t="s">
        <v>316</v>
      </c>
      <c r="E6" s="4">
        <v>7</v>
      </c>
      <c r="F6" s="25">
        <v>43712.838287037041</v>
      </c>
      <c r="G6">
        <v>0</v>
      </c>
      <c r="H6" s="25"/>
      <c r="I6" s="25"/>
      <c r="J6" s="25" t="s">
        <v>310</v>
      </c>
      <c r="L6"/>
      <c r="M6"/>
    </row>
    <row r="7" spans="1:13" x14ac:dyDescent="0.25">
      <c r="A7" s="4">
        <v>7632</v>
      </c>
      <c r="B7">
        <v>956</v>
      </c>
      <c r="C7" s="4">
        <v>12292</v>
      </c>
      <c r="D7" t="s">
        <v>316</v>
      </c>
      <c r="E7" s="4">
        <v>5</v>
      </c>
      <c r="F7" s="25">
        <v>43712.838275462964</v>
      </c>
      <c r="G7">
        <v>0</v>
      </c>
      <c r="H7" s="25"/>
      <c r="I7" s="25"/>
      <c r="J7" s="25" t="s">
        <v>310</v>
      </c>
      <c r="L7"/>
      <c r="M7"/>
    </row>
    <row r="8" spans="1:13" x14ac:dyDescent="0.25">
      <c r="A8" s="4">
        <v>7632</v>
      </c>
      <c r="B8">
        <v>956</v>
      </c>
      <c r="C8" s="4">
        <v>12292</v>
      </c>
      <c r="D8" t="s">
        <v>316</v>
      </c>
      <c r="E8" s="4">
        <v>6</v>
      </c>
      <c r="F8" s="25">
        <v>43712.838275462964</v>
      </c>
      <c r="G8">
        <v>0</v>
      </c>
      <c r="H8" s="25"/>
      <c r="I8" s="25"/>
      <c r="J8" s="25" t="s">
        <v>310</v>
      </c>
      <c r="L8"/>
      <c r="M8"/>
    </row>
    <row r="9" spans="1:13" x14ac:dyDescent="0.25">
      <c r="A9" s="4">
        <v>7632</v>
      </c>
      <c r="B9">
        <v>956</v>
      </c>
      <c r="C9" s="4">
        <v>12292</v>
      </c>
      <c r="D9" t="s">
        <v>316</v>
      </c>
      <c r="E9" s="4">
        <v>4</v>
      </c>
      <c r="F9" s="25">
        <v>43712.838263888887</v>
      </c>
      <c r="G9">
        <v>0</v>
      </c>
      <c r="H9" s="25"/>
      <c r="I9" s="25"/>
      <c r="J9" s="25" t="s">
        <v>310</v>
      </c>
      <c r="L9"/>
      <c r="M9"/>
    </row>
    <row r="10" spans="1:13" x14ac:dyDescent="0.25">
      <c r="A10" s="4">
        <v>7632</v>
      </c>
      <c r="B10">
        <v>956</v>
      </c>
      <c r="C10" s="4">
        <v>12292</v>
      </c>
      <c r="D10" t="s">
        <v>316</v>
      </c>
      <c r="E10" s="4">
        <v>2</v>
      </c>
      <c r="F10" s="25">
        <v>43712.838252314818</v>
      </c>
      <c r="G10">
        <v>0</v>
      </c>
      <c r="H10" s="25"/>
      <c r="I10" s="25"/>
      <c r="J10" s="25" t="s">
        <v>310</v>
      </c>
      <c r="L10"/>
      <c r="M10"/>
    </row>
    <row r="11" spans="1:13" x14ac:dyDescent="0.25">
      <c r="A11" s="4">
        <v>7632</v>
      </c>
      <c r="B11">
        <v>956</v>
      </c>
      <c r="C11" s="4">
        <v>12292</v>
      </c>
      <c r="D11" t="s">
        <v>316</v>
      </c>
      <c r="E11" s="4">
        <v>3</v>
      </c>
      <c r="F11" s="25">
        <v>43712.838252314818</v>
      </c>
      <c r="G11">
        <v>0</v>
      </c>
      <c r="H11" s="25"/>
      <c r="I11" s="25"/>
      <c r="J11" s="25" t="s">
        <v>310</v>
      </c>
      <c r="L11"/>
      <c r="M11"/>
    </row>
    <row r="12" spans="1:13" x14ac:dyDescent="0.25">
      <c r="A12" s="4">
        <v>7632</v>
      </c>
      <c r="B12">
        <v>956</v>
      </c>
      <c r="C12" s="4">
        <v>12292</v>
      </c>
      <c r="D12" t="s">
        <v>316</v>
      </c>
      <c r="E12" s="4">
        <v>1</v>
      </c>
      <c r="F12" s="25">
        <v>43712.838240740741</v>
      </c>
      <c r="G12">
        <v>0</v>
      </c>
      <c r="H12" s="25"/>
      <c r="I12" s="25"/>
      <c r="J12" s="25" t="s">
        <v>310</v>
      </c>
      <c r="L12"/>
      <c r="M12"/>
    </row>
    <row r="13" spans="1:13" x14ac:dyDescent="0.25">
      <c r="A13" s="4">
        <v>7632</v>
      </c>
      <c r="B13">
        <v>956</v>
      </c>
      <c r="C13" s="4">
        <v>12292</v>
      </c>
      <c r="D13" t="s">
        <v>316</v>
      </c>
      <c r="E13" s="4">
        <v>0</v>
      </c>
      <c r="F13" s="25">
        <v>43712.838229166664</v>
      </c>
      <c r="G13">
        <v>0</v>
      </c>
      <c r="H13" s="25"/>
      <c r="I13" s="25"/>
      <c r="J13" s="25" t="s">
        <v>310</v>
      </c>
      <c r="L13"/>
      <c r="M13"/>
    </row>
    <row r="14" spans="1:13" x14ac:dyDescent="0.25">
      <c r="A14" s="4">
        <v>7162</v>
      </c>
      <c r="B14">
        <v>5952</v>
      </c>
      <c r="C14" s="4">
        <v>12292</v>
      </c>
      <c r="D14" t="s">
        <v>316</v>
      </c>
      <c r="E14" s="4">
        <v>0</v>
      </c>
      <c r="F14" s="25">
        <v>43712.836539351854</v>
      </c>
      <c r="G14">
        <v>0</v>
      </c>
      <c r="H14" s="25"/>
      <c r="I14" s="25"/>
      <c r="J14" s="25" t="s">
        <v>310</v>
      </c>
      <c r="L14"/>
      <c r="M14"/>
    </row>
    <row r="15" spans="1:13" x14ac:dyDescent="0.25">
      <c r="A15" s="4">
        <v>1931</v>
      </c>
      <c r="B15">
        <v>2000</v>
      </c>
      <c r="C15" s="4">
        <v>12292</v>
      </c>
      <c r="D15" t="s">
        <v>316</v>
      </c>
      <c r="E15" s="4">
        <v>23</v>
      </c>
      <c r="F15" s="25">
        <v>43712.818206018521</v>
      </c>
      <c r="G15">
        <v>0</v>
      </c>
      <c r="H15" s="25"/>
      <c r="I15" s="25"/>
      <c r="J15" s="25" t="s">
        <v>310</v>
      </c>
      <c r="L15"/>
      <c r="M15"/>
    </row>
    <row r="16" spans="1:13" x14ac:dyDescent="0.25">
      <c r="A16" s="4">
        <v>1931</v>
      </c>
      <c r="B16">
        <v>2000</v>
      </c>
      <c r="C16" s="4">
        <v>12292</v>
      </c>
      <c r="D16" t="s">
        <v>316</v>
      </c>
      <c r="E16" s="4">
        <v>24</v>
      </c>
      <c r="F16" s="25">
        <v>43712.818206018521</v>
      </c>
      <c r="G16">
        <v>0</v>
      </c>
      <c r="H16" s="25"/>
      <c r="I16" s="25"/>
      <c r="J16" s="25" t="s">
        <v>310</v>
      </c>
      <c r="L16"/>
      <c r="M16"/>
    </row>
    <row r="17" spans="1:13" x14ac:dyDescent="0.25">
      <c r="A17" s="4">
        <v>1931</v>
      </c>
      <c r="B17">
        <v>2000</v>
      </c>
      <c r="C17" s="4">
        <v>12292</v>
      </c>
      <c r="D17" t="s">
        <v>316</v>
      </c>
      <c r="E17" s="4">
        <v>22</v>
      </c>
      <c r="F17" s="25">
        <v>43712.818194444444</v>
      </c>
      <c r="G17">
        <v>0</v>
      </c>
      <c r="H17" s="25"/>
      <c r="I17" s="25"/>
      <c r="J17" s="25" t="s">
        <v>310</v>
      </c>
      <c r="L17"/>
      <c r="M17"/>
    </row>
    <row r="18" spans="1:13" x14ac:dyDescent="0.25">
      <c r="A18" s="4">
        <v>1931</v>
      </c>
      <c r="B18">
        <v>2000</v>
      </c>
      <c r="C18" s="4">
        <v>12292</v>
      </c>
      <c r="D18" t="s">
        <v>316</v>
      </c>
      <c r="E18" s="4">
        <v>20</v>
      </c>
      <c r="F18" s="25">
        <v>43712.818182870367</v>
      </c>
      <c r="G18">
        <v>0</v>
      </c>
      <c r="H18" s="25"/>
      <c r="I18" s="25"/>
      <c r="J18" s="25" t="s">
        <v>310</v>
      </c>
      <c r="L18"/>
      <c r="M18"/>
    </row>
    <row r="19" spans="1:13" x14ac:dyDescent="0.25">
      <c r="A19" s="4">
        <v>1931</v>
      </c>
      <c r="B19">
        <v>2000</v>
      </c>
      <c r="C19" s="4">
        <v>12292</v>
      </c>
      <c r="D19" t="s">
        <v>316</v>
      </c>
      <c r="E19" s="4">
        <v>21</v>
      </c>
      <c r="F19" s="25">
        <v>43712.818182870367</v>
      </c>
      <c r="G19">
        <v>0</v>
      </c>
      <c r="H19" s="25"/>
      <c r="I19" s="25"/>
      <c r="J19" s="25" t="s">
        <v>310</v>
      </c>
      <c r="L19"/>
      <c r="M19"/>
    </row>
    <row r="20" spans="1:13" x14ac:dyDescent="0.25">
      <c r="A20" s="4">
        <v>1931</v>
      </c>
      <c r="B20">
        <v>2000</v>
      </c>
      <c r="C20" s="4">
        <v>12292</v>
      </c>
      <c r="D20" t="s">
        <v>316</v>
      </c>
      <c r="E20" s="4">
        <v>19</v>
      </c>
      <c r="F20" s="25">
        <v>43712.818171296298</v>
      </c>
      <c r="G20">
        <v>0</v>
      </c>
      <c r="H20" s="25"/>
      <c r="I20" s="25"/>
      <c r="J20" s="25" t="s">
        <v>310</v>
      </c>
      <c r="L20"/>
      <c r="M20"/>
    </row>
    <row r="21" spans="1:13" x14ac:dyDescent="0.25">
      <c r="A21" s="4">
        <v>1931</v>
      </c>
      <c r="B21">
        <v>2000</v>
      </c>
      <c r="C21" s="4">
        <v>12292</v>
      </c>
      <c r="D21" t="s">
        <v>316</v>
      </c>
      <c r="E21" s="4">
        <v>17</v>
      </c>
      <c r="F21" s="25">
        <v>43712.818159722221</v>
      </c>
      <c r="G21">
        <v>0</v>
      </c>
      <c r="H21" s="25"/>
      <c r="I21" s="25"/>
      <c r="J21" s="25" t="s">
        <v>310</v>
      </c>
      <c r="L21"/>
      <c r="M21"/>
    </row>
    <row r="22" spans="1:13" x14ac:dyDescent="0.25">
      <c r="A22" s="4">
        <v>1931</v>
      </c>
      <c r="B22">
        <v>2000</v>
      </c>
      <c r="C22" s="4">
        <v>12292</v>
      </c>
      <c r="D22" t="s">
        <v>316</v>
      </c>
      <c r="E22" s="4">
        <v>18</v>
      </c>
      <c r="F22" s="25">
        <v>43712.818159722221</v>
      </c>
      <c r="G22">
        <v>0</v>
      </c>
      <c r="H22" s="25"/>
      <c r="I22" s="25"/>
      <c r="J22" s="25" t="s">
        <v>310</v>
      </c>
      <c r="L22"/>
      <c r="M22"/>
    </row>
    <row r="23" spans="1:13" x14ac:dyDescent="0.25">
      <c r="A23" s="4">
        <v>1931</v>
      </c>
      <c r="B23">
        <v>2000</v>
      </c>
      <c r="C23" s="4">
        <v>12292</v>
      </c>
      <c r="D23" t="s">
        <v>316</v>
      </c>
      <c r="E23" s="4">
        <v>16</v>
      </c>
      <c r="F23" s="25">
        <v>43712.818148148152</v>
      </c>
      <c r="G23">
        <v>0</v>
      </c>
      <c r="H23" s="25"/>
      <c r="I23" s="25"/>
      <c r="J23" s="25" t="s">
        <v>310</v>
      </c>
      <c r="L23"/>
      <c r="M23"/>
    </row>
    <row r="24" spans="1:13" x14ac:dyDescent="0.25">
      <c r="A24" s="4">
        <v>1931</v>
      </c>
      <c r="B24">
        <v>2000</v>
      </c>
      <c r="C24" s="4">
        <v>12292</v>
      </c>
      <c r="D24" t="s">
        <v>316</v>
      </c>
      <c r="E24" s="4">
        <v>14</v>
      </c>
      <c r="F24" s="25">
        <v>43712.818136574075</v>
      </c>
      <c r="G24">
        <v>0</v>
      </c>
      <c r="H24" s="25"/>
      <c r="I24" s="25"/>
      <c r="J24" s="25" t="s">
        <v>310</v>
      </c>
      <c r="L24"/>
      <c r="M24"/>
    </row>
    <row r="25" spans="1:13" x14ac:dyDescent="0.25">
      <c r="A25" s="4">
        <v>1931</v>
      </c>
      <c r="B25">
        <v>2000</v>
      </c>
      <c r="C25" s="4">
        <v>12292</v>
      </c>
      <c r="D25" t="s">
        <v>316</v>
      </c>
      <c r="E25" s="4">
        <v>15</v>
      </c>
      <c r="F25" s="25">
        <v>43712.818136574075</v>
      </c>
      <c r="G25">
        <v>0</v>
      </c>
      <c r="H25" s="25"/>
      <c r="I25" s="25"/>
      <c r="J25" s="25" t="s">
        <v>310</v>
      </c>
      <c r="L25"/>
      <c r="M25"/>
    </row>
    <row r="26" spans="1:13" x14ac:dyDescent="0.25">
      <c r="A26" s="4">
        <v>1931</v>
      </c>
      <c r="B26">
        <v>2000</v>
      </c>
      <c r="C26" s="4">
        <v>12292</v>
      </c>
      <c r="D26" t="s">
        <v>316</v>
      </c>
      <c r="E26" s="4">
        <v>13</v>
      </c>
      <c r="F26" s="25">
        <v>43712.818124999998</v>
      </c>
      <c r="G26">
        <v>0</v>
      </c>
      <c r="H26" s="25"/>
      <c r="I26" s="25"/>
      <c r="J26" s="25" t="s">
        <v>310</v>
      </c>
      <c r="L26"/>
      <c r="M26"/>
    </row>
    <row r="27" spans="1:13" x14ac:dyDescent="0.25">
      <c r="A27" s="4">
        <v>1931</v>
      </c>
      <c r="B27">
        <v>2000</v>
      </c>
      <c r="C27" s="4">
        <v>12292</v>
      </c>
      <c r="D27" t="s">
        <v>316</v>
      </c>
      <c r="E27" s="4">
        <v>11</v>
      </c>
      <c r="F27" s="25">
        <v>43712.818113425928</v>
      </c>
      <c r="G27">
        <v>0</v>
      </c>
      <c r="H27" s="25"/>
      <c r="I27" s="25"/>
      <c r="J27" s="25" t="s">
        <v>310</v>
      </c>
      <c r="L27"/>
      <c r="M27"/>
    </row>
    <row r="28" spans="1:13" x14ac:dyDescent="0.25">
      <c r="A28" s="4">
        <v>1931</v>
      </c>
      <c r="B28">
        <v>2000</v>
      </c>
      <c r="C28" s="4">
        <v>12292</v>
      </c>
      <c r="D28" t="s">
        <v>316</v>
      </c>
      <c r="E28" s="4">
        <v>12</v>
      </c>
      <c r="F28" s="25">
        <v>43712.818113425928</v>
      </c>
      <c r="G28">
        <v>0</v>
      </c>
      <c r="H28" s="25"/>
      <c r="I28" s="25"/>
      <c r="J28" s="25" t="s">
        <v>310</v>
      </c>
      <c r="L28"/>
      <c r="M28"/>
    </row>
    <row r="29" spans="1:13" x14ac:dyDescent="0.25">
      <c r="A29" s="4">
        <v>1931</v>
      </c>
      <c r="B29">
        <v>2000</v>
      </c>
      <c r="C29" s="4">
        <v>12292</v>
      </c>
      <c r="D29" t="s">
        <v>316</v>
      </c>
      <c r="E29" s="4">
        <v>10</v>
      </c>
      <c r="F29" s="25">
        <v>43712.818101851852</v>
      </c>
      <c r="G29">
        <v>0</v>
      </c>
      <c r="H29" s="25"/>
      <c r="I29" s="25"/>
      <c r="J29" s="25" t="s">
        <v>310</v>
      </c>
      <c r="L29"/>
      <c r="M29"/>
    </row>
    <row r="30" spans="1:13" x14ac:dyDescent="0.25">
      <c r="A30" s="4">
        <v>1931</v>
      </c>
      <c r="B30">
        <v>2000</v>
      </c>
      <c r="C30" s="4">
        <v>12292</v>
      </c>
      <c r="D30" t="s">
        <v>316</v>
      </c>
      <c r="E30" s="4">
        <v>8</v>
      </c>
      <c r="F30" s="25">
        <v>43712.818090277775</v>
      </c>
      <c r="G30">
        <v>0</v>
      </c>
      <c r="H30" s="25"/>
      <c r="I30" s="25"/>
      <c r="J30" s="25" t="s">
        <v>310</v>
      </c>
      <c r="L30"/>
      <c r="M30"/>
    </row>
    <row r="31" spans="1:13" x14ac:dyDescent="0.25">
      <c r="A31" s="4">
        <v>1931</v>
      </c>
      <c r="B31">
        <v>2000</v>
      </c>
      <c r="C31" s="4">
        <v>12292</v>
      </c>
      <c r="D31" t="s">
        <v>316</v>
      </c>
      <c r="E31" s="4">
        <v>9</v>
      </c>
      <c r="F31" s="25">
        <v>43712.818090277775</v>
      </c>
      <c r="G31">
        <v>0</v>
      </c>
      <c r="H31" s="25"/>
      <c r="I31" s="25"/>
      <c r="J31" s="25" t="s">
        <v>310</v>
      </c>
      <c r="L31"/>
      <c r="M31"/>
    </row>
    <row r="32" spans="1:13" x14ac:dyDescent="0.25">
      <c r="A32" s="4">
        <v>1931</v>
      </c>
      <c r="B32">
        <v>2000</v>
      </c>
      <c r="C32" s="4">
        <v>12292</v>
      </c>
      <c r="D32" t="s">
        <v>316</v>
      </c>
      <c r="E32" s="4">
        <v>7</v>
      </c>
      <c r="F32" s="25">
        <v>43712.818078703705</v>
      </c>
      <c r="G32">
        <v>0</v>
      </c>
      <c r="H32" s="25"/>
      <c r="I32" s="25"/>
      <c r="J32" s="25" t="s">
        <v>310</v>
      </c>
      <c r="L32"/>
      <c r="M32"/>
    </row>
    <row r="33" spans="1:13" x14ac:dyDescent="0.25">
      <c r="A33" s="4">
        <v>1931</v>
      </c>
      <c r="B33">
        <v>2000</v>
      </c>
      <c r="C33" s="4">
        <v>12292</v>
      </c>
      <c r="D33" t="s">
        <v>316</v>
      </c>
      <c r="E33" s="4">
        <v>5</v>
      </c>
      <c r="F33" s="25">
        <v>43712.818067129629</v>
      </c>
      <c r="G33">
        <v>0</v>
      </c>
      <c r="H33" s="25"/>
      <c r="I33" s="25"/>
      <c r="J33" s="25" t="s">
        <v>310</v>
      </c>
      <c r="L33"/>
      <c r="M33"/>
    </row>
    <row r="34" spans="1:13" x14ac:dyDescent="0.25">
      <c r="A34" s="4">
        <v>1931</v>
      </c>
      <c r="B34">
        <v>2000</v>
      </c>
      <c r="C34" s="4">
        <v>12292</v>
      </c>
      <c r="D34" t="s">
        <v>316</v>
      </c>
      <c r="E34" s="4">
        <v>6</v>
      </c>
      <c r="F34" s="25">
        <v>43712.818067129629</v>
      </c>
      <c r="G34">
        <v>0</v>
      </c>
      <c r="H34" s="25"/>
      <c r="I34" s="25"/>
      <c r="J34" s="25" t="s">
        <v>310</v>
      </c>
      <c r="L34"/>
      <c r="M34"/>
    </row>
    <row r="35" spans="1:13" x14ac:dyDescent="0.25">
      <c r="A35" s="4">
        <v>1931</v>
      </c>
      <c r="B35">
        <v>2000</v>
      </c>
      <c r="C35" s="4">
        <v>12292</v>
      </c>
      <c r="D35" t="s">
        <v>316</v>
      </c>
      <c r="E35" s="4">
        <v>4</v>
      </c>
      <c r="F35" s="25">
        <v>43712.818055555559</v>
      </c>
      <c r="G35">
        <v>0</v>
      </c>
      <c r="H35" s="25"/>
      <c r="I35" s="25"/>
      <c r="J35" s="25" t="s">
        <v>310</v>
      </c>
      <c r="L35"/>
      <c r="M35"/>
    </row>
    <row r="36" spans="1:13" x14ac:dyDescent="0.25">
      <c r="A36" s="4">
        <v>1931</v>
      </c>
      <c r="B36">
        <v>2000</v>
      </c>
      <c r="C36" s="4">
        <v>12292</v>
      </c>
      <c r="D36" t="s">
        <v>316</v>
      </c>
      <c r="E36" s="4">
        <v>2</v>
      </c>
      <c r="F36" s="25">
        <v>43712.818043981482</v>
      </c>
      <c r="G36">
        <v>0</v>
      </c>
      <c r="H36" s="25"/>
      <c r="I36" s="25"/>
      <c r="J36" s="25" t="s">
        <v>310</v>
      </c>
      <c r="L36"/>
      <c r="M36"/>
    </row>
    <row r="37" spans="1:13" x14ac:dyDescent="0.25">
      <c r="A37" s="4">
        <v>1931</v>
      </c>
      <c r="B37">
        <v>2000</v>
      </c>
      <c r="C37" s="4">
        <v>12292</v>
      </c>
      <c r="D37" t="s">
        <v>316</v>
      </c>
      <c r="E37" s="4">
        <v>3</v>
      </c>
      <c r="F37" s="25">
        <v>43712.818043981482</v>
      </c>
      <c r="G37">
        <v>0</v>
      </c>
      <c r="H37" s="25"/>
      <c r="I37" s="25"/>
      <c r="J37" s="25" t="s">
        <v>310</v>
      </c>
      <c r="L37"/>
      <c r="M37"/>
    </row>
    <row r="38" spans="1:13" x14ac:dyDescent="0.25">
      <c r="A38" s="4">
        <v>1931</v>
      </c>
      <c r="B38">
        <v>2000</v>
      </c>
      <c r="C38" s="4">
        <v>12292</v>
      </c>
      <c r="D38" t="s">
        <v>316</v>
      </c>
      <c r="E38" s="4">
        <v>1</v>
      </c>
      <c r="F38" s="25">
        <v>43712.818032407406</v>
      </c>
      <c r="G38">
        <v>0</v>
      </c>
      <c r="H38" s="25"/>
      <c r="I38" s="25"/>
      <c r="J38" s="25" t="s">
        <v>310</v>
      </c>
      <c r="L38"/>
      <c r="M38"/>
    </row>
    <row r="39" spans="1:13" x14ac:dyDescent="0.25">
      <c r="A39" s="4">
        <v>1931</v>
      </c>
      <c r="B39">
        <v>2000</v>
      </c>
      <c r="C39" s="4">
        <v>12292</v>
      </c>
      <c r="D39" t="s">
        <v>316</v>
      </c>
      <c r="E39" s="4">
        <v>0</v>
      </c>
      <c r="F39" s="25">
        <v>43712.818020833336</v>
      </c>
      <c r="G39">
        <v>0</v>
      </c>
      <c r="H39" s="25"/>
      <c r="I39" s="25"/>
      <c r="J39" s="25" t="s">
        <v>310</v>
      </c>
      <c r="L39"/>
      <c r="M39"/>
    </row>
    <row r="40" spans="1:13" x14ac:dyDescent="0.25">
      <c r="A40" s="4">
        <v>1010</v>
      </c>
      <c r="B40">
        <v>12628</v>
      </c>
      <c r="C40" s="4">
        <v>12292</v>
      </c>
      <c r="D40" t="s">
        <v>316</v>
      </c>
      <c r="E40" s="4">
        <v>23</v>
      </c>
      <c r="F40" s="25">
        <v>43712.814976851849</v>
      </c>
      <c r="G40">
        <v>0</v>
      </c>
      <c r="H40" s="25"/>
      <c r="I40" s="25"/>
      <c r="J40" s="25" t="s">
        <v>310</v>
      </c>
      <c r="L40"/>
      <c r="M40"/>
    </row>
    <row r="41" spans="1:13" x14ac:dyDescent="0.25">
      <c r="A41" s="4">
        <v>1010</v>
      </c>
      <c r="B41">
        <v>12628</v>
      </c>
      <c r="C41" s="4">
        <v>12292</v>
      </c>
      <c r="D41" t="s">
        <v>316</v>
      </c>
      <c r="E41" s="4">
        <v>24</v>
      </c>
      <c r="F41" s="25">
        <v>43712.814976851849</v>
      </c>
      <c r="G41">
        <v>0</v>
      </c>
      <c r="H41" s="25"/>
      <c r="I41" s="25"/>
      <c r="J41" s="25" t="s">
        <v>310</v>
      </c>
      <c r="L41"/>
      <c r="M41"/>
    </row>
    <row r="42" spans="1:13" x14ac:dyDescent="0.25">
      <c r="A42" s="4">
        <v>1010</v>
      </c>
      <c r="B42">
        <v>12628</v>
      </c>
      <c r="C42" s="4">
        <v>12292</v>
      </c>
      <c r="D42" t="s">
        <v>316</v>
      </c>
      <c r="E42" s="4">
        <v>22</v>
      </c>
      <c r="F42" s="25">
        <v>43712.814965277779</v>
      </c>
      <c r="G42">
        <v>0</v>
      </c>
      <c r="H42" s="25"/>
      <c r="I42" s="25"/>
      <c r="J42" s="25" t="s">
        <v>310</v>
      </c>
      <c r="L42"/>
      <c r="M42"/>
    </row>
    <row r="43" spans="1:13" x14ac:dyDescent="0.25">
      <c r="A43" s="4">
        <v>1010</v>
      </c>
      <c r="B43">
        <v>12628</v>
      </c>
      <c r="C43" s="4">
        <v>12292</v>
      </c>
      <c r="D43" t="s">
        <v>316</v>
      </c>
      <c r="E43" s="4">
        <v>21</v>
      </c>
      <c r="F43" s="25">
        <v>43712.814953703702</v>
      </c>
      <c r="G43">
        <v>0</v>
      </c>
      <c r="H43" s="25"/>
      <c r="I43" s="25"/>
      <c r="J43" s="25" t="s">
        <v>310</v>
      </c>
      <c r="L43"/>
      <c r="M43"/>
    </row>
    <row r="44" spans="1:13" x14ac:dyDescent="0.25">
      <c r="A44" s="4">
        <v>1010</v>
      </c>
      <c r="B44">
        <v>12628</v>
      </c>
      <c r="C44" s="4">
        <v>12292</v>
      </c>
      <c r="D44" t="s">
        <v>316</v>
      </c>
      <c r="E44" s="4">
        <v>19</v>
      </c>
      <c r="F44" s="25">
        <v>43712.814942129633</v>
      </c>
      <c r="G44">
        <v>0</v>
      </c>
      <c r="H44" s="25"/>
      <c r="I44" s="25"/>
      <c r="J44" s="25" t="s">
        <v>310</v>
      </c>
      <c r="L44"/>
      <c r="M44"/>
    </row>
    <row r="45" spans="1:13" x14ac:dyDescent="0.25">
      <c r="A45" s="4">
        <v>1010</v>
      </c>
      <c r="B45">
        <v>12628</v>
      </c>
      <c r="C45" s="4">
        <v>12292</v>
      </c>
      <c r="D45" t="s">
        <v>316</v>
      </c>
      <c r="E45" s="4">
        <v>20</v>
      </c>
      <c r="F45" s="25">
        <v>43712.814942129633</v>
      </c>
      <c r="G45">
        <v>0</v>
      </c>
      <c r="H45" s="25"/>
      <c r="I45" s="25"/>
      <c r="J45" s="25" t="s">
        <v>310</v>
      </c>
      <c r="L45"/>
      <c r="M45"/>
    </row>
    <row r="46" spans="1:13" x14ac:dyDescent="0.25">
      <c r="A46" s="4">
        <v>1010</v>
      </c>
      <c r="B46">
        <v>12628</v>
      </c>
      <c r="C46" s="4">
        <v>12292</v>
      </c>
      <c r="D46" t="s">
        <v>316</v>
      </c>
      <c r="E46" s="4">
        <v>18</v>
      </c>
      <c r="F46" s="25">
        <v>43712.814930555556</v>
      </c>
      <c r="G46">
        <v>0</v>
      </c>
      <c r="H46" s="25"/>
      <c r="I46" s="25"/>
      <c r="J46" s="25" t="s">
        <v>310</v>
      </c>
      <c r="L46"/>
      <c r="M46"/>
    </row>
    <row r="47" spans="1:13" x14ac:dyDescent="0.25">
      <c r="A47" s="4">
        <v>1010</v>
      </c>
      <c r="B47">
        <v>12628</v>
      </c>
      <c r="C47" s="4">
        <v>12292</v>
      </c>
      <c r="D47" t="s">
        <v>316</v>
      </c>
      <c r="E47" s="4">
        <v>16</v>
      </c>
      <c r="F47" s="25">
        <v>43712.814918981479</v>
      </c>
      <c r="G47">
        <v>0</v>
      </c>
      <c r="H47" s="25"/>
      <c r="I47" s="25"/>
      <c r="J47" s="25" t="s">
        <v>310</v>
      </c>
      <c r="L47"/>
      <c r="M47"/>
    </row>
    <row r="48" spans="1:13" x14ac:dyDescent="0.25">
      <c r="A48" s="4">
        <v>1010</v>
      </c>
      <c r="B48">
        <v>12628</v>
      </c>
      <c r="C48" s="4">
        <v>12292</v>
      </c>
      <c r="D48" t="s">
        <v>316</v>
      </c>
      <c r="E48" s="4">
        <v>17</v>
      </c>
      <c r="F48" s="25">
        <v>43712.814918981479</v>
      </c>
      <c r="G48">
        <v>0</v>
      </c>
      <c r="H48" s="25"/>
      <c r="I48" s="25"/>
      <c r="J48" s="25" t="s">
        <v>310</v>
      </c>
      <c r="L48"/>
      <c r="M48"/>
    </row>
    <row r="49" spans="1:13" x14ac:dyDescent="0.25">
      <c r="A49" s="4">
        <v>1010</v>
      </c>
      <c r="B49">
        <v>12628</v>
      </c>
      <c r="C49" s="4">
        <v>12292</v>
      </c>
      <c r="D49" t="s">
        <v>316</v>
      </c>
      <c r="E49" s="4">
        <v>15</v>
      </c>
      <c r="F49" s="25">
        <v>43712.81490740741</v>
      </c>
      <c r="G49">
        <v>0</v>
      </c>
      <c r="H49" s="25"/>
      <c r="I49" s="25"/>
      <c r="J49" s="25" t="s">
        <v>310</v>
      </c>
      <c r="L49"/>
      <c r="M49"/>
    </row>
    <row r="50" spans="1:13" x14ac:dyDescent="0.25">
      <c r="A50" s="4">
        <v>1010</v>
      </c>
      <c r="B50">
        <v>12628</v>
      </c>
      <c r="C50" s="4">
        <v>12292</v>
      </c>
      <c r="D50" t="s">
        <v>316</v>
      </c>
      <c r="E50" s="4">
        <v>14</v>
      </c>
      <c r="F50" s="25">
        <v>43712.814895833333</v>
      </c>
      <c r="G50">
        <v>0</v>
      </c>
      <c r="H50" s="25"/>
      <c r="I50" s="25"/>
      <c r="J50" s="25" t="s">
        <v>310</v>
      </c>
      <c r="L50"/>
      <c r="M50"/>
    </row>
    <row r="51" spans="1:13" x14ac:dyDescent="0.25">
      <c r="A51" s="4">
        <v>1010</v>
      </c>
      <c r="B51">
        <v>12628</v>
      </c>
      <c r="C51" s="4">
        <v>12292</v>
      </c>
      <c r="D51" t="s">
        <v>316</v>
      </c>
      <c r="E51" s="4">
        <v>12</v>
      </c>
      <c r="F51" s="25">
        <v>43712.814884259256</v>
      </c>
      <c r="G51">
        <v>0</v>
      </c>
      <c r="H51" s="25"/>
      <c r="I51" s="25"/>
      <c r="J51" s="25" t="s">
        <v>310</v>
      </c>
      <c r="L51"/>
      <c r="M51"/>
    </row>
    <row r="52" spans="1:13" x14ac:dyDescent="0.25">
      <c r="A52" s="4">
        <v>1010</v>
      </c>
      <c r="B52">
        <v>12628</v>
      </c>
      <c r="C52" s="4">
        <v>12292</v>
      </c>
      <c r="D52" t="s">
        <v>316</v>
      </c>
      <c r="E52" s="4">
        <v>13</v>
      </c>
      <c r="F52" s="25">
        <v>43712.814884259256</v>
      </c>
      <c r="G52">
        <v>0</v>
      </c>
      <c r="H52" s="25"/>
      <c r="I52" s="25"/>
      <c r="J52" s="25" t="s">
        <v>310</v>
      </c>
      <c r="L52"/>
      <c r="M52"/>
    </row>
    <row r="53" spans="1:13" x14ac:dyDescent="0.25">
      <c r="A53" s="4">
        <v>1010</v>
      </c>
      <c r="B53">
        <v>12628</v>
      </c>
      <c r="C53" s="4">
        <v>12292</v>
      </c>
      <c r="D53" t="s">
        <v>316</v>
      </c>
      <c r="E53" s="4">
        <v>11</v>
      </c>
      <c r="F53" s="25">
        <v>43712.814872685187</v>
      </c>
      <c r="G53">
        <v>0</v>
      </c>
      <c r="H53" s="25"/>
      <c r="I53" s="25"/>
      <c r="J53" s="25" t="s">
        <v>310</v>
      </c>
      <c r="L53"/>
      <c r="M53"/>
    </row>
    <row r="54" spans="1:13" x14ac:dyDescent="0.25">
      <c r="A54" s="4">
        <v>1010</v>
      </c>
      <c r="B54">
        <v>12628</v>
      </c>
      <c r="C54" s="4">
        <v>12292</v>
      </c>
      <c r="D54" t="s">
        <v>316</v>
      </c>
      <c r="E54" s="4">
        <v>9</v>
      </c>
      <c r="F54" s="25">
        <v>43712.81486111111</v>
      </c>
      <c r="G54">
        <v>0</v>
      </c>
      <c r="H54" s="25"/>
      <c r="I54" s="25"/>
      <c r="J54" s="25" t="s">
        <v>310</v>
      </c>
      <c r="L54"/>
      <c r="M54"/>
    </row>
    <row r="55" spans="1:13" x14ac:dyDescent="0.25">
      <c r="A55" s="4">
        <v>1010</v>
      </c>
      <c r="B55">
        <v>12628</v>
      </c>
      <c r="C55" s="4">
        <v>12292</v>
      </c>
      <c r="D55" t="s">
        <v>316</v>
      </c>
      <c r="E55" s="4">
        <v>10</v>
      </c>
      <c r="F55" s="25">
        <v>43712.81486111111</v>
      </c>
      <c r="G55">
        <v>0</v>
      </c>
      <c r="H55" s="25"/>
      <c r="I55" s="25"/>
      <c r="J55" s="25" t="s">
        <v>310</v>
      </c>
      <c r="L55"/>
      <c r="M55"/>
    </row>
    <row r="56" spans="1:13" x14ac:dyDescent="0.25">
      <c r="A56" s="4">
        <v>1010</v>
      </c>
      <c r="B56">
        <v>12628</v>
      </c>
      <c r="C56" s="4">
        <v>12292</v>
      </c>
      <c r="D56" t="s">
        <v>316</v>
      </c>
      <c r="E56" s="4">
        <v>8</v>
      </c>
      <c r="F56" s="25">
        <v>43712.814849537041</v>
      </c>
      <c r="G56">
        <v>0</v>
      </c>
      <c r="H56" s="25"/>
      <c r="I56" s="25"/>
      <c r="J56" s="25" t="s">
        <v>310</v>
      </c>
      <c r="L56"/>
      <c r="M56"/>
    </row>
    <row r="57" spans="1:13" x14ac:dyDescent="0.25">
      <c r="A57" s="4">
        <v>1010</v>
      </c>
      <c r="B57">
        <v>12628</v>
      </c>
      <c r="C57" s="4">
        <v>12292</v>
      </c>
      <c r="D57" t="s">
        <v>316</v>
      </c>
      <c r="E57" s="4">
        <v>7</v>
      </c>
      <c r="F57" s="25">
        <v>43712.814837962964</v>
      </c>
      <c r="G57">
        <v>0</v>
      </c>
      <c r="H57" s="25"/>
      <c r="I57" s="25"/>
      <c r="J57" s="25" t="s">
        <v>310</v>
      </c>
      <c r="L57"/>
      <c r="M57"/>
    </row>
    <row r="58" spans="1:13" x14ac:dyDescent="0.25">
      <c r="A58" s="4">
        <v>1010</v>
      </c>
      <c r="B58">
        <v>12628</v>
      </c>
      <c r="C58" s="4">
        <v>12292</v>
      </c>
      <c r="D58" t="s">
        <v>316</v>
      </c>
      <c r="E58" s="4">
        <v>5</v>
      </c>
      <c r="F58" s="25">
        <v>43712.814826388887</v>
      </c>
      <c r="G58">
        <v>0</v>
      </c>
      <c r="H58" s="25"/>
      <c r="I58" s="25"/>
      <c r="J58" s="25" t="s">
        <v>310</v>
      </c>
      <c r="L58"/>
      <c r="M58"/>
    </row>
    <row r="59" spans="1:13" x14ac:dyDescent="0.25">
      <c r="A59" s="4">
        <v>1010</v>
      </c>
      <c r="B59">
        <v>12628</v>
      </c>
      <c r="C59" s="4">
        <v>12292</v>
      </c>
      <c r="D59" t="s">
        <v>316</v>
      </c>
      <c r="E59" s="4">
        <v>6</v>
      </c>
      <c r="F59" s="25">
        <v>43712.814826388887</v>
      </c>
      <c r="G59">
        <v>0</v>
      </c>
      <c r="H59" s="25"/>
      <c r="I59" s="25"/>
      <c r="J59" s="25" t="s">
        <v>310</v>
      </c>
      <c r="L59"/>
      <c r="M59"/>
    </row>
    <row r="60" spans="1:13" x14ac:dyDescent="0.25">
      <c r="A60" s="4">
        <v>1010</v>
      </c>
      <c r="B60">
        <v>12628</v>
      </c>
      <c r="C60" s="4">
        <v>12292</v>
      </c>
      <c r="D60" t="s">
        <v>316</v>
      </c>
      <c r="E60" s="4">
        <v>4</v>
      </c>
      <c r="F60" s="25">
        <v>43712.814814814818</v>
      </c>
      <c r="G60">
        <v>0</v>
      </c>
      <c r="H60" s="25"/>
      <c r="I60" s="25"/>
      <c r="J60" s="25" t="s">
        <v>310</v>
      </c>
      <c r="L60"/>
      <c r="M60"/>
    </row>
    <row r="61" spans="1:13" x14ac:dyDescent="0.25">
      <c r="A61" s="4">
        <v>1010</v>
      </c>
      <c r="B61">
        <v>12628</v>
      </c>
      <c r="C61" s="4">
        <v>12292</v>
      </c>
      <c r="D61" t="s">
        <v>316</v>
      </c>
      <c r="E61" s="4">
        <v>2</v>
      </c>
      <c r="F61" s="25">
        <v>43712.814803240741</v>
      </c>
      <c r="G61">
        <v>0</v>
      </c>
      <c r="H61" s="25"/>
      <c r="I61" s="25"/>
      <c r="J61" s="25" t="s">
        <v>310</v>
      </c>
      <c r="L61"/>
      <c r="M61"/>
    </row>
    <row r="62" spans="1:13" x14ac:dyDescent="0.25">
      <c r="A62" s="4">
        <v>1010</v>
      </c>
      <c r="B62">
        <v>12628</v>
      </c>
      <c r="C62" s="4">
        <v>12292</v>
      </c>
      <c r="D62" t="s">
        <v>316</v>
      </c>
      <c r="E62" s="4">
        <v>3</v>
      </c>
      <c r="F62" s="25">
        <v>43712.814803240741</v>
      </c>
      <c r="G62">
        <v>0</v>
      </c>
      <c r="H62" s="25"/>
      <c r="I62" s="25"/>
      <c r="J62" s="25" t="s">
        <v>310</v>
      </c>
      <c r="L62"/>
      <c r="M62"/>
    </row>
    <row r="63" spans="1:13" x14ac:dyDescent="0.25">
      <c r="A63" s="4">
        <v>1010</v>
      </c>
      <c r="B63">
        <v>12628</v>
      </c>
      <c r="C63" s="4">
        <v>12292</v>
      </c>
      <c r="D63" t="s">
        <v>316</v>
      </c>
      <c r="E63" s="4">
        <v>1</v>
      </c>
      <c r="F63" s="25">
        <v>43712.814791666664</v>
      </c>
      <c r="G63">
        <v>0</v>
      </c>
      <c r="H63" s="25"/>
      <c r="I63" s="25"/>
      <c r="J63" s="25" t="s">
        <v>310</v>
      </c>
      <c r="L63"/>
      <c r="M63"/>
    </row>
    <row r="64" spans="1:13" x14ac:dyDescent="0.25">
      <c r="A64" s="4">
        <v>1010</v>
      </c>
      <c r="B64">
        <v>12628</v>
      </c>
      <c r="C64" s="4">
        <v>12292</v>
      </c>
      <c r="D64" t="s">
        <v>316</v>
      </c>
      <c r="E64" s="4">
        <v>0</v>
      </c>
      <c r="F64" s="25">
        <v>43712.814780092594</v>
      </c>
      <c r="G64">
        <v>0</v>
      </c>
      <c r="H64" s="25"/>
      <c r="I64" s="25"/>
      <c r="J64" s="25" t="s">
        <v>310</v>
      </c>
      <c r="L64"/>
      <c r="M64"/>
    </row>
    <row r="65" spans="1:13" x14ac:dyDescent="0.25">
      <c r="A65" s="4">
        <v>608</v>
      </c>
      <c r="B65">
        <v>14240</v>
      </c>
      <c r="C65" s="4">
        <v>12292</v>
      </c>
      <c r="D65" t="s">
        <v>316</v>
      </c>
      <c r="E65" s="4">
        <v>0</v>
      </c>
      <c r="F65" s="25">
        <v>43712.813321759262</v>
      </c>
      <c r="G65">
        <v>0</v>
      </c>
      <c r="H65" s="25"/>
      <c r="I65" s="25"/>
      <c r="J65" s="25" t="s">
        <v>310</v>
      </c>
      <c r="L65"/>
      <c r="M65"/>
    </row>
    <row r="66" spans="1:13" x14ac:dyDescent="0.25">
      <c r="A66" s="4">
        <v>30052</v>
      </c>
      <c r="B66">
        <v>14168</v>
      </c>
      <c r="C66" s="4">
        <v>12292</v>
      </c>
      <c r="D66" t="s">
        <v>316</v>
      </c>
      <c r="E66" s="4">
        <v>0</v>
      </c>
      <c r="F66" s="25">
        <v>43712.801539351851</v>
      </c>
      <c r="G66">
        <v>0</v>
      </c>
      <c r="H66" s="25"/>
      <c r="I66" s="25"/>
      <c r="J66" s="25" t="s">
        <v>310</v>
      </c>
      <c r="L66"/>
      <c r="M66"/>
    </row>
    <row r="67" spans="1:13" x14ac:dyDescent="0.25">
      <c r="A67" s="4">
        <v>24853</v>
      </c>
      <c r="B67">
        <v>6080</v>
      </c>
      <c r="C67" s="4">
        <v>12292</v>
      </c>
      <c r="D67" t="s">
        <v>316</v>
      </c>
      <c r="E67" s="4">
        <v>1</v>
      </c>
      <c r="F67" s="25">
        <v>43712.791678240741</v>
      </c>
      <c r="G67">
        <v>0</v>
      </c>
      <c r="H67" s="25"/>
      <c r="I67" s="25"/>
      <c r="J67" s="25" t="s">
        <v>310</v>
      </c>
      <c r="L67"/>
      <c r="M67"/>
    </row>
    <row r="68" spans="1:13" x14ac:dyDescent="0.25">
      <c r="A68" s="4">
        <v>24853</v>
      </c>
      <c r="B68">
        <v>6080</v>
      </c>
      <c r="C68" s="4">
        <v>12292</v>
      </c>
      <c r="D68" t="s">
        <v>316</v>
      </c>
      <c r="E68" s="4">
        <v>0</v>
      </c>
      <c r="F68" s="25">
        <v>43712.783125000002</v>
      </c>
      <c r="G68">
        <v>0</v>
      </c>
      <c r="H68" s="25"/>
      <c r="I68" s="25"/>
      <c r="J68" s="25" t="s">
        <v>310</v>
      </c>
      <c r="L68"/>
      <c r="M68"/>
    </row>
    <row r="69" spans="1:13" x14ac:dyDescent="0.25">
      <c r="A69" s="4">
        <v>22988</v>
      </c>
      <c r="B69">
        <v>14852</v>
      </c>
      <c r="C69" s="4">
        <v>12292</v>
      </c>
      <c r="D69" t="s">
        <v>316</v>
      </c>
      <c r="E69" s="4">
        <v>1567625893</v>
      </c>
      <c r="F69" s="25">
        <v>43712.776550925926</v>
      </c>
      <c r="G69">
        <v>0</v>
      </c>
      <c r="H69" s="25"/>
      <c r="I69" s="25"/>
      <c r="J69" s="25" t="s">
        <v>310</v>
      </c>
      <c r="L69"/>
      <c r="M69"/>
    </row>
    <row r="70" spans="1:13" x14ac:dyDescent="0.25">
      <c r="A70" s="4">
        <v>18554</v>
      </c>
      <c r="B70">
        <v>10272</v>
      </c>
      <c r="C70" s="4">
        <v>12292</v>
      </c>
      <c r="D70" t="s">
        <v>316</v>
      </c>
      <c r="E70" s="4">
        <v>24</v>
      </c>
      <c r="F70" s="25">
        <v>43712.76185185185</v>
      </c>
      <c r="G70">
        <v>0</v>
      </c>
      <c r="H70" s="25"/>
      <c r="I70" s="25"/>
      <c r="J70" s="25" t="s">
        <v>310</v>
      </c>
      <c r="L70"/>
      <c r="M70"/>
    </row>
    <row r="71" spans="1:13" x14ac:dyDescent="0.25">
      <c r="A71" s="4">
        <v>18554</v>
      </c>
      <c r="B71">
        <v>10272</v>
      </c>
      <c r="C71" s="4">
        <v>12292</v>
      </c>
      <c r="D71" t="s">
        <v>316</v>
      </c>
      <c r="E71" s="4">
        <v>22</v>
      </c>
      <c r="F71" s="25">
        <v>43712.761840277781</v>
      </c>
      <c r="G71">
        <v>0</v>
      </c>
      <c r="H71" s="25"/>
      <c r="I71" s="25"/>
      <c r="J71" s="25" t="s">
        <v>310</v>
      </c>
      <c r="K71" s="4"/>
      <c r="M71"/>
    </row>
    <row r="72" spans="1:13" x14ac:dyDescent="0.25">
      <c r="A72" s="4">
        <v>18554</v>
      </c>
      <c r="B72">
        <v>10272</v>
      </c>
      <c r="C72" s="4">
        <v>12292</v>
      </c>
      <c r="D72" t="s">
        <v>316</v>
      </c>
      <c r="E72" s="4">
        <v>23</v>
      </c>
      <c r="F72" s="25">
        <v>43712.761840277781</v>
      </c>
      <c r="G72">
        <v>0</v>
      </c>
      <c r="H72" s="25"/>
      <c r="I72" s="25"/>
      <c r="J72" s="25" t="s">
        <v>310</v>
      </c>
      <c r="K72" s="4"/>
      <c r="M72"/>
    </row>
    <row r="73" spans="1:13" x14ac:dyDescent="0.25">
      <c r="A73" s="4">
        <v>18554</v>
      </c>
      <c r="B73">
        <v>10272</v>
      </c>
      <c r="C73" s="4">
        <v>12292</v>
      </c>
      <c r="D73" t="s">
        <v>316</v>
      </c>
      <c r="E73" s="4">
        <v>21</v>
      </c>
      <c r="F73" s="25">
        <v>43712.761828703704</v>
      </c>
      <c r="G73">
        <v>0</v>
      </c>
      <c r="H73" s="25"/>
      <c r="I73" s="25"/>
      <c r="J73" s="25" t="s">
        <v>310</v>
      </c>
      <c r="K73" s="4"/>
      <c r="M73"/>
    </row>
    <row r="74" spans="1:13" x14ac:dyDescent="0.25">
      <c r="A74" s="4">
        <v>18554</v>
      </c>
      <c r="B74">
        <v>10272</v>
      </c>
      <c r="C74" s="4">
        <v>12292</v>
      </c>
      <c r="D74" t="s">
        <v>316</v>
      </c>
      <c r="E74" s="4">
        <v>20</v>
      </c>
      <c r="F74" s="25">
        <v>43712.761817129627</v>
      </c>
      <c r="G74">
        <v>0</v>
      </c>
      <c r="H74" s="25"/>
      <c r="I74" s="25"/>
      <c r="J74" s="25" t="s">
        <v>310</v>
      </c>
      <c r="K74" s="4"/>
      <c r="M74"/>
    </row>
    <row r="75" spans="1:13" x14ac:dyDescent="0.25">
      <c r="A75" s="4">
        <v>18554</v>
      </c>
      <c r="B75">
        <v>10272</v>
      </c>
      <c r="C75" s="4">
        <v>12292</v>
      </c>
      <c r="D75" t="s">
        <v>316</v>
      </c>
      <c r="E75" s="4">
        <v>18</v>
      </c>
      <c r="F75" s="25">
        <v>43712.761805555558</v>
      </c>
      <c r="G75">
        <v>0</v>
      </c>
      <c r="H75" s="25"/>
      <c r="I75" s="25"/>
      <c r="J75" s="25" t="s">
        <v>310</v>
      </c>
      <c r="K75" s="4"/>
      <c r="M75"/>
    </row>
    <row r="76" spans="1:13" x14ac:dyDescent="0.25">
      <c r="A76" s="4">
        <v>18554</v>
      </c>
      <c r="B76">
        <v>10272</v>
      </c>
      <c r="C76" s="4">
        <v>12292</v>
      </c>
      <c r="D76" t="s">
        <v>316</v>
      </c>
      <c r="E76" s="4">
        <v>19</v>
      </c>
      <c r="F76" s="25">
        <v>43712.761805555558</v>
      </c>
      <c r="G76">
        <v>0</v>
      </c>
      <c r="H76" s="25"/>
      <c r="I76" s="25"/>
      <c r="J76" s="25" t="s">
        <v>310</v>
      </c>
      <c r="K76" s="4"/>
      <c r="M76"/>
    </row>
    <row r="77" spans="1:13" x14ac:dyDescent="0.25">
      <c r="A77" s="4">
        <v>18554</v>
      </c>
      <c r="B77">
        <v>10272</v>
      </c>
      <c r="C77" s="4">
        <v>12292</v>
      </c>
      <c r="D77" t="s">
        <v>316</v>
      </c>
      <c r="E77" s="4">
        <v>17</v>
      </c>
      <c r="F77" s="25">
        <v>43712.761793981481</v>
      </c>
      <c r="G77">
        <v>0</v>
      </c>
      <c r="H77" s="25"/>
      <c r="I77" s="25"/>
      <c r="J77" s="25" t="s">
        <v>310</v>
      </c>
      <c r="K77" s="4"/>
      <c r="M77"/>
    </row>
    <row r="78" spans="1:13" x14ac:dyDescent="0.25">
      <c r="A78" s="4">
        <v>18554</v>
      </c>
      <c r="B78">
        <v>10272</v>
      </c>
      <c r="C78" s="4">
        <v>12292</v>
      </c>
      <c r="D78" t="s">
        <v>316</v>
      </c>
      <c r="E78" s="4">
        <v>16</v>
      </c>
      <c r="F78" s="25">
        <v>43712.761782407404</v>
      </c>
      <c r="G78">
        <v>0</v>
      </c>
      <c r="H78" s="25"/>
      <c r="I78" s="25"/>
      <c r="J78" s="25" t="s">
        <v>310</v>
      </c>
      <c r="K78" s="4"/>
      <c r="M78"/>
    </row>
    <row r="79" spans="1:13" x14ac:dyDescent="0.25">
      <c r="A79" s="4">
        <v>18554</v>
      </c>
      <c r="B79">
        <v>10272</v>
      </c>
      <c r="C79" s="4">
        <v>12292</v>
      </c>
      <c r="D79" t="s">
        <v>316</v>
      </c>
      <c r="E79" s="4">
        <v>14</v>
      </c>
      <c r="F79" s="25">
        <v>43712.761770833335</v>
      </c>
      <c r="G79">
        <v>0</v>
      </c>
      <c r="H79" s="25"/>
      <c r="I79" s="25"/>
      <c r="J79" s="25" t="s">
        <v>310</v>
      </c>
      <c r="K79" s="4"/>
      <c r="M79"/>
    </row>
    <row r="80" spans="1:13" x14ac:dyDescent="0.25">
      <c r="A80" s="4">
        <v>18554</v>
      </c>
      <c r="B80">
        <v>10272</v>
      </c>
      <c r="C80" s="4">
        <v>12292</v>
      </c>
      <c r="D80" t="s">
        <v>316</v>
      </c>
      <c r="E80" s="4">
        <v>15</v>
      </c>
      <c r="F80" s="25">
        <v>43712.761770833335</v>
      </c>
      <c r="G80">
        <v>0</v>
      </c>
      <c r="H80" s="25"/>
      <c r="I80" s="25"/>
      <c r="J80" s="25" t="s">
        <v>310</v>
      </c>
      <c r="K80" s="4"/>
      <c r="M80"/>
    </row>
    <row r="81" spans="1:13" x14ac:dyDescent="0.25">
      <c r="A81" s="4">
        <v>18554</v>
      </c>
      <c r="B81">
        <v>10272</v>
      </c>
      <c r="C81" s="4">
        <v>12292</v>
      </c>
      <c r="D81" t="s">
        <v>316</v>
      </c>
      <c r="E81" s="4">
        <v>13</v>
      </c>
      <c r="F81" s="25">
        <v>43712.761759259258</v>
      </c>
      <c r="G81">
        <v>0</v>
      </c>
      <c r="H81" s="25"/>
      <c r="I81" s="25"/>
      <c r="J81" s="25" t="s">
        <v>310</v>
      </c>
      <c r="K81" s="4"/>
      <c r="M81"/>
    </row>
    <row r="82" spans="1:13" x14ac:dyDescent="0.25">
      <c r="A82" s="4">
        <v>18554</v>
      </c>
      <c r="B82">
        <v>10272</v>
      </c>
      <c r="C82" s="4">
        <v>12292</v>
      </c>
      <c r="D82" t="s">
        <v>316</v>
      </c>
      <c r="E82" s="4">
        <v>11</v>
      </c>
      <c r="F82" s="25">
        <v>43712.761747685188</v>
      </c>
      <c r="G82">
        <v>0</v>
      </c>
      <c r="H82" s="25"/>
      <c r="I82" s="25"/>
      <c r="J82" s="25" t="s">
        <v>310</v>
      </c>
      <c r="K82" s="4"/>
      <c r="M82"/>
    </row>
    <row r="83" spans="1:13" x14ac:dyDescent="0.25">
      <c r="A83" s="4">
        <v>18554</v>
      </c>
      <c r="B83">
        <v>10272</v>
      </c>
      <c r="C83" s="4">
        <v>12292</v>
      </c>
      <c r="D83" t="s">
        <v>316</v>
      </c>
      <c r="E83" s="4">
        <v>12</v>
      </c>
      <c r="F83" s="25">
        <v>43712.761747685188</v>
      </c>
      <c r="G83">
        <v>0</v>
      </c>
      <c r="H83" s="25"/>
      <c r="I83" s="25"/>
      <c r="J83" s="25" t="s">
        <v>310</v>
      </c>
      <c r="K83" s="4"/>
      <c r="M83"/>
    </row>
    <row r="84" spans="1:13" x14ac:dyDescent="0.25">
      <c r="A84" s="4">
        <v>18554</v>
      </c>
      <c r="B84">
        <v>10272</v>
      </c>
      <c r="C84" s="4">
        <v>12292</v>
      </c>
      <c r="D84" t="s">
        <v>316</v>
      </c>
      <c r="E84" s="4">
        <v>10</v>
      </c>
      <c r="F84" s="25">
        <v>43712.761736111112</v>
      </c>
      <c r="G84">
        <v>0</v>
      </c>
      <c r="H84" s="25"/>
      <c r="I84" s="25"/>
      <c r="J84" s="25" t="s">
        <v>310</v>
      </c>
      <c r="K84" s="4"/>
      <c r="M84"/>
    </row>
    <row r="85" spans="1:13" x14ac:dyDescent="0.25">
      <c r="A85" s="4">
        <v>18554</v>
      </c>
      <c r="B85">
        <v>10272</v>
      </c>
      <c r="C85" s="4">
        <v>12292</v>
      </c>
      <c r="D85" t="s">
        <v>316</v>
      </c>
      <c r="E85" s="4">
        <v>8</v>
      </c>
      <c r="F85" s="25">
        <v>43712.761724537035</v>
      </c>
      <c r="G85">
        <v>0</v>
      </c>
      <c r="H85" s="25"/>
      <c r="I85" s="25"/>
      <c r="J85" s="25" t="s">
        <v>310</v>
      </c>
      <c r="K85" s="4"/>
      <c r="M85"/>
    </row>
    <row r="86" spans="1:13" x14ac:dyDescent="0.25">
      <c r="A86" s="4">
        <v>18554</v>
      </c>
      <c r="B86">
        <v>10272</v>
      </c>
      <c r="C86" s="4">
        <v>12292</v>
      </c>
      <c r="D86" t="s">
        <v>316</v>
      </c>
      <c r="E86" s="4">
        <v>9</v>
      </c>
      <c r="F86" s="25">
        <v>43712.761724537035</v>
      </c>
      <c r="G86">
        <v>0</v>
      </c>
      <c r="H86" s="25"/>
      <c r="I86" s="25"/>
      <c r="J86" s="25" t="s">
        <v>310</v>
      </c>
      <c r="K86" s="4"/>
      <c r="M86"/>
    </row>
    <row r="87" spans="1:13" x14ac:dyDescent="0.25">
      <c r="A87" s="4">
        <v>18554</v>
      </c>
      <c r="B87">
        <v>10272</v>
      </c>
      <c r="C87" s="4">
        <v>12292</v>
      </c>
      <c r="D87" t="s">
        <v>316</v>
      </c>
      <c r="E87" s="4">
        <v>7</v>
      </c>
      <c r="F87" s="25">
        <v>43712.761712962965</v>
      </c>
      <c r="G87">
        <v>0</v>
      </c>
      <c r="H87" s="25"/>
      <c r="I87" s="25"/>
      <c r="J87" s="25" t="s">
        <v>310</v>
      </c>
      <c r="K87" s="4"/>
      <c r="M87"/>
    </row>
    <row r="88" spans="1:13" x14ac:dyDescent="0.25">
      <c r="A88" s="4">
        <v>18554</v>
      </c>
      <c r="B88">
        <v>10272</v>
      </c>
      <c r="C88" s="4">
        <v>12292</v>
      </c>
      <c r="D88" t="s">
        <v>316</v>
      </c>
      <c r="E88" s="4">
        <v>6</v>
      </c>
      <c r="F88" s="25">
        <v>43712.761701388888</v>
      </c>
      <c r="G88">
        <v>0</v>
      </c>
      <c r="H88" s="25"/>
      <c r="I88" s="25"/>
      <c r="J88" s="25" t="s">
        <v>310</v>
      </c>
      <c r="K88" s="4"/>
      <c r="M88"/>
    </row>
    <row r="89" spans="1:13" x14ac:dyDescent="0.25">
      <c r="A89" s="4">
        <v>18554</v>
      </c>
      <c r="B89">
        <v>10272</v>
      </c>
      <c r="C89" s="4">
        <v>12292</v>
      </c>
      <c r="D89" t="s">
        <v>316</v>
      </c>
      <c r="E89" s="4">
        <v>4</v>
      </c>
      <c r="F89" s="25">
        <v>43712.761689814812</v>
      </c>
      <c r="G89">
        <v>0</v>
      </c>
      <c r="H89" s="25"/>
      <c r="I89" s="25"/>
      <c r="J89" s="25" t="s">
        <v>310</v>
      </c>
      <c r="K89" s="4"/>
      <c r="M89"/>
    </row>
    <row r="90" spans="1:13" x14ac:dyDescent="0.25">
      <c r="A90" s="4">
        <v>18554</v>
      </c>
      <c r="B90">
        <v>10272</v>
      </c>
      <c r="C90" s="4">
        <v>12292</v>
      </c>
      <c r="D90" t="s">
        <v>316</v>
      </c>
      <c r="E90" s="4">
        <v>5</v>
      </c>
      <c r="F90" s="25">
        <v>43712.761689814812</v>
      </c>
      <c r="G90">
        <v>0</v>
      </c>
      <c r="H90" s="25"/>
      <c r="I90" s="25"/>
      <c r="J90" s="25" t="s">
        <v>310</v>
      </c>
      <c r="K90" s="4"/>
      <c r="M90"/>
    </row>
    <row r="91" spans="1:13" x14ac:dyDescent="0.25">
      <c r="A91" s="4">
        <v>18554</v>
      </c>
      <c r="B91">
        <v>10272</v>
      </c>
      <c r="C91" s="4">
        <v>12292</v>
      </c>
      <c r="D91" t="s">
        <v>316</v>
      </c>
      <c r="E91" s="4">
        <v>3</v>
      </c>
      <c r="F91" s="25">
        <v>43712.761678240742</v>
      </c>
      <c r="G91">
        <v>0</v>
      </c>
      <c r="H91" s="25"/>
      <c r="I91" s="25"/>
      <c r="J91" s="25" t="s">
        <v>310</v>
      </c>
      <c r="K91" s="4"/>
      <c r="M91"/>
    </row>
    <row r="92" spans="1:13" x14ac:dyDescent="0.25">
      <c r="A92" s="4">
        <v>18554</v>
      </c>
      <c r="B92">
        <v>10272</v>
      </c>
      <c r="C92" s="4">
        <v>12292</v>
      </c>
      <c r="D92" t="s">
        <v>316</v>
      </c>
      <c r="E92" s="4">
        <v>1</v>
      </c>
      <c r="F92" s="25">
        <v>43712.761666666665</v>
      </c>
      <c r="G92">
        <v>0</v>
      </c>
      <c r="H92" s="25"/>
      <c r="I92" s="25"/>
      <c r="J92" s="25" t="s">
        <v>310</v>
      </c>
      <c r="K92" s="4"/>
      <c r="M92"/>
    </row>
    <row r="93" spans="1:13" x14ac:dyDescent="0.25">
      <c r="A93" s="4">
        <v>18554</v>
      </c>
      <c r="B93">
        <v>10272</v>
      </c>
      <c r="C93" s="4">
        <v>12292</v>
      </c>
      <c r="D93" t="s">
        <v>316</v>
      </c>
      <c r="E93" s="4">
        <v>2</v>
      </c>
      <c r="F93" s="25">
        <v>43712.761666666665</v>
      </c>
      <c r="G93">
        <v>0</v>
      </c>
      <c r="H93" s="25"/>
      <c r="I93" s="25"/>
      <c r="J93" s="25" t="s">
        <v>310</v>
      </c>
      <c r="K93" s="4"/>
      <c r="M93"/>
    </row>
    <row r="94" spans="1:13" x14ac:dyDescent="0.25">
      <c r="A94" s="4">
        <v>18554</v>
      </c>
      <c r="B94">
        <v>10272</v>
      </c>
      <c r="C94" s="4">
        <v>12292</v>
      </c>
      <c r="D94" t="s">
        <v>316</v>
      </c>
      <c r="E94" s="4">
        <v>0</v>
      </c>
      <c r="F94" s="25">
        <v>43712.761655092596</v>
      </c>
      <c r="G94">
        <v>0</v>
      </c>
      <c r="H94" s="25"/>
      <c r="I94" s="25"/>
      <c r="J94" s="25" t="s">
        <v>310</v>
      </c>
      <c r="K94" s="4"/>
      <c r="M94"/>
    </row>
    <row r="95" spans="1:13" x14ac:dyDescent="0.25">
      <c r="A95" s="4">
        <v>18508</v>
      </c>
      <c r="B95">
        <v>5716</v>
      </c>
      <c r="C95" s="4">
        <v>12292</v>
      </c>
      <c r="D95" t="s">
        <v>316</v>
      </c>
      <c r="E95" s="4">
        <v>0</v>
      </c>
      <c r="F95" s="25">
        <v>43712.761331018519</v>
      </c>
      <c r="G95">
        <v>0</v>
      </c>
      <c r="H95" s="25"/>
      <c r="I95" s="25"/>
      <c r="J95" s="25" t="s">
        <v>310</v>
      </c>
      <c r="K95" s="4"/>
      <c r="M95"/>
    </row>
    <row r="96" spans="1:13" x14ac:dyDescent="0.25">
      <c r="A96" s="4">
        <v>15366</v>
      </c>
      <c r="B96">
        <v>5684</v>
      </c>
      <c r="C96" s="4">
        <v>12292</v>
      </c>
      <c r="D96" t="s">
        <v>316</v>
      </c>
      <c r="E96" s="4">
        <v>0</v>
      </c>
      <c r="F96" s="25">
        <v>43712.749490740738</v>
      </c>
      <c r="G96">
        <v>0</v>
      </c>
      <c r="H96" s="25"/>
      <c r="I96" s="25"/>
      <c r="J96" s="25" t="s">
        <v>310</v>
      </c>
      <c r="K96" s="4"/>
      <c r="M96"/>
    </row>
    <row r="97" spans="1:13" x14ac:dyDescent="0.25">
      <c r="A97" s="4">
        <v>13799</v>
      </c>
      <c r="B97">
        <v>7164</v>
      </c>
      <c r="C97" s="4">
        <v>12292</v>
      </c>
      <c r="D97" t="s">
        <v>316</v>
      </c>
      <c r="E97" s="4">
        <v>0</v>
      </c>
      <c r="F97" s="25">
        <v>43712.743958333333</v>
      </c>
      <c r="G97">
        <v>0</v>
      </c>
      <c r="H97" s="25"/>
      <c r="I97" s="25"/>
      <c r="J97" s="25" t="s">
        <v>310</v>
      </c>
      <c r="K97" s="4"/>
      <c r="M97"/>
    </row>
    <row r="98" spans="1:13" x14ac:dyDescent="0.25">
      <c r="A98" s="4">
        <v>12921</v>
      </c>
      <c r="B98">
        <v>2972</v>
      </c>
      <c r="C98" s="4">
        <v>12292</v>
      </c>
      <c r="D98" t="s">
        <v>316</v>
      </c>
      <c r="E98" s="4">
        <v>0</v>
      </c>
      <c r="F98" s="25">
        <v>43712.740856481483</v>
      </c>
      <c r="G98">
        <v>0</v>
      </c>
      <c r="H98" s="25"/>
      <c r="I98" s="25"/>
      <c r="J98" s="25" t="s">
        <v>310</v>
      </c>
      <c r="K98" s="4"/>
      <c r="M98"/>
    </row>
    <row r="99" spans="1:13" x14ac:dyDescent="0.25">
      <c r="A99" s="4">
        <v>11611</v>
      </c>
      <c r="B99">
        <v>14556</v>
      </c>
      <c r="C99" s="4">
        <v>12292</v>
      </c>
      <c r="D99" t="s">
        <v>316</v>
      </c>
      <c r="E99" s="4">
        <v>0</v>
      </c>
      <c r="F99" s="25">
        <v>43712.736203703702</v>
      </c>
      <c r="G99">
        <v>0</v>
      </c>
      <c r="H99" s="25"/>
      <c r="I99" s="25"/>
      <c r="J99" s="25" t="s">
        <v>310</v>
      </c>
      <c r="K99" s="4"/>
      <c r="M99"/>
    </row>
    <row r="100" spans="1:13" x14ac:dyDescent="0.25">
      <c r="A100" s="4">
        <v>10778</v>
      </c>
      <c r="B100">
        <v>2924</v>
      </c>
      <c r="C100" s="4">
        <v>12292</v>
      </c>
      <c r="D100" t="s">
        <v>316</v>
      </c>
      <c r="E100" s="4">
        <v>0</v>
      </c>
      <c r="F100" s="25">
        <v>43712.733252314814</v>
      </c>
      <c r="G100">
        <v>0</v>
      </c>
      <c r="H100" s="25"/>
      <c r="I100" s="25"/>
      <c r="J100" s="25" t="s">
        <v>310</v>
      </c>
      <c r="K100" s="4"/>
      <c r="M100"/>
    </row>
    <row r="101" spans="1:13" x14ac:dyDescent="0.25">
      <c r="A101" s="4">
        <v>10187</v>
      </c>
      <c r="B101">
        <v>11376</v>
      </c>
      <c r="C101" s="4">
        <v>12292</v>
      </c>
      <c r="D101" t="s">
        <v>316</v>
      </c>
      <c r="E101" s="4">
        <v>0</v>
      </c>
      <c r="F101" s="25">
        <v>43712.731168981481</v>
      </c>
      <c r="G101">
        <v>0</v>
      </c>
      <c r="H101" s="25"/>
      <c r="I101" s="25"/>
      <c r="J101" s="25" t="s">
        <v>310</v>
      </c>
      <c r="K101" s="4"/>
      <c r="M101"/>
    </row>
    <row r="102" spans="1:13" x14ac:dyDescent="0.25">
      <c r="A102" s="4">
        <v>8943</v>
      </c>
      <c r="B102">
        <v>13255</v>
      </c>
      <c r="C102" s="4">
        <v>12292</v>
      </c>
      <c r="D102" t="s">
        <v>316</v>
      </c>
      <c r="E102" s="4">
        <v>0</v>
      </c>
      <c r="F102" s="25">
        <v>43712.726736111108</v>
      </c>
      <c r="G102">
        <v>0</v>
      </c>
      <c r="H102" s="25"/>
      <c r="I102" s="25"/>
      <c r="J102" s="25" t="s">
        <v>310</v>
      </c>
      <c r="K102" s="4"/>
      <c r="M102"/>
    </row>
    <row r="103" spans="1:13" x14ac:dyDescent="0.25">
      <c r="A103" s="4">
        <v>8244</v>
      </c>
      <c r="B103">
        <v>13256</v>
      </c>
      <c r="C103" s="4">
        <v>12292</v>
      </c>
      <c r="D103" t="s">
        <v>316</v>
      </c>
      <c r="E103" s="4">
        <v>0</v>
      </c>
      <c r="F103" s="25">
        <v>43712.724270833336</v>
      </c>
      <c r="G103">
        <v>0</v>
      </c>
      <c r="H103" s="25"/>
      <c r="I103" s="25"/>
      <c r="J103" s="25" t="s">
        <v>310</v>
      </c>
      <c r="K103" s="4"/>
      <c r="M103"/>
    </row>
    <row r="104" spans="1:13" x14ac:dyDescent="0.25">
      <c r="A104" s="4">
        <v>6141</v>
      </c>
      <c r="B104">
        <v>9092</v>
      </c>
      <c r="C104" s="4">
        <v>12292</v>
      </c>
      <c r="D104" t="s">
        <v>316</v>
      </c>
      <c r="E104" s="4">
        <v>0</v>
      </c>
      <c r="F104" s="25">
        <v>43712.716817129629</v>
      </c>
      <c r="G104">
        <v>0</v>
      </c>
      <c r="H104" s="25"/>
      <c r="I104" s="25"/>
      <c r="J104" s="25" t="s">
        <v>310</v>
      </c>
      <c r="K104" s="4"/>
      <c r="M104"/>
    </row>
    <row r="105" spans="1:13" x14ac:dyDescent="0.25">
      <c r="A105" s="4">
        <v>5207</v>
      </c>
      <c r="B105">
        <v>7540</v>
      </c>
      <c r="C105" s="4">
        <v>12292</v>
      </c>
      <c r="D105" t="s">
        <v>316</v>
      </c>
      <c r="E105" s="4">
        <v>0</v>
      </c>
      <c r="F105" s="25">
        <v>43712.713495370372</v>
      </c>
      <c r="G105">
        <v>0</v>
      </c>
      <c r="H105" s="25"/>
      <c r="I105" s="25"/>
      <c r="J105" s="25" t="s">
        <v>310</v>
      </c>
      <c r="K105" s="4"/>
      <c r="M105"/>
    </row>
    <row r="106" spans="1:13" x14ac:dyDescent="0.25">
      <c r="A106" s="4">
        <v>22935</v>
      </c>
      <c r="B106">
        <v>6475</v>
      </c>
      <c r="C106" s="4">
        <v>12292</v>
      </c>
      <c r="D106" t="s">
        <v>316</v>
      </c>
      <c r="E106" s="4">
        <v>0</v>
      </c>
      <c r="F106" s="25">
        <v>43711.963321759256</v>
      </c>
      <c r="G106">
        <v>0</v>
      </c>
      <c r="H106" s="25"/>
      <c r="I106" s="25"/>
      <c r="J106" s="25" t="s">
        <v>310</v>
      </c>
      <c r="K106" s="4"/>
      <c r="M106"/>
    </row>
    <row r="107" spans="1:13" x14ac:dyDescent="0.25">
      <c r="A107" s="4">
        <v>21233</v>
      </c>
      <c r="B107">
        <v>10460</v>
      </c>
      <c r="C107" s="4">
        <v>12292</v>
      </c>
      <c r="D107" t="s">
        <v>316</v>
      </c>
      <c r="E107" s="4">
        <v>0</v>
      </c>
      <c r="F107" s="25">
        <v>43711.957303240742</v>
      </c>
      <c r="G107">
        <v>0</v>
      </c>
      <c r="H107" s="25"/>
      <c r="I107" s="25"/>
      <c r="J107" s="25" t="s">
        <v>310</v>
      </c>
      <c r="K107" s="4"/>
      <c r="M107"/>
    </row>
    <row r="108" spans="1:13" x14ac:dyDescent="0.25">
      <c r="A108" s="4">
        <v>19264</v>
      </c>
      <c r="B108">
        <v>6412</v>
      </c>
      <c r="C108" s="4">
        <v>12292</v>
      </c>
      <c r="D108" t="s">
        <v>316</v>
      </c>
      <c r="E108" s="4">
        <v>0</v>
      </c>
      <c r="F108" s="25">
        <v>43711.95040509259</v>
      </c>
      <c r="G108">
        <v>0</v>
      </c>
      <c r="H108" s="25"/>
      <c r="I108" s="25"/>
      <c r="J108" s="25" t="s">
        <v>310</v>
      </c>
      <c r="K108" s="4"/>
      <c r="M108"/>
    </row>
    <row r="109" spans="1:13" x14ac:dyDescent="0.25">
      <c r="A109" s="4">
        <v>18389</v>
      </c>
      <c r="B109">
        <v>11568</v>
      </c>
      <c r="C109" s="4">
        <v>12292</v>
      </c>
      <c r="D109" t="s">
        <v>316</v>
      </c>
      <c r="E109" s="4">
        <v>0</v>
      </c>
      <c r="F109" s="25">
        <v>43711.947384259256</v>
      </c>
      <c r="G109">
        <v>0</v>
      </c>
      <c r="H109" s="25"/>
      <c r="I109" s="25"/>
      <c r="J109" s="25" t="s">
        <v>310</v>
      </c>
      <c r="K109" s="4"/>
      <c r="M109"/>
    </row>
    <row r="110" spans="1:13" x14ac:dyDescent="0.25">
      <c r="A110" s="4">
        <v>17958</v>
      </c>
      <c r="B110">
        <v>6476</v>
      </c>
      <c r="C110" s="4">
        <v>12292</v>
      </c>
      <c r="D110" t="s">
        <v>316</v>
      </c>
      <c r="E110" s="4">
        <v>0</v>
      </c>
      <c r="F110" s="25">
        <v>43711.945925925924</v>
      </c>
      <c r="G110">
        <v>0</v>
      </c>
      <c r="H110" s="25"/>
      <c r="I110" s="25"/>
      <c r="J110" s="25" t="s">
        <v>310</v>
      </c>
      <c r="K110" s="4"/>
      <c r="M110"/>
    </row>
    <row r="111" spans="1:13" x14ac:dyDescent="0.25">
      <c r="A111" s="4">
        <v>70</v>
      </c>
      <c r="B111">
        <v>5656</v>
      </c>
      <c r="C111" s="4">
        <v>12500</v>
      </c>
      <c r="D111" t="s">
        <v>7</v>
      </c>
      <c r="E111" s="4">
        <v>0</v>
      </c>
      <c r="F111" s="25">
        <v>43711.944143518522</v>
      </c>
      <c r="G111">
        <v>0</v>
      </c>
      <c r="H111" s="25"/>
      <c r="I111" s="25" t="s">
        <v>342</v>
      </c>
      <c r="J111" s="25" t="s">
        <v>308</v>
      </c>
      <c r="K111" s="4"/>
      <c r="M111"/>
    </row>
    <row r="112" spans="1:13" x14ac:dyDescent="0.25">
      <c r="A112" s="4">
        <v>70</v>
      </c>
      <c r="B112">
        <v>12500</v>
      </c>
      <c r="C112" s="4">
        <v>12500</v>
      </c>
      <c r="D112" t="s">
        <v>7</v>
      </c>
      <c r="E112" s="4">
        <v>0</v>
      </c>
      <c r="F112" s="25">
        <v>43711.93209490741</v>
      </c>
      <c r="G112">
        <v>1</v>
      </c>
      <c r="H112" s="25" t="s">
        <v>339</v>
      </c>
      <c r="I112" s="25"/>
      <c r="J112" s="25" t="s">
        <v>333</v>
      </c>
      <c r="K112" s="4"/>
      <c r="M112"/>
    </row>
    <row r="113" spans="1:13" x14ac:dyDescent="0.25">
      <c r="A113" s="4">
        <v>8840</v>
      </c>
      <c r="B113">
        <v>12164</v>
      </c>
      <c r="C113" s="4">
        <v>12292</v>
      </c>
      <c r="D113" t="s">
        <v>316</v>
      </c>
      <c r="E113" s="4">
        <v>0</v>
      </c>
      <c r="F113" s="25">
        <v>43711.91337962963</v>
      </c>
      <c r="G113">
        <v>0</v>
      </c>
      <c r="H113" s="25"/>
      <c r="I113" s="25"/>
      <c r="J113" s="25" t="s">
        <v>310</v>
      </c>
      <c r="K113" s="4"/>
      <c r="M113"/>
    </row>
    <row r="114" spans="1:13" x14ac:dyDescent="0.25">
      <c r="A114" s="4">
        <v>5562</v>
      </c>
      <c r="B114">
        <v>10036</v>
      </c>
      <c r="C114" s="4">
        <v>12292</v>
      </c>
      <c r="D114" t="s">
        <v>316</v>
      </c>
      <c r="E114" s="4">
        <v>0</v>
      </c>
      <c r="F114" s="25">
        <v>43711.901747685188</v>
      </c>
      <c r="G114">
        <v>0</v>
      </c>
      <c r="H114" s="25"/>
      <c r="I114" s="25"/>
      <c r="J114" s="25" t="s">
        <v>310</v>
      </c>
      <c r="K114" s="4"/>
      <c r="M114"/>
    </row>
    <row r="115" spans="1:13" x14ac:dyDescent="0.25">
      <c r="A115" s="4">
        <v>4301</v>
      </c>
      <c r="B115">
        <v>1212</v>
      </c>
      <c r="C115" s="4">
        <v>12292</v>
      </c>
      <c r="D115" t="s">
        <v>316</v>
      </c>
      <c r="E115" s="4">
        <v>0</v>
      </c>
      <c r="F115" s="25">
        <v>43711.897303240738</v>
      </c>
      <c r="G115">
        <v>0</v>
      </c>
      <c r="H115" s="25"/>
      <c r="I115" s="25"/>
      <c r="J115" s="25" t="s">
        <v>310</v>
      </c>
      <c r="K115" s="4"/>
      <c r="M115"/>
    </row>
    <row r="116" spans="1:13" x14ac:dyDescent="0.25">
      <c r="A116" s="4">
        <v>60</v>
      </c>
      <c r="B116">
        <v>7228</v>
      </c>
      <c r="C116" s="4">
        <v>12292</v>
      </c>
      <c r="D116" t="s">
        <v>7</v>
      </c>
      <c r="E116" s="4">
        <v>0</v>
      </c>
      <c r="F116" s="25">
        <v>43711.895509259259</v>
      </c>
      <c r="G116">
        <v>0</v>
      </c>
      <c r="H116" s="25"/>
      <c r="I116" s="25" t="s">
        <v>344</v>
      </c>
      <c r="J116" s="25" t="s">
        <v>348</v>
      </c>
      <c r="K116" s="4"/>
      <c r="M116"/>
    </row>
    <row r="117" spans="1:13" x14ac:dyDescent="0.25">
      <c r="A117" s="4">
        <v>60</v>
      </c>
      <c r="B117">
        <v>13836</v>
      </c>
      <c r="C117" s="4">
        <v>12292</v>
      </c>
      <c r="D117" t="s">
        <v>7</v>
      </c>
      <c r="E117" s="4">
        <v>0</v>
      </c>
      <c r="F117" s="25">
        <v>43711.894432870373</v>
      </c>
      <c r="G117">
        <v>0</v>
      </c>
      <c r="H117" s="25"/>
      <c r="I117" s="25" t="s">
        <v>346</v>
      </c>
      <c r="J117" s="25" t="s">
        <v>347</v>
      </c>
      <c r="K117" s="4"/>
      <c r="M117"/>
    </row>
    <row r="118" spans="1:13" x14ac:dyDescent="0.25">
      <c r="A118" s="4">
        <v>1444</v>
      </c>
      <c r="B118">
        <v>4980</v>
      </c>
      <c r="C118" s="4">
        <v>12292</v>
      </c>
      <c r="D118" t="s">
        <v>316</v>
      </c>
      <c r="E118" s="4">
        <v>0</v>
      </c>
      <c r="F118" s="25">
        <v>43711.887175925927</v>
      </c>
      <c r="G118">
        <v>0</v>
      </c>
      <c r="H118" s="25"/>
      <c r="I118" s="25"/>
      <c r="J118" s="25" t="s">
        <v>310</v>
      </c>
      <c r="K118" s="4"/>
      <c r="M118"/>
    </row>
    <row r="119" spans="1:13" x14ac:dyDescent="0.25">
      <c r="A119" s="4">
        <v>32076</v>
      </c>
      <c r="B119">
        <v>11644</v>
      </c>
      <c r="C119" s="4">
        <v>12292</v>
      </c>
      <c r="D119" t="s">
        <v>316</v>
      </c>
      <c r="E119" s="4">
        <v>0</v>
      </c>
      <c r="F119" s="25">
        <v>43711.879594907405</v>
      </c>
      <c r="G119">
        <v>0</v>
      </c>
      <c r="H119" s="25"/>
      <c r="I119" s="25"/>
      <c r="J119" s="25" t="s">
        <v>310</v>
      </c>
      <c r="K119" s="4"/>
      <c r="M119"/>
    </row>
    <row r="120" spans="1:13" x14ac:dyDescent="0.25">
      <c r="A120" s="4">
        <v>31139</v>
      </c>
      <c r="B120">
        <v>3332</v>
      </c>
      <c r="C120" s="4">
        <v>12292</v>
      </c>
      <c r="D120" t="s">
        <v>316</v>
      </c>
      <c r="E120" s="4">
        <v>0</v>
      </c>
      <c r="F120" s="25">
        <v>43711.876342592594</v>
      </c>
      <c r="G120">
        <v>0</v>
      </c>
      <c r="H120" s="25"/>
      <c r="I120" s="25"/>
      <c r="J120" s="25" t="s">
        <v>310</v>
      </c>
      <c r="K120" s="4"/>
      <c r="M120"/>
    </row>
    <row r="121" spans="1:13" x14ac:dyDescent="0.25">
      <c r="A121" s="4">
        <v>60</v>
      </c>
      <c r="B121">
        <v>13068</v>
      </c>
      <c r="C121" s="4">
        <v>12292</v>
      </c>
      <c r="D121" t="s">
        <v>7</v>
      </c>
      <c r="E121" s="4">
        <v>0</v>
      </c>
      <c r="F121" s="25">
        <v>43711.870671296296</v>
      </c>
      <c r="G121">
        <v>0</v>
      </c>
      <c r="H121" s="25"/>
      <c r="I121" s="25" t="s">
        <v>346</v>
      </c>
      <c r="J121" s="25" t="s">
        <v>345</v>
      </c>
      <c r="K121" s="4"/>
      <c r="M121"/>
    </row>
    <row r="122" spans="1:13" x14ac:dyDescent="0.25">
      <c r="A122" s="4">
        <v>60</v>
      </c>
      <c r="B122">
        <v>15052</v>
      </c>
      <c r="C122" s="4">
        <v>12292</v>
      </c>
      <c r="D122" t="s">
        <v>7</v>
      </c>
      <c r="E122" s="4">
        <v>0</v>
      </c>
      <c r="F122" s="25">
        <v>43711.869502314818</v>
      </c>
      <c r="G122">
        <v>0</v>
      </c>
      <c r="H122" s="25"/>
      <c r="I122" s="25" t="s">
        <v>344</v>
      </c>
      <c r="J122" s="25" t="s">
        <v>343</v>
      </c>
      <c r="K122" s="4"/>
      <c r="M122"/>
    </row>
    <row r="123" spans="1:13" x14ac:dyDescent="0.25">
      <c r="A123" s="4">
        <v>25078</v>
      </c>
      <c r="B123">
        <v>10072</v>
      </c>
      <c r="C123" s="4">
        <v>12292</v>
      </c>
      <c r="D123" t="s">
        <v>316</v>
      </c>
      <c r="E123" s="4">
        <v>0</v>
      </c>
      <c r="F123" s="25">
        <v>43711.854641203703</v>
      </c>
      <c r="G123">
        <v>0</v>
      </c>
      <c r="H123" s="25"/>
      <c r="I123" s="25"/>
      <c r="J123" s="25" t="s">
        <v>310</v>
      </c>
      <c r="K123" s="4"/>
      <c r="M123"/>
    </row>
    <row r="124" spans="1:13" x14ac:dyDescent="0.25">
      <c r="A124" s="4">
        <v>23370</v>
      </c>
      <c r="B124">
        <v>14880</v>
      </c>
      <c r="C124" s="4">
        <v>6956</v>
      </c>
      <c r="D124" t="s">
        <v>316</v>
      </c>
      <c r="E124" s="4">
        <v>0</v>
      </c>
      <c r="F124" s="25">
        <v>43711.847777777781</v>
      </c>
      <c r="G124">
        <v>0</v>
      </c>
      <c r="H124" s="25"/>
      <c r="I124" s="25"/>
      <c r="J124" s="25" t="s">
        <v>310</v>
      </c>
      <c r="K124" s="4"/>
      <c r="M124"/>
    </row>
    <row r="125" spans="1:13" x14ac:dyDescent="0.25">
      <c r="A125" s="4">
        <v>23200</v>
      </c>
      <c r="B125">
        <v>13428</v>
      </c>
      <c r="C125" s="4">
        <v>6956</v>
      </c>
      <c r="D125" t="s">
        <v>316</v>
      </c>
      <c r="E125" s="4">
        <v>0</v>
      </c>
      <c r="F125" s="25">
        <v>43711.847187500003</v>
      </c>
      <c r="G125">
        <v>0</v>
      </c>
      <c r="H125" s="25"/>
      <c r="I125" s="25"/>
      <c r="J125" s="25" t="s">
        <v>310</v>
      </c>
      <c r="K125" s="4"/>
      <c r="M125"/>
    </row>
    <row r="126" spans="1:13" x14ac:dyDescent="0.25">
      <c r="A126" s="4">
        <v>21179</v>
      </c>
      <c r="B126">
        <v>8604</v>
      </c>
      <c r="C126" s="4">
        <v>6956</v>
      </c>
      <c r="D126" t="s">
        <v>316</v>
      </c>
      <c r="E126" s="4">
        <v>0</v>
      </c>
      <c r="F126" s="25">
        <v>43711.840011574073</v>
      </c>
      <c r="G126">
        <v>0</v>
      </c>
      <c r="H126" s="25"/>
      <c r="I126" s="25"/>
      <c r="J126" s="25" t="s">
        <v>310</v>
      </c>
      <c r="K126" s="4"/>
      <c r="M126"/>
    </row>
    <row r="127" spans="1:13" x14ac:dyDescent="0.25">
      <c r="A127" s="4">
        <v>19879</v>
      </c>
      <c r="B127">
        <v>12376</v>
      </c>
      <c r="C127" s="4">
        <v>6956</v>
      </c>
      <c r="D127" t="s">
        <v>316</v>
      </c>
      <c r="E127" s="4">
        <v>0</v>
      </c>
      <c r="F127" s="25">
        <v>43711.835405092592</v>
      </c>
      <c r="G127">
        <v>0</v>
      </c>
      <c r="H127" s="25"/>
      <c r="I127" s="25"/>
      <c r="J127" s="25" t="s">
        <v>310</v>
      </c>
      <c r="K127" s="4"/>
      <c r="M127"/>
    </row>
    <row r="128" spans="1:13" x14ac:dyDescent="0.25">
      <c r="A128" s="4">
        <v>8518</v>
      </c>
      <c r="B128">
        <v>11416</v>
      </c>
      <c r="C128" s="4">
        <v>11184</v>
      </c>
      <c r="D128" t="s">
        <v>316</v>
      </c>
      <c r="E128" s="4">
        <v>0</v>
      </c>
      <c r="F128" s="25">
        <v>43711.79515046296</v>
      </c>
      <c r="G128">
        <v>0</v>
      </c>
      <c r="H128" s="25"/>
      <c r="I128" s="25"/>
      <c r="J128" s="25" t="s">
        <v>310</v>
      </c>
      <c r="K128" s="4"/>
      <c r="M128"/>
    </row>
    <row r="129" spans="1:13" x14ac:dyDescent="0.25">
      <c r="A129" s="4">
        <v>7320</v>
      </c>
      <c r="B129">
        <v>11364</v>
      </c>
      <c r="C129" s="4">
        <v>6956</v>
      </c>
      <c r="D129" t="s">
        <v>316</v>
      </c>
      <c r="E129" s="4">
        <v>0</v>
      </c>
      <c r="F129" s="25">
        <v>43711.790891203702</v>
      </c>
      <c r="G129">
        <v>0</v>
      </c>
      <c r="H129" s="25"/>
      <c r="I129" s="25"/>
      <c r="J129" s="25" t="s">
        <v>310</v>
      </c>
      <c r="K129" s="4"/>
      <c r="M129"/>
    </row>
    <row r="130" spans="1:13" x14ac:dyDescent="0.25">
      <c r="A130" s="4">
        <v>6575</v>
      </c>
      <c r="B130">
        <v>10296</v>
      </c>
      <c r="C130" s="4">
        <v>6956</v>
      </c>
      <c r="D130" t="s">
        <v>316</v>
      </c>
      <c r="E130" s="4">
        <v>0</v>
      </c>
      <c r="F130" s="25">
        <v>43711.788252314815</v>
      </c>
      <c r="G130">
        <v>0</v>
      </c>
      <c r="H130" s="25"/>
      <c r="I130" s="25"/>
      <c r="J130" s="25" t="s">
        <v>310</v>
      </c>
      <c r="K130" s="4"/>
      <c r="M130"/>
    </row>
    <row r="131" spans="1:13" x14ac:dyDescent="0.25">
      <c r="A131" s="4">
        <v>5004</v>
      </c>
      <c r="B131">
        <v>9440</v>
      </c>
      <c r="C131" s="4">
        <v>11184</v>
      </c>
      <c r="D131" t="s">
        <v>316</v>
      </c>
      <c r="E131" s="4">
        <v>0</v>
      </c>
      <c r="F131" s="25">
        <v>43711.782685185186</v>
      </c>
      <c r="G131">
        <v>0</v>
      </c>
      <c r="H131" s="25"/>
      <c r="I131" s="25"/>
      <c r="J131" s="25" t="s">
        <v>310</v>
      </c>
      <c r="K131" s="4"/>
      <c r="M131"/>
    </row>
    <row r="132" spans="1:13" x14ac:dyDescent="0.25">
      <c r="A132" s="4">
        <v>4296</v>
      </c>
      <c r="B132">
        <v>3128</v>
      </c>
      <c r="C132" s="4">
        <v>11184</v>
      </c>
      <c r="D132" t="s">
        <v>316</v>
      </c>
      <c r="E132" s="4">
        <v>0</v>
      </c>
      <c r="F132" s="25">
        <v>43711.780185185184</v>
      </c>
      <c r="G132">
        <v>0</v>
      </c>
      <c r="H132" s="25"/>
      <c r="I132" s="25"/>
      <c r="J132" s="25" t="s">
        <v>310</v>
      </c>
      <c r="K132" s="4"/>
      <c r="M132"/>
    </row>
    <row r="133" spans="1:13" x14ac:dyDescent="0.25">
      <c r="A133" s="4">
        <v>2088</v>
      </c>
      <c r="B133">
        <v>10780</v>
      </c>
      <c r="C133" s="4">
        <v>11184</v>
      </c>
      <c r="D133" t="s">
        <v>316</v>
      </c>
      <c r="E133" s="4">
        <v>0</v>
      </c>
      <c r="F133" s="25">
        <v>43711.772372685184</v>
      </c>
      <c r="G133">
        <v>0</v>
      </c>
      <c r="H133" s="25"/>
      <c r="I133" s="25"/>
      <c r="J133" s="25" t="s">
        <v>310</v>
      </c>
      <c r="K133" s="4"/>
      <c r="M133"/>
    </row>
    <row r="134" spans="1:13" x14ac:dyDescent="0.25">
      <c r="A134" s="4">
        <v>1788</v>
      </c>
      <c r="B134">
        <v>5828</v>
      </c>
      <c r="C134" s="4">
        <v>6956</v>
      </c>
      <c r="D134" t="s">
        <v>316</v>
      </c>
      <c r="E134" s="4">
        <v>0</v>
      </c>
      <c r="F134" s="25">
        <v>43711.771284722221</v>
      </c>
      <c r="G134">
        <v>0</v>
      </c>
      <c r="H134" s="25"/>
      <c r="I134" s="25"/>
      <c r="J134" s="25" t="s">
        <v>310</v>
      </c>
      <c r="K134" s="4"/>
      <c r="M134"/>
    </row>
    <row r="135" spans="1:13" x14ac:dyDescent="0.25">
      <c r="A135" s="4">
        <v>1151</v>
      </c>
      <c r="B135">
        <v>12200</v>
      </c>
      <c r="C135" s="4">
        <v>11184</v>
      </c>
      <c r="D135" t="s">
        <v>316</v>
      </c>
      <c r="E135" s="4">
        <v>0</v>
      </c>
      <c r="F135" s="25">
        <v>43711.769444444442</v>
      </c>
      <c r="G135">
        <v>0</v>
      </c>
      <c r="H135" s="25"/>
      <c r="I135" s="25"/>
      <c r="J135" s="25" t="s">
        <v>310</v>
      </c>
      <c r="K135" s="4"/>
      <c r="M135"/>
    </row>
    <row r="136" spans="1:13" x14ac:dyDescent="0.25">
      <c r="A136" s="4">
        <v>27182</v>
      </c>
      <c r="B136">
        <v>10348</v>
      </c>
      <c r="C136" s="4">
        <v>6956</v>
      </c>
      <c r="D136" t="s">
        <v>316</v>
      </c>
      <c r="E136" s="4">
        <v>0</v>
      </c>
      <c r="F136" s="25">
        <v>43711.745162037034</v>
      </c>
      <c r="G136">
        <v>0</v>
      </c>
      <c r="H136" s="25"/>
      <c r="I136" s="25"/>
      <c r="J136" s="25" t="s">
        <v>310</v>
      </c>
      <c r="K136" s="4"/>
      <c r="M136"/>
    </row>
    <row r="137" spans="1:13" x14ac:dyDescent="0.25">
      <c r="A137" s="4">
        <v>26069</v>
      </c>
      <c r="B137">
        <v>9688</v>
      </c>
      <c r="C137" s="4">
        <v>6956</v>
      </c>
      <c r="D137" t="s">
        <v>316</v>
      </c>
      <c r="E137" s="4">
        <v>0</v>
      </c>
      <c r="F137" s="25">
        <v>43711.741203703707</v>
      </c>
      <c r="G137">
        <v>0</v>
      </c>
      <c r="H137" s="25"/>
      <c r="I137" s="25"/>
      <c r="J137" s="25" t="s">
        <v>310</v>
      </c>
      <c r="K137" s="4"/>
      <c r="M137"/>
    </row>
    <row r="138" spans="1:13" x14ac:dyDescent="0.25">
      <c r="A138" s="4">
        <v>25794</v>
      </c>
      <c r="B138">
        <v>9689</v>
      </c>
      <c r="C138" s="4">
        <v>6956</v>
      </c>
      <c r="D138" t="s">
        <v>316</v>
      </c>
      <c r="E138" s="4">
        <v>0</v>
      </c>
      <c r="F138" s="25">
        <v>43711.740243055552</v>
      </c>
      <c r="G138">
        <v>0</v>
      </c>
      <c r="H138" s="25"/>
      <c r="I138" s="25"/>
      <c r="J138" s="25" t="s">
        <v>310</v>
      </c>
      <c r="K138" s="4"/>
      <c r="M138"/>
    </row>
    <row r="139" spans="1:13" x14ac:dyDescent="0.25">
      <c r="A139" s="4">
        <v>25164</v>
      </c>
      <c r="B139">
        <v>9690</v>
      </c>
      <c r="C139" s="4">
        <v>6956</v>
      </c>
      <c r="D139" t="s">
        <v>316</v>
      </c>
      <c r="E139" s="4">
        <v>0</v>
      </c>
      <c r="F139" s="25">
        <v>43711.737997685188</v>
      </c>
      <c r="G139">
        <v>0</v>
      </c>
      <c r="H139" s="25"/>
      <c r="I139" s="25"/>
      <c r="J139" s="25" t="s">
        <v>310</v>
      </c>
      <c r="K139" s="4"/>
      <c r="M139"/>
    </row>
    <row r="140" spans="1:13" x14ac:dyDescent="0.25">
      <c r="A140" s="4">
        <v>24906</v>
      </c>
      <c r="B140">
        <v>9691</v>
      </c>
      <c r="C140" s="4">
        <v>6956</v>
      </c>
      <c r="D140" t="s">
        <v>316</v>
      </c>
      <c r="E140" s="4">
        <v>0</v>
      </c>
      <c r="F140" s="25">
        <v>43711.73709490741</v>
      </c>
      <c r="G140">
        <v>0</v>
      </c>
      <c r="H140" s="25"/>
      <c r="I140" s="25"/>
      <c r="J140" s="25" t="s">
        <v>310</v>
      </c>
      <c r="K140" s="4"/>
      <c r="M140"/>
    </row>
    <row r="141" spans="1:13" x14ac:dyDescent="0.25">
      <c r="A141" s="4">
        <v>23897</v>
      </c>
      <c r="B141">
        <v>9692</v>
      </c>
      <c r="C141" s="4">
        <v>6956</v>
      </c>
      <c r="D141" t="s">
        <v>316</v>
      </c>
      <c r="E141" s="4">
        <v>0</v>
      </c>
      <c r="F141" s="25">
        <v>43711.733518518522</v>
      </c>
      <c r="G141">
        <v>0</v>
      </c>
      <c r="H141" s="25"/>
      <c r="I141" s="25"/>
      <c r="J141" s="25" t="s">
        <v>310</v>
      </c>
      <c r="K141" s="4"/>
      <c r="M141"/>
    </row>
    <row r="142" spans="1:13" x14ac:dyDescent="0.25">
      <c r="A142" s="4">
        <v>23312</v>
      </c>
      <c r="B142">
        <v>9693</v>
      </c>
      <c r="C142" s="4">
        <v>6956</v>
      </c>
      <c r="D142" t="s">
        <v>316</v>
      </c>
      <c r="E142" s="4">
        <v>0</v>
      </c>
      <c r="F142" s="25">
        <v>43711.731446759259</v>
      </c>
      <c r="G142">
        <v>0</v>
      </c>
      <c r="H142" s="25"/>
      <c r="I142" s="25"/>
      <c r="J142" s="25" t="s">
        <v>310</v>
      </c>
      <c r="K142" s="4"/>
      <c r="M142"/>
    </row>
    <row r="143" spans="1:13" x14ac:dyDescent="0.25">
      <c r="A143" s="4">
        <v>21229</v>
      </c>
      <c r="B143">
        <v>9694</v>
      </c>
      <c r="C143" s="4">
        <v>6956</v>
      </c>
      <c r="D143" t="s">
        <v>316</v>
      </c>
      <c r="E143" s="4">
        <v>0</v>
      </c>
      <c r="F143" s="25">
        <v>43711.724062499998</v>
      </c>
      <c r="G143">
        <v>0</v>
      </c>
      <c r="H143" s="25"/>
      <c r="I143" s="25"/>
      <c r="J143" s="25" t="s">
        <v>310</v>
      </c>
      <c r="K143" s="4"/>
      <c r="M143"/>
    </row>
    <row r="144" spans="1:13" x14ac:dyDescent="0.25">
      <c r="A144" s="4">
        <v>19991</v>
      </c>
      <c r="B144">
        <v>9695</v>
      </c>
      <c r="C144" s="4">
        <v>6956</v>
      </c>
      <c r="D144" t="s">
        <v>316</v>
      </c>
      <c r="E144" s="4">
        <v>0</v>
      </c>
      <c r="F144" s="25">
        <v>43711.719675925924</v>
      </c>
      <c r="G144">
        <v>0</v>
      </c>
      <c r="H144" s="25"/>
      <c r="I144" s="25"/>
      <c r="J144" s="25" t="s">
        <v>310</v>
      </c>
      <c r="K144" s="4"/>
      <c r="M144"/>
    </row>
    <row r="145" spans="1:13" x14ac:dyDescent="0.25">
      <c r="A145" s="4">
        <v>19642</v>
      </c>
      <c r="B145">
        <v>9696</v>
      </c>
      <c r="C145" s="4">
        <v>6956</v>
      </c>
      <c r="D145" t="s">
        <v>316</v>
      </c>
      <c r="E145" s="4">
        <v>0</v>
      </c>
      <c r="F145" s="25">
        <v>43711.718715277777</v>
      </c>
      <c r="G145">
        <v>0</v>
      </c>
      <c r="H145" s="25"/>
      <c r="I145" s="25"/>
      <c r="J145" s="25" t="s">
        <v>310</v>
      </c>
      <c r="K145" s="4"/>
      <c r="M145"/>
    </row>
    <row r="146" spans="1:13" x14ac:dyDescent="0.25">
      <c r="A146" s="4">
        <v>40</v>
      </c>
      <c r="B146">
        <v>2984</v>
      </c>
      <c r="C146" s="4">
        <v>6956</v>
      </c>
      <c r="D146" t="s">
        <v>7</v>
      </c>
      <c r="E146" s="4">
        <v>0</v>
      </c>
      <c r="F146" s="25">
        <v>43710.974282407406</v>
      </c>
      <c r="G146">
        <v>0</v>
      </c>
      <c r="H146" s="25"/>
      <c r="I146" s="25" t="s">
        <v>342</v>
      </c>
      <c r="J146" s="25" t="s">
        <v>308</v>
      </c>
      <c r="K146" s="4"/>
      <c r="M146"/>
    </row>
    <row r="147" spans="1:13" x14ac:dyDescent="0.25">
      <c r="A147" s="4">
        <v>40</v>
      </c>
      <c r="B147">
        <v>9960</v>
      </c>
      <c r="C147" s="4">
        <v>6956</v>
      </c>
      <c r="D147" t="s">
        <v>7</v>
      </c>
      <c r="E147" s="4">
        <v>0</v>
      </c>
      <c r="F147" s="25">
        <v>43710.973009259258</v>
      </c>
      <c r="G147">
        <v>0</v>
      </c>
      <c r="H147" s="25"/>
      <c r="I147" s="25" t="s">
        <v>341</v>
      </c>
      <c r="J147" s="25" t="s">
        <v>314</v>
      </c>
      <c r="K147" s="4"/>
      <c r="M147"/>
    </row>
    <row r="148" spans="1:13" x14ac:dyDescent="0.25">
      <c r="A148" s="4">
        <v>27906</v>
      </c>
      <c r="B148">
        <v>4912</v>
      </c>
      <c r="C148" s="4">
        <v>6956</v>
      </c>
      <c r="D148" t="s">
        <v>316</v>
      </c>
      <c r="E148" s="4">
        <v>0</v>
      </c>
      <c r="F148" s="25">
        <v>43710.934733796297</v>
      </c>
      <c r="G148">
        <v>0</v>
      </c>
      <c r="H148" s="25"/>
      <c r="I148" s="25"/>
      <c r="J148" s="25" t="s">
        <v>310</v>
      </c>
      <c r="K148" s="4"/>
      <c r="M148"/>
    </row>
    <row r="149" spans="1:13" x14ac:dyDescent="0.25">
      <c r="A149" s="4">
        <v>27821</v>
      </c>
      <c r="B149">
        <v>12452</v>
      </c>
      <c r="C149" s="4">
        <v>6956</v>
      </c>
      <c r="D149" t="s">
        <v>316</v>
      </c>
      <c r="E149" s="4">
        <v>0</v>
      </c>
      <c r="F149" s="25">
        <v>43710.934444444443</v>
      </c>
      <c r="G149">
        <v>0</v>
      </c>
      <c r="H149" s="25"/>
      <c r="I149" s="25"/>
      <c r="J149" s="25" t="s">
        <v>310</v>
      </c>
      <c r="K149" s="4"/>
      <c r="M149"/>
    </row>
    <row r="150" spans="1:13" x14ac:dyDescent="0.25">
      <c r="A150" s="4">
        <v>27732</v>
      </c>
      <c r="B150">
        <v>7144</v>
      </c>
      <c r="C150" s="4">
        <v>6956</v>
      </c>
      <c r="D150" t="s">
        <v>316</v>
      </c>
      <c r="E150" s="4">
        <v>0</v>
      </c>
      <c r="F150" s="25">
        <v>43710.93414351852</v>
      </c>
      <c r="G150">
        <v>0</v>
      </c>
      <c r="H150" s="25"/>
      <c r="I150" s="25"/>
      <c r="J150" s="25" t="s">
        <v>310</v>
      </c>
      <c r="K150" s="4"/>
      <c r="M150"/>
    </row>
    <row r="151" spans="1:13" x14ac:dyDescent="0.25">
      <c r="A151" s="4">
        <v>27063</v>
      </c>
      <c r="B151">
        <v>5492</v>
      </c>
      <c r="C151" s="4">
        <v>6956</v>
      </c>
      <c r="D151" t="s">
        <v>316</v>
      </c>
      <c r="E151" s="4">
        <v>0</v>
      </c>
      <c r="F151" s="25">
        <v>43710.931747685187</v>
      </c>
      <c r="G151">
        <v>0</v>
      </c>
      <c r="H151" s="25"/>
      <c r="I151" s="25"/>
      <c r="J151" s="25" t="s">
        <v>310</v>
      </c>
      <c r="K151" s="4"/>
      <c r="M151"/>
    </row>
    <row r="152" spans="1:13" x14ac:dyDescent="0.25">
      <c r="A152" s="4">
        <v>23624</v>
      </c>
      <c r="B152">
        <v>4332</v>
      </c>
      <c r="C152" s="4">
        <v>6956</v>
      </c>
      <c r="D152" t="s">
        <v>316</v>
      </c>
      <c r="E152" s="4">
        <v>0</v>
      </c>
      <c r="F152" s="25">
        <v>43710.919571759259</v>
      </c>
      <c r="G152">
        <v>0</v>
      </c>
      <c r="H152" s="25"/>
      <c r="I152" s="25"/>
      <c r="J152" s="25" t="s">
        <v>310</v>
      </c>
      <c r="K152" s="4"/>
      <c r="M152"/>
    </row>
    <row r="153" spans="1:13" x14ac:dyDescent="0.25">
      <c r="A153" s="4">
        <v>22965</v>
      </c>
      <c r="B153">
        <v>1326</v>
      </c>
      <c r="C153" s="4">
        <v>6956</v>
      </c>
      <c r="D153" t="s">
        <v>316</v>
      </c>
      <c r="E153" s="4">
        <v>0</v>
      </c>
      <c r="F153" s="25">
        <v>43710.917233796295</v>
      </c>
      <c r="G153">
        <v>0</v>
      </c>
      <c r="H153" s="25"/>
      <c r="I153" s="25"/>
      <c r="J153" s="25" t="s">
        <v>310</v>
      </c>
      <c r="K153" s="4"/>
      <c r="M153"/>
    </row>
    <row r="154" spans="1:13" x14ac:dyDescent="0.25">
      <c r="A154" s="4">
        <v>21139</v>
      </c>
      <c r="B154">
        <v>14124</v>
      </c>
      <c r="C154" s="4">
        <v>6956</v>
      </c>
      <c r="D154" t="s">
        <v>316</v>
      </c>
      <c r="E154" s="4">
        <v>0</v>
      </c>
      <c r="F154" s="25">
        <v>43710.910787037035</v>
      </c>
      <c r="G154">
        <v>0</v>
      </c>
      <c r="H154" s="25"/>
      <c r="I154" s="25"/>
      <c r="J154" s="25" t="s">
        <v>310</v>
      </c>
      <c r="K154" s="4"/>
      <c r="M154"/>
    </row>
    <row r="155" spans="1:13" x14ac:dyDescent="0.25">
      <c r="A155" s="4">
        <v>19657</v>
      </c>
      <c r="B155">
        <v>1327</v>
      </c>
      <c r="C155" s="4">
        <v>6956</v>
      </c>
      <c r="D155" t="s">
        <v>316</v>
      </c>
      <c r="E155" s="4">
        <v>0</v>
      </c>
      <c r="F155" s="25">
        <v>43710.905509259261</v>
      </c>
      <c r="G155">
        <v>0</v>
      </c>
      <c r="H155" s="25"/>
      <c r="I155" s="25"/>
      <c r="J155" s="25" t="s">
        <v>310</v>
      </c>
      <c r="K155" s="4"/>
      <c r="M155"/>
    </row>
    <row r="156" spans="1:13" x14ac:dyDescent="0.25">
      <c r="A156" s="4">
        <v>18439</v>
      </c>
      <c r="B156">
        <v>1328</v>
      </c>
      <c r="C156" s="4">
        <v>11808</v>
      </c>
      <c r="D156" t="s">
        <v>316</v>
      </c>
      <c r="E156" s="4">
        <v>0</v>
      </c>
      <c r="F156" s="25">
        <v>43710.90116898148</v>
      </c>
      <c r="G156">
        <v>0</v>
      </c>
      <c r="H156" s="25"/>
      <c r="I156" s="25"/>
      <c r="J156" s="25" t="s">
        <v>310</v>
      </c>
      <c r="K156" s="4"/>
      <c r="M156"/>
    </row>
    <row r="157" spans="1:13" x14ac:dyDescent="0.25">
      <c r="A157" s="4">
        <v>16819</v>
      </c>
      <c r="B157">
        <v>12344</v>
      </c>
      <c r="C157" s="4">
        <v>11808</v>
      </c>
      <c r="D157" t="s">
        <v>316</v>
      </c>
      <c r="E157" s="4">
        <v>0</v>
      </c>
      <c r="F157" s="25">
        <v>43710.895439814813</v>
      </c>
      <c r="G157">
        <v>0</v>
      </c>
      <c r="H157" s="25"/>
      <c r="I157" s="25"/>
      <c r="J157" s="25" t="s">
        <v>310</v>
      </c>
      <c r="K157" s="4"/>
      <c r="M157"/>
    </row>
    <row r="158" spans="1:13" x14ac:dyDescent="0.25">
      <c r="A158" s="4">
        <v>16623</v>
      </c>
      <c r="B158">
        <v>10600</v>
      </c>
      <c r="C158" s="4">
        <v>11808</v>
      </c>
      <c r="D158" t="s">
        <v>316</v>
      </c>
      <c r="E158" s="4">
        <v>0</v>
      </c>
      <c r="F158" s="25">
        <v>43710.894733796296</v>
      </c>
      <c r="G158">
        <v>0</v>
      </c>
      <c r="H158" s="25"/>
      <c r="I158" s="25"/>
      <c r="J158" s="25" t="s">
        <v>310</v>
      </c>
      <c r="K158" s="4"/>
      <c r="M158"/>
    </row>
    <row r="159" spans="1:13" x14ac:dyDescent="0.25">
      <c r="A159" s="4">
        <v>15405</v>
      </c>
      <c r="B159">
        <v>6336</v>
      </c>
      <c r="C159" s="4">
        <v>11808</v>
      </c>
      <c r="D159" t="s">
        <v>316</v>
      </c>
      <c r="E159" s="4">
        <v>0</v>
      </c>
      <c r="F159" s="25">
        <v>43710.890416666669</v>
      </c>
      <c r="G159">
        <v>0</v>
      </c>
      <c r="H159" s="25"/>
      <c r="I159" s="25"/>
      <c r="J159" s="25" t="s">
        <v>310</v>
      </c>
      <c r="K159" s="4"/>
      <c r="M159"/>
    </row>
    <row r="160" spans="1:13" x14ac:dyDescent="0.25">
      <c r="A160" s="4">
        <v>15095</v>
      </c>
      <c r="B160">
        <v>10868</v>
      </c>
      <c r="C160" s="4">
        <v>11808</v>
      </c>
      <c r="D160" t="s">
        <v>316</v>
      </c>
      <c r="E160" s="4">
        <v>0</v>
      </c>
      <c r="F160" s="25">
        <v>43710.889328703706</v>
      </c>
      <c r="G160">
        <v>0</v>
      </c>
      <c r="H160" s="25"/>
      <c r="I160" s="25"/>
      <c r="J160" s="25" t="s">
        <v>310</v>
      </c>
      <c r="K160" s="4"/>
      <c r="M160"/>
    </row>
    <row r="161" spans="1:13" x14ac:dyDescent="0.25">
      <c r="A161" s="4">
        <v>12538</v>
      </c>
      <c r="B161">
        <v>9003</v>
      </c>
      <c r="C161" s="4">
        <v>11808</v>
      </c>
      <c r="D161" t="s">
        <v>316</v>
      </c>
      <c r="E161" s="4">
        <v>0</v>
      </c>
      <c r="F161" s="25">
        <v>43710.880254629628</v>
      </c>
      <c r="G161">
        <v>0</v>
      </c>
      <c r="H161" s="25"/>
      <c r="I161" s="25"/>
      <c r="J161" s="25" t="s">
        <v>310</v>
      </c>
      <c r="K161" s="4"/>
      <c r="M161"/>
    </row>
    <row r="162" spans="1:13" x14ac:dyDescent="0.25">
      <c r="A162" s="4">
        <v>12067</v>
      </c>
      <c r="B162">
        <v>5652</v>
      </c>
      <c r="C162" s="4">
        <v>11808</v>
      </c>
      <c r="D162" t="s">
        <v>316</v>
      </c>
      <c r="E162" s="4">
        <v>0</v>
      </c>
      <c r="F162" s="25">
        <v>43710.878587962965</v>
      </c>
      <c r="G162">
        <v>0</v>
      </c>
      <c r="H162" s="25"/>
      <c r="I162" s="25"/>
      <c r="J162" s="25" t="s">
        <v>310</v>
      </c>
      <c r="K162" s="4"/>
      <c r="M162"/>
    </row>
    <row r="163" spans="1:13" x14ac:dyDescent="0.25">
      <c r="A163" s="4">
        <v>8296</v>
      </c>
      <c r="B163">
        <v>9224</v>
      </c>
      <c r="C163" s="4">
        <v>6956</v>
      </c>
      <c r="D163" t="s">
        <v>316</v>
      </c>
      <c r="E163" s="4">
        <v>0</v>
      </c>
      <c r="F163" s="25">
        <v>43710.865266203706</v>
      </c>
      <c r="G163">
        <v>0</v>
      </c>
      <c r="H163" s="25"/>
      <c r="I163" s="25"/>
      <c r="J163" s="25" t="s">
        <v>310</v>
      </c>
      <c r="K163" s="4"/>
      <c r="M163"/>
    </row>
    <row r="164" spans="1:13" x14ac:dyDescent="0.25">
      <c r="A164" s="4">
        <v>7140</v>
      </c>
      <c r="B164">
        <v>10712</v>
      </c>
      <c r="C164" s="4">
        <v>6956</v>
      </c>
      <c r="D164" t="s">
        <v>316</v>
      </c>
      <c r="E164" s="4">
        <v>0</v>
      </c>
      <c r="F164" s="25">
        <v>43710.861145833333</v>
      </c>
      <c r="G164">
        <v>0</v>
      </c>
      <c r="H164" s="25"/>
      <c r="I164" s="25"/>
      <c r="J164" s="25" t="s">
        <v>310</v>
      </c>
      <c r="K164" s="4"/>
      <c r="M164"/>
    </row>
    <row r="165" spans="1:13" x14ac:dyDescent="0.25">
      <c r="A165" s="4">
        <v>50</v>
      </c>
      <c r="B165">
        <v>10480</v>
      </c>
      <c r="C165" s="4">
        <v>11808</v>
      </c>
      <c r="D165" t="s">
        <v>7</v>
      </c>
      <c r="E165" s="4">
        <v>0</v>
      </c>
      <c r="F165" s="25">
        <v>43710.855902777781</v>
      </c>
      <c r="G165">
        <v>0</v>
      </c>
      <c r="H165" s="25"/>
      <c r="I165" s="25" t="s">
        <v>340</v>
      </c>
      <c r="J165" s="25" t="s">
        <v>310</v>
      </c>
      <c r="K165" s="4"/>
      <c r="M165"/>
    </row>
    <row r="166" spans="1:13" x14ac:dyDescent="0.25">
      <c r="A166" s="4">
        <v>50</v>
      </c>
      <c r="B166">
        <v>11808</v>
      </c>
      <c r="C166" s="4">
        <v>11808</v>
      </c>
      <c r="D166" t="s">
        <v>7</v>
      </c>
      <c r="E166" s="4">
        <v>0</v>
      </c>
      <c r="F166" s="25">
        <v>43710.855740740742</v>
      </c>
      <c r="G166">
        <v>1</v>
      </c>
      <c r="H166" s="25" t="s">
        <v>339</v>
      </c>
      <c r="I166" s="25"/>
      <c r="J166" s="25" t="s">
        <v>312</v>
      </c>
      <c r="K166" s="4"/>
      <c r="M166"/>
    </row>
    <row r="167" spans="1:13" x14ac:dyDescent="0.25">
      <c r="A167" s="4">
        <v>40</v>
      </c>
      <c r="B167">
        <v>11796</v>
      </c>
      <c r="C167" s="4">
        <v>6956</v>
      </c>
      <c r="D167" t="s">
        <v>7</v>
      </c>
      <c r="E167" s="4">
        <v>0</v>
      </c>
      <c r="F167" s="25">
        <v>43710.854421296295</v>
      </c>
      <c r="G167">
        <v>0</v>
      </c>
      <c r="H167" s="25"/>
      <c r="I167" s="25" t="s">
        <v>340</v>
      </c>
      <c r="J167" s="25" t="s">
        <v>314</v>
      </c>
      <c r="K167" s="4"/>
      <c r="M167"/>
    </row>
    <row r="168" spans="1:13" x14ac:dyDescent="0.25">
      <c r="A168" s="4">
        <v>40</v>
      </c>
      <c r="B168">
        <v>11444</v>
      </c>
      <c r="C168" s="4">
        <v>6956</v>
      </c>
      <c r="D168" t="s">
        <v>7</v>
      </c>
      <c r="E168" s="4">
        <v>0</v>
      </c>
      <c r="F168" s="25">
        <v>43710.851493055554</v>
      </c>
      <c r="G168">
        <v>0</v>
      </c>
      <c r="H168" s="25"/>
      <c r="I168" s="25" t="s">
        <v>340</v>
      </c>
      <c r="J168" s="25" t="s">
        <v>308</v>
      </c>
      <c r="K168" s="4"/>
      <c r="M168"/>
    </row>
    <row r="169" spans="1:13" x14ac:dyDescent="0.25">
      <c r="A169" s="4">
        <v>40</v>
      </c>
      <c r="B169">
        <v>6956</v>
      </c>
      <c r="C169" s="4">
        <v>6956</v>
      </c>
      <c r="D169" t="s">
        <v>7</v>
      </c>
      <c r="E169" s="4">
        <v>0</v>
      </c>
      <c r="F169" s="25">
        <v>43710.851180555554</v>
      </c>
      <c r="G169">
        <v>1</v>
      </c>
      <c r="H169" s="25" t="s">
        <v>339</v>
      </c>
      <c r="I169" s="25"/>
      <c r="J169" s="25" t="s">
        <v>309</v>
      </c>
      <c r="K169" s="4"/>
      <c r="M169"/>
    </row>
    <row r="170" spans="1:13" x14ac:dyDescent="0.25">
      <c r="A170" s="4">
        <v>20</v>
      </c>
      <c r="B170">
        <v>12160</v>
      </c>
      <c r="C170" s="4">
        <v>11184</v>
      </c>
      <c r="D170" t="s">
        <v>7</v>
      </c>
      <c r="E170" s="4">
        <v>0</v>
      </c>
      <c r="F170" s="25">
        <v>43710.840405092589</v>
      </c>
      <c r="G170">
        <v>0</v>
      </c>
      <c r="H170" s="25"/>
      <c r="I170" s="25" t="s">
        <v>338</v>
      </c>
      <c r="J170" s="25" t="s">
        <v>337</v>
      </c>
      <c r="K170" s="4"/>
      <c r="M170"/>
    </row>
    <row r="171" spans="1:13" x14ac:dyDescent="0.25">
      <c r="A171" s="4">
        <v>20</v>
      </c>
      <c r="B171">
        <v>11184</v>
      </c>
      <c r="C171" s="4">
        <v>11184</v>
      </c>
      <c r="D171" t="s">
        <v>7</v>
      </c>
      <c r="E171" s="4">
        <v>0</v>
      </c>
      <c r="F171" s="25">
        <v>43710.837037037039</v>
      </c>
      <c r="G171">
        <v>1</v>
      </c>
      <c r="H171" s="25" t="s">
        <v>187</v>
      </c>
      <c r="I171" s="25"/>
      <c r="J171" s="25" t="s">
        <v>336</v>
      </c>
      <c r="K171" s="4"/>
      <c r="M171"/>
    </row>
    <row r="172" spans="1:13" x14ac:dyDescent="0.25">
      <c r="A172" s="4">
        <v>20</v>
      </c>
      <c r="B172">
        <v>9004</v>
      </c>
      <c r="C172" s="4">
        <v>9004</v>
      </c>
      <c r="D172" t="s">
        <v>7</v>
      </c>
      <c r="E172" s="4">
        <v>0</v>
      </c>
      <c r="F172" s="25">
        <v>43710.748842592591</v>
      </c>
      <c r="G172">
        <v>1</v>
      </c>
      <c r="H172" s="25" t="s">
        <v>335</v>
      </c>
      <c r="I172" s="25"/>
      <c r="J172" s="25" t="s">
        <v>311</v>
      </c>
      <c r="K172" s="4"/>
      <c r="M172"/>
    </row>
    <row r="173" spans="1:13" x14ac:dyDescent="0.25">
      <c r="A173" s="4">
        <v>20</v>
      </c>
      <c r="B173">
        <v>9912</v>
      </c>
      <c r="C173" s="4">
        <v>9912</v>
      </c>
      <c r="D173" t="s">
        <v>7</v>
      </c>
      <c r="E173" s="4">
        <v>0</v>
      </c>
      <c r="F173" s="25">
        <v>43710.745810185188</v>
      </c>
      <c r="G173">
        <v>1</v>
      </c>
      <c r="H173" s="25" t="s">
        <v>335</v>
      </c>
      <c r="I173" s="25"/>
      <c r="J173" s="25" t="s">
        <v>313</v>
      </c>
      <c r="K173" s="4"/>
      <c r="M173"/>
    </row>
    <row r="174" spans="1:13" x14ac:dyDescent="0.25">
      <c r="A174" s="4">
        <v>20</v>
      </c>
      <c r="B174">
        <v>7272</v>
      </c>
      <c r="C174" s="4">
        <v>7272</v>
      </c>
      <c r="D174" t="s">
        <v>7</v>
      </c>
      <c r="E174" s="4">
        <v>0</v>
      </c>
      <c r="F174" s="25">
        <v>43710.744039351855</v>
      </c>
      <c r="G174">
        <v>1</v>
      </c>
      <c r="H174" s="25" t="s">
        <v>334</v>
      </c>
      <c r="I174" s="25"/>
      <c r="J174" s="25" t="s">
        <v>333</v>
      </c>
      <c r="K174" s="4"/>
      <c r="M174"/>
    </row>
    <row r="175" spans="1:13" x14ac:dyDescent="0.25">
      <c r="A175" s="4">
        <v>20</v>
      </c>
      <c r="B175">
        <v>11900</v>
      </c>
      <c r="C175" s="4">
        <v>11900</v>
      </c>
      <c r="D175" t="s">
        <v>7</v>
      </c>
      <c r="E175" s="4">
        <v>0</v>
      </c>
      <c r="F175" s="25">
        <v>43710.740486111114</v>
      </c>
      <c r="G175">
        <v>1</v>
      </c>
      <c r="H175" s="25" t="s">
        <v>332</v>
      </c>
      <c r="I175" s="25"/>
      <c r="J175" s="25" t="s">
        <v>328</v>
      </c>
      <c r="K175" s="4"/>
      <c r="M175"/>
    </row>
    <row r="176" spans="1:13" x14ac:dyDescent="0.25">
      <c r="A176" s="4">
        <v>20</v>
      </c>
      <c r="B176">
        <v>9900</v>
      </c>
      <c r="C176" s="4">
        <v>9900</v>
      </c>
      <c r="D176" t="s">
        <v>7</v>
      </c>
      <c r="E176" s="4">
        <v>0</v>
      </c>
      <c r="F176" s="25">
        <v>43710.739606481482</v>
      </c>
      <c r="G176">
        <v>1</v>
      </c>
      <c r="H176" s="25" t="s">
        <v>332</v>
      </c>
      <c r="I176" s="25"/>
      <c r="J176" s="25" t="s">
        <v>331</v>
      </c>
    </row>
    <row r="177" spans="1:10" x14ac:dyDescent="0.25">
      <c r="A177" s="4">
        <v>20</v>
      </c>
      <c r="B177">
        <v>8408</v>
      </c>
      <c r="C177" s="4">
        <v>8408</v>
      </c>
      <c r="D177" t="s">
        <v>7</v>
      </c>
      <c r="E177" s="4">
        <v>0</v>
      </c>
      <c r="F177" s="25">
        <v>43710.738217592596</v>
      </c>
      <c r="G177">
        <v>1</v>
      </c>
      <c r="H177" s="25" t="s">
        <v>139</v>
      </c>
      <c r="I177" s="25"/>
      <c r="J177" s="25" t="s">
        <v>330</v>
      </c>
    </row>
    <row r="178" spans="1:10" x14ac:dyDescent="0.25">
      <c r="A178" s="4">
        <v>20</v>
      </c>
      <c r="B178">
        <v>6704</v>
      </c>
      <c r="C178" s="4">
        <v>6704</v>
      </c>
      <c r="D178" t="s">
        <v>7</v>
      </c>
      <c r="E178" s="4">
        <v>0</v>
      </c>
      <c r="F178" s="25">
        <v>43710.737638888888</v>
      </c>
      <c r="G178">
        <v>1</v>
      </c>
      <c r="H178" s="25" t="s">
        <v>139</v>
      </c>
      <c r="I178" s="25"/>
      <c r="J178" s="25" t="s">
        <v>329</v>
      </c>
    </row>
    <row r="179" spans="1:10" x14ac:dyDescent="0.25">
      <c r="A179" s="4">
        <v>20</v>
      </c>
      <c r="B179">
        <v>12652</v>
      </c>
      <c r="C179" s="4">
        <v>12652</v>
      </c>
      <c r="D179" t="s">
        <v>7</v>
      </c>
      <c r="E179" s="4">
        <v>0</v>
      </c>
      <c r="F179" s="25">
        <v>43710.728750000002</v>
      </c>
      <c r="G179">
        <v>1</v>
      </c>
      <c r="H179" s="25" t="s">
        <v>139</v>
      </c>
      <c r="I179" s="25"/>
      <c r="J179" s="25" t="s">
        <v>328</v>
      </c>
    </row>
    <row r="180" spans="1:10" x14ac:dyDescent="0.25">
      <c r="A180" s="4">
        <v>20</v>
      </c>
      <c r="B180">
        <v>14108</v>
      </c>
      <c r="C180" s="4">
        <v>14108</v>
      </c>
      <c r="D180" t="s">
        <v>7</v>
      </c>
      <c r="E180" s="4">
        <v>0</v>
      </c>
      <c r="F180" s="25">
        <v>43710.722395833334</v>
      </c>
      <c r="G180">
        <v>1</v>
      </c>
      <c r="H180" s="25" t="s">
        <v>139</v>
      </c>
      <c r="I180" s="25"/>
      <c r="J180" s="25" t="s">
        <v>327</v>
      </c>
    </row>
    <row r="181" spans="1:10" x14ac:dyDescent="0.25">
      <c r="A181" s="4">
        <v>30</v>
      </c>
      <c r="B181">
        <v>3396</v>
      </c>
      <c r="C181" s="4">
        <v>10408</v>
      </c>
      <c r="D181" t="s">
        <v>7</v>
      </c>
      <c r="E181" s="4">
        <v>0</v>
      </c>
      <c r="F181" s="25">
        <v>43710.7112037037</v>
      </c>
      <c r="G181">
        <v>0</v>
      </c>
      <c r="H181" s="25"/>
      <c r="I181" s="25" t="s">
        <v>323</v>
      </c>
      <c r="J181" s="25" t="s">
        <v>326</v>
      </c>
    </row>
    <row r="182" spans="1:10" x14ac:dyDescent="0.25">
      <c r="A182" s="4">
        <v>30</v>
      </c>
      <c r="B182">
        <v>10408</v>
      </c>
      <c r="C182" s="4">
        <v>10408</v>
      </c>
      <c r="D182" t="s">
        <v>7</v>
      </c>
      <c r="E182" s="4">
        <v>0</v>
      </c>
      <c r="F182" s="25">
        <v>43710.709502314814</v>
      </c>
      <c r="G182">
        <v>1</v>
      </c>
      <c r="H182" s="25" t="s">
        <v>325</v>
      </c>
      <c r="I182" s="25"/>
      <c r="J182" s="25" t="s">
        <v>324</v>
      </c>
    </row>
    <row r="183" spans="1:10" x14ac:dyDescent="0.25">
      <c r="A183" s="4">
        <v>27261</v>
      </c>
      <c r="B183">
        <v>2216</v>
      </c>
      <c r="C183" s="4">
        <v>5644</v>
      </c>
      <c r="D183" t="s">
        <v>316</v>
      </c>
      <c r="E183" s="4">
        <v>0</v>
      </c>
      <c r="F183" s="25">
        <v>43710.700509259259</v>
      </c>
      <c r="G183">
        <v>0</v>
      </c>
      <c r="H183" s="25"/>
      <c r="I183" s="25"/>
      <c r="J183" s="25" t="s">
        <v>310</v>
      </c>
    </row>
    <row r="184" spans="1:10" x14ac:dyDescent="0.25">
      <c r="A184" s="4">
        <v>26448</v>
      </c>
      <c r="B184">
        <v>12896</v>
      </c>
      <c r="C184" s="4">
        <v>5644</v>
      </c>
      <c r="D184" t="s">
        <v>316</v>
      </c>
      <c r="E184" s="4">
        <v>0</v>
      </c>
      <c r="F184" s="25">
        <v>43710.697789351849</v>
      </c>
      <c r="G184">
        <v>0</v>
      </c>
      <c r="H184" s="25"/>
      <c r="I184" s="25"/>
      <c r="J184" s="25" t="s">
        <v>310</v>
      </c>
    </row>
    <row r="185" spans="1:10" x14ac:dyDescent="0.25">
      <c r="A185" s="4">
        <v>30</v>
      </c>
      <c r="B185">
        <v>3244</v>
      </c>
      <c r="C185" s="4">
        <v>5644</v>
      </c>
      <c r="D185" t="s">
        <v>7</v>
      </c>
      <c r="E185" s="4">
        <v>0</v>
      </c>
      <c r="F185" s="25">
        <v>43710.695243055554</v>
      </c>
      <c r="G185">
        <v>0</v>
      </c>
      <c r="H185" s="25"/>
      <c r="I185" s="25" t="s">
        <v>323</v>
      </c>
      <c r="J185" s="25" t="s">
        <v>322</v>
      </c>
    </row>
    <row r="186" spans="1:10" x14ac:dyDescent="0.25">
      <c r="A186" s="4">
        <v>30</v>
      </c>
      <c r="B186">
        <v>5644</v>
      </c>
      <c r="C186" s="4">
        <v>5644</v>
      </c>
      <c r="D186" t="s">
        <v>7</v>
      </c>
      <c r="E186" s="4">
        <v>0</v>
      </c>
      <c r="F186" s="25">
        <v>43710.690821759257</v>
      </c>
      <c r="G186">
        <v>1</v>
      </c>
      <c r="H186" s="25" t="s">
        <v>321</v>
      </c>
      <c r="I186" s="25"/>
      <c r="J186" s="25" t="s">
        <v>320</v>
      </c>
    </row>
    <row r="187" spans="1:10" x14ac:dyDescent="0.25">
      <c r="A187" s="4">
        <v>30</v>
      </c>
      <c r="B187">
        <v>2132</v>
      </c>
      <c r="C187" s="4">
        <v>12292</v>
      </c>
      <c r="D187" t="s">
        <v>7</v>
      </c>
      <c r="E187" s="4">
        <v>0</v>
      </c>
      <c r="F187" s="25">
        <v>43710.686180555553</v>
      </c>
      <c r="G187">
        <v>0</v>
      </c>
      <c r="H187" s="25"/>
      <c r="I187" s="25" t="s">
        <v>293</v>
      </c>
      <c r="J187" s="25" t="s">
        <v>313</v>
      </c>
    </row>
    <row r="188" spans="1:10" x14ac:dyDescent="0.25">
      <c r="A188" s="4">
        <v>30</v>
      </c>
      <c r="B188">
        <v>12292</v>
      </c>
      <c r="C188" s="4">
        <v>12292</v>
      </c>
      <c r="D188" t="s">
        <v>7</v>
      </c>
      <c r="E188" s="4">
        <v>0</v>
      </c>
      <c r="F188" s="25">
        <v>43710.685520833336</v>
      </c>
      <c r="G188">
        <v>1</v>
      </c>
      <c r="H188" s="25" t="s">
        <v>319</v>
      </c>
      <c r="I188" s="25"/>
      <c r="J188" s="25" t="s">
        <v>318</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E27" sqref="E27"/>
    </sheetView>
  </sheetViews>
  <sheetFormatPr defaultRowHeight="15" x14ac:dyDescent="0.25"/>
  <cols>
    <col min="1" max="1" width="10.5703125" customWidth="1"/>
    <col min="2" max="2" width="59" customWidth="1"/>
    <col min="3" max="4" width="61.85546875" customWidth="1"/>
    <col min="5" max="5" width="11.85546875" customWidth="1"/>
    <col min="6" max="8" width="61.85546875" customWidth="1"/>
    <col min="9" max="9" width="62" bestFit="1" customWidth="1"/>
  </cols>
  <sheetData>
    <row r="1" spans="1:5" x14ac:dyDescent="0.25">
      <c r="A1">
        <v>13172</v>
      </c>
    </row>
    <row r="2" spans="1:5" x14ac:dyDescent="0.25">
      <c r="A2">
        <v>3392</v>
      </c>
    </row>
    <row r="3" spans="1:5" x14ac:dyDescent="0.25">
      <c r="A3" t="s">
        <v>155</v>
      </c>
      <c r="B3" t="s">
        <v>156</v>
      </c>
      <c r="C3" t="s">
        <v>191</v>
      </c>
      <c r="D3" t="s">
        <v>192</v>
      </c>
      <c r="E3" t="s">
        <v>193</v>
      </c>
    </row>
    <row r="4" spans="1:5" hidden="1" x14ac:dyDescent="0.25">
      <c r="A4" t="s">
        <v>157</v>
      </c>
      <c r="B4" t="s">
        <v>173</v>
      </c>
      <c r="C4" t="s">
        <v>174</v>
      </c>
      <c r="D4" t="s">
        <v>174</v>
      </c>
    </row>
    <row r="5" spans="1:5" hidden="1" x14ac:dyDescent="0.25">
      <c r="A5" t="s">
        <v>157</v>
      </c>
      <c r="B5" t="s">
        <v>169</v>
      </c>
      <c r="C5" t="s">
        <v>170</v>
      </c>
      <c r="D5" t="s">
        <v>170</v>
      </c>
    </row>
    <row r="6" spans="1:5" hidden="1" x14ac:dyDescent="0.25">
      <c r="A6" t="s">
        <v>157</v>
      </c>
      <c r="B6" t="s">
        <v>171</v>
      </c>
      <c r="C6" t="s">
        <v>172</v>
      </c>
      <c r="D6" t="s">
        <v>172</v>
      </c>
    </row>
    <row r="7" spans="1:5" hidden="1" x14ac:dyDescent="0.25">
      <c r="A7" t="s">
        <v>157</v>
      </c>
      <c r="B7" t="s">
        <v>178</v>
      </c>
      <c r="C7" t="s">
        <v>174</v>
      </c>
      <c r="D7" t="s">
        <v>174</v>
      </c>
    </row>
    <row r="8" spans="1:5" hidden="1" x14ac:dyDescent="0.25">
      <c r="A8" t="s">
        <v>157</v>
      </c>
      <c r="B8" t="s">
        <v>175</v>
      </c>
      <c r="C8" t="s">
        <v>176</v>
      </c>
      <c r="D8" t="s">
        <v>176</v>
      </c>
    </row>
    <row r="9" spans="1:5" hidden="1" x14ac:dyDescent="0.25">
      <c r="A9" t="s">
        <v>157</v>
      </c>
      <c r="B9" t="s">
        <v>177</v>
      </c>
      <c r="C9" t="s">
        <v>172</v>
      </c>
      <c r="D9" t="s">
        <v>172</v>
      </c>
    </row>
    <row r="10" spans="1:5" hidden="1" x14ac:dyDescent="0.25">
      <c r="A10" t="s">
        <v>157</v>
      </c>
      <c r="B10" t="s">
        <v>182</v>
      </c>
      <c r="C10" t="s">
        <v>174</v>
      </c>
      <c r="D10" t="s">
        <v>174</v>
      </c>
    </row>
    <row r="11" spans="1:5" hidden="1" x14ac:dyDescent="0.25">
      <c r="A11" t="s">
        <v>157</v>
      </c>
      <c r="B11" t="s">
        <v>179</v>
      </c>
      <c r="C11" t="s">
        <v>180</v>
      </c>
      <c r="D11" t="s">
        <v>180</v>
      </c>
    </row>
    <row r="12" spans="1:5" hidden="1" x14ac:dyDescent="0.25">
      <c r="A12" t="s">
        <v>157</v>
      </c>
      <c r="B12" t="s">
        <v>181</v>
      </c>
      <c r="C12" t="s">
        <v>172</v>
      </c>
      <c r="D12" t="s">
        <v>172</v>
      </c>
    </row>
    <row r="13" spans="1:5" hidden="1" x14ac:dyDescent="0.25">
      <c r="A13" t="s">
        <v>157</v>
      </c>
      <c r="B13" t="s">
        <v>183</v>
      </c>
      <c r="C13" t="s">
        <v>184</v>
      </c>
      <c r="D13" t="s">
        <v>184</v>
      </c>
    </row>
    <row r="14" spans="1:5" hidden="1" x14ac:dyDescent="0.25">
      <c r="A14" t="s">
        <v>157</v>
      </c>
      <c r="B14" t="s">
        <v>162</v>
      </c>
      <c r="C14" t="s">
        <v>163</v>
      </c>
      <c r="D14" t="s">
        <v>163</v>
      </c>
    </row>
    <row r="15" spans="1:5" hidden="1" x14ac:dyDescent="0.25">
      <c r="A15" t="s">
        <v>157</v>
      </c>
      <c r="B15" t="s">
        <v>185</v>
      </c>
      <c r="C15" t="s">
        <v>186</v>
      </c>
      <c r="D15" t="s">
        <v>186</v>
      </c>
    </row>
    <row r="16" spans="1:5" hidden="1" x14ac:dyDescent="0.25">
      <c r="A16" t="s">
        <v>157</v>
      </c>
      <c r="B16" t="s">
        <v>158</v>
      </c>
      <c r="C16" t="s">
        <v>159</v>
      </c>
      <c r="D16" t="s">
        <v>159</v>
      </c>
    </row>
    <row r="17" spans="1:5" hidden="1" x14ac:dyDescent="0.25">
      <c r="A17" t="s">
        <v>157</v>
      </c>
      <c r="B17" t="s">
        <v>164</v>
      </c>
      <c r="C17" t="s">
        <v>165</v>
      </c>
      <c r="D17" t="s">
        <v>165</v>
      </c>
    </row>
    <row r="18" spans="1:5" hidden="1" x14ac:dyDescent="0.25">
      <c r="A18" t="s">
        <v>157</v>
      </c>
      <c r="B18" t="s">
        <v>166</v>
      </c>
      <c r="C18" t="s">
        <v>161</v>
      </c>
      <c r="D18" t="s">
        <v>161</v>
      </c>
    </row>
    <row r="19" spans="1:5" hidden="1" x14ac:dyDescent="0.25">
      <c r="A19" t="s">
        <v>157</v>
      </c>
      <c r="B19" t="s">
        <v>167</v>
      </c>
      <c r="C19" t="s">
        <v>168</v>
      </c>
      <c r="D19" t="s">
        <v>168</v>
      </c>
    </row>
    <row r="20" spans="1:5" hidden="1" x14ac:dyDescent="0.25">
      <c r="A20" t="s">
        <v>157</v>
      </c>
      <c r="B20" t="s">
        <v>160</v>
      </c>
      <c r="C20" t="s">
        <v>161</v>
      </c>
      <c r="D20" t="s">
        <v>161</v>
      </c>
    </row>
    <row r="21" spans="1:5" x14ac:dyDescent="0.25">
      <c r="A21" t="s">
        <v>194</v>
      </c>
      <c r="B21" t="s">
        <v>195</v>
      </c>
      <c r="C21" t="s">
        <v>196</v>
      </c>
      <c r="D21" t="s">
        <v>196</v>
      </c>
    </row>
    <row r="22" spans="1:5" x14ac:dyDescent="0.25">
      <c r="A22" t="s">
        <v>194</v>
      </c>
      <c r="B22" t="s">
        <v>197</v>
      </c>
      <c r="C22" t="s">
        <v>196</v>
      </c>
      <c r="D22" t="s">
        <v>196</v>
      </c>
    </row>
    <row r="23" spans="1:5" x14ac:dyDescent="0.25">
      <c r="A23" t="s">
        <v>194</v>
      </c>
      <c r="B23" t="s">
        <v>198</v>
      </c>
      <c r="C23" t="s">
        <v>199</v>
      </c>
      <c r="D23" t="s">
        <v>199</v>
      </c>
    </row>
    <row r="24" spans="1:5" x14ac:dyDescent="0.25">
      <c r="A24" t="s">
        <v>194</v>
      </c>
      <c r="B24" t="s">
        <v>200</v>
      </c>
      <c r="C24" t="s">
        <v>201</v>
      </c>
      <c r="D24" t="s">
        <v>201</v>
      </c>
    </row>
    <row r="25" spans="1:5" x14ac:dyDescent="0.25">
      <c r="A25" t="s">
        <v>194</v>
      </c>
      <c r="B25" t="s">
        <v>202</v>
      </c>
      <c r="C25" t="s">
        <v>184</v>
      </c>
      <c r="D25" t="s">
        <v>184</v>
      </c>
    </row>
    <row r="26" spans="1:5" x14ac:dyDescent="0.25">
      <c r="A26" t="s">
        <v>194</v>
      </c>
      <c r="B26" t="s">
        <v>204</v>
      </c>
      <c r="C26" t="s">
        <v>161</v>
      </c>
      <c r="D26" t="s">
        <v>161</v>
      </c>
    </row>
    <row r="27" spans="1:5" x14ac:dyDescent="0.25">
      <c r="A27" t="s">
        <v>194</v>
      </c>
      <c r="B27" t="s">
        <v>205</v>
      </c>
      <c r="C27" t="s">
        <v>168</v>
      </c>
      <c r="D27" t="s">
        <v>161</v>
      </c>
      <c r="E27" t="s">
        <v>203</v>
      </c>
    </row>
    <row r="28" spans="1:5" x14ac:dyDescent="0.25">
      <c r="A28" t="s">
        <v>194</v>
      </c>
      <c r="B28" t="s">
        <v>206</v>
      </c>
      <c r="C28" t="s">
        <v>207</v>
      </c>
      <c r="D28" t="s">
        <v>207</v>
      </c>
    </row>
    <row r="29" spans="1:5" x14ac:dyDescent="0.25">
      <c r="A29" t="s">
        <v>194</v>
      </c>
      <c r="B29" t="s">
        <v>208</v>
      </c>
      <c r="C29" t="s">
        <v>209</v>
      </c>
      <c r="D29" t="s">
        <v>209</v>
      </c>
    </row>
    <row r="30" spans="1:5" x14ac:dyDescent="0.25">
      <c r="A30" t="s">
        <v>194</v>
      </c>
      <c r="B30" t="s">
        <v>210</v>
      </c>
      <c r="C30" t="s">
        <v>211</v>
      </c>
      <c r="D30" t="s">
        <v>211</v>
      </c>
    </row>
    <row r="31" spans="1:5" x14ac:dyDescent="0.25">
      <c r="A31" t="s">
        <v>194</v>
      </c>
      <c r="B31" t="s">
        <v>212</v>
      </c>
      <c r="C31" t="s">
        <v>213</v>
      </c>
      <c r="D31" t="s">
        <v>213</v>
      </c>
    </row>
    <row r="32" spans="1:5" x14ac:dyDescent="0.25">
      <c r="A32" t="s">
        <v>194</v>
      </c>
      <c r="B32" t="s">
        <v>214</v>
      </c>
      <c r="C32" t="s">
        <v>215</v>
      </c>
      <c r="D32" t="s">
        <v>215</v>
      </c>
    </row>
    <row r="33" spans="1:4" x14ac:dyDescent="0.25">
      <c r="A33" t="s">
        <v>194</v>
      </c>
      <c r="B33" t="s">
        <v>216</v>
      </c>
      <c r="C33" t="s">
        <v>168</v>
      </c>
      <c r="D33" t="s">
        <v>168</v>
      </c>
    </row>
    <row r="34" spans="1:4" x14ac:dyDescent="0.25">
      <c r="A34" t="s">
        <v>194</v>
      </c>
      <c r="B34" t="s">
        <v>217</v>
      </c>
      <c r="C34" t="s">
        <v>161</v>
      </c>
      <c r="D34" t="s">
        <v>161</v>
      </c>
    </row>
    <row r="35" spans="1:4" x14ac:dyDescent="0.25">
      <c r="A35" t="s">
        <v>194</v>
      </c>
      <c r="B35" t="s">
        <v>218</v>
      </c>
      <c r="C35" t="s">
        <v>219</v>
      </c>
      <c r="D35" t="s">
        <v>219</v>
      </c>
    </row>
    <row r="36" spans="1:4" hidden="1" x14ac:dyDescent="0.25">
      <c r="A36" t="s">
        <v>194</v>
      </c>
      <c r="B36" t="s">
        <v>220</v>
      </c>
      <c r="C36" t="s">
        <v>221</v>
      </c>
      <c r="D36" t="s">
        <v>221</v>
      </c>
    </row>
    <row r="37" spans="1:4" hidden="1" x14ac:dyDescent="0.25">
      <c r="A37" t="s">
        <v>194</v>
      </c>
      <c r="B37" t="s">
        <v>222</v>
      </c>
      <c r="C37" t="s">
        <v>223</v>
      </c>
      <c r="D37" t="s">
        <v>223</v>
      </c>
    </row>
    <row r="38" spans="1:4" hidden="1" x14ac:dyDescent="0.25">
      <c r="A38" t="s">
        <v>194</v>
      </c>
      <c r="B38" t="s">
        <v>224</v>
      </c>
      <c r="C38" t="s">
        <v>225</v>
      </c>
      <c r="D38" t="s">
        <v>225</v>
      </c>
    </row>
    <row r="39" spans="1:4" hidden="1" x14ac:dyDescent="0.25">
      <c r="A39" t="s">
        <v>194</v>
      </c>
      <c r="B39" t="s">
        <v>226</v>
      </c>
      <c r="C39" t="s">
        <v>227</v>
      </c>
      <c r="D39" t="s">
        <v>227</v>
      </c>
    </row>
    <row r="40" spans="1:4" hidden="1" x14ac:dyDescent="0.25">
      <c r="A40" t="s">
        <v>194</v>
      </c>
      <c r="B40" t="s">
        <v>228</v>
      </c>
      <c r="C40" t="s">
        <v>229</v>
      </c>
      <c r="D40" t="s">
        <v>229</v>
      </c>
    </row>
    <row r="41" spans="1:4" hidden="1" x14ac:dyDescent="0.25">
      <c r="A41" t="s">
        <v>194</v>
      </c>
      <c r="B41" t="s">
        <v>230</v>
      </c>
      <c r="C41" t="s">
        <v>163</v>
      </c>
      <c r="D41" t="s">
        <v>163</v>
      </c>
    </row>
    <row r="42" spans="1:4" hidden="1" x14ac:dyDescent="0.25">
      <c r="A42" t="s">
        <v>194</v>
      </c>
      <c r="B42" t="s">
        <v>231</v>
      </c>
      <c r="C42" t="s">
        <v>186</v>
      </c>
      <c r="D42" t="s">
        <v>186</v>
      </c>
    </row>
    <row r="43" spans="1:4" hidden="1" x14ac:dyDescent="0.25">
      <c r="A43" t="s">
        <v>194</v>
      </c>
      <c r="B43" t="s">
        <v>232</v>
      </c>
      <c r="C43" t="s">
        <v>159</v>
      </c>
      <c r="D43" t="s">
        <v>159</v>
      </c>
    </row>
    <row r="44" spans="1:4" hidden="1" x14ac:dyDescent="0.25">
      <c r="A44" t="s">
        <v>194</v>
      </c>
      <c r="B44" t="s">
        <v>233</v>
      </c>
      <c r="C44" t="s">
        <v>165</v>
      </c>
      <c r="D44" t="s">
        <v>165</v>
      </c>
    </row>
    <row r="45" spans="1:4" hidden="1" x14ac:dyDescent="0.25">
      <c r="A45" t="s">
        <v>194</v>
      </c>
      <c r="B45" t="s">
        <v>234</v>
      </c>
      <c r="C45" t="s">
        <v>161</v>
      </c>
      <c r="D45" t="s">
        <v>161</v>
      </c>
    </row>
    <row r="46" spans="1:4" hidden="1" x14ac:dyDescent="0.25">
      <c r="A46" t="s">
        <v>194</v>
      </c>
      <c r="B46" t="s">
        <v>235</v>
      </c>
      <c r="C46" t="s">
        <v>161</v>
      </c>
      <c r="D46" t="s">
        <v>161</v>
      </c>
    </row>
    <row r="47" spans="1:4" hidden="1" x14ac:dyDescent="0.25">
      <c r="A47" t="s">
        <v>194</v>
      </c>
      <c r="B47" t="s">
        <v>236</v>
      </c>
      <c r="C47" t="s">
        <v>161</v>
      </c>
      <c r="D47" t="s">
        <v>161</v>
      </c>
    </row>
    <row r="48" spans="1:4" hidden="1" x14ac:dyDescent="0.25">
      <c r="A48" t="s">
        <v>194</v>
      </c>
      <c r="B48" t="s">
        <v>237</v>
      </c>
      <c r="C48" t="s">
        <v>161</v>
      </c>
      <c r="D48" t="s">
        <v>161</v>
      </c>
    </row>
    <row r="49" spans="1:4" hidden="1" x14ac:dyDescent="0.25">
      <c r="A49" t="s">
        <v>194</v>
      </c>
      <c r="B49" t="s">
        <v>238</v>
      </c>
      <c r="C49" t="s">
        <v>161</v>
      </c>
      <c r="D49" t="s">
        <v>161</v>
      </c>
    </row>
    <row r="50" spans="1:4" hidden="1" x14ac:dyDescent="0.25">
      <c r="A50" t="s">
        <v>194</v>
      </c>
      <c r="B50" t="s">
        <v>239</v>
      </c>
      <c r="C50" t="s">
        <v>168</v>
      </c>
      <c r="D50" t="s">
        <v>168</v>
      </c>
    </row>
    <row r="51" spans="1:4" x14ac:dyDescent="0.25">
      <c r="A51" t="s">
        <v>194</v>
      </c>
      <c r="B51" t="s">
        <v>240</v>
      </c>
      <c r="C51" t="s">
        <v>184</v>
      </c>
      <c r="D51" t="s">
        <v>184</v>
      </c>
    </row>
    <row r="52" spans="1:4" hidden="1" x14ac:dyDescent="0.25">
      <c r="A52" t="s">
        <v>194</v>
      </c>
      <c r="B52" t="s">
        <v>241</v>
      </c>
      <c r="C52" t="s">
        <v>163</v>
      </c>
      <c r="D52" t="s">
        <v>163</v>
      </c>
    </row>
    <row r="53" spans="1:4" hidden="1" x14ac:dyDescent="0.25">
      <c r="A53" t="s">
        <v>194</v>
      </c>
      <c r="B53" t="s">
        <v>242</v>
      </c>
      <c r="C53" t="s">
        <v>186</v>
      </c>
      <c r="D53" t="s">
        <v>186</v>
      </c>
    </row>
    <row r="54" spans="1:4" hidden="1" x14ac:dyDescent="0.25">
      <c r="A54" t="s">
        <v>194</v>
      </c>
      <c r="B54" t="s">
        <v>243</v>
      </c>
      <c r="C54" t="s">
        <v>159</v>
      </c>
      <c r="D54" t="s">
        <v>159</v>
      </c>
    </row>
    <row r="55" spans="1:4" hidden="1" x14ac:dyDescent="0.25">
      <c r="A55" t="s">
        <v>194</v>
      </c>
      <c r="B55" t="s">
        <v>244</v>
      </c>
      <c r="C55" t="s">
        <v>165</v>
      </c>
      <c r="D55" t="s">
        <v>165</v>
      </c>
    </row>
    <row r="56" spans="1:4" hidden="1" x14ac:dyDescent="0.25">
      <c r="A56" t="s">
        <v>194</v>
      </c>
      <c r="B56" t="s">
        <v>245</v>
      </c>
      <c r="C56" t="s">
        <v>161</v>
      </c>
      <c r="D56" t="s">
        <v>161</v>
      </c>
    </row>
    <row r="57" spans="1:4" hidden="1" x14ac:dyDescent="0.25">
      <c r="A57" t="s">
        <v>194</v>
      </c>
      <c r="B57" t="s">
        <v>246</v>
      </c>
      <c r="C57" t="s">
        <v>168</v>
      </c>
      <c r="D57" t="s">
        <v>168</v>
      </c>
    </row>
    <row r="58" spans="1:4" x14ac:dyDescent="0.25">
      <c r="A58" t="s">
        <v>194</v>
      </c>
      <c r="B58" t="s">
        <v>247</v>
      </c>
      <c r="C58" t="s">
        <v>248</v>
      </c>
      <c r="D58" t="s">
        <v>248</v>
      </c>
    </row>
    <row r="59" spans="1:4" x14ac:dyDescent="0.25">
      <c r="A59" t="s">
        <v>249</v>
      </c>
      <c r="B59" t="s">
        <v>250</v>
      </c>
      <c r="C59" t="s">
        <v>251</v>
      </c>
      <c r="D59" t="s">
        <v>251</v>
      </c>
    </row>
    <row r="60" spans="1:4" x14ac:dyDescent="0.25">
      <c r="A60" t="s">
        <v>249</v>
      </c>
      <c r="B60" t="s">
        <v>252</v>
      </c>
      <c r="C60" t="s">
        <v>168</v>
      </c>
      <c r="D60" t="s">
        <v>168</v>
      </c>
    </row>
    <row r="61" spans="1:4" x14ac:dyDescent="0.25">
      <c r="A61" t="s">
        <v>249</v>
      </c>
      <c r="B61" t="s">
        <v>253</v>
      </c>
      <c r="C61" t="s">
        <v>254</v>
      </c>
      <c r="D61" t="s">
        <v>254</v>
      </c>
    </row>
    <row r="62" spans="1:4" hidden="1" x14ac:dyDescent="0.25">
      <c r="A62" t="s">
        <v>249</v>
      </c>
      <c r="B62" t="s">
        <v>255</v>
      </c>
      <c r="C62" t="s">
        <v>256</v>
      </c>
      <c r="D62" t="s">
        <v>256</v>
      </c>
    </row>
    <row r="63" spans="1:4" hidden="1" x14ac:dyDescent="0.25">
      <c r="A63" t="s">
        <v>249</v>
      </c>
      <c r="B63" t="s">
        <v>257</v>
      </c>
      <c r="C63" t="s">
        <v>221</v>
      </c>
      <c r="D63" t="s">
        <v>221</v>
      </c>
    </row>
    <row r="64" spans="1:4" hidden="1" x14ac:dyDescent="0.25">
      <c r="A64" t="s">
        <v>249</v>
      </c>
      <c r="B64" t="s">
        <v>258</v>
      </c>
      <c r="C64" t="s">
        <v>223</v>
      </c>
      <c r="D64" t="s">
        <v>223</v>
      </c>
    </row>
    <row r="65" spans="1:4" hidden="1" x14ac:dyDescent="0.25">
      <c r="A65" t="s">
        <v>249</v>
      </c>
      <c r="B65" t="s">
        <v>259</v>
      </c>
      <c r="C65" t="s">
        <v>225</v>
      </c>
      <c r="D65" t="s">
        <v>225</v>
      </c>
    </row>
    <row r="66" spans="1:4" hidden="1" x14ac:dyDescent="0.25">
      <c r="A66" t="s">
        <v>249</v>
      </c>
      <c r="B66" t="s">
        <v>260</v>
      </c>
      <c r="C66" t="s">
        <v>227</v>
      </c>
      <c r="D66" t="s">
        <v>227</v>
      </c>
    </row>
    <row r="67" spans="1:4" hidden="1" x14ac:dyDescent="0.25">
      <c r="A67" t="s">
        <v>249</v>
      </c>
      <c r="B67" t="s">
        <v>261</v>
      </c>
      <c r="C67" t="s">
        <v>229</v>
      </c>
      <c r="D67" t="s">
        <v>229</v>
      </c>
    </row>
    <row r="68" spans="1:4" hidden="1" x14ac:dyDescent="0.25">
      <c r="A68" t="s">
        <v>249</v>
      </c>
      <c r="B68" t="s">
        <v>262</v>
      </c>
      <c r="C68" t="s">
        <v>163</v>
      </c>
      <c r="D68" t="s">
        <v>163</v>
      </c>
    </row>
    <row r="69" spans="1:4" hidden="1" x14ac:dyDescent="0.25">
      <c r="A69" t="s">
        <v>249</v>
      </c>
      <c r="B69" t="s">
        <v>263</v>
      </c>
      <c r="C69" t="s">
        <v>186</v>
      </c>
      <c r="D69" t="s">
        <v>186</v>
      </c>
    </row>
    <row r="70" spans="1:4" hidden="1" x14ac:dyDescent="0.25">
      <c r="A70" t="s">
        <v>249</v>
      </c>
      <c r="B70" t="s">
        <v>264</v>
      </c>
      <c r="C70" t="s">
        <v>159</v>
      </c>
      <c r="D70" t="s">
        <v>159</v>
      </c>
    </row>
    <row r="71" spans="1:4" hidden="1" x14ac:dyDescent="0.25">
      <c r="A71" t="s">
        <v>249</v>
      </c>
      <c r="B71" t="s">
        <v>265</v>
      </c>
      <c r="C71" t="s">
        <v>165</v>
      </c>
      <c r="D71" t="s">
        <v>165</v>
      </c>
    </row>
    <row r="72" spans="1:4" hidden="1" x14ac:dyDescent="0.25">
      <c r="A72" t="s">
        <v>249</v>
      </c>
      <c r="B72" t="s">
        <v>266</v>
      </c>
      <c r="C72" t="s">
        <v>161</v>
      </c>
      <c r="D72" t="s">
        <v>161</v>
      </c>
    </row>
    <row r="73" spans="1:4" hidden="1" x14ac:dyDescent="0.25">
      <c r="A73" t="s">
        <v>249</v>
      </c>
      <c r="B73" t="s">
        <v>267</v>
      </c>
      <c r="C73" t="s">
        <v>168</v>
      </c>
      <c r="D73" t="s">
        <v>168</v>
      </c>
    </row>
    <row r="74" spans="1:4" hidden="1" x14ac:dyDescent="0.25">
      <c r="A74" t="s">
        <v>249</v>
      </c>
      <c r="B74" t="s">
        <v>268</v>
      </c>
      <c r="C74" t="s">
        <v>161</v>
      </c>
      <c r="D74" t="s">
        <v>161</v>
      </c>
    </row>
    <row r="75" spans="1:4" hidden="1" x14ac:dyDescent="0.25">
      <c r="A75" t="s">
        <v>249</v>
      </c>
      <c r="B75" t="s">
        <v>269</v>
      </c>
      <c r="C75" t="s">
        <v>161</v>
      </c>
      <c r="D75" t="s">
        <v>161</v>
      </c>
    </row>
    <row r="76" spans="1:4" hidden="1" x14ac:dyDescent="0.25">
      <c r="A76" t="s">
        <v>249</v>
      </c>
      <c r="B76" t="s">
        <v>270</v>
      </c>
      <c r="C76" t="s">
        <v>161</v>
      </c>
      <c r="D76" t="s">
        <v>161</v>
      </c>
    </row>
    <row r="77" spans="1:4" hidden="1" x14ac:dyDescent="0.25">
      <c r="A77" t="s">
        <v>249</v>
      </c>
      <c r="B77" t="s">
        <v>271</v>
      </c>
      <c r="C77" t="s">
        <v>168</v>
      </c>
      <c r="D77" t="s">
        <v>168</v>
      </c>
    </row>
    <row r="78" spans="1:4" x14ac:dyDescent="0.25">
      <c r="A78" t="s">
        <v>249</v>
      </c>
      <c r="B78" t="s">
        <v>272</v>
      </c>
      <c r="C78" t="s">
        <v>215</v>
      </c>
      <c r="D78" t="s">
        <v>215</v>
      </c>
    </row>
    <row r="79" spans="1:4" x14ac:dyDescent="0.25">
      <c r="A79" t="s">
        <v>249</v>
      </c>
      <c r="B79" t="s">
        <v>273</v>
      </c>
      <c r="C79" t="s">
        <v>274</v>
      </c>
      <c r="D79" t="s">
        <v>274</v>
      </c>
    </row>
    <row r="80" spans="1:4" x14ac:dyDescent="0.25">
      <c r="A80" t="s">
        <v>249</v>
      </c>
      <c r="B80" t="s">
        <v>275</v>
      </c>
      <c r="C80" t="s">
        <v>163</v>
      </c>
      <c r="D80" t="s">
        <v>163</v>
      </c>
    </row>
    <row r="81" spans="1:4" x14ac:dyDescent="0.25">
      <c r="A81" t="s">
        <v>249</v>
      </c>
      <c r="B81" t="s">
        <v>276</v>
      </c>
      <c r="C81" t="s">
        <v>277</v>
      </c>
      <c r="D81" t="s">
        <v>277</v>
      </c>
    </row>
    <row r="82" spans="1:4" x14ac:dyDescent="0.25">
      <c r="A82" t="s">
        <v>249</v>
      </c>
      <c r="B82" t="s">
        <v>278</v>
      </c>
      <c r="C82" t="s">
        <v>279</v>
      </c>
      <c r="D82" t="s">
        <v>279</v>
      </c>
    </row>
    <row r="83" spans="1:4" x14ac:dyDescent="0.25">
      <c r="A83" t="s">
        <v>249</v>
      </c>
      <c r="B83" t="s">
        <v>280</v>
      </c>
      <c r="C83" t="s">
        <v>168</v>
      </c>
      <c r="D83" t="s">
        <v>168</v>
      </c>
    </row>
    <row r="84" spans="1:4" x14ac:dyDescent="0.25">
      <c r="A84" t="s">
        <v>249</v>
      </c>
      <c r="B84" t="s">
        <v>281</v>
      </c>
      <c r="C84" t="s">
        <v>170</v>
      </c>
      <c r="D84" t="s">
        <v>170</v>
      </c>
    </row>
    <row r="85" spans="1:4" x14ac:dyDescent="0.25">
      <c r="A85" t="s">
        <v>249</v>
      </c>
      <c r="B85" t="s">
        <v>282</v>
      </c>
      <c r="C85" t="s">
        <v>172</v>
      </c>
      <c r="D85" t="s">
        <v>172</v>
      </c>
    </row>
    <row r="86" spans="1:4" x14ac:dyDescent="0.25">
      <c r="A86" t="s">
        <v>249</v>
      </c>
      <c r="B86" t="s">
        <v>283</v>
      </c>
      <c r="C86" t="s">
        <v>174</v>
      </c>
      <c r="D86" t="s">
        <v>174</v>
      </c>
    </row>
    <row r="87" spans="1:4" x14ac:dyDescent="0.25">
      <c r="A87" t="s">
        <v>249</v>
      </c>
      <c r="B87" t="s">
        <v>284</v>
      </c>
      <c r="C87" t="s">
        <v>184</v>
      </c>
      <c r="D87" t="s">
        <v>184</v>
      </c>
    </row>
    <row r="88" spans="1:4" x14ac:dyDescent="0.25">
      <c r="A88" t="s">
        <v>249</v>
      </c>
      <c r="B88" t="s">
        <v>285</v>
      </c>
      <c r="C88" t="s">
        <v>286</v>
      </c>
      <c r="D88" t="s">
        <v>286</v>
      </c>
    </row>
    <row r="89" spans="1:4" x14ac:dyDescent="0.25">
      <c r="A89" t="s">
        <v>249</v>
      </c>
      <c r="B89" t="s">
        <v>287</v>
      </c>
      <c r="C89" t="s">
        <v>288</v>
      </c>
      <c r="D89" t="s">
        <v>288</v>
      </c>
    </row>
    <row r="90" spans="1:4" x14ac:dyDescent="0.25">
      <c r="A90" t="s">
        <v>249</v>
      </c>
      <c r="B90" t="s">
        <v>289</v>
      </c>
      <c r="C90" t="s">
        <v>168</v>
      </c>
      <c r="D90" t="s">
        <v>168</v>
      </c>
    </row>
    <row r="91" spans="1:4" x14ac:dyDescent="0.25">
      <c r="A91" t="s">
        <v>249</v>
      </c>
      <c r="B91" t="s">
        <v>290</v>
      </c>
      <c r="C91" t="s">
        <v>254</v>
      </c>
      <c r="D91" t="s">
        <v>254</v>
      </c>
    </row>
    <row r="92" spans="1:4" x14ac:dyDescent="0.25">
      <c r="A92" t="s">
        <v>249</v>
      </c>
      <c r="B92" t="s">
        <v>291</v>
      </c>
      <c r="C92" t="s">
        <v>292</v>
      </c>
      <c r="D92" t="s">
        <v>292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1"/>
  <sheetViews>
    <sheetView workbookViewId="0"/>
  </sheetViews>
  <sheetFormatPr defaultRowHeight="15" x14ac:dyDescent="0.25"/>
  <cols>
    <col min="1" max="1" width="12.7109375" bestFit="1" customWidth="1"/>
    <col min="2" max="2" width="13.7109375" bestFit="1" customWidth="1"/>
    <col min="3" max="3" width="12.42578125" bestFit="1" customWidth="1"/>
    <col min="4" max="4" width="14.140625" bestFit="1" customWidth="1"/>
    <col min="5" max="5" width="8.42578125" bestFit="1" customWidth="1"/>
    <col min="6" max="6" width="13.42578125" bestFit="1" customWidth="1"/>
    <col min="7" max="7" width="15.7109375" bestFit="1" customWidth="1"/>
    <col min="8" max="10" width="11.28515625" bestFit="1" customWidth="1"/>
    <col min="11" max="11" width="13.5703125" bestFit="1" customWidth="1"/>
    <col min="12" max="12" width="24.42578125" bestFit="1" customWidth="1"/>
    <col min="13" max="13" width="20.28515625" bestFit="1" customWidth="1"/>
    <col min="14" max="14" width="19.5703125" bestFit="1" customWidth="1"/>
    <col min="15" max="15" width="16.140625" bestFit="1" customWidth="1"/>
  </cols>
  <sheetData>
    <row r="1" spans="1:15" x14ac:dyDescent="0.25">
      <c r="A1" t="s">
        <v>3</v>
      </c>
      <c r="B1" t="s">
        <v>103</v>
      </c>
      <c r="C1" t="s">
        <v>104</v>
      </c>
      <c r="D1" t="s">
        <v>105</v>
      </c>
      <c r="E1" t="s">
        <v>106</v>
      </c>
      <c r="F1" t="s">
        <v>107</v>
      </c>
      <c r="G1" t="s">
        <v>108</v>
      </c>
      <c r="H1" t="s">
        <v>109</v>
      </c>
      <c r="I1" t="s">
        <v>110</v>
      </c>
      <c r="J1" t="s">
        <v>111</v>
      </c>
      <c r="K1" t="s">
        <v>112</v>
      </c>
      <c r="L1" t="s">
        <v>113</v>
      </c>
      <c r="M1" t="s">
        <v>142</v>
      </c>
      <c r="N1" t="s">
        <v>125</v>
      </c>
      <c r="O1" t="s">
        <v>143</v>
      </c>
    </row>
    <row r="2" spans="1:15" hidden="1" x14ac:dyDescent="0.25">
      <c r="A2">
        <v>1252</v>
      </c>
      <c r="B2">
        <v>5002</v>
      </c>
      <c r="C2" t="s">
        <v>188</v>
      </c>
      <c r="D2">
        <v>50</v>
      </c>
      <c r="F2">
        <v>100</v>
      </c>
      <c r="G2" t="s">
        <v>145</v>
      </c>
      <c r="K2" t="s">
        <v>114</v>
      </c>
      <c r="L2" t="s">
        <v>115</v>
      </c>
      <c r="M2" t="s">
        <v>146</v>
      </c>
      <c r="O2" t="s">
        <v>146</v>
      </c>
    </row>
    <row r="3" spans="1:15" hidden="1" x14ac:dyDescent="0.25">
      <c r="A3">
        <v>1936</v>
      </c>
      <c r="B3">
        <v>25052</v>
      </c>
      <c r="C3" t="s">
        <v>189</v>
      </c>
      <c r="D3">
        <v>50</v>
      </c>
      <c r="F3">
        <v>50</v>
      </c>
      <c r="G3" t="s">
        <v>145</v>
      </c>
      <c r="K3" t="s">
        <v>114</v>
      </c>
      <c r="L3" t="s">
        <v>115</v>
      </c>
      <c r="M3" t="s">
        <v>146</v>
      </c>
      <c r="O3" t="s">
        <v>146</v>
      </c>
    </row>
    <row r="4" spans="1:15" hidden="1" x14ac:dyDescent="0.25">
      <c r="A4">
        <v>3068</v>
      </c>
      <c r="B4">
        <v>5002</v>
      </c>
      <c r="C4" t="s">
        <v>189</v>
      </c>
      <c r="D4">
        <v>50</v>
      </c>
      <c r="F4">
        <v>20</v>
      </c>
      <c r="G4" t="s">
        <v>145</v>
      </c>
      <c r="K4" t="s">
        <v>114</v>
      </c>
      <c r="L4" t="s">
        <v>115</v>
      </c>
      <c r="M4" t="s">
        <v>147</v>
      </c>
      <c r="O4" t="s">
        <v>147</v>
      </c>
    </row>
    <row r="5" spans="1:15" hidden="1" x14ac:dyDescent="0.25">
      <c r="A5">
        <v>3140</v>
      </c>
      <c r="B5">
        <v>5002</v>
      </c>
      <c r="C5" t="s">
        <v>189</v>
      </c>
      <c r="D5">
        <v>50</v>
      </c>
      <c r="F5">
        <v>20</v>
      </c>
      <c r="G5" t="s">
        <v>145</v>
      </c>
      <c r="K5" t="s">
        <v>114</v>
      </c>
      <c r="L5" t="s">
        <v>115</v>
      </c>
      <c r="M5" t="s">
        <v>146</v>
      </c>
      <c r="O5" t="s">
        <v>147</v>
      </c>
    </row>
    <row r="6" spans="1:15" hidden="1" x14ac:dyDescent="0.25">
      <c r="A6">
        <v>3816</v>
      </c>
      <c r="B6">
        <v>5002</v>
      </c>
      <c r="C6" t="s">
        <v>189</v>
      </c>
      <c r="D6">
        <v>50</v>
      </c>
      <c r="F6">
        <v>20</v>
      </c>
      <c r="G6" t="s">
        <v>145</v>
      </c>
      <c r="K6" t="s">
        <v>114</v>
      </c>
      <c r="L6" t="s">
        <v>115</v>
      </c>
      <c r="M6" t="s">
        <v>146</v>
      </c>
      <c r="O6" t="s">
        <v>147</v>
      </c>
    </row>
    <row r="7" spans="1:15" hidden="1" x14ac:dyDescent="0.25">
      <c r="A7">
        <v>4052</v>
      </c>
      <c r="B7">
        <v>25022</v>
      </c>
      <c r="C7" t="s">
        <v>189</v>
      </c>
      <c r="D7">
        <v>500</v>
      </c>
      <c r="F7">
        <v>20</v>
      </c>
      <c r="G7" t="s">
        <v>145</v>
      </c>
      <c r="K7" t="s">
        <v>114</v>
      </c>
      <c r="L7" t="s">
        <v>115</v>
      </c>
      <c r="M7" t="s">
        <v>146</v>
      </c>
      <c r="O7" t="s">
        <v>146</v>
      </c>
    </row>
    <row r="8" spans="1:15" hidden="1" x14ac:dyDescent="0.25">
      <c r="A8">
        <v>4100</v>
      </c>
      <c r="B8">
        <v>25052</v>
      </c>
      <c r="C8" t="s">
        <v>189</v>
      </c>
      <c r="D8">
        <v>500</v>
      </c>
      <c r="F8">
        <v>50</v>
      </c>
      <c r="G8" t="s">
        <v>145</v>
      </c>
      <c r="K8" t="s">
        <v>114</v>
      </c>
      <c r="L8" t="s">
        <v>115</v>
      </c>
      <c r="M8" t="s">
        <v>146</v>
      </c>
      <c r="O8" t="s">
        <v>146</v>
      </c>
    </row>
    <row r="9" spans="1:15" hidden="1" x14ac:dyDescent="0.25">
      <c r="A9">
        <v>5704</v>
      </c>
      <c r="B9">
        <v>25052</v>
      </c>
      <c r="C9" t="s">
        <v>189</v>
      </c>
      <c r="D9">
        <v>500</v>
      </c>
      <c r="F9">
        <v>50</v>
      </c>
      <c r="G9" t="s">
        <v>145</v>
      </c>
      <c r="K9" t="s">
        <v>114</v>
      </c>
      <c r="L9" t="s">
        <v>115</v>
      </c>
      <c r="M9" t="s">
        <v>146</v>
      </c>
      <c r="O9" t="s">
        <v>146</v>
      </c>
    </row>
    <row r="10" spans="1:15" hidden="1" x14ac:dyDescent="0.25">
      <c r="A10">
        <v>5752</v>
      </c>
      <c r="B10">
        <v>5002</v>
      </c>
      <c r="C10" t="s">
        <v>189</v>
      </c>
      <c r="D10">
        <v>50</v>
      </c>
      <c r="F10">
        <v>20</v>
      </c>
      <c r="G10" t="s">
        <v>145</v>
      </c>
      <c r="K10" t="s">
        <v>114</v>
      </c>
      <c r="L10" t="s">
        <v>115</v>
      </c>
      <c r="M10" t="s">
        <v>147</v>
      </c>
      <c r="O10" t="s">
        <v>147</v>
      </c>
    </row>
    <row r="11" spans="1:15" hidden="1" x14ac:dyDescent="0.25">
      <c r="A11">
        <v>6168</v>
      </c>
      <c r="B11">
        <v>15052</v>
      </c>
      <c r="C11" t="s">
        <v>189</v>
      </c>
      <c r="D11">
        <v>50</v>
      </c>
      <c r="F11">
        <v>50</v>
      </c>
      <c r="G11" t="s">
        <v>145</v>
      </c>
      <c r="K11" t="s">
        <v>114</v>
      </c>
      <c r="L11" t="s">
        <v>115</v>
      </c>
      <c r="M11" t="s">
        <v>146</v>
      </c>
      <c r="O11" t="s">
        <v>146</v>
      </c>
    </row>
    <row r="12" spans="1:15" hidden="1" x14ac:dyDescent="0.25">
      <c r="A12">
        <v>6792</v>
      </c>
      <c r="B12">
        <v>15022</v>
      </c>
      <c r="C12" t="s">
        <v>189</v>
      </c>
      <c r="D12">
        <v>50</v>
      </c>
      <c r="F12">
        <v>20</v>
      </c>
      <c r="G12" t="s">
        <v>145</v>
      </c>
      <c r="K12" t="s">
        <v>114</v>
      </c>
      <c r="L12" t="s">
        <v>115</v>
      </c>
      <c r="M12" t="s">
        <v>146</v>
      </c>
      <c r="O12" t="s">
        <v>146</v>
      </c>
    </row>
    <row r="13" spans="1:15" hidden="1" x14ac:dyDescent="0.25">
      <c r="A13">
        <v>7156</v>
      </c>
      <c r="B13">
        <v>25052</v>
      </c>
      <c r="C13" t="s">
        <v>189</v>
      </c>
      <c r="D13">
        <v>50</v>
      </c>
      <c r="F13">
        <v>50</v>
      </c>
      <c r="G13" t="s">
        <v>145</v>
      </c>
      <c r="K13" t="s">
        <v>114</v>
      </c>
      <c r="L13" t="s">
        <v>115</v>
      </c>
      <c r="M13" t="s">
        <v>146</v>
      </c>
      <c r="O13" t="s">
        <v>146</v>
      </c>
    </row>
    <row r="14" spans="1:15" hidden="1" x14ac:dyDescent="0.25">
      <c r="A14">
        <v>7192</v>
      </c>
      <c r="B14">
        <v>5002</v>
      </c>
      <c r="C14" t="s">
        <v>189</v>
      </c>
      <c r="D14">
        <v>50</v>
      </c>
      <c r="F14">
        <v>10</v>
      </c>
      <c r="G14" t="s">
        <v>145</v>
      </c>
      <c r="K14" t="s">
        <v>114</v>
      </c>
      <c r="L14" t="s">
        <v>115</v>
      </c>
      <c r="M14" t="s">
        <v>146</v>
      </c>
      <c r="O14" t="s">
        <v>147</v>
      </c>
    </row>
    <row r="15" spans="1:15" x14ac:dyDescent="0.25">
      <c r="A15">
        <v>7232</v>
      </c>
      <c r="B15">
        <v>5002</v>
      </c>
      <c r="C15" t="s">
        <v>144</v>
      </c>
      <c r="D15">
        <v>50</v>
      </c>
      <c r="F15">
        <v>100</v>
      </c>
      <c r="G15" t="s">
        <v>145</v>
      </c>
      <c r="K15" t="s">
        <v>114</v>
      </c>
      <c r="L15" t="s">
        <v>115</v>
      </c>
      <c r="M15" t="s">
        <v>146</v>
      </c>
      <c r="O15" t="s">
        <v>146</v>
      </c>
    </row>
    <row r="16" spans="1:15" hidden="1" x14ac:dyDescent="0.25">
      <c r="A16">
        <v>7268</v>
      </c>
      <c r="B16">
        <v>5002</v>
      </c>
      <c r="C16" t="s">
        <v>189</v>
      </c>
      <c r="D16">
        <v>50</v>
      </c>
      <c r="F16">
        <v>20</v>
      </c>
      <c r="G16" t="s">
        <v>145</v>
      </c>
      <c r="K16" t="s">
        <v>114</v>
      </c>
      <c r="L16" t="s">
        <v>115</v>
      </c>
      <c r="M16" t="s">
        <v>146</v>
      </c>
      <c r="O16" t="s">
        <v>147</v>
      </c>
    </row>
    <row r="17" spans="1:15" hidden="1" x14ac:dyDescent="0.25">
      <c r="A17">
        <v>7472</v>
      </c>
      <c r="B17">
        <v>5002</v>
      </c>
      <c r="C17" t="s">
        <v>189</v>
      </c>
      <c r="D17">
        <v>50</v>
      </c>
      <c r="F17">
        <v>20</v>
      </c>
      <c r="G17" t="s">
        <v>145</v>
      </c>
      <c r="K17" t="s">
        <v>114</v>
      </c>
      <c r="L17" t="s">
        <v>115</v>
      </c>
      <c r="M17" t="s">
        <v>146</v>
      </c>
      <c r="O17" t="s">
        <v>147</v>
      </c>
    </row>
    <row r="18" spans="1:15" hidden="1" x14ac:dyDescent="0.25">
      <c r="A18">
        <v>7628</v>
      </c>
      <c r="B18">
        <v>15052</v>
      </c>
      <c r="C18" t="s">
        <v>189</v>
      </c>
      <c r="D18">
        <v>50</v>
      </c>
      <c r="F18">
        <v>50</v>
      </c>
      <c r="G18" t="s">
        <v>145</v>
      </c>
      <c r="K18" t="s">
        <v>114</v>
      </c>
      <c r="L18" t="s">
        <v>115</v>
      </c>
      <c r="M18" t="s">
        <v>146</v>
      </c>
      <c r="O18" t="s">
        <v>146</v>
      </c>
    </row>
    <row r="19" spans="1:15" hidden="1" x14ac:dyDescent="0.25">
      <c r="A19">
        <v>8244</v>
      </c>
      <c r="B19">
        <v>5012</v>
      </c>
      <c r="C19" t="s">
        <v>189</v>
      </c>
      <c r="D19">
        <v>50</v>
      </c>
      <c r="F19">
        <v>10</v>
      </c>
      <c r="G19" t="s">
        <v>145</v>
      </c>
      <c r="K19" t="s">
        <v>114</v>
      </c>
      <c r="L19" t="s">
        <v>115</v>
      </c>
      <c r="M19" t="s">
        <v>146</v>
      </c>
      <c r="O19" t="s">
        <v>146</v>
      </c>
    </row>
    <row r="20" spans="1:15" hidden="1" x14ac:dyDescent="0.25">
      <c r="A20">
        <v>8372</v>
      </c>
      <c r="B20">
        <v>25022</v>
      </c>
      <c r="C20" t="s">
        <v>189</v>
      </c>
      <c r="D20">
        <v>50</v>
      </c>
      <c r="F20">
        <v>20</v>
      </c>
      <c r="G20" t="s">
        <v>145</v>
      </c>
      <c r="K20" t="s">
        <v>114</v>
      </c>
      <c r="L20" t="s">
        <v>115</v>
      </c>
      <c r="M20" t="s">
        <v>146</v>
      </c>
      <c r="O20" t="s">
        <v>146</v>
      </c>
    </row>
    <row r="21" spans="1:15" hidden="1" x14ac:dyDescent="0.25">
      <c r="A21">
        <v>9056</v>
      </c>
      <c r="B21">
        <v>5002</v>
      </c>
      <c r="C21" t="s">
        <v>189</v>
      </c>
      <c r="D21">
        <v>50</v>
      </c>
      <c r="F21">
        <v>20</v>
      </c>
      <c r="G21" t="s">
        <v>145</v>
      </c>
      <c r="K21" t="s">
        <v>114</v>
      </c>
      <c r="L21" t="s">
        <v>115</v>
      </c>
      <c r="M21" t="s">
        <v>147</v>
      </c>
      <c r="O21" t="s">
        <v>147</v>
      </c>
    </row>
    <row r="22" spans="1:15" hidden="1" x14ac:dyDescent="0.25">
      <c r="A22">
        <v>9236</v>
      </c>
      <c r="B22">
        <v>5002</v>
      </c>
      <c r="C22" t="s">
        <v>189</v>
      </c>
      <c r="D22">
        <v>50</v>
      </c>
      <c r="F22">
        <v>100</v>
      </c>
      <c r="G22" t="s">
        <v>145</v>
      </c>
      <c r="K22" t="s">
        <v>114</v>
      </c>
      <c r="L22" t="s">
        <v>115</v>
      </c>
      <c r="M22" t="s">
        <v>146</v>
      </c>
      <c r="O22" t="s">
        <v>146</v>
      </c>
    </row>
    <row r="23" spans="1:15" hidden="1" x14ac:dyDescent="0.25">
      <c r="A23">
        <v>9572</v>
      </c>
      <c r="B23">
        <v>10002</v>
      </c>
      <c r="C23" t="s">
        <v>189</v>
      </c>
      <c r="D23">
        <v>50</v>
      </c>
      <c r="F23">
        <v>20</v>
      </c>
      <c r="G23" t="s">
        <v>145</v>
      </c>
      <c r="K23" t="s">
        <v>114</v>
      </c>
      <c r="L23" t="s">
        <v>115</v>
      </c>
      <c r="M23" t="s">
        <v>147</v>
      </c>
      <c r="O23" t="s">
        <v>147</v>
      </c>
    </row>
    <row r="24" spans="1:15" hidden="1" x14ac:dyDescent="0.25">
      <c r="A24">
        <v>10308</v>
      </c>
      <c r="B24">
        <v>25052</v>
      </c>
      <c r="C24" t="s">
        <v>189</v>
      </c>
      <c r="D24">
        <v>500</v>
      </c>
      <c r="F24">
        <v>50</v>
      </c>
      <c r="G24" t="s">
        <v>145</v>
      </c>
      <c r="K24" t="s">
        <v>114</v>
      </c>
      <c r="L24" t="s">
        <v>115</v>
      </c>
      <c r="M24" t="s">
        <v>146</v>
      </c>
      <c r="O24" t="s">
        <v>146</v>
      </c>
    </row>
    <row r="25" spans="1:15" hidden="1" x14ac:dyDescent="0.25">
      <c r="A25">
        <v>10328</v>
      </c>
      <c r="B25">
        <v>5002</v>
      </c>
      <c r="C25" t="s">
        <v>189</v>
      </c>
      <c r="D25">
        <v>50</v>
      </c>
      <c r="F25">
        <v>20</v>
      </c>
      <c r="G25" t="s">
        <v>145</v>
      </c>
      <c r="K25" t="s">
        <v>114</v>
      </c>
      <c r="L25" t="s">
        <v>115</v>
      </c>
      <c r="M25" t="s">
        <v>146</v>
      </c>
      <c r="O25" t="s">
        <v>147</v>
      </c>
    </row>
    <row r="26" spans="1:15" hidden="1" x14ac:dyDescent="0.25">
      <c r="A26">
        <v>10332</v>
      </c>
      <c r="B26">
        <v>102</v>
      </c>
      <c r="F26">
        <v>20</v>
      </c>
      <c r="G26" t="s">
        <v>190</v>
      </c>
      <c r="K26" t="s">
        <v>114</v>
      </c>
      <c r="L26" t="s">
        <v>115</v>
      </c>
    </row>
    <row r="27" spans="1:15" hidden="1" x14ac:dyDescent="0.25">
      <c r="A27">
        <v>10408</v>
      </c>
      <c r="B27">
        <v>25052</v>
      </c>
      <c r="C27" t="s">
        <v>189</v>
      </c>
      <c r="D27">
        <v>500</v>
      </c>
      <c r="F27">
        <v>50</v>
      </c>
      <c r="G27" t="s">
        <v>145</v>
      </c>
      <c r="K27" t="s">
        <v>114</v>
      </c>
      <c r="L27" t="s">
        <v>115</v>
      </c>
      <c r="M27" t="s">
        <v>146</v>
      </c>
      <c r="O27" t="s">
        <v>146</v>
      </c>
    </row>
    <row r="28" spans="1:15" hidden="1" x14ac:dyDescent="0.25">
      <c r="A28">
        <v>10780</v>
      </c>
      <c r="B28">
        <v>5002</v>
      </c>
      <c r="C28" t="s">
        <v>189</v>
      </c>
      <c r="D28">
        <v>50</v>
      </c>
      <c r="F28">
        <v>20</v>
      </c>
      <c r="G28" t="s">
        <v>145</v>
      </c>
      <c r="K28" t="s">
        <v>114</v>
      </c>
      <c r="L28" t="s">
        <v>115</v>
      </c>
      <c r="M28" t="s">
        <v>146</v>
      </c>
      <c r="O28" t="s">
        <v>147</v>
      </c>
    </row>
    <row r="29" spans="1:15" hidden="1" x14ac:dyDescent="0.25">
      <c r="A29">
        <v>10936</v>
      </c>
      <c r="B29">
        <v>25052</v>
      </c>
      <c r="C29" t="s">
        <v>189</v>
      </c>
      <c r="D29">
        <v>50</v>
      </c>
      <c r="F29">
        <v>50</v>
      </c>
      <c r="G29" t="s">
        <v>145</v>
      </c>
      <c r="K29" t="s">
        <v>114</v>
      </c>
      <c r="L29" t="s">
        <v>115</v>
      </c>
      <c r="M29" t="s">
        <v>146</v>
      </c>
      <c r="O29" t="s">
        <v>146</v>
      </c>
    </row>
    <row r="30" spans="1:15" hidden="1" x14ac:dyDescent="0.25">
      <c r="A30">
        <v>10952</v>
      </c>
      <c r="B30">
        <v>5002</v>
      </c>
      <c r="C30" t="s">
        <v>189</v>
      </c>
      <c r="D30">
        <v>50</v>
      </c>
      <c r="F30">
        <v>20</v>
      </c>
      <c r="G30" t="s">
        <v>145</v>
      </c>
      <c r="K30" t="s">
        <v>114</v>
      </c>
      <c r="L30" t="s">
        <v>115</v>
      </c>
      <c r="M30" t="s">
        <v>147</v>
      </c>
      <c r="O30" t="s">
        <v>147</v>
      </c>
    </row>
    <row r="31" spans="1:15" hidden="1" x14ac:dyDescent="0.25">
      <c r="A31">
        <v>11004</v>
      </c>
      <c r="B31">
        <v>5002</v>
      </c>
      <c r="C31" t="s">
        <v>189</v>
      </c>
      <c r="D31">
        <v>50</v>
      </c>
      <c r="F31">
        <v>20</v>
      </c>
      <c r="G31" t="s">
        <v>145</v>
      </c>
      <c r="K31" t="s">
        <v>114</v>
      </c>
      <c r="L31" t="s">
        <v>115</v>
      </c>
      <c r="M31" t="s">
        <v>146</v>
      </c>
      <c r="O31" t="s">
        <v>147</v>
      </c>
    </row>
    <row r="32" spans="1:15" hidden="1" x14ac:dyDescent="0.25">
      <c r="A32">
        <v>11736</v>
      </c>
      <c r="B32">
        <v>5002</v>
      </c>
      <c r="C32" t="s">
        <v>189</v>
      </c>
      <c r="D32">
        <v>50</v>
      </c>
      <c r="F32">
        <v>20</v>
      </c>
      <c r="G32" t="s">
        <v>145</v>
      </c>
      <c r="K32" t="s">
        <v>114</v>
      </c>
      <c r="L32" t="s">
        <v>115</v>
      </c>
      <c r="M32" t="s">
        <v>147</v>
      </c>
      <c r="O32" t="s">
        <v>147</v>
      </c>
    </row>
    <row r="33" spans="1:15" hidden="1" x14ac:dyDescent="0.25">
      <c r="A33">
        <v>11756</v>
      </c>
      <c r="B33">
        <v>5022</v>
      </c>
      <c r="C33" t="s">
        <v>189</v>
      </c>
      <c r="D33">
        <v>50</v>
      </c>
      <c r="F33">
        <v>20</v>
      </c>
      <c r="G33" t="s">
        <v>145</v>
      </c>
      <c r="K33" t="s">
        <v>114</v>
      </c>
      <c r="L33" t="s">
        <v>115</v>
      </c>
      <c r="M33" t="s">
        <v>146</v>
      </c>
      <c r="O33" t="s">
        <v>146</v>
      </c>
    </row>
    <row r="34" spans="1:15" hidden="1" x14ac:dyDescent="0.25">
      <c r="A34">
        <v>12284</v>
      </c>
      <c r="B34">
        <v>5002</v>
      </c>
      <c r="C34" t="s">
        <v>189</v>
      </c>
      <c r="D34">
        <v>50</v>
      </c>
      <c r="F34">
        <v>20</v>
      </c>
      <c r="G34" t="s">
        <v>145</v>
      </c>
      <c r="K34" t="s">
        <v>114</v>
      </c>
      <c r="L34" t="s">
        <v>115</v>
      </c>
      <c r="M34" t="s">
        <v>146</v>
      </c>
      <c r="O34" t="s">
        <v>147</v>
      </c>
    </row>
    <row r="35" spans="1:15" hidden="1" x14ac:dyDescent="0.25">
      <c r="A35">
        <v>13212</v>
      </c>
      <c r="B35">
        <v>25022</v>
      </c>
      <c r="C35" t="s">
        <v>189</v>
      </c>
      <c r="D35">
        <v>500</v>
      </c>
      <c r="F35">
        <v>20</v>
      </c>
      <c r="G35" t="s">
        <v>145</v>
      </c>
      <c r="K35" t="s">
        <v>114</v>
      </c>
      <c r="L35" t="s">
        <v>115</v>
      </c>
      <c r="M35" t="s">
        <v>146</v>
      </c>
      <c r="O35" t="s">
        <v>146</v>
      </c>
    </row>
    <row r="36" spans="1:15" hidden="1" x14ac:dyDescent="0.25">
      <c r="A36">
        <v>13484</v>
      </c>
      <c r="B36">
        <v>5002</v>
      </c>
      <c r="C36" t="s">
        <v>189</v>
      </c>
      <c r="D36">
        <v>50</v>
      </c>
      <c r="F36">
        <v>20</v>
      </c>
      <c r="G36" t="s">
        <v>145</v>
      </c>
      <c r="K36" t="s">
        <v>114</v>
      </c>
      <c r="L36" t="s">
        <v>115</v>
      </c>
      <c r="M36" t="s">
        <v>147</v>
      </c>
      <c r="O36" t="s">
        <v>147</v>
      </c>
    </row>
    <row r="37" spans="1:15" x14ac:dyDescent="0.25">
      <c r="A37">
        <v>13568</v>
      </c>
      <c r="B37">
        <v>5002</v>
      </c>
      <c r="C37" t="s">
        <v>189</v>
      </c>
      <c r="D37">
        <v>50</v>
      </c>
      <c r="F37">
        <v>100</v>
      </c>
      <c r="G37" t="s">
        <v>145</v>
      </c>
      <c r="K37" t="s">
        <v>114</v>
      </c>
      <c r="L37" t="s">
        <v>115</v>
      </c>
      <c r="M37" t="s">
        <v>146</v>
      </c>
      <c r="O37" t="s">
        <v>146</v>
      </c>
    </row>
    <row r="38" spans="1:15" hidden="1" x14ac:dyDescent="0.25">
      <c r="A38">
        <v>13928</v>
      </c>
      <c r="B38">
        <v>5022</v>
      </c>
      <c r="C38" t="s">
        <v>189</v>
      </c>
      <c r="D38">
        <v>50</v>
      </c>
      <c r="F38">
        <v>20</v>
      </c>
      <c r="G38" t="s">
        <v>145</v>
      </c>
      <c r="K38" t="s">
        <v>114</v>
      </c>
      <c r="L38" t="s">
        <v>115</v>
      </c>
      <c r="M38" t="s">
        <v>147</v>
      </c>
      <c r="O38" t="s">
        <v>146</v>
      </c>
    </row>
    <row r="39" spans="1:15" hidden="1" x14ac:dyDescent="0.25">
      <c r="A39">
        <v>13976</v>
      </c>
      <c r="B39">
        <v>5022</v>
      </c>
      <c r="C39" t="s">
        <v>189</v>
      </c>
      <c r="D39">
        <v>50</v>
      </c>
      <c r="F39">
        <v>20</v>
      </c>
      <c r="G39" t="s">
        <v>145</v>
      </c>
      <c r="K39" t="s">
        <v>114</v>
      </c>
      <c r="L39" t="s">
        <v>115</v>
      </c>
      <c r="M39" t="s">
        <v>146</v>
      </c>
      <c r="O39" t="s">
        <v>146</v>
      </c>
    </row>
    <row r="40" spans="1:15" hidden="1" x14ac:dyDescent="0.25">
      <c r="A40">
        <v>14280</v>
      </c>
      <c r="B40">
        <v>5002</v>
      </c>
      <c r="C40" t="s">
        <v>189</v>
      </c>
      <c r="D40">
        <v>50</v>
      </c>
      <c r="F40">
        <v>20</v>
      </c>
      <c r="G40" t="s">
        <v>145</v>
      </c>
      <c r="K40" t="s">
        <v>114</v>
      </c>
      <c r="L40" t="s">
        <v>115</v>
      </c>
      <c r="M40" t="s">
        <v>147</v>
      </c>
      <c r="O40" t="s">
        <v>147</v>
      </c>
    </row>
    <row r="41" spans="1:15" hidden="1" x14ac:dyDescent="0.25">
      <c r="A41">
        <v>14296</v>
      </c>
      <c r="B41">
        <v>5002</v>
      </c>
      <c r="C41" t="s">
        <v>189</v>
      </c>
      <c r="D41">
        <v>50</v>
      </c>
      <c r="F41">
        <v>20</v>
      </c>
      <c r="G41" t="s">
        <v>145</v>
      </c>
      <c r="K41" t="s">
        <v>114</v>
      </c>
      <c r="L41" t="s">
        <v>115</v>
      </c>
      <c r="M41" t="s">
        <v>147</v>
      </c>
      <c r="O41" t="s">
        <v>147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129</v>
      </c>
    </row>
    <row r="7" spans="1:8" x14ac:dyDescent="0.25">
      <c r="G7" t="s">
        <v>127</v>
      </c>
      <c r="H7" t="s">
        <v>116</v>
      </c>
    </row>
    <row r="8" spans="1:8" x14ac:dyDescent="0.25">
      <c r="A8" s="1" t="s">
        <v>100</v>
      </c>
      <c r="B8" s="1" t="s">
        <v>125</v>
      </c>
      <c r="C8" s="1" t="s">
        <v>94</v>
      </c>
      <c r="D8" s="1" t="s">
        <v>130</v>
      </c>
      <c r="E8" s="1" t="s">
        <v>27</v>
      </c>
      <c r="F8" s="1" t="s">
        <v>128</v>
      </c>
    </row>
    <row r="9" spans="1:8" x14ac:dyDescent="0.25">
      <c r="A9" t="s">
        <v>124</v>
      </c>
      <c r="B9" t="s">
        <v>121</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126</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153</v>
      </c>
    </row>
    <row r="2" spans="1:3" x14ac:dyDescent="0.25">
      <c r="A2" s="1" t="s">
        <v>152</v>
      </c>
      <c r="B2" t="s">
        <v>148</v>
      </c>
      <c r="C2" t="s">
        <v>154</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119</v>
      </c>
      <c r="C3" t="s">
        <v>120</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Charts</vt:lpstr>
      </vt:variant>
      <vt:variant>
        <vt:i4>1</vt:i4>
      </vt:variant>
    </vt:vector>
  </HeadingPairs>
  <TitlesOfParts>
    <vt:vector size="18" baseType="lpstr">
      <vt:lpstr>NN_Topology</vt:lpstr>
      <vt:lpstr>MSE</vt:lpstr>
      <vt:lpstr>Run_TRS</vt:lpstr>
      <vt:lpstr>Run_TR</vt:lpstr>
      <vt:lpstr>Run_BASE</vt:lpstr>
      <vt:lpstr>RunErrVsMSER</vt:lpstr>
      <vt:lpstr>TradeError</vt:lpstr>
      <vt:lpstr>TestEnvironment</vt:lpstr>
      <vt:lpstr>ClientInfo</vt:lpstr>
      <vt:lpstr>Config</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2019-09-04T18:15:19Z</dcterms:modified>
</cp:coreProperties>
</file>