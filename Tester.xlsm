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heets/sheet1.xml" ContentType="application/vnd.openxmlformats-officedocument.spreadsheetml.chart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7.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activeTab="3"/>
  </bookViews>
  <sheets>
    <sheet name="NN_Topology" sheetId="35" r:id="rId1"/>
    <sheet name="MSE" sheetId="1" r:id="rId2"/>
    <sheet name="Run_TRS" sheetId="27" r:id="rId3"/>
    <sheet name="Run_TR" sheetId="28" r:id="rId4"/>
    <sheet name="Run_BASE" sheetId="29" r:id="rId5"/>
    <sheet name="TradeError" sheetId="23" r:id="rId6"/>
    <sheet name="RunErrVsMSER" sheetId="32" r:id="rId7"/>
    <sheet name="TestEnvironment" sheetId="15" r:id="rId8"/>
    <sheet name="ClientInfo" sheetId="6" r:id="rId9"/>
    <sheet name="Config" sheetId="34" r:id="rId10"/>
    <sheet name="Engines" sheetId="36" r:id="rId11"/>
    <sheet name="vXMLconfigs" sheetId="30" r:id="rId12"/>
    <sheet name="Overview" sheetId="20" r:id="rId13"/>
    <sheet name="Overview2" sheetId="31" r:id="rId14"/>
    <sheet name="Fix_Engine_Scripts" sheetId="22" r:id="rId15"/>
    <sheet name="Internals-SCGD" sheetId="17" r:id="rId16"/>
    <sheet name="MSE_vs_Err" sheetId="13" r:id="rId17"/>
    <sheet name="MSE-Err_Chart" sheetId="14" r:id="rId18"/>
    <sheet name="Engine" sheetId="8" r:id="rId19"/>
  </sheets>
  <definedNames>
    <definedName name="ExternalData_1" localSheetId="9" hidden="1">Config!$A$3:$E$92</definedName>
    <definedName name="ExternalData_2" localSheetId="9" hidden="1">Config!#REF!</definedName>
    <definedName name="Query_from_Algo" localSheetId="8" hidden="1">ClientInfo!$A$1:$J$1372</definedName>
    <definedName name="Query_from_Algo" localSheetId="18" hidden="1">Engine!$A$1:$F$21</definedName>
    <definedName name="Query_from_Algo" localSheetId="11" hidden="1">vXMLconfigs!$A$1:$O$36</definedName>
    <definedName name="Slicer_BPALGO">#N/A</definedName>
    <definedName name="Slicer_CLIENTPID">#N/A</definedName>
    <definedName name="Slicer_CORE0USECONTEXT">#N/A</definedName>
    <definedName name="Slicer_CORE0USECONTEXT1">#N/A</definedName>
    <definedName name="Slicer_COREID">#N/A</definedName>
    <definedName name="Slicer_COREID1">#N/A</definedName>
    <definedName name="Slicer_COREID2">#N/A</definedName>
    <definedName name="Slicer_COREID3">#N/A</definedName>
    <definedName name="Slicer_ENGINEPID">#N/A</definedName>
    <definedName name="Slicer_FEATURE">#N/A</definedName>
    <definedName name="Slicer_FEATURE1">#N/A</definedName>
    <definedName name="Slicer_FEATURE11">#N/A</definedName>
    <definedName name="Slicer_FEATURE2">#N/A</definedName>
    <definedName name="Slicer_LAYER">#N/A</definedName>
    <definedName name="Slicer_LAYER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2">#N/A</definedName>
    <definedName name="Slicer_NETPROCESSID">#N/A</definedName>
    <definedName name="Slicer_NETPROCESSID1">#N/A</definedName>
    <definedName name="Slicer_PROCESSID">#N/A</definedName>
    <definedName name="Slicer_PROCESSID1">#N/A</definedName>
    <definedName name="Slicer_PROCESSID11">#N/A</definedName>
    <definedName name="Slicer_PROCESSID111">#N/A</definedName>
    <definedName name="Slicer_PROCESSID12">#N/A</definedName>
    <definedName name="Slicer_PROCESSID3">#N/A</definedName>
    <definedName name="Slicer_SAMPLELENT">#N/A</definedName>
    <definedName name="Slicer_SEQUENCEID">#N/A</definedName>
    <definedName name="Slicer_SEQUENCEID1">#N/A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 name="Slicer_THREADID2">#N/A</definedName>
  </definedNames>
  <calcPr calcId="152511"/>
  <pivotCaches>
    <pivotCache cacheId="0" r:id="rId20"/>
    <pivotCache cacheId="1" r:id="rId21"/>
    <pivotCache cacheId="2" r:id="rId22"/>
    <pivotCache cacheId="3" r:id="rId23"/>
    <pivotCache cacheId="4" r:id="rId24"/>
    <pivotCache cacheId="5" r:id="rId25"/>
    <pivotCache cacheId="20" r:id="rId26"/>
    <pivotCache cacheId="22" r:id="rId27"/>
  </pivotCaches>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F10" i="35" l="1"/>
  <c r="G14" i="35"/>
  <c r="H15" i="35" s="1"/>
  <c r="C2" i="27"/>
  <c r="C1" i="27"/>
  <c r="B2" i="27"/>
  <c r="B1" i="27"/>
  <c r="D2" i="27"/>
  <c r="G13" i="35" l="1"/>
  <c r="F1" i="1"/>
  <c r="H1" i="29"/>
  <c r="H1" i="28"/>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 command="select * from engines"/>
  </connection>
  <connection id="4"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LPS=8192;" command="select rl.processid, rl.threadid, ci.sequenceid,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LPS=8192;" command="select clientpid,sessionid,ticketid,enginepid, lastbart, lastbarh, lastbarl,_x000d__x000a_lag(forecasth) over(order by clientpid,sessionid,ticketid,enginepid,lastbart) forecastH_prev,_x000d__x000a_--decode((lag(forecasth) over(order by clientpid,sessionid,ticketid,enginepid,lastbart)),null,null,abs(lastbarh-(lag(forecasth) over(order by clientpid,sessionid,ticketid,enginepid,lastbart)))) errH,_x000d__x000a_lag(forecastl) over(order by clientpid,sessionid,ticketid,enginepid,lastbart) forecastL_prev_x000d__x000a_--decode((lag(forecastl) over(order by clientpid,sessionid,ticketid,enginepid,lastbart)),null,null,abs(lastbarl-(lag(forecastl) over(order by clientpid,sessionid,ticketid,enginepid,lastbart)))) errL_x000d__x000a_from tradeinfo where _x000d__x000a_clientpid=?_x000d__x000a_order by lastbart"/>
    <parameters count="1">
      <parameter name="Parameter1" prompt="Parameter1"/>
    </parameters>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<sst xmlns="http://schemas.openxmlformats.org/spreadsheetml/2006/main" count="3858" uniqueCount="461">
  <si>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</si>
  <si>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</si>
  <si>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</si>
  <si>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</si>
  <si>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</si>
  <si>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</si>
  <si>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</si>
  <si>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</si>
  <si>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</si>
  <si>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</si>
  <si>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</si>
  <si>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</si>
  <si>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</si>
  <si>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</si>
  <si>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</si>
  <si>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</si>
  <si>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</si>
  <si>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</si>
  <si>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</si>
  <si>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</si>
  <si>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</si>
  <si>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</si>
  <si>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</si>
  <si>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</si>
  <si>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</si>
  <si>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</si>
  <si>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</si>
  <si>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</si>
  <si>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</si>
  <si>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</si>
  <si>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</si>
  <si>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</si>
  <si>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</si>
  <si>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</si>
  <si>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</si>
  <si>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</si>
  <si>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</si>
  <si>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</si>
  <si>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</si>
  <si>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</si>
  <si>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</si>
  <si>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</si>
  <si>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</si>
  <si>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</si>
  <si>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</si>
  <si>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</si>
  <si>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</si>
  <si>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</si>
  <si>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</si>
  <si>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</si>
  <si>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</si>
  <si>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</si>
  <si>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</si>
  <si>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</si>
  <si>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</si>
  <si>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</si>
  <si>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</si>
  <si>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</si>
  <si>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</si>
  <si>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</si>
  <si>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</si>
  <si>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</si>
  <si>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</si>
  <si>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</si>
  <si>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</si>
  <si>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</si>
  <si>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</si>
  <si>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</si>
  <si>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</si>
  <si>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</si>
  <si>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</si>
  <si>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</si>
  <si>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</si>
  <si>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</si>
  <si>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</si>
  <si>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</si>
  <si>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</si>
  <si>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</si>
  <si>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</si>
  <si>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</si>
  <si>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</si>
  <si>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</si>
  <si>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</si>
  <si>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</si>
  <si>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</si>
  <si>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</si>
  <si>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</si>
  <si>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</si>
  <si>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</si>
  <si>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</si>
  <si>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</si>
  <si>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</si>
  <si>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</si>
  <si>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</si>
  <si>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</si>
  <si>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</si>
  <si>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</si>
  <si>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</si>
  <si>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</si>
  <si>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</si>
  <si>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</si>
  <si>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</si>
  <si>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</si>
  <si>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</si>
  <si>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</si>
  <si>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</si>
  <si>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</si>
  <si>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</si>
  <si>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</si>
  <si>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</si>
  <si>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</si>
  <si>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</si>
  <si>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</si>
  <si>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</si>
  <si>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</si>
  <si>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</si>
  <si>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</si>
  <si>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</si>
  <si>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</si>
  <si>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</si>
  <si>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</si>
  <si>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</si>
  <si>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</si>
  <si>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</si>
  <si>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</si>
  <si>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</si>
  <si>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</si>
  <si>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</si>
  <si>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ACTUALTR</t>
  </si>
  <si>
    <t>Average of PREDICTEDTR</t>
  </si>
  <si>
    <t>Average of ERRORTR</t>
  </si>
  <si>
    <t>Average of ACTUALBASE</t>
  </si>
  <si>
    <t>Average of PREDICTEDBASE</t>
  </si>
  <si>
    <t>Average of ERRORBASE</t>
  </si>
  <si>
    <t>NETPROCESSID</t>
  </si>
  <si>
    <t>2017-08-07-19:00</t>
  </si>
  <si>
    <t>min</t>
  </si>
  <si>
    <t>max</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</si>
  <si>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</si>
  <si>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</si>
  <si>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</si>
  <si>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</si>
  <si>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</si>
  <si>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</si>
  <si>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</si>
  <si>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Average of 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</si>
  <si>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</si>
  <si>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</si>
  <si>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</si>
  <si>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</si>
  <si>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</si>
  <si>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</si>
  <si>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</si>
  <si>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</si>
  <si>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</si>
  <si>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</si>
  <si>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</si>
  <si>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</si>
  <si>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</si>
  <si>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</si>
  <si>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</si>
  <si>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</si>
  <si>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</si>
  <si>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</si>
  <si>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</si>
  <si>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</si>
  <si>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</si>
  <si>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</si>
  <si>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</si>
  <si>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</si>
  <si>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</si>
  <si>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</si>
  <si>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</si>
  <si>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</si>
  <si>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</si>
  <si>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</si>
  <si>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</si>
  <si>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</si>
  <si>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</si>
  <si>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</si>
  <si>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</si>
  <si>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</si>
  <si>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2017-08-08-05:00</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</si>
  <si>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</si>
  <si>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</si>
  <si>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</si>
  <si>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</si>
  <si>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</si>
  <si>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</si>
  <si>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</si>
  <si>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</si>
  <si>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</si>
  <si>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</si>
  <si>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</si>
  <si>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</si>
  <si>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</si>
  <si>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</si>
  <si>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</si>
  <si>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</si>
  <si>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</si>
  <si>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</si>
  <si>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</si>
  <si>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</si>
  <si>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</si>
  <si>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</si>
  <si>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</si>
  <si>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</si>
  <si>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</si>
  <si>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</si>
  <si>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</si>
  <si>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</si>
  <si>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</si>
  <si>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</si>
  <si>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</si>
  <si>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</si>
  <si>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</si>
  <si>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</si>
  <si>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</si>
  <si>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</si>
  <si>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</si>
  <si>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</si>
  <si>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</si>
  <si>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</si>
  <si>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</si>
  <si>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</si>
  <si>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</si>
  <si>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</si>
  <si>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</si>
  <si>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</si>
  <si>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</si>
  <si>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</si>
  <si>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</si>
  <si>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</si>
  <si>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</si>
  <si>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</si>
  <si>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</si>
  <si>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</si>
  <si>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</si>
  <si>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</si>
  <si>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</si>
  <si>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</si>
  <si>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</si>
  <si>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</si>
  <si>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</si>
  <si>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</si>
  <si>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</si>
  <si>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</si>
  <si>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</si>
  <si>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</si>
  <si>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</si>
  <si>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</si>
  <si>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</si>
  <si>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</si>
  <si>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</si>
  <si>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</si>
  <si>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</si>
  <si>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</si>
  <si>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</si>
  <si>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</si>
  <si>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</si>
  <si>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</si>
  <si>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</si>
  <si>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</si>
  <si>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</si>
  <si>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</si>
  <si>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</si>
  <si>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</si>
  <si>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</si>
  <si>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</si>
  <si>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</si>
  <si>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</si>
  <si>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</si>
  <si>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</si>
  <si>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</si>
  <si>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</si>
  <si>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</si>
  <si>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</si>
  <si>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</si>
  <si>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</si>
  <si>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</si>
  <si>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</si>
  <si>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</si>
  <si>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</si>
  <si>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2018-07-17-05:00</t>
  </si>
  <si>
    <t>outputCnt</t>
  </si>
  <si>
    <t>levelsCnt</t>
  </si>
  <si>
    <t>weights</t>
  </si>
  <si>
    <t>actual nodes</t>
  </si>
  <si>
    <t>nodes</t>
  </si>
  <si>
    <t>level</t>
  </si>
  <si>
    <t>levelRatio</t>
  </si>
  <si>
    <t>total</t>
  </si>
  <si>
    <t>useBias</t>
  </si>
  <si>
    <t>useContext</t>
  </si>
  <si>
    <t>batchSize</t>
  </si>
  <si>
    <t>featuresCnt</t>
  </si>
  <si>
    <t>targetLen</t>
  </si>
  <si>
    <t>sampleLen</t>
  </si>
  <si>
    <t>00:00:02</t>
  </si>
  <si>
    <t>00:00:12</t>
  </si>
  <si>
    <t>00:00:00</t>
  </si>
  <si>
    <t>00:00:24</t>
  </si>
  <si>
    <t>00:00:33</t>
  </si>
  <si>
    <t>00:00:23</t>
  </si>
  <si>
    <t>00:00:01</t>
  </si>
  <si>
    <t>Duration</t>
  </si>
  <si>
    <t>MT5_account_25615969</t>
  </si>
  <si>
    <t>00:03:47</t>
  </si>
  <si>
    <t>2015-12-28-20:00</t>
  </si>
  <si>
    <t>00:02:23</t>
  </si>
  <si>
    <t>2015-12-28-13:00</t>
  </si>
  <si>
    <t>00:00:29</t>
  </si>
  <si>
    <t>2018-07-16-22:00</t>
  </si>
  <si>
    <t>00:09:11</t>
  </si>
  <si>
    <t>2017-08-04-06:00</t>
  </si>
  <si>
    <t>00:02:02</t>
  </si>
  <si>
    <t>00:01:41</t>
  </si>
  <si>
    <t>00:01:03</t>
  </si>
  <si>
    <t>00:00:55</t>
  </si>
  <si>
    <t>00:00:32</t>
  </si>
  <si>
    <t>00:00:58</t>
  </si>
  <si>
    <t>2015-12-30-02:00</t>
  </si>
  <si>
    <t>00:00:17</t>
  </si>
  <si>
    <t>2015-12-30-12:00</t>
  </si>
  <si>
    <t>2015-12-30-05:00</t>
  </si>
  <si>
    <t>00:00:37</t>
  </si>
  <si>
    <t>00:03:42</t>
  </si>
  <si>
    <t>2018-07-25-21:00</t>
  </si>
  <si>
    <t>2017-08-07-22:00</t>
  </si>
  <si>
    <t>2018-07-25-14:00</t>
  </si>
  <si>
    <t>2018-07-24-18:00</t>
  </si>
  <si>
    <t>2018-07-25-04:00</t>
  </si>
  <si>
    <t>00:01:25</t>
  </si>
  <si>
    <t>2018-07-25-01:00</t>
  </si>
  <si>
    <t>00:01:21</t>
  </si>
  <si>
    <t>2018-07-25-11:00</t>
  </si>
  <si>
    <t>00:01:24</t>
  </si>
  <si>
    <t>00:01:22</t>
  </si>
  <si>
    <t>2018-07-25-07:00</t>
  </si>
  <si>
    <t>2018-07-25-12:00</t>
  </si>
  <si>
    <t>2018-07-25-13:00</t>
  </si>
  <si>
    <t>2018-07-25-15:00</t>
  </si>
  <si>
    <t>2018-07-25-16:00</t>
  </si>
  <si>
    <t>2018-07-25-17:00</t>
  </si>
  <si>
    <t>2018-07-25-18:00</t>
  </si>
  <si>
    <t>2018-07-25-19:00</t>
  </si>
  <si>
    <t>2018-07-25-20:00</t>
  </si>
  <si>
    <t>2018-07-25-22:00</t>
  </si>
  <si>
    <t>2018-07-25-23:00</t>
  </si>
  <si>
    <t>2018-07-26-00:00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</si>
  <si>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</si>
  <si>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</si>
  <si>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</si>
  <si>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</si>
  <si>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</si>
  <si>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</si>
  <si>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</si>
  <si>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</si>
  <si>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</si>
  <si>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</si>
  <si>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</si>
  <si>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</si>
  <si>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</si>
  <si>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</si>
  <si>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</si>
  <si>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</si>
  <si>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</si>
  <si>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</si>
  <si>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</si>
  <si>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</si>
  <si>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</si>
  <si>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</si>
  <si>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</si>
  <si>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</si>
  <si>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</si>
  <si>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</si>
  <si>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</si>
  <si>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</si>
  <si>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</si>
  <si>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</si>
  <si>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</si>
  <si>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</si>
  <si>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</si>
  <si>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</si>
  <si>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</si>
  <si>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</si>
  <si>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</si>
  <si>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</si>
  <si>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</si>
  <si>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</si>
  <si>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SEQUENCEID</t>
  </si>
  <si>
    <t>2018-07-24-15:00</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</si>
  <si>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</si>
  <si>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</si>
  <si>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</si>
  <si>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</si>
  <si>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2017-08-07-21:00</t>
  </si>
  <si>
    <t>2017-08-07-17:00</t>
  </si>
  <si>
    <t>00:01:33</t>
  </si>
  <si>
    <t>00:00:25</t>
  </si>
  <si>
    <t>00:01:09</t>
  </si>
  <si>
    <t>00:00:47</t>
  </si>
  <si>
    <t>2018-07-22-19:00</t>
  </si>
  <si>
    <t>Average of FORECASTH_PREV</t>
  </si>
  <si>
    <t>Average of LASTBARH</t>
  </si>
  <si>
    <t>Average of errH</t>
  </si>
  <si>
    <t>00:00:10</t>
  </si>
  <si>
    <t>(blank)</t>
  </si>
  <si>
    <t>Count of PROCESSID</t>
  </si>
  <si>
    <t>DATASAMPLELEN</t>
  </si>
  <si>
    <t>DATAPREDICTIONLEN</t>
  </si>
  <si>
    <t>DATABATCHSIZE</t>
  </si>
  <si>
    <t>Total</t>
  </si>
  <si>
    <t>2017-08-07-09:00</t>
  </si>
  <si>
    <t>2018-07-23-19:00</t>
  </si>
  <si>
    <t>2018-07-23-18:00</t>
  </si>
  <si>
    <t>2018-07-23-17:00</t>
  </si>
  <si>
    <t>2018-07-23-16:00</t>
  </si>
  <si>
    <t>2018-07-23-15:00</t>
  </si>
  <si>
    <t>2018-07-23-14:00</t>
  </si>
  <si>
    <t>2018-07-23-13:00</t>
  </si>
  <si>
    <t>2018-07-23-12:00</t>
  </si>
  <si>
    <t>2018-07-23-22:00</t>
  </si>
  <si>
    <t>2018-07-24-05:00</t>
  </si>
  <si>
    <t>00:51:59</t>
  </si>
  <si>
    <t>00:03:51</t>
  </si>
  <si>
    <t>00:03:33</t>
  </si>
  <si>
    <t>00:03:32</t>
  </si>
  <si>
    <t>00:09:24</t>
  </si>
  <si>
    <t>00:09:18</t>
  </si>
  <si>
    <t>2015-12-29-16:00</t>
  </si>
  <si>
    <t>2018-07-19-13:00</t>
  </si>
  <si>
    <t>2018-07-27-17:00</t>
  </si>
  <si>
    <t>2018-07-27-18:00</t>
  </si>
  <si>
    <t>2018-07-27-19:00</t>
  </si>
  <si>
    <t>2018-07-27-20:00</t>
  </si>
  <si>
    <t>2018-07-27-21:00</t>
  </si>
  <si>
    <t>2018-07-27-22:00</t>
  </si>
  <si>
    <t>2018-08-28-01:00</t>
  </si>
  <si>
    <t>2018-08-28-02:00</t>
  </si>
  <si>
    <t>2018-08-28-03:00</t>
  </si>
  <si>
    <t>2018-08-28-04:00</t>
  </si>
  <si>
    <t>2018-08-28-05:00</t>
  </si>
  <si>
    <t>2018-08-28-06:00</t>
  </si>
  <si>
    <t>2018-08-28-07:00</t>
  </si>
  <si>
    <t>2018-08-28-08:00</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</si>
  <si>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</si>
  <si>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</si>
  <si>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</si>
  <si>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00:04:48</t>
  </si>
  <si>
    <t>00:04:43</t>
  </si>
  <si>
    <t>2018-07-25-02:00</t>
  </si>
  <si>
    <t>2018-07-25-05:00</t>
  </si>
  <si>
    <t>2018-07-25-03:00</t>
  </si>
  <si>
    <t>2018-07-25-06:00</t>
  </si>
  <si>
    <t>2018-07-25-08:00</t>
  </si>
  <si>
    <t>2018-07-25-09:00</t>
  </si>
  <si>
    <t>2018-07-25-10:00</t>
  </si>
  <si>
    <t>9999-99-99-99:00</t>
  </si>
  <si>
    <t>9999-99-99-99:01</t>
  </si>
  <si>
    <t>9999-99-99-99:02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</si>
</sst>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3" borderId="0" xfId="0" applyFill="1"/>
    <xf numFmtId="3" fontId="1" fillId="0" borderId="0" xfId="0" applyNumberFormat="1" applyFont="1"/>
  </cellXfs>
  <cellStyles count="2">
    <cellStyle name="Hyperlink" xfId="1" builtinId="8"/>
    <cellStyle name="Normal" xfId="0" builtinId="0"/>
  </cellStyles>
  <dxfs count="39">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7.xml"/><Relationship Id="rId21" Type="http://schemas.openxmlformats.org/officeDocument/2006/relationships/pivotCacheDefinition" Target="pivotCache/pivotCacheDefinition2.xml"/><Relationship Id="rId42" Type="http://schemas.microsoft.com/office/2007/relationships/slicerCache" Target="slicerCaches/slicerCache15.xml"/><Relationship Id="rId47" Type="http://schemas.microsoft.com/office/2007/relationships/slicerCache" Target="slicerCaches/slicerCache20.xml"/><Relationship Id="rId63" Type="http://schemas.microsoft.com/office/2007/relationships/slicerCache" Target="slicerCaches/slicerCache36.xml"/><Relationship Id="rId6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5.xml"/><Relationship Id="rId37" Type="http://schemas.microsoft.com/office/2007/relationships/slicerCache" Target="slicerCaches/slicerCache10.xml"/><Relationship Id="rId40" Type="http://schemas.microsoft.com/office/2007/relationships/slicerCache" Target="slicerCaches/slicerCache13.xml"/><Relationship Id="rId45" Type="http://schemas.microsoft.com/office/2007/relationships/slicerCache" Target="slicerCaches/slicerCache18.xml"/><Relationship Id="rId53" Type="http://schemas.microsoft.com/office/2007/relationships/slicerCache" Target="slicerCaches/slicerCache26.xml"/><Relationship Id="rId58" Type="http://schemas.microsoft.com/office/2007/relationships/slicerCache" Target="slicerCaches/slicerCache31.xml"/><Relationship Id="rId66" Type="http://schemas.microsoft.com/office/2007/relationships/slicerCache" Target="slicerCaches/slicerCache39.xml"/><Relationship Id="rId5" Type="http://schemas.openxmlformats.org/officeDocument/2006/relationships/worksheet" Target="worksheets/sheet5.xml"/><Relationship Id="rId61" Type="http://schemas.microsoft.com/office/2007/relationships/slicerCache" Target="slicerCaches/slicerCache34.xml"/><Relationship Id="rId19" Type="http://schemas.openxmlformats.org/officeDocument/2006/relationships/worksheet" Target="worksheets/sheet18.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pivotCacheDefinition" Target="pivotCache/pivotCacheDefinition8.xml"/><Relationship Id="rId30" Type="http://schemas.microsoft.com/office/2007/relationships/slicerCache" Target="slicerCaches/slicerCache3.xml"/><Relationship Id="rId35" Type="http://schemas.microsoft.com/office/2007/relationships/slicerCache" Target="slicerCaches/slicerCache8.xml"/><Relationship Id="rId43" Type="http://schemas.microsoft.com/office/2007/relationships/slicerCache" Target="slicerCaches/slicerCache16.xml"/><Relationship Id="rId48" Type="http://schemas.microsoft.com/office/2007/relationships/slicerCache" Target="slicerCaches/slicerCache21.xml"/><Relationship Id="rId56" Type="http://schemas.microsoft.com/office/2007/relationships/slicerCache" Target="slicerCaches/slicerCache29.xml"/><Relationship Id="rId64" Type="http://schemas.microsoft.com/office/2007/relationships/slicerCache" Target="slicerCaches/slicerCache37.xml"/><Relationship Id="rId69"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24.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microsoft.com/office/2007/relationships/slicerCache" Target="slicerCaches/slicerCache6.xml"/><Relationship Id="rId38" Type="http://schemas.microsoft.com/office/2007/relationships/slicerCache" Target="slicerCaches/slicerCache11.xml"/><Relationship Id="rId46" Type="http://schemas.microsoft.com/office/2007/relationships/slicerCache" Target="slicerCaches/slicerCache19.xml"/><Relationship Id="rId59" Type="http://schemas.microsoft.com/office/2007/relationships/slicerCache" Target="slicerCaches/slicerCache32.xml"/><Relationship Id="rId67" Type="http://schemas.microsoft.com/office/2007/relationships/slicerCache" Target="slicerCaches/slicerCache40.xml"/><Relationship Id="rId20" Type="http://schemas.openxmlformats.org/officeDocument/2006/relationships/pivotCacheDefinition" Target="pivotCache/pivotCacheDefinition1.xml"/><Relationship Id="rId41" Type="http://schemas.microsoft.com/office/2007/relationships/slicerCache" Target="slicerCaches/slicerCache14.xml"/><Relationship Id="rId54" Type="http://schemas.microsoft.com/office/2007/relationships/slicerCache" Target="slicerCaches/slicerCache27.xml"/><Relationship Id="rId62" Type="http://schemas.microsoft.com/office/2007/relationships/slicerCache" Target="slicerCaches/slicerCache35.xml"/><Relationship Id="rId7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1.xml"/><Relationship Id="rId36" Type="http://schemas.microsoft.com/office/2007/relationships/slicerCache" Target="slicerCaches/slicerCache9.xml"/><Relationship Id="rId49" Type="http://schemas.microsoft.com/office/2007/relationships/slicerCache" Target="slicerCaches/slicerCache22.xml"/><Relationship Id="rId57" Type="http://schemas.microsoft.com/office/2007/relationships/slicerCache" Target="slicerCaches/slicerCache30.xml"/><Relationship Id="rId10" Type="http://schemas.openxmlformats.org/officeDocument/2006/relationships/worksheet" Target="worksheets/sheet10.xml"/><Relationship Id="rId31" Type="http://schemas.microsoft.com/office/2007/relationships/slicerCache" Target="slicerCaches/slicerCache4.xml"/><Relationship Id="rId44" Type="http://schemas.microsoft.com/office/2007/relationships/slicerCache" Target="slicerCaches/slicerCache17.xml"/><Relationship Id="rId52" Type="http://schemas.microsoft.com/office/2007/relationships/slicerCache" Target="slicerCaches/slicerCache25.xml"/><Relationship Id="rId60" Type="http://schemas.microsoft.com/office/2007/relationships/slicerCache" Target="slicerCaches/slicerCache33.xml"/><Relationship Id="rId65" Type="http://schemas.microsoft.com/office/2007/relationships/slicerCache" Target="slicerCaches/slicerCache38.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chartsheet" Target="chartsheets/sheet1.xml"/><Relationship Id="rId39" Type="http://schemas.microsoft.com/office/2007/relationships/slicerCache" Target="slicerCaches/slicerCache12.xml"/><Relationship Id="rId34" Type="http://schemas.microsoft.com/office/2007/relationships/slicerCache" Target="slicerCaches/slicerCache7.xml"/><Relationship Id="rId50" Type="http://schemas.microsoft.com/office/2007/relationships/slicerCache" Target="slicerCaches/slicerCache23.xml"/><Relationship Id="rId55" Type="http://schemas.microsoft.com/office/2007/relationships/slicerCache" Target="slicerCaches/slicerCache28.xml"/><Relationship Id="rId7" Type="http://schemas.openxmlformats.org/officeDocument/2006/relationships/worksheet" Target="worksheets/sheet7.xml"/><Relationship Id="rId71"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MSE!$B$2:$B$152</c:f>
              <c:numCache>
                <c:formatCode>0.00000</c:formatCode>
                <c:ptCount val="150"/>
                <c:pt idx="0">
                  <c:v>7.5544430874288099E-3</c:v>
                </c:pt>
                <c:pt idx="1">
                  <c:v>4.5651360414922203E-3</c:v>
                </c:pt>
                <c:pt idx="2">
                  <c:v>3.6444794386625299E-3</c:v>
                </c:pt>
                <c:pt idx="3">
                  <c:v>3.5057824570685599E-3</c:v>
                </c:pt>
                <c:pt idx="4">
                  <c:v>3.44414566643536E-3</c:v>
                </c:pt>
                <c:pt idx="5">
                  <c:v>3.3924982417374802E-3</c:v>
                </c:pt>
                <c:pt idx="6">
                  <c:v>3.4142783842980901E-3</c:v>
                </c:pt>
                <c:pt idx="7">
                  <c:v>3.3333995379507498E-3</c:v>
                </c:pt>
                <c:pt idx="8">
                  <c:v>3.3221947960555601E-3</c:v>
                </c:pt>
                <c:pt idx="9">
                  <c:v>3.3175505232065899E-3</c:v>
                </c:pt>
                <c:pt idx="10">
                  <c:v>3.2938378863036598E-3</c:v>
                </c:pt>
                <c:pt idx="11">
                  <c:v>3.2995224464684699E-3</c:v>
                </c:pt>
                <c:pt idx="12">
                  <c:v>3.30204167403281E-3</c:v>
                </c:pt>
                <c:pt idx="13">
                  <c:v>3.27929644845426E-3</c:v>
                </c:pt>
                <c:pt idx="14">
                  <c:v>3.2878278288990298E-3</c:v>
                </c:pt>
                <c:pt idx="15">
                  <c:v>3.2782184425741399E-3</c:v>
                </c:pt>
                <c:pt idx="16">
                  <c:v>3.26258619315922E-3</c:v>
                </c:pt>
                <c:pt idx="17">
                  <c:v>3.2980507239699398E-3</c:v>
                </c:pt>
                <c:pt idx="18">
                  <c:v>3.2734442502260199E-3</c:v>
                </c:pt>
                <c:pt idx="19">
                  <c:v>3.25151020660996E-3</c:v>
                </c:pt>
                <c:pt idx="20">
                  <c:v>3.2974563073366902E-3</c:v>
                </c:pt>
                <c:pt idx="21">
                  <c:v>3.2704742625355699E-3</c:v>
                </c:pt>
                <c:pt idx="22">
                  <c:v>3.2521013636141998E-3</c:v>
                </c:pt>
                <c:pt idx="23">
                  <c:v>3.2594201620668199E-3</c:v>
                </c:pt>
                <c:pt idx="24">
                  <c:v>3.2639205455779999E-3</c:v>
                </c:pt>
                <c:pt idx="25">
                  <c:v>3.2460934016853601E-3</c:v>
                </c:pt>
                <c:pt idx="26">
                  <c:v>3.2484675757586999E-3</c:v>
                </c:pt>
                <c:pt idx="27">
                  <c:v>3.28436587005854E-3</c:v>
                </c:pt>
                <c:pt idx="28">
                  <c:v>3.2714845146983901E-3</c:v>
                </c:pt>
                <c:pt idx="29">
                  <c:v>3.2495772466063499E-3</c:v>
                </c:pt>
                <c:pt idx="30">
                  <c:v>3.2885356340557302E-3</c:v>
                </c:pt>
                <c:pt idx="31">
                  <c:v>3.2487197313457701E-3</c:v>
                </c:pt>
                <c:pt idx="32">
                  <c:v>3.2520166132599098E-3</c:v>
                </c:pt>
                <c:pt idx="33">
                  <c:v>3.2858541235327699E-3</c:v>
                </c:pt>
                <c:pt idx="34">
                  <c:v>3.2409075647592501E-3</c:v>
                </c:pt>
                <c:pt idx="35">
                  <c:v>3.23455827310681E-3</c:v>
                </c:pt>
                <c:pt idx="36">
                  <c:v>3.2504927366972E-3</c:v>
                </c:pt>
                <c:pt idx="37">
                  <c:v>3.2414866145700199E-3</c:v>
                </c:pt>
                <c:pt idx="38">
                  <c:v>3.2408782280981502E-3</c:v>
                </c:pt>
                <c:pt idx="39">
                  <c:v>3.2925701234489701E-3</c:v>
                </c:pt>
                <c:pt idx="40">
                  <c:v>3.2639387063682101E-3</c:v>
                </c:pt>
                <c:pt idx="41">
                  <c:v>3.2485534902662E-3</c:v>
                </c:pt>
                <c:pt idx="42">
                  <c:v>3.2740072347223802E-3</c:v>
                </c:pt>
                <c:pt idx="43">
                  <c:v>3.2453942112624602E-3</c:v>
                </c:pt>
                <c:pt idx="44">
                  <c:v>3.2223928719759E-3</c:v>
                </c:pt>
                <c:pt idx="45">
                  <c:v>3.2343869097530798E-3</c:v>
                </c:pt>
                <c:pt idx="46">
                  <c:v>3.23796691372991E-3</c:v>
                </c:pt>
                <c:pt idx="47">
                  <c:v>3.2230094075202899E-3</c:v>
                </c:pt>
                <c:pt idx="48">
                  <c:v>3.2366181258112201E-3</c:v>
                </c:pt>
                <c:pt idx="49">
                  <c:v>3.2731858082115698E-3</c:v>
                </c:pt>
                <c:pt idx="50">
                  <c:v>3.2624483574181799E-3</c:v>
                </c:pt>
                <c:pt idx="51">
                  <c:v>3.2983398996293501E-3</c:v>
                </c:pt>
                <c:pt idx="52">
                  <c:v>3.2645033206790699E-3</c:v>
                </c:pt>
                <c:pt idx="53">
                  <c:v>3.2495155464857799E-3</c:v>
                </c:pt>
                <c:pt idx="54">
                  <c:v>3.2539004459977098E-3</c:v>
                </c:pt>
                <c:pt idx="55">
                  <c:v>3.2412298023700701E-3</c:v>
                </c:pt>
                <c:pt idx="56">
                  <c:v>3.2210845965892098E-3</c:v>
                </c:pt>
                <c:pt idx="57">
                  <c:v>3.2712952233850999E-3</c:v>
                </c:pt>
                <c:pt idx="58">
                  <c:v>3.2346700318157699E-3</c:v>
                </c:pt>
                <c:pt idx="59">
                  <c:v>3.3088922500610399E-3</c:v>
                </c:pt>
                <c:pt idx="60">
                  <c:v>3.26272286474705E-3</c:v>
                </c:pt>
                <c:pt idx="61">
                  <c:v>3.2191337086260301E-3</c:v>
                </c:pt>
                <c:pt idx="62">
                  <c:v>3.2114225905388598E-3</c:v>
                </c:pt>
                <c:pt idx="63">
                  <c:v>3.2169693149626298E-3</c:v>
                </c:pt>
                <c:pt idx="64">
                  <c:v>3.2624043524265298E-3</c:v>
                </c:pt>
                <c:pt idx="65">
                  <c:v>3.23755759745836E-3</c:v>
                </c:pt>
                <c:pt idx="66">
                  <c:v>3.30847897566855E-3</c:v>
                </c:pt>
                <c:pt idx="67">
                  <c:v>3.2724766060710001E-3</c:v>
                </c:pt>
                <c:pt idx="68">
                  <c:v>3.2482137903571098E-3</c:v>
                </c:pt>
                <c:pt idx="69">
                  <c:v>3.2673254609108002E-3</c:v>
                </c:pt>
                <c:pt idx="70">
                  <c:v>3.2514804042875801E-3</c:v>
                </c:pt>
                <c:pt idx="71">
                  <c:v>3.24232433922589E-3</c:v>
                </c:pt>
                <c:pt idx="72">
                  <c:v>3.3130862284451701E-3</c:v>
                </c:pt>
                <c:pt idx="73">
                  <c:v>3.2158568501472499E-3</c:v>
                </c:pt>
                <c:pt idx="74">
                  <c:v>3.2473220489919199E-3</c:v>
                </c:pt>
                <c:pt idx="75">
                  <c:v>3.26227839104831E-3</c:v>
                </c:pt>
                <c:pt idx="76">
                  <c:v>3.2189348712563502E-3</c:v>
                </c:pt>
                <c:pt idx="77">
                  <c:v>3.2716649584472201E-3</c:v>
                </c:pt>
                <c:pt idx="78">
                  <c:v>3.3103195019066299E-3</c:v>
                </c:pt>
                <c:pt idx="79">
                  <c:v>3.25495563447475E-3</c:v>
                </c:pt>
                <c:pt idx="80">
                  <c:v>3.2500762026757002E-3</c:v>
                </c:pt>
                <c:pt idx="81">
                  <c:v>3.2530801836401198E-3</c:v>
                </c:pt>
                <c:pt idx="82">
                  <c:v>3.2669047359377098E-3</c:v>
                </c:pt>
                <c:pt idx="83">
                  <c:v>3.2350101973861499E-3</c:v>
                </c:pt>
                <c:pt idx="84">
                  <c:v>3.2550280448049298E-3</c:v>
                </c:pt>
                <c:pt idx="85">
                  <c:v>3.2533751800656301E-3</c:v>
                </c:pt>
                <c:pt idx="86">
                  <c:v>3.2138794194906898E-3</c:v>
                </c:pt>
                <c:pt idx="87">
                  <c:v>3.2447027042508099E-3</c:v>
                </c:pt>
                <c:pt idx="88">
                  <c:v>3.21363587863743E-3</c:v>
                </c:pt>
                <c:pt idx="89">
                  <c:v>3.2041112426668401E-3</c:v>
                </c:pt>
                <c:pt idx="90">
                  <c:v>3.2493935432285101E-3</c:v>
                </c:pt>
                <c:pt idx="91">
                  <c:v>3.2459180802106901E-3</c:v>
                </c:pt>
                <c:pt idx="92">
                  <c:v>3.2311400864273301E-3</c:v>
                </c:pt>
                <c:pt idx="93">
                  <c:v>3.2334586139768401E-3</c:v>
                </c:pt>
                <c:pt idx="94">
                  <c:v>3.2408251427114001E-3</c:v>
                </c:pt>
                <c:pt idx="95">
                  <c:v>3.2034921459853601E-3</c:v>
                </c:pt>
                <c:pt idx="96">
                  <c:v>3.2157916575670199E-3</c:v>
                </c:pt>
                <c:pt idx="97">
                  <c:v>3.2561675179749701E-3</c:v>
                </c:pt>
                <c:pt idx="98">
                  <c:v>3.21924244053662E-3</c:v>
                </c:pt>
                <c:pt idx="99">
                  <c:v>3.2458901405334499E-3</c:v>
                </c:pt>
                <c:pt idx="100">
                  <c:v>3.26872430741787E-3</c:v>
                </c:pt>
                <c:pt idx="101">
                  <c:v>3.2196312677115202E-3</c:v>
                </c:pt>
                <c:pt idx="102">
                  <c:v>3.2275759149342801E-3</c:v>
                </c:pt>
                <c:pt idx="103">
                  <c:v>3.24372225441039E-3</c:v>
                </c:pt>
                <c:pt idx="104">
                  <c:v>3.2041803933680101E-3</c:v>
                </c:pt>
                <c:pt idx="105">
                  <c:v>3.2116447109729099E-3</c:v>
                </c:pt>
                <c:pt idx="106">
                  <c:v>3.26586281880736E-3</c:v>
                </c:pt>
                <c:pt idx="107">
                  <c:v>3.2286436762660698E-3</c:v>
                </c:pt>
                <c:pt idx="108">
                  <c:v>3.2680977601558E-3</c:v>
                </c:pt>
                <c:pt idx="109">
                  <c:v>3.3874369692057401E-3</c:v>
                </c:pt>
                <c:pt idx="110">
                  <c:v>3.2397396862506901E-3</c:v>
                </c:pt>
                <c:pt idx="111">
                  <c:v>3.2115394715219701E-3</c:v>
                </c:pt>
                <c:pt idx="112">
                  <c:v>3.2077841460704799E-3</c:v>
                </c:pt>
                <c:pt idx="113">
                  <c:v>3.1953947618603702E-3</c:v>
                </c:pt>
                <c:pt idx="114">
                  <c:v>3.1871395185589799E-3</c:v>
                </c:pt>
                <c:pt idx="115">
                  <c:v>3.1941074412316101E-3</c:v>
                </c:pt>
                <c:pt idx="116">
                  <c:v>3.1915295403450701E-3</c:v>
                </c:pt>
                <c:pt idx="117">
                  <c:v>3.2091755419969602E-3</c:v>
                </c:pt>
                <c:pt idx="118">
                  <c:v>3.2732249237597002E-3</c:v>
                </c:pt>
                <c:pt idx="119">
                  <c:v>3.2391748391091802E-3</c:v>
                </c:pt>
                <c:pt idx="120">
                  <c:v>3.2883340027183299E-3</c:v>
                </c:pt>
                <c:pt idx="121">
                  <c:v>3.2898467034101499E-3</c:v>
                </c:pt>
                <c:pt idx="122">
                  <c:v>3.2706838101148601E-3</c:v>
                </c:pt>
                <c:pt idx="123">
                  <c:v>3.2376025337725899E-3</c:v>
                </c:pt>
                <c:pt idx="124">
                  <c:v>3.25208553113043E-3</c:v>
                </c:pt>
                <c:pt idx="125">
                  <c:v>3.2276124693453299E-3</c:v>
                </c:pt>
                <c:pt idx="126">
                  <c:v>3.2070730812847601E-3</c:v>
                </c:pt>
                <c:pt idx="127">
                  <c:v>3.2152808271348498E-3</c:v>
                </c:pt>
                <c:pt idx="128">
                  <c:v>3.21434950456023E-3</c:v>
                </c:pt>
                <c:pt idx="129">
                  <c:v>3.19666042923927E-3</c:v>
                </c:pt>
                <c:pt idx="130">
                  <c:v>3.28161614015698E-3</c:v>
                </c:pt>
                <c:pt idx="131">
                  <c:v>3.2164272852242002E-3</c:v>
                </c:pt>
                <c:pt idx="132">
                  <c:v>3.21280583739281E-3</c:v>
                </c:pt>
                <c:pt idx="133">
                  <c:v>3.25030251406133E-3</c:v>
                </c:pt>
                <c:pt idx="134">
                  <c:v>3.2146489247679702E-3</c:v>
                </c:pt>
                <c:pt idx="135">
                  <c:v>3.1954473815858399E-3</c:v>
                </c:pt>
                <c:pt idx="136">
                  <c:v>3.2264713663607801E-3</c:v>
                </c:pt>
                <c:pt idx="137">
                  <c:v>3.1954825390130299E-3</c:v>
                </c:pt>
                <c:pt idx="138">
                  <c:v>3.2173134386539498E-3</c:v>
                </c:pt>
                <c:pt idx="139">
                  <c:v>3.23623814620078E-3</c:v>
                </c:pt>
                <c:pt idx="140">
                  <c:v>3.1869166996330001E-3</c:v>
                </c:pt>
                <c:pt idx="141">
                  <c:v>3.18005098961294E-3</c:v>
                </c:pt>
                <c:pt idx="142">
                  <c:v>3.2110319007188099E-3</c:v>
                </c:pt>
                <c:pt idx="143">
                  <c:v>3.18978726863861E-3</c:v>
                </c:pt>
                <c:pt idx="144">
                  <c:v>3.1974834855645899E-3</c:v>
                </c:pt>
                <c:pt idx="145">
                  <c:v>3.1945023220032501E-3</c:v>
                </c:pt>
                <c:pt idx="146">
                  <c:v>3.1926599331200101E-3</c:v>
                </c:pt>
                <c:pt idx="147">
                  <c:v>3.19007318466902E-3</c:v>
                </c:pt>
                <c:pt idx="148">
                  <c:v>3.2086856663227099E-3</c:v>
                </c:pt>
                <c:pt idx="149">
                  <c:v>3.1952834688127002E-3</c:v>
                </c:pt>
              </c:numCache>
            </c:numRef>
          </c:val>
          <c:smooth val="0"/>
        </c:ser>
        <c:dLbls>
          <c:showLegendKey val="0"/>
          <c:showVal val="0"/>
          <c:showCatName val="0"/>
          <c:showSerName val="0"/>
          <c:showPercent val="0"/>
          <c:showBubbleSize val="0"/>
        </c:dLbls>
        <c:marker val="1"/>
        <c:smooth val="0"/>
        <c:axId val="209258304"/>
        <c:axId val="209267008"/>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MSE!$C$2:$C$152</c:f>
              <c:numCache>
                <c:formatCode>0</c:formatCode>
                <c:ptCount val="150"/>
                <c:pt idx="0">
                  <c:v>1844</c:v>
                </c:pt>
                <c:pt idx="1">
                  <c:v>1803</c:v>
                </c:pt>
                <c:pt idx="2">
                  <c:v>1805</c:v>
                </c:pt>
                <c:pt idx="3">
                  <c:v>1823</c:v>
                </c:pt>
                <c:pt idx="4">
                  <c:v>1804</c:v>
                </c:pt>
                <c:pt idx="5">
                  <c:v>1827</c:v>
                </c:pt>
                <c:pt idx="6">
                  <c:v>1898</c:v>
                </c:pt>
                <c:pt idx="7">
                  <c:v>1804</c:v>
                </c:pt>
                <c:pt idx="8">
                  <c:v>1804</c:v>
                </c:pt>
                <c:pt idx="9">
                  <c:v>1802</c:v>
                </c:pt>
                <c:pt idx="10">
                  <c:v>1819</c:v>
                </c:pt>
                <c:pt idx="11">
                  <c:v>1911</c:v>
                </c:pt>
                <c:pt idx="12">
                  <c:v>1829</c:v>
                </c:pt>
                <c:pt idx="13">
                  <c:v>1802</c:v>
                </c:pt>
                <c:pt idx="14">
                  <c:v>1806</c:v>
                </c:pt>
                <c:pt idx="15">
                  <c:v>1866</c:v>
                </c:pt>
                <c:pt idx="16">
                  <c:v>1803</c:v>
                </c:pt>
                <c:pt idx="17">
                  <c:v>1940</c:v>
                </c:pt>
                <c:pt idx="18">
                  <c:v>1807</c:v>
                </c:pt>
                <c:pt idx="19">
                  <c:v>1804</c:v>
                </c:pt>
                <c:pt idx="20">
                  <c:v>1803</c:v>
                </c:pt>
                <c:pt idx="21">
                  <c:v>1807</c:v>
                </c:pt>
                <c:pt idx="22">
                  <c:v>1828</c:v>
                </c:pt>
                <c:pt idx="23">
                  <c:v>1801</c:v>
                </c:pt>
                <c:pt idx="24">
                  <c:v>1968</c:v>
                </c:pt>
                <c:pt idx="25">
                  <c:v>1846</c:v>
                </c:pt>
                <c:pt idx="26">
                  <c:v>1819</c:v>
                </c:pt>
                <c:pt idx="27">
                  <c:v>1803</c:v>
                </c:pt>
                <c:pt idx="28">
                  <c:v>1805</c:v>
                </c:pt>
                <c:pt idx="29">
                  <c:v>1803</c:v>
                </c:pt>
                <c:pt idx="30">
                  <c:v>1804</c:v>
                </c:pt>
                <c:pt idx="31">
                  <c:v>1805</c:v>
                </c:pt>
                <c:pt idx="32">
                  <c:v>1858</c:v>
                </c:pt>
                <c:pt idx="33">
                  <c:v>1950</c:v>
                </c:pt>
                <c:pt idx="34">
                  <c:v>1801</c:v>
                </c:pt>
                <c:pt idx="35">
                  <c:v>1804</c:v>
                </c:pt>
                <c:pt idx="36">
                  <c:v>1808</c:v>
                </c:pt>
                <c:pt idx="37">
                  <c:v>1806</c:v>
                </c:pt>
                <c:pt idx="38">
                  <c:v>1802</c:v>
                </c:pt>
                <c:pt idx="39">
                  <c:v>1802</c:v>
                </c:pt>
                <c:pt idx="40">
                  <c:v>1893</c:v>
                </c:pt>
                <c:pt idx="41">
                  <c:v>1806</c:v>
                </c:pt>
                <c:pt idx="42">
                  <c:v>1948</c:v>
                </c:pt>
                <c:pt idx="43">
                  <c:v>1933</c:v>
                </c:pt>
                <c:pt idx="44">
                  <c:v>1816</c:v>
                </c:pt>
                <c:pt idx="45">
                  <c:v>1869</c:v>
                </c:pt>
                <c:pt idx="46">
                  <c:v>1813</c:v>
                </c:pt>
                <c:pt idx="47">
                  <c:v>1816</c:v>
                </c:pt>
                <c:pt idx="48">
                  <c:v>1831</c:v>
                </c:pt>
                <c:pt idx="49">
                  <c:v>1819</c:v>
                </c:pt>
                <c:pt idx="50">
                  <c:v>1831</c:v>
                </c:pt>
                <c:pt idx="51">
                  <c:v>1839</c:v>
                </c:pt>
                <c:pt idx="52">
                  <c:v>1806</c:v>
                </c:pt>
                <c:pt idx="53">
                  <c:v>1809</c:v>
                </c:pt>
                <c:pt idx="54">
                  <c:v>1820</c:v>
                </c:pt>
                <c:pt idx="55">
                  <c:v>1819</c:v>
                </c:pt>
                <c:pt idx="56">
                  <c:v>1817</c:v>
                </c:pt>
                <c:pt idx="57">
                  <c:v>1806</c:v>
                </c:pt>
                <c:pt idx="58">
                  <c:v>1808</c:v>
                </c:pt>
                <c:pt idx="59">
                  <c:v>1805</c:v>
                </c:pt>
                <c:pt idx="60">
                  <c:v>1842</c:v>
                </c:pt>
                <c:pt idx="61">
                  <c:v>1810</c:v>
                </c:pt>
                <c:pt idx="62">
                  <c:v>1864</c:v>
                </c:pt>
                <c:pt idx="63">
                  <c:v>1808</c:v>
                </c:pt>
                <c:pt idx="64">
                  <c:v>1909</c:v>
                </c:pt>
                <c:pt idx="65">
                  <c:v>1812</c:v>
                </c:pt>
                <c:pt idx="66">
                  <c:v>1818</c:v>
                </c:pt>
                <c:pt idx="67">
                  <c:v>1803</c:v>
                </c:pt>
                <c:pt idx="68">
                  <c:v>1806</c:v>
                </c:pt>
                <c:pt idx="69">
                  <c:v>1807</c:v>
                </c:pt>
                <c:pt idx="70">
                  <c:v>1874</c:v>
                </c:pt>
                <c:pt idx="71">
                  <c:v>1869</c:v>
                </c:pt>
                <c:pt idx="72">
                  <c:v>1835</c:v>
                </c:pt>
                <c:pt idx="73">
                  <c:v>1808</c:v>
                </c:pt>
                <c:pt idx="74">
                  <c:v>1805</c:v>
                </c:pt>
                <c:pt idx="75">
                  <c:v>1821</c:v>
                </c:pt>
                <c:pt idx="76">
                  <c:v>1815</c:v>
                </c:pt>
                <c:pt idx="77">
                  <c:v>1809</c:v>
                </c:pt>
                <c:pt idx="78">
                  <c:v>1804</c:v>
                </c:pt>
                <c:pt idx="79">
                  <c:v>1803</c:v>
                </c:pt>
                <c:pt idx="80">
                  <c:v>1903</c:v>
                </c:pt>
                <c:pt idx="81">
                  <c:v>1845</c:v>
                </c:pt>
                <c:pt idx="82">
                  <c:v>1843</c:v>
                </c:pt>
                <c:pt idx="83">
                  <c:v>1820</c:v>
                </c:pt>
                <c:pt idx="84">
                  <c:v>1812</c:v>
                </c:pt>
                <c:pt idx="85">
                  <c:v>1815</c:v>
                </c:pt>
                <c:pt idx="86">
                  <c:v>1820</c:v>
                </c:pt>
                <c:pt idx="87">
                  <c:v>1813</c:v>
                </c:pt>
                <c:pt idx="88">
                  <c:v>1825</c:v>
                </c:pt>
                <c:pt idx="89">
                  <c:v>1815</c:v>
                </c:pt>
                <c:pt idx="90">
                  <c:v>1817</c:v>
                </c:pt>
                <c:pt idx="91">
                  <c:v>1817</c:v>
                </c:pt>
                <c:pt idx="92">
                  <c:v>1826</c:v>
                </c:pt>
                <c:pt idx="93">
                  <c:v>1817</c:v>
                </c:pt>
                <c:pt idx="94">
                  <c:v>1869</c:v>
                </c:pt>
                <c:pt idx="95">
                  <c:v>1813</c:v>
                </c:pt>
                <c:pt idx="96">
                  <c:v>1816</c:v>
                </c:pt>
                <c:pt idx="97">
                  <c:v>1901</c:v>
                </c:pt>
                <c:pt idx="98">
                  <c:v>1817</c:v>
                </c:pt>
                <c:pt idx="99">
                  <c:v>1816</c:v>
                </c:pt>
                <c:pt idx="100">
                  <c:v>1818</c:v>
                </c:pt>
                <c:pt idx="101">
                  <c:v>1845</c:v>
                </c:pt>
                <c:pt idx="102">
                  <c:v>1832</c:v>
                </c:pt>
                <c:pt idx="103">
                  <c:v>1815</c:v>
                </c:pt>
                <c:pt idx="104">
                  <c:v>1857</c:v>
                </c:pt>
                <c:pt idx="105">
                  <c:v>1840</c:v>
                </c:pt>
                <c:pt idx="106">
                  <c:v>1837</c:v>
                </c:pt>
                <c:pt idx="107">
                  <c:v>1826</c:v>
                </c:pt>
                <c:pt idx="108">
                  <c:v>1847</c:v>
                </c:pt>
                <c:pt idx="109">
                  <c:v>1819</c:v>
                </c:pt>
                <c:pt idx="110">
                  <c:v>1823</c:v>
                </c:pt>
                <c:pt idx="111">
                  <c:v>1877</c:v>
                </c:pt>
                <c:pt idx="112">
                  <c:v>1818</c:v>
                </c:pt>
                <c:pt idx="113">
                  <c:v>1861</c:v>
                </c:pt>
                <c:pt idx="114">
                  <c:v>1825</c:v>
                </c:pt>
                <c:pt idx="115">
                  <c:v>1818</c:v>
                </c:pt>
                <c:pt idx="116">
                  <c:v>1816</c:v>
                </c:pt>
                <c:pt idx="117">
                  <c:v>1837</c:v>
                </c:pt>
                <c:pt idx="118">
                  <c:v>1895</c:v>
                </c:pt>
                <c:pt idx="119">
                  <c:v>1816</c:v>
                </c:pt>
                <c:pt idx="120">
                  <c:v>1815</c:v>
                </c:pt>
                <c:pt idx="121">
                  <c:v>1814</c:v>
                </c:pt>
                <c:pt idx="122">
                  <c:v>1834</c:v>
                </c:pt>
                <c:pt idx="123">
                  <c:v>1818</c:v>
                </c:pt>
                <c:pt idx="124">
                  <c:v>1817</c:v>
                </c:pt>
                <c:pt idx="125">
                  <c:v>1812</c:v>
                </c:pt>
                <c:pt idx="126">
                  <c:v>1915</c:v>
                </c:pt>
                <c:pt idx="127">
                  <c:v>1871</c:v>
                </c:pt>
                <c:pt idx="128">
                  <c:v>1877</c:v>
                </c:pt>
                <c:pt idx="129">
                  <c:v>1838</c:v>
                </c:pt>
                <c:pt idx="130">
                  <c:v>1821</c:v>
                </c:pt>
                <c:pt idx="131">
                  <c:v>1894</c:v>
                </c:pt>
                <c:pt idx="132">
                  <c:v>1816</c:v>
                </c:pt>
                <c:pt idx="133">
                  <c:v>1844</c:v>
                </c:pt>
                <c:pt idx="134">
                  <c:v>1818</c:v>
                </c:pt>
                <c:pt idx="135">
                  <c:v>1821</c:v>
                </c:pt>
                <c:pt idx="136">
                  <c:v>1818</c:v>
                </c:pt>
                <c:pt idx="137">
                  <c:v>1949</c:v>
                </c:pt>
                <c:pt idx="138">
                  <c:v>1815</c:v>
                </c:pt>
                <c:pt idx="139">
                  <c:v>1816</c:v>
                </c:pt>
                <c:pt idx="140">
                  <c:v>1839</c:v>
                </c:pt>
                <c:pt idx="141">
                  <c:v>1823</c:v>
                </c:pt>
                <c:pt idx="142">
                  <c:v>1946</c:v>
                </c:pt>
                <c:pt idx="143">
                  <c:v>1820</c:v>
                </c:pt>
                <c:pt idx="144">
                  <c:v>1840</c:v>
                </c:pt>
                <c:pt idx="145">
                  <c:v>1816</c:v>
                </c:pt>
                <c:pt idx="146">
                  <c:v>1831</c:v>
                </c:pt>
                <c:pt idx="147">
                  <c:v>1818</c:v>
                </c:pt>
                <c:pt idx="148">
                  <c:v>1844</c:v>
                </c:pt>
                <c:pt idx="149">
                  <c:v>1830</c:v>
                </c:pt>
              </c:numCache>
            </c:numRef>
          </c:val>
          <c:smooth val="0"/>
        </c:ser>
        <c:dLbls>
          <c:showLegendKey val="0"/>
          <c:showVal val="0"/>
          <c:showCatName val="0"/>
          <c:showSerName val="0"/>
          <c:showPercent val="0"/>
          <c:showBubbleSize val="0"/>
        </c:dLbls>
        <c:marker val="1"/>
        <c:smooth val="0"/>
        <c:axId val="209261024"/>
        <c:axId val="209261568"/>
      </c:lineChart>
      <c:catAx>
        <c:axId val="20925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7008"/>
        <c:crosses val="autoZero"/>
        <c:auto val="1"/>
        <c:lblAlgn val="ctr"/>
        <c:lblOffset val="100"/>
        <c:noMultiLvlLbl val="0"/>
      </c:catAx>
      <c:valAx>
        <c:axId val="2092670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58304"/>
        <c:crosses val="autoZero"/>
        <c:crossBetween val="between"/>
      </c:valAx>
      <c:valAx>
        <c:axId val="20926156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1024"/>
        <c:crosses val="max"/>
        <c:crossBetween val="between"/>
      </c:valAx>
      <c:catAx>
        <c:axId val="209261024"/>
        <c:scaling>
          <c:orientation val="minMax"/>
        </c:scaling>
        <c:delete val="1"/>
        <c:axPos val="b"/>
        <c:numFmt formatCode="General" sourceLinked="1"/>
        <c:majorTickMark val="out"/>
        <c:minorTickMark val="none"/>
        <c:tickLblPos val="nextTo"/>
        <c:crossAx val="2092615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Run_TRS!$B$4:$B$76</c:f>
              <c:numCache>
                <c:formatCode>General</c:formatCode>
                <c:ptCount val="72"/>
                <c:pt idx="0">
                  <c:v>4.4440797064453426E-2</c:v>
                </c:pt>
                <c:pt idx="1">
                  <c:v>4.4868818949908032E-2</c:v>
                </c:pt>
                <c:pt idx="2">
                  <c:v>1.8713481258601013E-2</c:v>
                </c:pt>
                <c:pt idx="3">
                  <c:v>8.6377961561084245E-3</c:v>
                </c:pt>
                <c:pt idx="4">
                  <c:v>2.1484042285010191E-2</c:v>
                </c:pt>
                <c:pt idx="5">
                  <c:v>3.7143375026062186E-2</c:v>
                </c:pt>
                <c:pt idx="6">
                  <c:v>6.1267412733286633E-2</c:v>
                </c:pt>
                <c:pt idx="7">
                  <c:v>5.4131581448018523E-2</c:v>
                </c:pt>
                <c:pt idx="8">
                  <c:v>2.8918968513607989E-2</c:v>
                </c:pt>
                <c:pt idx="9">
                  <c:v>4.9570688046514974E-2</c:v>
                </c:pt>
                <c:pt idx="10">
                  <c:v>4.7778313979506458E-2</c:v>
                </c:pt>
                <c:pt idx="11">
                  <c:v>1.65715524926781E-2</c:v>
                </c:pt>
                <c:pt idx="12">
                  <c:v>2.3891019169241124E-2</c:v>
                </c:pt>
                <c:pt idx="13">
                  <c:v>4.574528662487868E-2</c:v>
                </c:pt>
                <c:pt idx="14">
                  <c:v>4.2541736038402157E-3</c:v>
                </c:pt>
                <c:pt idx="15">
                  <c:v>-3.8520126487128457E-2</c:v>
                </c:pt>
                <c:pt idx="16">
                  <c:v>9.5853502862154744E-3</c:v>
                </c:pt>
                <c:pt idx="17">
                  <c:v>6.7996830679476108E-2</c:v>
                </c:pt>
                <c:pt idx="18">
                  <c:v>9.4240868929773416E-2</c:v>
                </c:pt>
                <c:pt idx="19">
                  <c:v>0.10421087406575666</c:v>
                </c:pt>
                <c:pt idx="20">
                  <c:v>9.9029108881950337E-2</c:v>
                </c:pt>
                <c:pt idx="21">
                  <c:v>5.4099107626825627E-2</c:v>
                </c:pt>
                <c:pt idx="22">
                  <c:v>2.7861666399985628E-2</c:v>
                </c:pt>
                <c:pt idx="23">
                  <c:v>5.2910610567778432E-2</c:v>
                </c:pt>
                <c:pt idx="24">
                  <c:v>5.2076078951358851E-2</c:v>
                </c:pt>
                <c:pt idx="25">
                  <c:v>3.2877706573344753E-2</c:v>
                </c:pt>
                <c:pt idx="26">
                  <c:v>2.7381384395994197E-2</c:v>
                </c:pt>
                <c:pt idx="27">
                  <c:v>2.5867537828162389E-2</c:v>
                </c:pt>
                <c:pt idx="28">
                  <c:v>2.5244854856282486E-2</c:v>
                </c:pt>
                <c:pt idx="29">
                  <c:v>2.6282703969627674E-2</c:v>
                </c:pt>
                <c:pt idx="30">
                  <c:v>2.775894687511031E-2</c:v>
                </c:pt>
                <c:pt idx="31">
                  <c:v>1.9741119816899196E-2</c:v>
                </c:pt>
                <c:pt idx="32">
                  <c:v>5.151159130035738E-4</c:v>
                </c:pt>
                <c:pt idx="33">
                  <c:v>-9.841782040894153E-3</c:v>
                </c:pt>
                <c:pt idx="34">
                  <c:v>1.2199807912111288E-2</c:v>
                </c:pt>
                <c:pt idx="35">
                  <c:v>2.6572521310299649E-2</c:v>
                </c:pt>
                <c:pt idx="36">
                  <c:v>1.4433497795835066E-2</c:v>
                </c:pt>
                <c:pt idx="37">
                  <c:v>-3.263726201839752E-2</c:v>
                </c:pt>
                <c:pt idx="38">
                  <c:v>-6.7962522152811303E-2</c:v>
                </c:pt>
                <c:pt idx="39">
                  <c:v>-4.3957059737294885E-2</c:v>
                </c:pt>
                <c:pt idx="40">
                  <c:v>5.2630873396993169E-3</c:v>
                </c:pt>
                <c:pt idx="41">
                  <c:v>3.506322484463454E-2</c:v>
                </c:pt>
                <c:pt idx="42">
                  <c:v>8.1312754191457306E-3</c:v>
                </c:pt>
                <c:pt idx="43">
                  <c:v>-8.7369517423212511E-3</c:v>
                </c:pt>
                <c:pt idx="44">
                  <c:v>1.6336829634383383E-2</c:v>
                </c:pt>
                <c:pt idx="45">
                  <c:v>2.3212940432131311E-2</c:v>
                </c:pt>
                <c:pt idx="46">
                  <c:v>2.1835570456460077E-2</c:v>
                </c:pt>
                <c:pt idx="47">
                  <c:v>3.2704338897019514E-2</c:v>
                </c:pt>
                <c:pt idx="48">
                  <c:v>3.6254413891583626E-2</c:v>
                </c:pt>
                <c:pt idx="49">
                  <c:v>3.3072926569730002E-2</c:v>
                </c:pt>
                <c:pt idx="50">
                  <c:v>4.4632381759583881E-2</c:v>
                </c:pt>
                <c:pt idx="51">
                  <c:v>5.1662953570485039E-2</c:v>
                </c:pt>
                <c:pt idx="52">
                  <c:v>3.1728608184494023E-2</c:v>
                </c:pt>
                <c:pt idx="53">
                  <c:v>1.7872964148409692E-2</c:v>
                </c:pt>
                <c:pt idx="54">
                  <c:v>2.0992995938286199E-2</c:v>
                </c:pt>
                <c:pt idx="55">
                  <c:v>3.4853578312322483E-2</c:v>
                </c:pt>
                <c:pt idx="56">
                  <c:v>6.3088729511946509E-3</c:v>
                </c:pt>
                <c:pt idx="57">
                  <c:v>-2.4381759343668877E-2</c:v>
                </c:pt>
                <c:pt idx="58">
                  <c:v>9.1806270647793124E-3</c:v>
                </c:pt>
                <c:pt idx="59">
                  <c:v>3.0704719480126996E-2</c:v>
                </c:pt>
                <c:pt idx="60">
                  <c:v>4.1423380142077831E-2</c:v>
                </c:pt>
                <c:pt idx="61">
                  <c:v>8.0822214949876181E-2</c:v>
                </c:pt>
                <c:pt idx="62">
                  <c:v>9.0108012780547114E-2</c:v>
                </c:pt>
                <c:pt idx="63">
                  <c:v>5.2315947134047733E-2</c:v>
                </c:pt>
                <c:pt idx="64">
                  <c:v>3.3923745620995774E-2</c:v>
                </c:pt>
                <c:pt idx="65">
                  <c:v>3.5943117458373267E-2</c:v>
                </c:pt>
                <c:pt idx="66">
                  <c:v>3.3633244456723249E-2</c:v>
                </c:pt>
                <c:pt idx="67">
                  <c:v>3.4997855545952902E-2</c:v>
                </c:pt>
                <c:pt idx="68">
                  <c:v>3.1087639275938342E-2</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Run_TRS!$C$4:$C$76</c:f>
              <c:numCache>
                <c:formatCode>General</c:formatCode>
                <c:ptCount val="72"/>
                <c:pt idx="50">
                  <c:v>4.5220901258289793E-2</c:v>
                </c:pt>
                <c:pt idx="51">
                  <c:v>5.2619137801229926E-2</c:v>
                </c:pt>
                <c:pt idx="52">
                  <c:v>3.1288349768146803E-2</c:v>
                </c:pt>
                <c:pt idx="53">
                  <c:v>1.878273091278964E-2</c:v>
                </c:pt>
                <c:pt idx="54">
                  <c:v>1.9979247124865675E-2</c:v>
                </c:pt>
                <c:pt idx="55">
                  <c:v>3.4114417852833895E-2</c:v>
                </c:pt>
                <c:pt idx="56">
                  <c:v>3.6751411389559004E-3</c:v>
                </c:pt>
                <c:pt idx="57">
                  <c:v>-2.3237743182107723E-2</c:v>
                </c:pt>
                <c:pt idx="58">
                  <c:v>1.011159177869551E-2</c:v>
                </c:pt>
                <c:pt idx="59">
                  <c:v>3.0753274448216052E-2</c:v>
                </c:pt>
                <c:pt idx="60">
                  <c:v>4.2948518646881026E-2</c:v>
                </c:pt>
                <c:pt idx="61">
                  <c:v>8.1715817097574597E-2</c:v>
                </c:pt>
                <c:pt idx="62">
                  <c:v>9.2042666859924765E-2</c:v>
                </c:pt>
                <c:pt idx="63">
                  <c:v>5.348239507293321E-2</c:v>
                </c:pt>
                <c:pt idx="64">
                  <c:v>3.4273814177140552E-2</c:v>
                </c:pt>
                <c:pt idx="65">
                  <c:v>3.3461044309660834E-2</c:v>
                </c:pt>
                <c:pt idx="66">
                  <c:v>3.3428423572331674E-2</c:v>
                </c:pt>
                <c:pt idx="67">
                  <c:v>3.4825428389012848E-2</c:v>
                </c:pt>
                <c:pt idx="68">
                  <c:v>3.6045392742380486E-2</c:v>
                </c:pt>
                <c:pt idx="69">
                  <c:v>4.1025088576134364E-2</c:v>
                </c:pt>
                <c:pt idx="70">
                  <c:v>4.9937332049012129E-2</c:v>
                </c:pt>
                <c:pt idx="71">
                  <c:v>3.8075963268056623E-2</c:v>
                </c:pt>
              </c:numCache>
            </c:numRef>
          </c:val>
          <c:smooth val="0"/>
        </c:ser>
        <c:dLbls>
          <c:showLegendKey val="0"/>
          <c:showVal val="0"/>
          <c:showCatName val="0"/>
          <c:showSerName val="0"/>
          <c:showPercent val="0"/>
          <c:showBubbleSize val="0"/>
        </c:dLbls>
        <c:marker val="1"/>
        <c:smooth val="0"/>
        <c:axId val="209266464"/>
        <c:axId val="209270272"/>
      </c:lineChart>
      <c:lineChart>
        <c:grouping val="standard"/>
        <c:varyColors val="0"/>
        <c:ser>
          <c:idx val="2"/>
          <c:order val="2"/>
          <c:tx>
            <c:strRef>
              <c:f>Run_TRS!$D$3</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Run_TRS!$D$4:$D$76</c:f>
              <c:numCache>
                <c:formatCode>General</c:formatCode>
                <c:ptCount val="72"/>
                <c:pt idx="50">
                  <c:v>4.0976321324706876E-3</c:v>
                </c:pt>
                <c:pt idx="51">
                  <c:v>3.1564338132738625E-3</c:v>
                </c:pt>
                <c:pt idx="52">
                  <c:v>2.1067300112917846E-3</c:v>
                </c:pt>
                <c:pt idx="53">
                  <c:v>3.3643868518993263E-3</c:v>
                </c:pt>
                <c:pt idx="54">
                  <c:v>2.67456984147425E-3</c:v>
                </c:pt>
                <c:pt idx="55">
                  <c:v>4.5387367717922133E-3</c:v>
                </c:pt>
                <c:pt idx="56">
                  <c:v>5.0272862426937242E-3</c:v>
                </c:pt>
                <c:pt idx="57">
                  <c:v>2.8799059800803752E-3</c:v>
                </c:pt>
                <c:pt idx="58">
                  <c:v>3.1211825553327998E-3</c:v>
                </c:pt>
                <c:pt idx="59">
                  <c:v>5.6057088077066507E-3</c:v>
                </c:pt>
                <c:pt idx="60">
                  <c:v>7.1931849233805994E-3</c:v>
                </c:pt>
                <c:pt idx="61">
                  <c:v>4.5289788395165131E-3</c:v>
                </c:pt>
                <c:pt idx="62">
                  <c:v>6.5028918907046466E-3</c:v>
                </c:pt>
                <c:pt idx="63">
                  <c:v>7.40202370798219E-3</c:v>
                </c:pt>
                <c:pt idx="64">
                  <c:v>9.3417286407203003E-3</c:v>
                </c:pt>
                <c:pt idx="65">
                  <c:v>4.8610784579069489E-3</c:v>
                </c:pt>
                <c:pt idx="66">
                  <c:v>1.0973540367558675E-2</c:v>
                </c:pt>
                <c:pt idx="67">
                  <c:v>9.5618402119726983E-3</c:v>
                </c:pt>
                <c:pt idx="68">
                  <c:v>7.6137271244079005E-3</c:v>
                </c:pt>
              </c:numCache>
            </c:numRef>
          </c:val>
          <c:smooth val="0"/>
        </c:ser>
        <c:dLbls>
          <c:showLegendKey val="0"/>
          <c:showVal val="0"/>
          <c:showCatName val="0"/>
          <c:showSerName val="0"/>
          <c:showPercent val="0"/>
          <c:showBubbleSize val="0"/>
        </c:dLbls>
        <c:marker val="1"/>
        <c:smooth val="0"/>
        <c:axId val="209267552"/>
        <c:axId val="209270816"/>
      </c:lineChart>
      <c:catAx>
        <c:axId val="209266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70272"/>
        <c:crosses val="autoZero"/>
        <c:auto val="1"/>
        <c:lblAlgn val="ctr"/>
        <c:lblOffset val="100"/>
        <c:noMultiLvlLbl val="0"/>
      </c:catAx>
      <c:valAx>
        <c:axId val="209270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6464"/>
        <c:crosses val="autoZero"/>
        <c:crossBetween val="between"/>
      </c:valAx>
      <c:valAx>
        <c:axId val="20927081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7552"/>
        <c:crosses val="max"/>
        <c:crossBetween val="between"/>
      </c:valAx>
      <c:catAx>
        <c:axId val="209267552"/>
        <c:scaling>
          <c:orientation val="minMax"/>
        </c:scaling>
        <c:delete val="1"/>
        <c:axPos val="b"/>
        <c:numFmt formatCode="General" sourceLinked="1"/>
        <c:majorTickMark val="out"/>
        <c:minorTickMark val="none"/>
        <c:tickLblPos val="nextTo"/>
        <c:crossAx val="20927081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Run_TR!$A$2:$A$74</c:f>
              <c:strCache>
                <c:ptCount val="72"/>
                <c:pt idx="0">
                  <c:v>2018-07-25-02:00</c:v>
                </c:pt>
                <c:pt idx="1">
                  <c:v>2018-07-25-03:00</c:v>
                </c:pt>
                <c:pt idx="2">
                  <c:v>2018-07-25-04:00</c:v>
                </c:pt>
                <c:pt idx="3">
                  <c:v>2018-07-25-05:00</c:v>
                </c:pt>
                <c:pt idx="4">
                  <c:v>2018-07-25-06:00</c:v>
                </c:pt>
                <c:pt idx="5">
                  <c:v>2018-07-25-07:00</c:v>
                </c:pt>
                <c:pt idx="6">
                  <c:v>2018-07-25-08:00</c:v>
                </c:pt>
                <c:pt idx="7">
                  <c:v>2018-07-25-09:00</c:v>
                </c:pt>
                <c:pt idx="8">
                  <c:v>2018-07-25-10:00</c:v>
                </c:pt>
                <c:pt idx="9">
                  <c:v>2018-07-25-11:00</c:v>
                </c:pt>
                <c:pt idx="10">
                  <c:v>2018-07-25-12:00</c:v>
                </c:pt>
                <c:pt idx="11">
                  <c:v>2018-07-25-13:00</c:v>
                </c:pt>
                <c:pt idx="12">
                  <c:v>2018-07-25-14:00</c:v>
                </c:pt>
                <c:pt idx="13">
                  <c:v>2018-07-25-15:00</c:v>
                </c:pt>
                <c:pt idx="14">
                  <c:v>2018-07-25-16:00</c:v>
                </c:pt>
                <c:pt idx="15">
                  <c:v>2018-07-25-17:00</c:v>
                </c:pt>
                <c:pt idx="16">
                  <c:v>2018-07-25-18:00</c:v>
                </c:pt>
                <c:pt idx="17">
                  <c:v>2018-07-25-19:00</c:v>
                </c:pt>
                <c:pt idx="18">
                  <c:v>2018-07-25-20:00</c:v>
                </c:pt>
                <c:pt idx="19">
                  <c:v>2018-07-25-21:00</c:v>
                </c:pt>
                <c:pt idx="20">
                  <c:v>2018-07-25-22:00</c:v>
                </c:pt>
                <c:pt idx="21">
                  <c:v>2018-07-25-23:00</c:v>
                </c:pt>
                <c:pt idx="22">
                  <c:v>2018-07-26-00:00</c:v>
                </c:pt>
                <c:pt idx="23">
                  <c:v>2018-07-26-01:00</c:v>
                </c:pt>
                <c:pt idx="24">
                  <c:v>2018-07-26-02:00</c:v>
                </c:pt>
                <c:pt idx="25">
                  <c:v>2018-07-26-03:00</c:v>
                </c:pt>
                <c:pt idx="26">
                  <c:v>2018-07-26-04:00</c:v>
                </c:pt>
                <c:pt idx="27">
                  <c:v>2018-07-26-05:00</c:v>
                </c:pt>
                <c:pt idx="28">
                  <c:v>2018-07-26-06:00</c:v>
                </c:pt>
                <c:pt idx="29">
                  <c:v>2018-07-26-07:00</c:v>
                </c:pt>
                <c:pt idx="30">
                  <c:v>2018-07-26-08:00</c:v>
                </c:pt>
                <c:pt idx="31">
                  <c:v>2018-07-26-09:00</c:v>
                </c:pt>
                <c:pt idx="32">
                  <c:v>2018-07-26-10:00</c:v>
                </c:pt>
                <c:pt idx="33">
                  <c:v>2018-07-26-11:00</c:v>
                </c:pt>
                <c:pt idx="34">
                  <c:v>2018-07-26-12:00</c:v>
                </c:pt>
                <c:pt idx="35">
                  <c:v>2018-07-26-13:00</c:v>
                </c:pt>
                <c:pt idx="36">
                  <c:v>2018-07-26-14:00</c:v>
                </c:pt>
                <c:pt idx="37">
                  <c:v>2018-07-26-15:00</c:v>
                </c:pt>
                <c:pt idx="38">
                  <c:v>2018-07-26-16:00</c:v>
                </c:pt>
                <c:pt idx="39">
                  <c:v>2018-07-26-17:00</c:v>
                </c:pt>
                <c:pt idx="40">
                  <c:v>2018-07-26-18:00</c:v>
                </c:pt>
                <c:pt idx="41">
                  <c:v>2018-07-26-19:00</c:v>
                </c:pt>
                <c:pt idx="42">
                  <c:v>2018-07-26-20:00</c:v>
                </c:pt>
                <c:pt idx="43">
                  <c:v>2018-07-26-21:00</c:v>
                </c:pt>
                <c:pt idx="44">
                  <c:v>2018-07-26-22:00</c:v>
                </c:pt>
                <c:pt idx="45">
                  <c:v>2018-07-26-23:00</c:v>
                </c:pt>
                <c:pt idx="46">
                  <c:v>2018-07-27-00:00</c:v>
                </c:pt>
                <c:pt idx="47">
                  <c:v>2018-07-27-01:00</c:v>
                </c:pt>
                <c:pt idx="48">
                  <c:v>2018-07-27-02:00</c:v>
                </c:pt>
                <c:pt idx="49">
                  <c:v>2018-07-27-03:00</c:v>
                </c:pt>
                <c:pt idx="50">
                  <c:v>2018-07-27-04:00</c:v>
                </c:pt>
                <c:pt idx="51">
                  <c:v>2018-07-27-05:00</c:v>
                </c:pt>
                <c:pt idx="52">
                  <c:v>2018-07-27-06:00</c:v>
                </c:pt>
                <c:pt idx="53">
                  <c:v>2018-07-27-07:00</c:v>
                </c:pt>
                <c:pt idx="54">
                  <c:v>2018-07-27-08:00</c:v>
                </c:pt>
                <c:pt idx="55">
                  <c:v>2018-07-27-09:00</c:v>
                </c:pt>
                <c:pt idx="56">
                  <c:v>2018-07-27-10:00</c:v>
                </c:pt>
                <c:pt idx="57">
                  <c:v>2018-07-27-11:00</c:v>
                </c:pt>
                <c:pt idx="58">
                  <c:v>2018-07-27-12:00</c:v>
                </c:pt>
                <c:pt idx="59">
                  <c:v>2018-07-27-13:00</c:v>
                </c:pt>
                <c:pt idx="60">
                  <c:v>2018-07-27-14:00</c:v>
                </c:pt>
                <c:pt idx="61">
                  <c:v>2018-07-27-15:00</c:v>
                </c:pt>
                <c:pt idx="62">
                  <c:v>2018-07-27-16:00</c:v>
                </c:pt>
                <c:pt idx="63">
                  <c:v>2018-07-27-17:00</c:v>
                </c:pt>
                <c:pt idx="64">
                  <c:v>2018-07-27-18:00</c:v>
                </c:pt>
                <c:pt idx="65">
                  <c:v>2018-07-27-19:00</c:v>
                </c:pt>
                <c:pt idx="66">
                  <c:v>2018-07-27-20:00</c:v>
                </c:pt>
                <c:pt idx="67">
                  <c:v>2018-07-27-21:00</c:v>
                </c:pt>
                <c:pt idx="68">
                  <c:v>2018-07-27-22:00</c:v>
                </c:pt>
                <c:pt idx="69">
                  <c:v>9999-99-99-99:00</c:v>
                </c:pt>
                <c:pt idx="70">
                  <c:v>9999-99-99-99:01</c:v>
                </c:pt>
                <c:pt idx="71">
                  <c:v>9999-99-99-99:02</c:v>
                </c:pt>
              </c:strCache>
            </c:strRef>
          </c:cat>
          <c:val>
            <c:numRef>
              <c:f>Run_TR!$B$2:$B$74</c:f>
              <c:numCache>
                <c:formatCode>0.00000</c:formatCode>
                <c:ptCount val="72"/>
                <c:pt idx="0">
                  <c:v>2.5999548961408398E-4</c:v>
                </c:pt>
                <c:pt idx="1">
                  <c:v>7.4005126953125E-4</c:v>
                </c:pt>
                <c:pt idx="2">
                  <c:v>5.0997734069824197E-4</c:v>
                </c:pt>
                <c:pt idx="3">
                  <c:v>-1.2300014495849601E-3</c:v>
                </c:pt>
                <c:pt idx="4">
                  <c:v>-2.9003617237322E-4</c:v>
                </c:pt>
                <c:pt idx="5">
                  <c:v>-1.5997888112906399E-4</c:v>
                </c:pt>
                <c:pt idx="6">
                  <c:v>8.5008156020194303E-4</c:v>
                </c:pt>
                <c:pt idx="7">
                  <c:v>9.49978828430176E-4</c:v>
                </c:pt>
                <c:pt idx="8">
                  <c:v>-6.9975838414393406E-5</c:v>
                </c:pt>
                <c:pt idx="9">
                  <c:v>-1.7011162708513401E-4</c:v>
                </c:pt>
                <c:pt idx="10">
                  <c:v>8.1002712249755903E-4</c:v>
                </c:pt>
                <c:pt idx="11">
                  <c:v>-1.00135648608557E-5</c:v>
                </c:pt>
                <c:pt idx="12">
                  <c:v>-5.4001808166503895E-4</c:v>
                </c:pt>
                <c:pt idx="13">
                  <c:v>3.0040768251637901E-5</c:v>
                </c:pt>
                <c:pt idx="14">
                  <c:v>1.19006645400077E-3</c:v>
                </c:pt>
                <c:pt idx="15">
                  <c:v>-1.3200044631957999E-3</c:v>
                </c:pt>
                <c:pt idx="16">
                  <c:v>-1.73008441925049E-3</c:v>
                </c:pt>
                <c:pt idx="17">
                  <c:v>3.2007694244384798E-4</c:v>
                </c:pt>
                <c:pt idx="18">
                  <c:v>1.4899969100952101E-3</c:v>
                </c:pt>
                <c:pt idx="19">
                  <c:v>1.2499094009399401E-3</c:v>
                </c:pt>
                <c:pt idx="20">
                  <c:v>2.6600360870361302E-3</c:v>
                </c:pt>
                <c:pt idx="21">
                  <c:v>-1.49965315358713E-4</c:v>
                </c:pt>
                <c:pt idx="22">
                  <c:v>-3.10063391225412E-4</c:v>
                </c:pt>
                <c:pt idx="23">
                  <c:v>-2.0992757345084101E-4</c:v>
                </c:pt>
                <c:pt idx="24">
                  <c:v>6.8998342612758301E-4</c:v>
                </c:pt>
                <c:pt idx="25">
                  <c:v>-1.00135648608557E-5</c:v>
                </c:pt>
                <c:pt idx="26">
                  <c:v>4.8995018005371105E-4</c:v>
                </c:pt>
                <c:pt idx="27">
                  <c:v>-5.5992603302001996E-4</c:v>
                </c:pt>
                <c:pt idx="28">
                  <c:v>5.9962269006064202E-5</c:v>
                </c:pt>
                <c:pt idx="29">
                  <c:v>-3.70025634765625E-4</c:v>
                </c:pt>
                <c:pt idx="30">
                  <c:v>2.8002262115478499E-4</c:v>
                </c:pt>
                <c:pt idx="31">
                  <c:v>5.1999097922816905E-4</c:v>
                </c:pt>
                <c:pt idx="32">
                  <c:v>-4.5990940998308399E-4</c:v>
                </c:pt>
                <c:pt idx="33">
                  <c:v>-1.0300874710082999E-3</c:v>
                </c:pt>
                <c:pt idx="34">
                  <c:v>-1.0799169540405299E-3</c:v>
                </c:pt>
                <c:pt idx="35">
                  <c:v>0</c:v>
                </c:pt>
                <c:pt idx="36">
                  <c:v>-1.00135648608557E-5</c:v>
                </c:pt>
                <c:pt idx="37">
                  <c:v>1.3399124145507799E-3</c:v>
                </c:pt>
                <c:pt idx="38">
                  <c:v>-3.06999683380127E-3</c:v>
                </c:pt>
                <c:pt idx="39">
                  <c:v>-1.7799139022827101E-3</c:v>
                </c:pt>
                <c:pt idx="40">
                  <c:v>-1.4200210571289099E-3</c:v>
                </c:pt>
                <c:pt idx="41">
                  <c:v>-1.20043732749764E-4</c:v>
                </c:pt>
                <c:pt idx="42">
                  <c:v>-2.3996827076189201E-4</c:v>
                </c:pt>
                <c:pt idx="43">
                  <c:v>-7.2002410888671897E-4</c:v>
                </c:pt>
                <c:pt idx="44">
                  <c:v>-8.8000297546386697E-4</c:v>
                </c:pt>
                <c:pt idx="45">
                  <c:v>-1.00135648608557E-5</c:v>
                </c:pt>
                <c:pt idx="46">
                  <c:v>-2.9993054340593501E-4</c:v>
                </c:pt>
                <c:pt idx="47">
                  <c:v>-2.7000904083252002E-4</c:v>
                </c:pt>
                <c:pt idx="48">
                  <c:v>2.5999548961408398E-4</c:v>
                </c:pt>
                <c:pt idx="49">
                  <c:v>0</c:v>
                </c:pt>
                <c:pt idx="50">
                  <c:v>3.4999853232875499E-4</c:v>
                </c:pt>
                <c:pt idx="51">
                  <c:v>4.1997435619123302E-4</c:v>
                </c:pt>
                <c:pt idx="52">
                  <c:v>2.7000904083252002E-4</c:v>
                </c:pt>
                <c:pt idx="53">
                  <c:v>-3.60012054443359E-4</c:v>
                </c:pt>
                <c:pt idx="54">
                  <c:v>-1.5997888112906399E-4</c:v>
                </c:pt>
                <c:pt idx="55">
                  <c:v>1.00016601209063E-4</c:v>
                </c:pt>
                <c:pt idx="56">
                  <c:v>6.3991552451625499E-4</c:v>
                </c:pt>
                <c:pt idx="57">
                  <c:v>-1.03998184204102E-3</c:v>
                </c:pt>
                <c:pt idx="58">
                  <c:v>-1.29997730255127E-3</c:v>
                </c:pt>
                <c:pt idx="59">
                  <c:v>2.00271297217114E-5</c:v>
                </c:pt>
                <c:pt idx="60">
                  <c:v>-4.0996074676513699E-4</c:v>
                </c:pt>
                <c:pt idx="61">
                  <c:v>1.15990627091378E-3</c:v>
                </c:pt>
                <c:pt idx="62">
                  <c:v>1.47998344618827E-3</c:v>
                </c:pt>
                <c:pt idx="63">
                  <c:v>5.0008302787318804E-4</c:v>
                </c:pt>
                <c:pt idx="64">
                  <c:v>3.9935141103342203E-5</c:v>
                </c:pt>
                <c:pt idx="65">
                  <c:v>-1.6999244689941401E-4</c:v>
                </c:pt>
                <c:pt idx="66">
                  <c:v>1.9001956388820001E-4</c:v>
                </c:pt>
                <c:pt idx="67">
                  <c:v>-2.10046768188477E-4</c:v>
                </c:pt>
                <c:pt idx="68">
                  <c:v>4.1007989784702702E-4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Run_TR!$A$2:$A$74</c:f>
              <c:strCache>
                <c:ptCount val="72"/>
                <c:pt idx="0">
                  <c:v>2018-07-25-02:00</c:v>
                </c:pt>
                <c:pt idx="1">
                  <c:v>2018-07-25-03:00</c:v>
                </c:pt>
                <c:pt idx="2">
                  <c:v>2018-07-25-04:00</c:v>
                </c:pt>
                <c:pt idx="3">
                  <c:v>2018-07-25-05:00</c:v>
                </c:pt>
                <c:pt idx="4">
                  <c:v>2018-07-25-06:00</c:v>
                </c:pt>
                <c:pt idx="5">
                  <c:v>2018-07-25-07:00</c:v>
                </c:pt>
                <c:pt idx="6">
                  <c:v>2018-07-25-08:00</c:v>
                </c:pt>
                <c:pt idx="7">
                  <c:v>2018-07-25-09:00</c:v>
                </c:pt>
                <c:pt idx="8">
                  <c:v>2018-07-25-10:00</c:v>
                </c:pt>
                <c:pt idx="9">
                  <c:v>2018-07-25-11:00</c:v>
                </c:pt>
                <c:pt idx="10">
                  <c:v>2018-07-25-12:00</c:v>
                </c:pt>
                <c:pt idx="11">
                  <c:v>2018-07-25-13:00</c:v>
                </c:pt>
                <c:pt idx="12">
                  <c:v>2018-07-25-14:00</c:v>
                </c:pt>
                <c:pt idx="13">
                  <c:v>2018-07-25-15:00</c:v>
                </c:pt>
                <c:pt idx="14">
                  <c:v>2018-07-25-16:00</c:v>
                </c:pt>
                <c:pt idx="15">
                  <c:v>2018-07-25-17:00</c:v>
                </c:pt>
                <c:pt idx="16">
                  <c:v>2018-07-25-18:00</c:v>
                </c:pt>
                <c:pt idx="17">
                  <c:v>2018-07-25-19:00</c:v>
                </c:pt>
                <c:pt idx="18">
                  <c:v>2018-07-25-20:00</c:v>
                </c:pt>
                <c:pt idx="19">
                  <c:v>2018-07-25-21:00</c:v>
                </c:pt>
                <c:pt idx="20">
                  <c:v>2018-07-25-22:00</c:v>
                </c:pt>
                <c:pt idx="21">
                  <c:v>2018-07-25-23:00</c:v>
                </c:pt>
                <c:pt idx="22">
                  <c:v>2018-07-26-00:00</c:v>
                </c:pt>
                <c:pt idx="23">
                  <c:v>2018-07-26-01:00</c:v>
                </c:pt>
                <c:pt idx="24">
                  <c:v>2018-07-26-02:00</c:v>
                </c:pt>
                <c:pt idx="25">
                  <c:v>2018-07-26-03:00</c:v>
                </c:pt>
                <c:pt idx="26">
                  <c:v>2018-07-26-04:00</c:v>
                </c:pt>
                <c:pt idx="27">
                  <c:v>2018-07-26-05:00</c:v>
                </c:pt>
                <c:pt idx="28">
                  <c:v>2018-07-26-06:00</c:v>
                </c:pt>
                <c:pt idx="29">
                  <c:v>2018-07-26-07:00</c:v>
                </c:pt>
                <c:pt idx="30">
                  <c:v>2018-07-26-08:00</c:v>
                </c:pt>
                <c:pt idx="31">
                  <c:v>2018-07-26-09:00</c:v>
                </c:pt>
                <c:pt idx="32">
                  <c:v>2018-07-26-10:00</c:v>
                </c:pt>
                <c:pt idx="33">
                  <c:v>2018-07-26-11:00</c:v>
                </c:pt>
                <c:pt idx="34">
                  <c:v>2018-07-26-12:00</c:v>
                </c:pt>
                <c:pt idx="35">
                  <c:v>2018-07-26-13:00</c:v>
                </c:pt>
                <c:pt idx="36">
                  <c:v>2018-07-26-14:00</c:v>
                </c:pt>
                <c:pt idx="37">
                  <c:v>2018-07-26-15:00</c:v>
                </c:pt>
                <c:pt idx="38">
                  <c:v>2018-07-26-16:00</c:v>
                </c:pt>
                <c:pt idx="39">
                  <c:v>2018-07-26-17:00</c:v>
                </c:pt>
                <c:pt idx="40">
                  <c:v>2018-07-26-18:00</c:v>
                </c:pt>
                <c:pt idx="41">
                  <c:v>2018-07-26-19:00</c:v>
                </c:pt>
                <c:pt idx="42">
                  <c:v>2018-07-26-20:00</c:v>
                </c:pt>
                <c:pt idx="43">
                  <c:v>2018-07-26-21:00</c:v>
                </c:pt>
                <c:pt idx="44">
                  <c:v>2018-07-26-22:00</c:v>
                </c:pt>
                <c:pt idx="45">
                  <c:v>2018-07-26-23:00</c:v>
                </c:pt>
                <c:pt idx="46">
                  <c:v>2018-07-27-00:00</c:v>
                </c:pt>
                <c:pt idx="47">
                  <c:v>2018-07-27-01:00</c:v>
                </c:pt>
                <c:pt idx="48">
                  <c:v>2018-07-27-02:00</c:v>
                </c:pt>
                <c:pt idx="49">
                  <c:v>2018-07-27-03:00</c:v>
                </c:pt>
                <c:pt idx="50">
                  <c:v>2018-07-27-04:00</c:v>
                </c:pt>
                <c:pt idx="51">
                  <c:v>2018-07-27-05:00</c:v>
                </c:pt>
                <c:pt idx="52">
                  <c:v>2018-07-27-06:00</c:v>
                </c:pt>
                <c:pt idx="53">
                  <c:v>2018-07-27-07:00</c:v>
                </c:pt>
                <c:pt idx="54">
                  <c:v>2018-07-27-08:00</c:v>
                </c:pt>
                <c:pt idx="55">
                  <c:v>2018-07-27-09:00</c:v>
                </c:pt>
                <c:pt idx="56">
                  <c:v>2018-07-27-10:00</c:v>
                </c:pt>
                <c:pt idx="57">
                  <c:v>2018-07-27-11:00</c:v>
                </c:pt>
                <c:pt idx="58">
                  <c:v>2018-07-27-12:00</c:v>
                </c:pt>
                <c:pt idx="59">
                  <c:v>2018-07-27-13:00</c:v>
                </c:pt>
                <c:pt idx="60">
                  <c:v>2018-07-27-14:00</c:v>
                </c:pt>
                <c:pt idx="61">
                  <c:v>2018-07-27-15:00</c:v>
                </c:pt>
                <c:pt idx="62">
                  <c:v>2018-07-27-16:00</c:v>
                </c:pt>
                <c:pt idx="63">
                  <c:v>2018-07-27-17:00</c:v>
                </c:pt>
                <c:pt idx="64">
                  <c:v>2018-07-27-18:00</c:v>
                </c:pt>
                <c:pt idx="65">
                  <c:v>2018-07-27-19:00</c:v>
                </c:pt>
                <c:pt idx="66">
                  <c:v>2018-07-27-20:00</c:v>
                </c:pt>
                <c:pt idx="67">
                  <c:v>2018-07-27-21:00</c:v>
                </c:pt>
                <c:pt idx="68">
                  <c:v>2018-07-27-22:00</c:v>
                </c:pt>
                <c:pt idx="69">
                  <c:v>9999-99-99-99:00</c:v>
                </c:pt>
                <c:pt idx="70">
                  <c:v>9999-99-99-99:01</c:v>
                </c:pt>
                <c:pt idx="71">
                  <c:v>9999-99-99-99:02</c:v>
                </c:pt>
              </c:strCache>
            </c:strRef>
          </c:cat>
          <c:val>
            <c:numRef>
              <c:f>Run_TR!$C$2:$C$74</c:f>
              <c:numCache>
                <c:formatCode>0.00000</c:formatCode>
                <c:ptCount val="72"/>
                <c:pt idx="50">
                  <c:v>1.81969982804731E-4</c:v>
                </c:pt>
                <c:pt idx="51">
                  <c:v>4.9891113303601698E-4</c:v>
                </c:pt>
                <c:pt idx="52">
                  <c:v>3.2288927468471202E-4</c:v>
                </c:pt>
                <c:pt idx="53">
                  <c:v>-2.8643102268688402E-4</c:v>
                </c:pt>
                <c:pt idx="54">
                  <c:v>-2.7032301295548699E-4</c:v>
                </c:pt>
                <c:pt idx="55">
                  <c:v>-5.4394546168623499E-5</c:v>
                </c:pt>
                <c:pt idx="56">
                  <c:v>5.0918583292514097E-4</c:v>
                </c:pt>
                <c:pt idx="57">
                  <c:v>-1.10662309452891E-3</c:v>
                </c:pt>
                <c:pt idx="58">
                  <c:v>-1.36628327891231E-3</c:v>
                </c:pt>
                <c:pt idx="59">
                  <c:v>3.1687424052506702E-4</c:v>
                </c:pt>
                <c:pt idx="60">
                  <c:v>-1.79809605469927E-4</c:v>
                </c:pt>
                <c:pt idx="61">
                  <c:v>1.3053091242909399E-3</c:v>
                </c:pt>
                <c:pt idx="62">
                  <c:v>1.63698010146618E-3</c:v>
                </c:pt>
                <c:pt idx="63">
                  <c:v>2.82785447780043E-4</c:v>
                </c:pt>
                <c:pt idx="64">
                  <c:v>-3.9984202885534601E-5</c:v>
                </c:pt>
                <c:pt idx="65">
                  <c:v>-1.2826165766455201E-4</c:v>
                </c:pt>
                <c:pt idx="66">
                  <c:v>2.4429461336694701E-4</c:v>
                </c:pt>
                <c:pt idx="67">
                  <c:v>-5.6763547036098303E-5</c:v>
                </c:pt>
                <c:pt idx="68">
                  <c:v>5.9100298676639795E-4</c:v>
                </c:pt>
                <c:pt idx="69">
                  <c:v>5.9604702983051495E-4</c:v>
                </c:pt>
                <c:pt idx="70">
                  <c:v>6.75631919875741E-4</c:v>
                </c:pt>
                <c:pt idx="71">
                  <c:v>-1.6347167547792199E-4</c:v>
                </c:pt>
              </c:numCache>
            </c:numRef>
          </c:val>
          <c:smooth val="0"/>
        </c:ser>
        <c:dLbls>
          <c:showLegendKey val="0"/>
          <c:showVal val="0"/>
          <c:showCatName val="0"/>
          <c:showSerName val="0"/>
          <c:showPercent val="0"/>
          <c:showBubbleSize val="0"/>
        </c:dLbls>
        <c:marker val="1"/>
        <c:smooth val="0"/>
        <c:axId val="209259392"/>
        <c:axId val="20926592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Run_TR!$A$2:$A$74</c:f>
              <c:strCache>
                <c:ptCount val="72"/>
                <c:pt idx="0">
                  <c:v>2018-07-25-02:00</c:v>
                </c:pt>
                <c:pt idx="1">
                  <c:v>2018-07-25-03:00</c:v>
                </c:pt>
                <c:pt idx="2">
                  <c:v>2018-07-25-04:00</c:v>
                </c:pt>
                <c:pt idx="3">
                  <c:v>2018-07-25-05:00</c:v>
                </c:pt>
                <c:pt idx="4">
                  <c:v>2018-07-25-06:00</c:v>
                </c:pt>
                <c:pt idx="5">
                  <c:v>2018-07-25-07:00</c:v>
                </c:pt>
                <c:pt idx="6">
                  <c:v>2018-07-25-08:00</c:v>
                </c:pt>
                <c:pt idx="7">
                  <c:v>2018-07-25-09:00</c:v>
                </c:pt>
                <c:pt idx="8">
                  <c:v>2018-07-25-10:00</c:v>
                </c:pt>
                <c:pt idx="9">
                  <c:v>2018-07-25-11:00</c:v>
                </c:pt>
                <c:pt idx="10">
                  <c:v>2018-07-25-12:00</c:v>
                </c:pt>
                <c:pt idx="11">
                  <c:v>2018-07-25-13:00</c:v>
                </c:pt>
                <c:pt idx="12">
                  <c:v>2018-07-25-14:00</c:v>
                </c:pt>
                <c:pt idx="13">
                  <c:v>2018-07-25-15:00</c:v>
                </c:pt>
                <c:pt idx="14">
                  <c:v>2018-07-25-16:00</c:v>
                </c:pt>
                <c:pt idx="15">
                  <c:v>2018-07-25-17:00</c:v>
                </c:pt>
                <c:pt idx="16">
                  <c:v>2018-07-25-18:00</c:v>
                </c:pt>
                <c:pt idx="17">
                  <c:v>2018-07-25-19:00</c:v>
                </c:pt>
                <c:pt idx="18">
                  <c:v>2018-07-25-20:00</c:v>
                </c:pt>
                <c:pt idx="19">
                  <c:v>2018-07-25-21:00</c:v>
                </c:pt>
                <c:pt idx="20">
                  <c:v>2018-07-25-22:00</c:v>
                </c:pt>
                <c:pt idx="21">
                  <c:v>2018-07-25-23:00</c:v>
                </c:pt>
                <c:pt idx="22">
                  <c:v>2018-07-26-00:00</c:v>
                </c:pt>
                <c:pt idx="23">
                  <c:v>2018-07-26-01:00</c:v>
                </c:pt>
                <c:pt idx="24">
                  <c:v>2018-07-26-02:00</c:v>
                </c:pt>
                <c:pt idx="25">
                  <c:v>2018-07-26-03:00</c:v>
                </c:pt>
                <c:pt idx="26">
                  <c:v>2018-07-26-04:00</c:v>
                </c:pt>
                <c:pt idx="27">
                  <c:v>2018-07-26-05:00</c:v>
                </c:pt>
                <c:pt idx="28">
                  <c:v>2018-07-26-06:00</c:v>
                </c:pt>
                <c:pt idx="29">
                  <c:v>2018-07-26-07:00</c:v>
                </c:pt>
                <c:pt idx="30">
                  <c:v>2018-07-26-08:00</c:v>
                </c:pt>
                <c:pt idx="31">
                  <c:v>2018-07-26-09:00</c:v>
                </c:pt>
                <c:pt idx="32">
                  <c:v>2018-07-26-10:00</c:v>
                </c:pt>
                <c:pt idx="33">
                  <c:v>2018-07-26-11:00</c:v>
                </c:pt>
                <c:pt idx="34">
                  <c:v>2018-07-26-12:00</c:v>
                </c:pt>
                <c:pt idx="35">
                  <c:v>2018-07-26-13:00</c:v>
                </c:pt>
                <c:pt idx="36">
                  <c:v>2018-07-26-14:00</c:v>
                </c:pt>
                <c:pt idx="37">
                  <c:v>2018-07-26-15:00</c:v>
                </c:pt>
                <c:pt idx="38">
                  <c:v>2018-07-26-16:00</c:v>
                </c:pt>
                <c:pt idx="39">
                  <c:v>2018-07-26-17:00</c:v>
                </c:pt>
                <c:pt idx="40">
                  <c:v>2018-07-26-18:00</c:v>
                </c:pt>
                <c:pt idx="41">
                  <c:v>2018-07-26-19:00</c:v>
                </c:pt>
                <c:pt idx="42">
                  <c:v>2018-07-26-20:00</c:v>
                </c:pt>
                <c:pt idx="43">
                  <c:v>2018-07-26-21:00</c:v>
                </c:pt>
                <c:pt idx="44">
                  <c:v>2018-07-26-22:00</c:v>
                </c:pt>
                <c:pt idx="45">
                  <c:v>2018-07-26-23:00</c:v>
                </c:pt>
                <c:pt idx="46">
                  <c:v>2018-07-27-00:00</c:v>
                </c:pt>
                <c:pt idx="47">
                  <c:v>2018-07-27-01:00</c:v>
                </c:pt>
                <c:pt idx="48">
                  <c:v>2018-07-27-02:00</c:v>
                </c:pt>
                <c:pt idx="49">
                  <c:v>2018-07-27-03:00</c:v>
                </c:pt>
                <c:pt idx="50">
                  <c:v>2018-07-27-04:00</c:v>
                </c:pt>
                <c:pt idx="51">
                  <c:v>2018-07-27-05:00</c:v>
                </c:pt>
                <c:pt idx="52">
                  <c:v>2018-07-27-06:00</c:v>
                </c:pt>
                <c:pt idx="53">
                  <c:v>2018-07-27-07:00</c:v>
                </c:pt>
                <c:pt idx="54">
                  <c:v>2018-07-27-08:00</c:v>
                </c:pt>
                <c:pt idx="55">
                  <c:v>2018-07-27-09:00</c:v>
                </c:pt>
                <c:pt idx="56">
                  <c:v>2018-07-27-10:00</c:v>
                </c:pt>
                <c:pt idx="57">
                  <c:v>2018-07-27-11:00</c:v>
                </c:pt>
                <c:pt idx="58">
                  <c:v>2018-07-27-12:00</c:v>
                </c:pt>
                <c:pt idx="59">
                  <c:v>2018-07-27-13:00</c:v>
                </c:pt>
                <c:pt idx="60">
                  <c:v>2018-07-27-14:00</c:v>
                </c:pt>
                <c:pt idx="61">
                  <c:v>2018-07-27-15:00</c:v>
                </c:pt>
                <c:pt idx="62">
                  <c:v>2018-07-27-16:00</c:v>
                </c:pt>
                <c:pt idx="63">
                  <c:v>2018-07-27-17:00</c:v>
                </c:pt>
                <c:pt idx="64">
                  <c:v>2018-07-27-18:00</c:v>
                </c:pt>
                <c:pt idx="65">
                  <c:v>2018-07-27-19:00</c:v>
                </c:pt>
                <c:pt idx="66">
                  <c:v>2018-07-27-20:00</c:v>
                </c:pt>
                <c:pt idx="67">
                  <c:v>2018-07-27-21:00</c:v>
                </c:pt>
                <c:pt idx="68">
                  <c:v>2018-07-27-22:00</c:v>
                </c:pt>
                <c:pt idx="69">
                  <c:v>9999-99-99-99:00</c:v>
                </c:pt>
                <c:pt idx="70">
                  <c:v>9999-99-99-99:01</c:v>
                </c:pt>
                <c:pt idx="71">
                  <c:v>9999-99-99-99:02</c:v>
                </c:pt>
              </c:strCache>
            </c:strRef>
          </c:cat>
          <c:val>
            <c:numRef>
              <c:f>Run_TR!$D$2:$D$74</c:f>
              <c:numCache>
                <c:formatCode>0.00000</c:formatCode>
                <c:ptCount val="72"/>
                <c:pt idx="50">
                  <c:v>1.6802854952402399E-4</c:v>
                </c:pt>
                <c:pt idx="51">
                  <c:v>7.8936776844783994E-5</c:v>
                </c:pt>
                <c:pt idx="52">
                  <c:v>5.2880233852192001E-5</c:v>
                </c:pt>
                <c:pt idx="53">
                  <c:v>7.3581031756474999E-5</c:v>
                </c:pt>
                <c:pt idx="54">
                  <c:v>1.10344131826423E-4</c:v>
                </c:pt>
                <c:pt idx="55">
                  <c:v>1.5441114737768649E-4</c:v>
                </c:pt>
                <c:pt idx="56">
                  <c:v>1.30729691591114E-4</c:v>
                </c:pt>
                <c:pt idx="57">
                  <c:v>6.6641252487889999E-5</c:v>
                </c:pt>
                <c:pt idx="58">
                  <c:v>6.630597636104E-5</c:v>
                </c:pt>
                <c:pt idx="59">
                  <c:v>2.9684711080335563E-4</c:v>
                </c:pt>
                <c:pt idx="60">
                  <c:v>2.3015114129520999E-4</c:v>
                </c:pt>
                <c:pt idx="61">
                  <c:v>1.4540285337715999E-4</c:v>
                </c:pt>
                <c:pt idx="62">
                  <c:v>1.5699665527790999E-4</c:v>
                </c:pt>
                <c:pt idx="63">
                  <c:v>2.1729758009314499E-4</c:v>
                </c:pt>
                <c:pt idx="64">
                  <c:v>7.9919343988876803E-5</c:v>
                </c:pt>
                <c:pt idx="65">
                  <c:v>4.1730789234862003E-5</c:v>
                </c:pt>
                <c:pt idx="66">
                  <c:v>5.4275049478746998E-5</c:v>
                </c:pt>
                <c:pt idx="67">
                  <c:v>1.5328322115237871E-4</c:v>
                </c:pt>
                <c:pt idx="68">
                  <c:v>1.8092308891937099E-4</c:v>
                </c:pt>
              </c:numCache>
            </c:numRef>
          </c:val>
          <c:smooth val="0"/>
        </c:ser>
        <c:dLbls>
          <c:showLegendKey val="0"/>
          <c:showVal val="0"/>
          <c:showCatName val="0"/>
          <c:showSerName val="0"/>
          <c:showPercent val="0"/>
          <c:showBubbleSize val="0"/>
        </c:dLbls>
        <c:marker val="1"/>
        <c:smooth val="0"/>
        <c:axId val="209269184"/>
        <c:axId val="209263744"/>
      </c:lineChart>
      <c:catAx>
        <c:axId val="20925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5920"/>
        <c:crosses val="autoZero"/>
        <c:auto val="1"/>
        <c:lblAlgn val="ctr"/>
        <c:lblOffset val="100"/>
        <c:tickLblSkip val="1"/>
        <c:noMultiLvlLbl val="0"/>
      </c:catAx>
      <c:valAx>
        <c:axId val="2092659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59392"/>
        <c:crosses val="autoZero"/>
        <c:crossBetween val="between"/>
      </c:valAx>
      <c:valAx>
        <c:axId val="20926374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9184"/>
        <c:crosses val="max"/>
        <c:crossBetween val="between"/>
      </c:valAx>
      <c:catAx>
        <c:axId val="209269184"/>
        <c:scaling>
          <c:orientation val="minMax"/>
        </c:scaling>
        <c:delete val="1"/>
        <c:axPos val="b"/>
        <c:numFmt formatCode="General" sourceLinked="1"/>
        <c:majorTickMark val="out"/>
        <c:minorTickMark val="none"/>
        <c:tickLblPos val="nextTo"/>
        <c:crossAx val="20926374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Run_BASE!$A$2:$A$74</c:f>
              <c:strCache>
                <c:ptCount val="72"/>
                <c:pt idx="0">
                  <c:v>2018-07-25-02:00</c:v>
                </c:pt>
                <c:pt idx="1">
                  <c:v>2018-07-25-03:00</c:v>
                </c:pt>
                <c:pt idx="2">
                  <c:v>2018-07-25-04:00</c:v>
                </c:pt>
                <c:pt idx="3">
                  <c:v>2018-07-25-05:00</c:v>
                </c:pt>
                <c:pt idx="4">
                  <c:v>2018-07-25-06:00</c:v>
                </c:pt>
                <c:pt idx="5">
                  <c:v>2018-07-25-07:00</c:v>
                </c:pt>
                <c:pt idx="6">
                  <c:v>2018-07-25-08:00</c:v>
                </c:pt>
                <c:pt idx="7">
                  <c:v>2018-07-25-09:00</c:v>
                </c:pt>
                <c:pt idx="8">
                  <c:v>2018-07-25-10:00</c:v>
                </c:pt>
                <c:pt idx="9">
                  <c:v>2018-07-25-11:00</c:v>
                </c:pt>
                <c:pt idx="10">
                  <c:v>2018-07-25-12:00</c:v>
                </c:pt>
                <c:pt idx="11">
                  <c:v>2018-07-25-13:00</c:v>
                </c:pt>
                <c:pt idx="12">
                  <c:v>2018-07-25-14:00</c:v>
                </c:pt>
                <c:pt idx="13">
                  <c:v>2018-07-25-15:00</c:v>
                </c:pt>
                <c:pt idx="14">
                  <c:v>2018-07-25-16:00</c:v>
                </c:pt>
                <c:pt idx="15">
                  <c:v>2018-07-25-17:00</c:v>
                </c:pt>
                <c:pt idx="16">
                  <c:v>2018-07-25-18:00</c:v>
                </c:pt>
                <c:pt idx="17">
                  <c:v>2018-07-25-19:00</c:v>
                </c:pt>
                <c:pt idx="18">
                  <c:v>2018-07-25-20:00</c:v>
                </c:pt>
                <c:pt idx="19">
                  <c:v>2018-07-25-21:00</c:v>
                </c:pt>
                <c:pt idx="20">
                  <c:v>2018-07-25-22:00</c:v>
                </c:pt>
                <c:pt idx="21">
                  <c:v>2018-07-25-23:00</c:v>
                </c:pt>
                <c:pt idx="22">
                  <c:v>2018-07-26-00:00</c:v>
                </c:pt>
                <c:pt idx="23">
                  <c:v>2018-07-26-01:00</c:v>
                </c:pt>
                <c:pt idx="24">
                  <c:v>2018-07-26-02:00</c:v>
                </c:pt>
                <c:pt idx="25">
                  <c:v>2018-07-26-03:00</c:v>
                </c:pt>
                <c:pt idx="26">
                  <c:v>2018-07-26-04:00</c:v>
                </c:pt>
                <c:pt idx="27">
                  <c:v>2018-07-26-05:00</c:v>
                </c:pt>
                <c:pt idx="28">
                  <c:v>2018-07-26-06:00</c:v>
                </c:pt>
                <c:pt idx="29">
                  <c:v>2018-07-26-07:00</c:v>
                </c:pt>
                <c:pt idx="30">
                  <c:v>2018-07-26-08:00</c:v>
                </c:pt>
                <c:pt idx="31">
                  <c:v>2018-07-26-09:00</c:v>
                </c:pt>
                <c:pt idx="32">
                  <c:v>2018-07-26-10:00</c:v>
                </c:pt>
                <c:pt idx="33">
                  <c:v>2018-07-26-11:00</c:v>
                </c:pt>
                <c:pt idx="34">
                  <c:v>2018-07-26-12:00</c:v>
                </c:pt>
                <c:pt idx="35">
                  <c:v>2018-07-26-13:00</c:v>
                </c:pt>
                <c:pt idx="36">
                  <c:v>2018-07-26-14:00</c:v>
                </c:pt>
                <c:pt idx="37">
                  <c:v>2018-07-26-15:00</c:v>
                </c:pt>
                <c:pt idx="38">
                  <c:v>2018-07-26-16:00</c:v>
                </c:pt>
                <c:pt idx="39">
                  <c:v>2018-07-26-17:00</c:v>
                </c:pt>
                <c:pt idx="40">
                  <c:v>2018-07-26-18:00</c:v>
                </c:pt>
                <c:pt idx="41">
                  <c:v>2018-07-26-19:00</c:v>
                </c:pt>
                <c:pt idx="42">
                  <c:v>2018-07-26-20:00</c:v>
                </c:pt>
                <c:pt idx="43">
                  <c:v>2018-07-26-21:00</c:v>
                </c:pt>
                <c:pt idx="44">
                  <c:v>2018-07-26-22:00</c:v>
                </c:pt>
                <c:pt idx="45">
                  <c:v>2018-07-26-23:00</c:v>
                </c:pt>
                <c:pt idx="46">
                  <c:v>2018-07-27-00:00</c:v>
                </c:pt>
                <c:pt idx="47">
                  <c:v>2018-07-27-01:00</c:v>
                </c:pt>
                <c:pt idx="48">
                  <c:v>2018-07-27-02:00</c:v>
                </c:pt>
                <c:pt idx="49">
                  <c:v>2018-07-27-03:00</c:v>
                </c:pt>
                <c:pt idx="50">
                  <c:v>2018-07-27-04:00</c:v>
                </c:pt>
                <c:pt idx="51">
                  <c:v>2018-07-27-05:00</c:v>
                </c:pt>
                <c:pt idx="52">
                  <c:v>2018-07-27-06:00</c:v>
                </c:pt>
                <c:pt idx="53">
                  <c:v>2018-07-27-07:00</c:v>
                </c:pt>
                <c:pt idx="54">
                  <c:v>2018-07-27-08:00</c:v>
                </c:pt>
                <c:pt idx="55">
                  <c:v>2018-07-27-09:00</c:v>
                </c:pt>
                <c:pt idx="56">
                  <c:v>2018-07-27-10:00</c:v>
                </c:pt>
                <c:pt idx="57">
                  <c:v>2018-07-27-11:00</c:v>
                </c:pt>
                <c:pt idx="58">
                  <c:v>2018-07-27-12:00</c:v>
                </c:pt>
                <c:pt idx="59">
                  <c:v>2018-07-27-13:00</c:v>
                </c:pt>
                <c:pt idx="60">
                  <c:v>2018-07-27-14:00</c:v>
                </c:pt>
                <c:pt idx="61">
                  <c:v>2018-07-27-15:00</c:v>
                </c:pt>
                <c:pt idx="62">
                  <c:v>2018-07-27-16:00</c:v>
                </c:pt>
                <c:pt idx="63">
                  <c:v>2018-07-27-17:00</c:v>
                </c:pt>
                <c:pt idx="64">
                  <c:v>2018-07-27-18:00</c:v>
                </c:pt>
                <c:pt idx="65">
                  <c:v>2018-07-27-19:00</c:v>
                </c:pt>
                <c:pt idx="66">
                  <c:v>2018-07-27-20:00</c:v>
                </c:pt>
                <c:pt idx="67">
                  <c:v>2018-07-27-21:00</c:v>
                </c:pt>
                <c:pt idx="68">
                  <c:v>2018-07-27-22:00</c:v>
                </c:pt>
                <c:pt idx="69">
                  <c:v>9999-99-99-99:00</c:v>
                </c:pt>
                <c:pt idx="70">
                  <c:v>9999-99-99-99:01</c:v>
                </c:pt>
                <c:pt idx="71">
                  <c:v>9999-99-99-99:02</c:v>
                </c:pt>
              </c:strCache>
            </c:strRef>
          </c:cat>
          <c:val>
            <c:numRef>
              <c:f>Run_BASE!$B$2:$B$74</c:f>
              <c:numCache>
                <c:formatCode>0.00000</c:formatCode>
                <c:ptCount val="72"/>
                <c:pt idx="0">
                  <c:v>1.1682775020599376</c:v>
                </c:pt>
                <c:pt idx="1">
                  <c:v>1.1686624884605401</c:v>
                </c:pt>
                <c:pt idx="2">
                  <c:v>1.168850004673005</c:v>
                </c:pt>
                <c:pt idx="3">
                  <c:v>1.1682225167751326</c:v>
                </c:pt>
                <c:pt idx="4">
                  <c:v>1.1680150032043475</c:v>
                </c:pt>
                <c:pt idx="5">
                  <c:v>1.1678599715232825</c:v>
                </c:pt>
                <c:pt idx="6">
                  <c:v>1.168257534503935</c:v>
                </c:pt>
                <c:pt idx="7">
                  <c:v>1.1690800189971902</c:v>
                </c:pt>
                <c:pt idx="8">
                  <c:v>1.1692175269126877</c:v>
                </c:pt>
                <c:pt idx="9">
                  <c:v>1.1690249741077401</c:v>
                </c:pt>
                <c:pt idx="10">
                  <c:v>1.1699250042438525</c:v>
                </c:pt>
                <c:pt idx="11">
                  <c:v>1.1697050034999874</c:v>
                </c:pt>
                <c:pt idx="12">
                  <c:v>1.1693825125694275</c:v>
                </c:pt>
                <c:pt idx="13">
                  <c:v>1.1694424748420724</c:v>
                </c:pt>
                <c:pt idx="14">
                  <c:v>1.1699849963188151</c:v>
                </c:pt>
                <c:pt idx="15">
                  <c:v>1.1684624850749952</c:v>
                </c:pt>
                <c:pt idx="16">
                  <c:v>1.1673249602317801</c:v>
                </c:pt>
                <c:pt idx="17">
                  <c:v>1.1676025092601776</c:v>
                </c:pt>
                <c:pt idx="18">
                  <c:v>1.1687700152397149</c:v>
                </c:pt>
                <c:pt idx="19">
                  <c:v>1.1700724959373476</c:v>
                </c:pt>
                <c:pt idx="20">
                  <c:v>1.171657502651215</c:v>
                </c:pt>
                <c:pt idx="21">
                  <c:v>1.1727750003337851</c:v>
                </c:pt>
                <c:pt idx="22">
                  <c:v>1.1725600063800825</c:v>
                </c:pt>
                <c:pt idx="23">
                  <c:v>1.1726324856281276</c:v>
                </c:pt>
                <c:pt idx="24">
                  <c:v>1.1734150052070624</c:v>
                </c:pt>
                <c:pt idx="25">
                  <c:v>1.17348748445511</c:v>
                </c:pt>
                <c:pt idx="26">
                  <c:v>1.1735224723815922</c:v>
                </c:pt>
                <c:pt idx="27">
                  <c:v>1.173359990119935</c:v>
                </c:pt>
                <c:pt idx="28">
                  <c:v>1.1733424961566925</c:v>
                </c:pt>
                <c:pt idx="29">
                  <c:v>1.1731449961662275</c:v>
                </c:pt>
                <c:pt idx="30">
                  <c:v>1.1731824874877925</c:v>
                </c:pt>
                <c:pt idx="31">
                  <c:v>1.1730699837207774</c:v>
                </c:pt>
                <c:pt idx="32">
                  <c:v>1.1727575361728675</c:v>
                </c:pt>
                <c:pt idx="33">
                  <c:v>1.1719225049018875</c:v>
                </c:pt>
                <c:pt idx="34">
                  <c:v>1.1712050139904024</c:v>
                </c:pt>
                <c:pt idx="35">
                  <c:v>1.1711800396442424</c:v>
                </c:pt>
                <c:pt idx="36">
                  <c:v>1.1710400283336651</c:v>
                </c:pt>
                <c:pt idx="37">
                  <c:v>1.1705974936485299</c:v>
                </c:pt>
                <c:pt idx="38">
                  <c:v>1.1686399877071376</c:v>
                </c:pt>
                <c:pt idx="39">
                  <c:v>1.1667975187301625</c:v>
                </c:pt>
                <c:pt idx="40">
                  <c:v>1.1656950116157498</c:v>
                </c:pt>
                <c:pt idx="41">
                  <c:v>1.1657399833202375</c:v>
                </c:pt>
                <c:pt idx="42">
                  <c:v>1.1658725142478952</c:v>
                </c:pt>
                <c:pt idx="43">
                  <c:v>1.1648975014686576</c:v>
                </c:pt>
                <c:pt idx="44">
                  <c:v>1.1643275022506725</c:v>
                </c:pt>
                <c:pt idx="45">
                  <c:v>1.1642925143241873</c:v>
                </c:pt>
                <c:pt idx="46">
                  <c:v>1.1640450358390799</c:v>
                </c:pt>
                <c:pt idx="47">
                  <c:v>1.1639575064182275</c:v>
                </c:pt>
                <c:pt idx="48">
                  <c:v>1.16413250565529</c:v>
                </c:pt>
                <c:pt idx="49">
                  <c:v>1.164189994335175</c:v>
                </c:pt>
                <c:pt idx="50">
                  <c:v>1.1642374992370623</c:v>
                </c:pt>
                <c:pt idx="51">
                  <c:v>1.16474497318268</c:v>
                </c:pt>
                <c:pt idx="52">
                  <c:v>1.1650574803352349</c:v>
                </c:pt>
                <c:pt idx="53">
                  <c:v>1.1647900044918051</c:v>
                </c:pt>
                <c:pt idx="54">
                  <c:v>1.1645824909210225</c:v>
                </c:pt>
                <c:pt idx="55">
                  <c:v>1.1644575297832498</c:v>
                </c:pt>
                <c:pt idx="56">
                  <c:v>1.16474249958992</c:v>
                </c:pt>
                <c:pt idx="57">
                  <c:v>1.1635424792766575</c:v>
                </c:pt>
                <c:pt idx="58">
                  <c:v>1.1626049876213076</c:v>
                </c:pt>
                <c:pt idx="59">
                  <c:v>1.1626524925231951</c:v>
                </c:pt>
                <c:pt idx="60">
                  <c:v>1.1626099944114674</c:v>
                </c:pt>
                <c:pt idx="61">
                  <c:v>1.1631049811840048</c:v>
                </c:pt>
                <c:pt idx="62">
                  <c:v>1.16458496451378</c:v>
                </c:pt>
                <c:pt idx="63">
                  <c:v>1.165409982204435</c:v>
                </c:pt>
                <c:pt idx="64">
                  <c:v>1.1654474735260001</c:v>
                </c:pt>
                <c:pt idx="65">
                  <c:v>1.1655700206756601</c:v>
                </c:pt>
                <c:pt idx="66">
                  <c:v>1.165647476911545</c:v>
                </c:pt>
                <c:pt idx="67">
                  <c:v>1.165652483701705</c:v>
                </c:pt>
                <c:pt idx="68">
                  <c:v>1.1658050119876848</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Run_BASE!$A$2:$A$74</c:f>
              <c:strCache>
                <c:ptCount val="72"/>
                <c:pt idx="0">
                  <c:v>2018-07-25-02:00</c:v>
                </c:pt>
                <c:pt idx="1">
                  <c:v>2018-07-25-03:00</c:v>
                </c:pt>
                <c:pt idx="2">
                  <c:v>2018-07-25-04:00</c:v>
                </c:pt>
                <c:pt idx="3">
                  <c:v>2018-07-25-05:00</c:v>
                </c:pt>
                <c:pt idx="4">
                  <c:v>2018-07-25-06:00</c:v>
                </c:pt>
                <c:pt idx="5">
                  <c:v>2018-07-25-07:00</c:v>
                </c:pt>
                <c:pt idx="6">
                  <c:v>2018-07-25-08:00</c:v>
                </c:pt>
                <c:pt idx="7">
                  <c:v>2018-07-25-09:00</c:v>
                </c:pt>
                <c:pt idx="8">
                  <c:v>2018-07-25-10:00</c:v>
                </c:pt>
                <c:pt idx="9">
                  <c:v>2018-07-25-11:00</c:v>
                </c:pt>
                <c:pt idx="10">
                  <c:v>2018-07-25-12:00</c:v>
                </c:pt>
                <c:pt idx="11">
                  <c:v>2018-07-25-13:00</c:v>
                </c:pt>
                <c:pt idx="12">
                  <c:v>2018-07-25-14:00</c:v>
                </c:pt>
                <c:pt idx="13">
                  <c:v>2018-07-25-15:00</c:v>
                </c:pt>
                <c:pt idx="14">
                  <c:v>2018-07-25-16:00</c:v>
                </c:pt>
                <c:pt idx="15">
                  <c:v>2018-07-25-17:00</c:v>
                </c:pt>
                <c:pt idx="16">
                  <c:v>2018-07-25-18:00</c:v>
                </c:pt>
                <c:pt idx="17">
                  <c:v>2018-07-25-19:00</c:v>
                </c:pt>
                <c:pt idx="18">
                  <c:v>2018-07-25-20:00</c:v>
                </c:pt>
                <c:pt idx="19">
                  <c:v>2018-07-25-21:00</c:v>
                </c:pt>
                <c:pt idx="20">
                  <c:v>2018-07-25-22:00</c:v>
                </c:pt>
                <c:pt idx="21">
                  <c:v>2018-07-25-23:00</c:v>
                </c:pt>
                <c:pt idx="22">
                  <c:v>2018-07-26-00:00</c:v>
                </c:pt>
                <c:pt idx="23">
                  <c:v>2018-07-26-01:00</c:v>
                </c:pt>
                <c:pt idx="24">
                  <c:v>2018-07-26-02:00</c:v>
                </c:pt>
                <c:pt idx="25">
                  <c:v>2018-07-26-03:00</c:v>
                </c:pt>
                <c:pt idx="26">
                  <c:v>2018-07-26-04:00</c:v>
                </c:pt>
                <c:pt idx="27">
                  <c:v>2018-07-26-05:00</c:v>
                </c:pt>
                <c:pt idx="28">
                  <c:v>2018-07-26-06:00</c:v>
                </c:pt>
                <c:pt idx="29">
                  <c:v>2018-07-26-07:00</c:v>
                </c:pt>
                <c:pt idx="30">
                  <c:v>2018-07-26-08:00</c:v>
                </c:pt>
                <c:pt idx="31">
                  <c:v>2018-07-26-09:00</c:v>
                </c:pt>
                <c:pt idx="32">
                  <c:v>2018-07-26-10:00</c:v>
                </c:pt>
                <c:pt idx="33">
                  <c:v>2018-07-26-11:00</c:v>
                </c:pt>
                <c:pt idx="34">
                  <c:v>2018-07-26-12:00</c:v>
                </c:pt>
                <c:pt idx="35">
                  <c:v>2018-07-26-13:00</c:v>
                </c:pt>
                <c:pt idx="36">
                  <c:v>2018-07-26-14:00</c:v>
                </c:pt>
                <c:pt idx="37">
                  <c:v>2018-07-26-15:00</c:v>
                </c:pt>
                <c:pt idx="38">
                  <c:v>2018-07-26-16:00</c:v>
                </c:pt>
                <c:pt idx="39">
                  <c:v>2018-07-26-17:00</c:v>
                </c:pt>
                <c:pt idx="40">
                  <c:v>2018-07-26-18:00</c:v>
                </c:pt>
                <c:pt idx="41">
                  <c:v>2018-07-26-19:00</c:v>
                </c:pt>
                <c:pt idx="42">
                  <c:v>2018-07-26-20:00</c:v>
                </c:pt>
                <c:pt idx="43">
                  <c:v>2018-07-26-21:00</c:v>
                </c:pt>
                <c:pt idx="44">
                  <c:v>2018-07-26-22:00</c:v>
                </c:pt>
                <c:pt idx="45">
                  <c:v>2018-07-26-23:00</c:v>
                </c:pt>
                <c:pt idx="46">
                  <c:v>2018-07-27-00:00</c:v>
                </c:pt>
                <c:pt idx="47">
                  <c:v>2018-07-27-01:00</c:v>
                </c:pt>
                <c:pt idx="48">
                  <c:v>2018-07-27-02:00</c:v>
                </c:pt>
                <c:pt idx="49">
                  <c:v>2018-07-27-03:00</c:v>
                </c:pt>
                <c:pt idx="50">
                  <c:v>2018-07-27-04:00</c:v>
                </c:pt>
                <c:pt idx="51">
                  <c:v>2018-07-27-05:00</c:v>
                </c:pt>
                <c:pt idx="52">
                  <c:v>2018-07-27-06:00</c:v>
                </c:pt>
                <c:pt idx="53">
                  <c:v>2018-07-27-07:00</c:v>
                </c:pt>
                <c:pt idx="54">
                  <c:v>2018-07-27-08:00</c:v>
                </c:pt>
                <c:pt idx="55">
                  <c:v>2018-07-27-09:00</c:v>
                </c:pt>
                <c:pt idx="56">
                  <c:v>2018-07-27-10:00</c:v>
                </c:pt>
                <c:pt idx="57">
                  <c:v>2018-07-27-11:00</c:v>
                </c:pt>
                <c:pt idx="58">
                  <c:v>2018-07-27-12:00</c:v>
                </c:pt>
                <c:pt idx="59">
                  <c:v>2018-07-27-13:00</c:v>
                </c:pt>
                <c:pt idx="60">
                  <c:v>2018-07-27-14:00</c:v>
                </c:pt>
                <c:pt idx="61">
                  <c:v>2018-07-27-15:00</c:v>
                </c:pt>
                <c:pt idx="62">
                  <c:v>2018-07-27-16:00</c:v>
                </c:pt>
                <c:pt idx="63">
                  <c:v>2018-07-27-17:00</c:v>
                </c:pt>
                <c:pt idx="64">
                  <c:v>2018-07-27-18:00</c:v>
                </c:pt>
                <c:pt idx="65">
                  <c:v>2018-07-27-19:00</c:v>
                </c:pt>
                <c:pt idx="66">
                  <c:v>2018-07-27-20:00</c:v>
                </c:pt>
                <c:pt idx="67">
                  <c:v>2018-07-27-21:00</c:v>
                </c:pt>
                <c:pt idx="68">
                  <c:v>2018-07-27-22:00</c:v>
                </c:pt>
                <c:pt idx="69">
                  <c:v>9999-99-99-99:00</c:v>
                </c:pt>
                <c:pt idx="70">
                  <c:v>9999-99-99-99:01</c:v>
                </c:pt>
                <c:pt idx="71">
                  <c:v>9999-99-99-99:02</c:v>
                </c:pt>
              </c:strCache>
            </c:strRef>
          </c:cat>
          <c:val>
            <c:numRef>
              <c:f>Run_BASE!$C$2:$C$74</c:f>
              <c:numCache>
                <c:formatCode>0.00000</c:formatCode>
                <c:ptCount val="72"/>
                <c:pt idx="50">
                  <c:v>1.1641862392425524</c:v>
                </c:pt>
                <c:pt idx="51">
                  <c:v>1.1647885143756875</c:v>
                </c:pt>
                <c:pt idx="52">
                  <c:v>1.16506788134575</c:v>
                </c:pt>
                <c:pt idx="53">
                  <c:v>1.1648004949092874</c:v>
                </c:pt>
                <c:pt idx="54">
                  <c:v>1.1645403504371652</c:v>
                </c:pt>
                <c:pt idx="55">
                  <c:v>1.1644615530967699</c:v>
                </c:pt>
                <c:pt idx="56">
                  <c:v>1.1646858751773825</c:v>
                </c:pt>
                <c:pt idx="57">
                  <c:v>1.1635625660419477</c:v>
                </c:pt>
                <c:pt idx="58">
                  <c:v>1.162615448236465</c:v>
                </c:pt>
                <c:pt idx="59">
                  <c:v>1.1626980602741224</c:v>
                </c:pt>
                <c:pt idx="60">
                  <c:v>1.1625532507896426</c:v>
                </c:pt>
                <c:pt idx="61">
                  <c:v>1.163127064704895</c:v>
                </c:pt>
                <c:pt idx="62">
                  <c:v>1.1646354496479026</c:v>
                </c:pt>
                <c:pt idx="63">
                  <c:v>1.1653948724269849</c:v>
                </c:pt>
                <c:pt idx="64">
                  <c:v>1.1654565036296827</c:v>
                </c:pt>
                <c:pt idx="65">
                  <c:v>1.165504068136215</c:v>
                </c:pt>
                <c:pt idx="66">
                  <c:v>1.1656343042850501</c:v>
                </c:pt>
                <c:pt idx="67">
                  <c:v>1.1657444834709176</c:v>
                </c:pt>
                <c:pt idx="68">
                  <c:v>1.1659360826015477</c:v>
                </c:pt>
                <c:pt idx="69">
                  <c:v>1.1666881442070025</c:v>
                </c:pt>
                <c:pt idx="70">
                  <c:v>1.167447835206985</c:v>
                </c:pt>
                <c:pt idx="71">
                  <c:v>1.1677843928337102</c:v>
                </c:pt>
              </c:numCache>
            </c:numRef>
          </c:val>
          <c:smooth val="0"/>
        </c:ser>
        <c:dLbls>
          <c:showLegendKey val="0"/>
          <c:showVal val="0"/>
          <c:showCatName val="0"/>
          <c:showSerName val="0"/>
          <c:showPercent val="0"/>
          <c:showBubbleSize val="0"/>
        </c:dLbls>
        <c:marker val="1"/>
        <c:smooth val="0"/>
        <c:axId val="209268640"/>
        <c:axId val="209269728"/>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Run_BASE!$A$2:$A$74</c:f>
              <c:strCache>
                <c:ptCount val="72"/>
                <c:pt idx="0">
                  <c:v>2018-07-25-02:00</c:v>
                </c:pt>
                <c:pt idx="1">
                  <c:v>2018-07-25-03:00</c:v>
                </c:pt>
                <c:pt idx="2">
                  <c:v>2018-07-25-04:00</c:v>
                </c:pt>
                <c:pt idx="3">
                  <c:v>2018-07-25-05:00</c:v>
                </c:pt>
                <c:pt idx="4">
                  <c:v>2018-07-25-06:00</c:v>
                </c:pt>
                <c:pt idx="5">
                  <c:v>2018-07-25-07:00</c:v>
                </c:pt>
                <c:pt idx="6">
                  <c:v>2018-07-25-08:00</c:v>
                </c:pt>
                <c:pt idx="7">
                  <c:v>2018-07-25-09:00</c:v>
                </c:pt>
                <c:pt idx="8">
                  <c:v>2018-07-25-10:00</c:v>
                </c:pt>
                <c:pt idx="9">
                  <c:v>2018-07-25-11:00</c:v>
                </c:pt>
                <c:pt idx="10">
                  <c:v>2018-07-25-12:00</c:v>
                </c:pt>
                <c:pt idx="11">
                  <c:v>2018-07-25-13:00</c:v>
                </c:pt>
                <c:pt idx="12">
                  <c:v>2018-07-25-14:00</c:v>
                </c:pt>
                <c:pt idx="13">
                  <c:v>2018-07-25-15:00</c:v>
                </c:pt>
                <c:pt idx="14">
                  <c:v>2018-07-25-16:00</c:v>
                </c:pt>
                <c:pt idx="15">
                  <c:v>2018-07-25-17:00</c:v>
                </c:pt>
                <c:pt idx="16">
                  <c:v>2018-07-25-18:00</c:v>
                </c:pt>
                <c:pt idx="17">
                  <c:v>2018-07-25-19:00</c:v>
                </c:pt>
                <c:pt idx="18">
                  <c:v>2018-07-25-20:00</c:v>
                </c:pt>
                <c:pt idx="19">
                  <c:v>2018-07-25-21:00</c:v>
                </c:pt>
                <c:pt idx="20">
                  <c:v>2018-07-25-22:00</c:v>
                </c:pt>
                <c:pt idx="21">
                  <c:v>2018-07-25-23:00</c:v>
                </c:pt>
                <c:pt idx="22">
                  <c:v>2018-07-26-00:00</c:v>
                </c:pt>
                <c:pt idx="23">
                  <c:v>2018-07-26-01:00</c:v>
                </c:pt>
                <c:pt idx="24">
                  <c:v>2018-07-26-02:00</c:v>
                </c:pt>
                <c:pt idx="25">
                  <c:v>2018-07-26-03:00</c:v>
                </c:pt>
                <c:pt idx="26">
                  <c:v>2018-07-26-04:00</c:v>
                </c:pt>
                <c:pt idx="27">
                  <c:v>2018-07-26-05:00</c:v>
                </c:pt>
                <c:pt idx="28">
                  <c:v>2018-07-26-06:00</c:v>
                </c:pt>
                <c:pt idx="29">
                  <c:v>2018-07-26-07:00</c:v>
                </c:pt>
                <c:pt idx="30">
                  <c:v>2018-07-26-08:00</c:v>
                </c:pt>
                <c:pt idx="31">
                  <c:v>2018-07-26-09:00</c:v>
                </c:pt>
                <c:pt idx="32">
                  <c:v>2018-07-26-10:00</c:v>
                </c:pt>
                <c:pt idx="33">
                  <c:v>2018-07-26-11:00</c:v>
                </c:pt>
                <c:pt idx="34">
                  <c:v>2018-07-26-12:00</c:v>
                </c:pt>
                <c:pt idx="35">
                  <c:v>2018-07-26-13:00</c:v>
                </c:pt>
                <c:pt idx="36">
                  <c:v>2018-07-26-14:00</c:v>
                </c:pt>
                <c:pt idx="37">
                  <c:v>2018-07-26-15:00</c:v>
                </c:pt>
                <c:pt idx="38">
                  <c:v>2018-07-26-16:00</c:v>
                </c:pt>
                <c:pt idx="39">
                  <c:v>2018-07-26-17:00</c:v>
                </c:pt>
                <c:pt idx="40">
                  <c:v>2018-07-26-18:00</c:v>
                </c:pt>
                <c:pt idx="41">
                  <c:v>2018-07-26-19:00</c:v>
                </c:pt>
                <c:pt idx="42">
                  <c:v>2018-07-26-20:00</c:v>
                </c:pt>
                <c:pt idx="43">
                  <c:v>2018-07-26-21:00</c:v>
                </c:pt>
                <c:pt idx="44">
                  <c:v>2018-07-26-22:00</c:v>
                </c:pt>
                <c:pt idx="45">
                  <c:v>2018-07-26-23:00</c:v>
                </c:pt>
                <c:pt idx="46">
                  <c:v>2018-07-27-00:00</c:v>
                </c:pt>
                <c:pt idx="47">
                  <c:v>2018-07-27-01:00</c:v>
                </c:pt>
                <c:pt idx="48">
                  <c:v>2018-07-27-02:00</c:v>
                </c:pt>
                <c:pt idx="49">
                  <c:v>2018-07-27-03:00</c:v>
                </c:pt>
                <c:pt idx="50">
                  <c:v>2018-07-27-04:00</c:v>
                </c:pt>
                <c:pt idx="51">
                  <c:v>2018-07-27-05:00</c:v>
                </c:pt>
                <c:pt idx="52">
                  <c:v>2018-07-27-06:00</c:v>
                </c:pt>
                <c:pt idx="53">
                  <c:v>2018-07-27-07:00</c:v>
                </c:pt>
                <c:pt idx="54">
                  <c:v>2018-07-27-08:00</c:v>
                </c:pt>
                <c:pt idx="55">
                  <c:v>2018-07-27-09:00</c:v>
                </c:pt>
                <c:pt idx="56">
                  <c:v>2018-07-27-10:00</c:v>
                </c:pt>
                <c:pt idx="57">
                  <c:v>2018-07-27-11:00</c:v>
                </c:pt>
                <c:pt idx="58">
                  <c:v>2018-07-27-12:00</c:v>
                </c:pt>
                <c:pt idx="59">
                  <c:v>2018-07-27-13:00</c:v>
                </c:pt>
                <c:pt idx="60">
                  <c:v>2018-07-27-14:00</c:v>
                </c:pt>
                <c:pt idx="61">
                  <c:v>2018-07-27-15:00</c:v>
                </c:pt>
                <c:pt idx="62">
                  <c:v>2018-07-27-16:00</c:v>
                </c:pt>
                <c:pt idx="63">
                  <c:v>2018-07-27-17:00</c:v>
                </c:pt>
                <c:pt idx="64">
                  <c:v>2018-07-27-18:00</c:v>
                </c:pt>
                <c:pt idx="65">
                  <c:v>2018-07-27-19:00</c:v>
                </c:pt>
                <c:pt idx="66">
                  <c:v>2018-07-27-20:00</c:v>
                </c:pt>
                <c:pt idx="67">
                  <c:v>2018-07-27-21:00</c:v>
                </c:pt>
                <c:pt idx="68">
                  <c:v>2018-07-27-22:00</c:v>
                </c:pt>
                <c:pt idx="69">
                  <c:v>9999-99-99-99:00</c:v>
                </c:pt>
                <c:pt idx="70">
                  <c:v>9999-99-99-99:01</c:v>
                </c:pt>
                <c:pt idx="71">
                  <c:v>9999-99-99-99:02</c:v>
                </c:pt>
              </c:strCache>
            </c:strRef>
          </c:cat>
          <c:val>
            <c:numRef>
              <c:f>Run_BASE!$D$2:$D$74</c:f>
              <c:numCache>
                <c:formatCode>0.00000</c:formatCode>
                <c:ptCount val="72"/>
                <c:pt idx="50">
                  <c:v>8.8512897489999997E-5</c:v>
                </c:pt>
                <c:pt idx="51">
                  <c:v>6.2853097917499998E-5</c:v>
                </c:pt>
                <c:pt idx="52">
                  <c:v>3.4898519514999999E-5</c:v>
                </c:pt>
                <c:pt idx="53">
                  <c:v>4.3630599977499995E-5</c:v>
                </c:pt>
                <c:pt idx="54">
                  <c:v>4.8398971557500006E-5</c:v>
                </c:pt>
                <c:pt idx="55">
                  <c:v>8.1211328504999996E-5</c:v>
                </c:pt>
                <c:pt idx="56">
                  <c:v>6.1273574827499993E-5</c:v>
                </c:pt>
                <c:pt idx="57">
                  <c:v>7.5042247769999996E-5</c:v>
                </c:pt>
                <c:pt idx="58">
                  <c:v>8.8721513747499993E-5</c:v>
                </c:pt>
                <c:pt idx="59">
                  <c:v>1.259148120875E-4</c:v>
                </c:pt>
                <c:pt idx="60">
                  <c:v>1.7184019089E-4</c:v>
                </c:pt>
                <c:pt idx="61">
                  <c:v>8.8840723040000007E-5</c:v>
                </c:pt>
                <c:pt idx="62">
                  <c:v>1.1467933654750001E-4</c:v>
                </c:pt>
                <c:pt idx="63">
                  <c:v>1.1792778968999999E-4</c:v>
                </c:pt>
                <c:pt idx="64">
                  <c:v>1.9446015358249999E-4</c:v>
                </c:pt>
                <c:pt idx="65">
                  <c:v>1.05708837505E-4</c:v>
                </c:pt>
                <c:pt idx="66">
                  <c:v>2.0647048949999999E-4</c:v>
                </c:pt>
                <c:pt idx="67">
                  <c:v>1.985728740725E-4</c:v>
                </c:pt>
                <c:pt idx="68">
                  <c:v>1.3107061386250001E-4</c:v>
                </c:pt>
              </c:numCache>
            </c:numRef>
          </c:val>
          <c:smooth val="0"/>
        </c:ser>
        <c:dLbls>
          <c:showLegendKey val="0"/>
          <c:showVal val="0"/>
          <c:showCatName val="0"/>
          <c:showSerName val="0"/>
          <c:showPercent val="0"/>
          <c:showBubbleSize val="0"/>
        </c:dLbls>
        <c:marker val="1"/>
        <c:smooth val="0"/>
        <c:axId val="209257760"/>
        <c:axId val="209271904"/>
      </c:lineChart>
      <c:catAx>
        <c:axId val="209268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9728"/>
        <c:crosses val="autoZero"/>
        <c:auto val="1"/>
        <c:lblAlgn val="ctr"/>
        <c:lblOffset val="100"/>
        <c:tickLblSkip val="1"/>
        <c:noMultiLvlLbl val="0"/>
      </c:catAx>
      <c:valAx>
        <c:axId val="2092697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8640"/>
        <c:crosses val="autoZero"/>
        <c:crossBetween val="between"/>
      </c:valAx>
      <c:valAx>
        <c:axId val="20927190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57760"/>
        <c:crosses val="max"/>
        <c:crossBetween val="between"/>
      </c:valAx>
      <c:catAx>
        <c:axId val="209257760"/>
        <c:scaling>
          <c:orientation val="minMax"/>
        </c:scaling>
        <c:delete val="1"/>
        <c:axPos val="b"/>
        <c:numFmt formatCode="General" sourceLinked="1"/>
        <c:majorTickMark val="out"/>
        <c:minorTickMark val="none"/>
        <c:tickLblPos val="nextTo"/>
        <c:crossAx val="209271904"/>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TradeError!$B$2</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TradeError!$A$3:$A$4</c:f>
              <c:strCache>
                <c:ptCount val="2"/>
                <c:pt idx="0">
                  <c:v>2018-07-27 22:00</c:v>
                </c:pt>
                <c:pt idx="1">
                  <c:v>2018-07-27 23:00</c:v>
                </c:pt>
              </c:strCache>
            </c:strRef>
          </c:cat>
          <c:val>
            <c:numRef>
              <c:f>TradeError!$B$3:$B$4</c:f>
              <c:numCache>
                <c:formatCode>0.00000</c:formatCode>
                <c:ptCount val="2"/>
                <c:pt idx="0">
                  <c:v>1.1663600000000001</c:v>
                </c:pt>
                <c:pt idx="1">
                  <c:v>1.1660200000000001</c:v>
                </c:pt>
              </c:numCache>
            </c:numRef>
          </c:val>
          <c:smooth val="0"/>
        </c:ser>
        <c:ser>
          <c:idx val="1"/>
          <c:order val="1"/>
          <c:tx>
            <c:strRef>
              <c:f>TradeError!$C$2</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TradeError!$A$3:$A$4</c:f>
              <c:strCache>
                <c:ptCount val="2"/>
                <c:pt idx="0">
                  <c:v>2018-07-27 22:00</c:v>
                </c:pt>
                <c:pt idx="1">
                  <c:v>2018-07-27 23:00</c:v>
                </c:pt>
              </c:strCache>
            </c:strRef>
          </c:cat>
          <c:val>
            <c:numRef>
              <c:f>TradeError!$C$3:$C$4</c:f>
              <c:numCache>
                <c:formatCode>0.00000</c:formatCode>
                <c:ptCount val="2"/>
                <c:pt idx="0">
                  <c:v>1.1650050000000001</c:v>
                </c:pt>
              </c:numCache>
            </c:numRef>
          </c:val>
          <c:smooth val="0"/>
        </c:ser>
        <c:dLbls>
          <c:showLegendKey val="0"/>
          <c:showVal val="0"/>
          <c:showCatName val="0"/>
          <c:showSerName val="0"/>
          <c:showPercent val="0"/>
          <c:showBubbleSize val="0"/>
        </c:dLbls>
        <c:marker val="1"/>
        <c:smooth val="0"/>
        <c:axId val="209264832"/>
        <c:axId val="209259936"/>
      </c:lineChart>
      <c:lineChart>
        <c:grouping val="standard"/>
        <c:varyColors val="0"/>
        <c:ser>
          <c:idx val="2"/>
          <c:order val="2"/>
          <c:tx>
            <c:strRef>
              <c:f>TradeError!$D$2</c:f>
              <c:strCache>
                <c:ptCount val="1"/>
                <c:pt idx="0">
                  <c:v>Average of 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TradeError!$A$3:$A$4</c:f>
              <c:strCache>
                <c:ptCount val="2"/>
                <c:pt idx="0">
                  <c:v>2018-07-27 22:00</c:v>
                </c:pt>
                <c:pt idx="1">
                  <c:v>2018-07-27 23:00</c:v>
                </c:pt>
              </c:strCache>
            </c:strRef>
          </c:cat>
          <c:val>
            <c:numRef>
              <c:f>TradeError!$D$3:$D$4</c:f>
              <c:numCache>
                <c:formatCode>0.00000</c:formatCode>
                <c:ptCount val="2"/>
                <c:pt idx="0">
                  <c:v>1.3549999999999951E-3</c:v>
                </c:pt>
                <c:pt idx="1">
                  <c:v>0</c:v>
                </c:pt>
              </c:numCache>
            </c:numRef>
          </c:val>
          <c:smooth val="0"/>
        </c:ser>
        <c:dLbls>
          <c:showLegendKey val="0"/>
          <c:showVal val="0"/>
          <c:showCatName val="0"/>
          <c:showSerName val="0"/>
          <c:showPercent val="0"/>
          <c:showBubbleSize val="0"/>
        </c:dLbls>
        <c:marker val="1"/>
        <c:smooth val="0"/>
        <c:axId val="209260480"/>
        <c:axId val="209264288"/>
      </c:lineChart>
      <c:catAx>
        <c:axId val="209264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59936"/>
        <c:crosses val="autoZero"/>
        <c:auto val="1"/>
        <c:lblAlgn val="ctr"/>
        <c:lblOffset val="100"/>
        <c:noMultiLvlLbl val="0"/>
      </c:catAx>
      <c:valAx>
        <c:axId val="20925993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4832"/>
        <c:crosses val="autoZero"/>
        <c:crossBetween val="between"/>
      </c:valAx>
      <c:valAx>
        <c:axId val="20926428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60480"/>
        <c:crosses val="max"/>
        <c:crossBetween val="between"/>
      </c:valAx>
      <c:catAx>
        <c:axId val="209260480"/>
        <c:scaling>
          <c:orientation val="minMax"/>
        </c:scaling>
        <c:delete val="1"/>
        <c:axPos val="b"/>
        <c:numFmt formatCode="General" sourceLinked="1"/>
        <c:majorTickMark val="out"/>
        <c:minorTickMark val="none"/>
        <c:tickLblPos val="nextTo"/>
        <c:crossAx val="20926428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RunErrVsMSER!$A$5:$A$7</c:f>
              <c:strCache>
                <c:ptCount val="2"/>
                <c:pt idx="0">
                  <c:v>3332713.5</c:v>
                </c:pt>
                <c:pt idx="1">
                  <c:v>3332673</c:v>
                </c:pt>
              </c:strCache>
            </c:strRef>
          </c:cat>
          <c:val>
            <c:numRef>
              <c:f>RunErrVsMSER!$B$5:$B$7</c:f>
              <c:numCache>
                <c:formatCode>General</c:formatCode>
                <c:ptCount val="2"/>
                <c:pt idx="0">
                  <c:v>5.5351845466678736E-3</c:v>
                </c:pt>
                <c:pt idx="1">
                  <c:v>5.4702435767180384E-3</c:v>
                </c:pt>
              </c:numCache>
            </c:numRef>
          </c:val>
          <c:smooth val="0"/>
        </c:ser>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RunErrVsMSER!$A$5:$A$7</c:f>
              <c:strCache>
                <c:ptCount val="2"/>
                <c:pt idx="0">
                  <c:v>3332713.5</c:v>
                </c:pt>
                <c:pt idx="1">
                  <c:v>3332673</c:v>
                </c:pt>
              </c:strCache>
            </c:strRef>
          </c:cat>
          <c:val>
            <c:numRef>
              <c:f>RunErrVsMSER!$C$5:$C$7</c:f>
              <c:numCache>
                <c:formatCode>General</c:formatCode>
                <c:ptCount val="2"/>
                <c:pt idx="0">
                  <c:v>1.0736991978439236E-4</c:v>
                </c:pt>
                <c:pt idx="1">
                  <c:v>1.0541980772790077E-4</c:v>
                </c:pt>
              </c:numCache>
            </c:numRef>
          </c:val>
          <c:smooth val="0"/>
        </c:ser>
        <c:dLbls>
          <c:showLegendKey val="0"/>
          <c:showVal val="0"/>
          <c:showCatName val="0"/>
          <c:showSerName val="0"/>
          <c:showPercent val="0"/>
          <c:showBubbleSize val="0"/>
        </c:dLbls>
        <c:marker val="1"/>
        <c:smooth val="0"/>
        <c:axId val="211141248"/>
        <c:axId val="211148320"/>
      </c:lineChart>
      <c:catAx>
        <c:axId val="21114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48320"/>
        <c:crosses val="autoZero"/>
        <c:auto val="1"/>
        <c:lblAlgn val="ctr"/>
        <c:lblOffset val="100"/>
        <c:noMultiLvlLbl val="0"/>
      </c:catAx>
      <c:valAx>
        <c:axId val="211148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41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211148864"/>
        <c:axId val="211140160"/>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211150496"/>
        <c:axId val="211143968"/>
      </c:lineChart>
      <c:catAx>
        <c:axId val="21114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40160"/>
        <c:crosses val="autoZero"/>
        <c:auto val="1"/>
        <c:lblAlgn val="ctr"/>
        <c:lblOffset val="100"/>
        <c:noMultiLvlLbl val="0"/>
      </c:catAx>
      <c:valAx>
        <c:axId val="211140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48864"/>
        <c:crosses val="autoZero"/>
        <c:crossBetween val="between"/>
      </c:valAx>
      <c:valAx>
        <c:axId val="21114396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50496"/>
        <c:crosses val="max"/>
        <c:crossBetween val="between"/>
      </c:valAx>
      <c:catAx>
        <c:axId val="211150496"/>
        <c:scaling>
          <c:orientation val="minMax"/>
        </c:scaling>
        <c:delete val="1"/>
        <c:axPos val="b"/>
        <c:numFmt formatCode="General" sourceLinked="1"/>
        <c:majorTickMark val="out"/>
        <c:minorTickMark val="none"/>
        <c:tickLblPos val="nextTo"/>
        <c:crossAx val="2111439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211151040"/>
        <c:axId val="211153216"/>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211154848"/>
        <c:axId val="211140704"/>
      </c:lineChart>
      <c:catAx>
        <c:axId val="211151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53216"/>
        <c:crosses val="autoZero"/>
        <c:auto val="1"/>
        <c:lblAlgn val="ctr"/>
        <c:lblOffset val="100"/>
        <c:noMultiLvlLbl val="0"/>
      </c:catAx>
      <c:valAx>
        <c:axId val="211153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51040"/>
        <c:crosses val="autoZero"/>
        <c:crossBetween val="between"/>
      </c:valAx>
      <c:valAx>
        <c:axId val="21114070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54848"/>
        <c:crosses val="max"/>
        <c:crossBetween val="between"/>
      </c:valAx>
      <c:catAx>
        <c:axId val="211154848"/>
        <c:scaling>
          <c:orientation val="minMax"/>
        </c:scaling>
        <c:delete val="1"/>
        <c:axPos val="b"/>
        <c:numFmt formatCode="General" sourceLinked="1"/>
        <c:majorTickMark val="out"/>
        <c:minorTickMark val="none"/>
        <c:tickLblPos val="nextTo"/>
        <c:crossAx val="2111407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211154304"/>
        <c:axId val="21115539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211142336"/>
        <c:axId val="211141792"/>
      </c:lineChart>
      <c:catAx>
        <c:axId val="211154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55392"/>
        <c:crosses val="autoZero"/>
        <c:auto val="1"/>
        <c:lblAlgn val="ctr"/>
        <c:lblOffset val="100"/>
        <c:noMultiLvlLbl val="0"/>
      </c:catAx>
      <c:valAx>
        <c:axId val="21115539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54304"/>
        <c:crosses val="autoZero"/>
        <c:crossBetween val="between"/>
      </c:valAx>
      <c:valAx>
        <c:axId val="21114179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42336"/>
        <c:crosses val="max"/>
        <c:crossBetween val="between"/>
      </c:valAx>
      <c:catAx>
        <c:axId val="211142336"/>
        <c:scaling>
          <c:orientation val="minMax"/>
        </c:scaling>
        <c:delete val="1"/>
        <c:axPos val="b"/>
        <c:numFmt formatCode="General" sourceLinked="1"/>
        <c:majorTickMark val="out"/>
        <c:minorTickMark val="none"/>
        <c:tickLblPos val="nextTo"/>
        <c:crossAx val="2111417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107016</xdr:colOff>
      <xdr:row>44</xdr:row>
      <xdr:rowOff>156883</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85840" y="8538883"/>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33</xdr:row>
      <xdr:rowOff>0</xdr:rowOff>
    </xdr:from>
    <xdr:to>
      <xdr:col>7</xdr:col>
      <xdr:colOff>158564</xdr:colOff>
      <xdr:row>44</xdr:row>
      <xdr:rowOff>115421</xdr:rowOff>
    </xdr:to>
    <mc:AlternateContent xmlns:mc="http://schemas.openxmlformats.org/markup-compatibility/2006" xmlns:a14="http://schemas.microsoft.com/office/drawing/2010/main">
      <mc:Choice Requires="a14">
        <xdr:graphicFrame macro="">
          <xdr:nvGraphicFramePr>
            <xdr:cNvPr id="7" name="SEQUENCEID 1"/>
            <xdr:cNvGraphicFramePr/>
          </xdr:nvGraphicFramePr>
          <xdr:xfrm>
            <a:off x="0" y="0"/>
            <a:ext cx="0" cy="0"/>
          </xdr:xfrm>
          <a:graphic>
            <a:graphicData uri="http://schemas.microsoft.com/office/drawing/2010/slicer">
              <sle:slicer xmlns:sle="http://schemas.microsoft.com/office/drawing/2010/slicer" name="SEQUENCEID 1"/>
            </a:graphicData>
          </a:graphic>
        </xdr:graphicFrame>
      </mc:Choice>
      <mc:Fallback xmlns="">
        <xdr:sp macro="" textlink="">
          <xdr:nvSpPr>
            <xdr:cNvPr id="0" name=""/>
            <xdr:cNvSpPr>
              <a:spLocks noTextEdit="1"/>
            </xdr:cNvSpPr>
          </xdr:nvSpPr>
          <xdr:spPr>
            <a:xfrm>
              <a:off x="5523940" y="6286500"/>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95250</xdr:colOff>
      <xdr:row>14</xdr:row>
      <xdr:rowOff>133350</xdr:rowOff>
    </xdr:from>
    <xdr:ext cx="1815353" cy="2679326"/>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103094</xdr:colOff>
      <xdr:row>44</xdr:row>
      <xdr:rowOff>45944</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952565" y="842794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100292</xdr:colOff>
      <xdr:row>29</xdr:row>
      <xdr:rowOff>112059</xdr:rowOff>
    </xdr:from>
    <xdr:to>
      <xdr:col>7</xdr:col>
      <xdr:colOff>113739</xdr:colOff>
      <xdr:row>41</xdr:row>
      <xdr:rowOff>67235</xdr:rowOff>
    </xdr:to>
    <mc:AlternateContent xmlns:mc="http://schemas.openxmlformats.org/markup-compatibility/2006" xmlns:a14="http://schemas.microsoft.com/office/drawing/2010/main">
      <mc:Choice Requires="a14">
        <xdr:graphicFrame macro="">
          <xdr:nvGraphicFramePr>
            <xdr:cNvPr id="9" name="SEQUENCEID"/>
            <xdr:cNvGraphicFramePr/>
          </xdr:nvGraphicFramePr>
          <xdr:xfrm>
            <a:off x="0" y="0"/>
            <a:ext cx="0" cy="0"/>
          </xdr:xfrm>
          <a:graphic>
            <a:graphicData uri="http://schemas.microsoft.com/office/drawing/2010/slicer">
              <sle:slicer xmlns:sle="http://schemas.microsoft.com/office/drawing/2010/slicer" name="SEQUENCEID"/>
            </a:graphicData>
          </a:graphic>
        </xdr:graphicFrame>
      </mc:Choice>
      <mc:Fallback xmlns="">
        <xdr:sp macro="" textlink="">
          <xdr:nvSpPr>
            <xdr:cNvPr id="0" name=""/>
            <xdr:cNvSpPr>
              <a:spLocks noTextEdit="1"/>
            </xdr:cNvSpPr>
          </xdr:nvSpPr>
          <xdr:spPr>
            <a:xfrm>
              <a:off x="5949763" y="5636559"/>
              <a:ext cx="1828800" cy="224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179294</xdr:colOff>
      <xdr:row>1</xdr:row>
      <xdr:rowOff>44824</xdr:rowOff>
    </xdr:from>
    <xdr:ext cx="1815353" cy="2524125"/>
    <mc:AlternateContent xmlns:mc="http://schemas.openxmlformats.org/markup-compatibility/2006" xmlns:a14="http://schemas.microsoft.com/office/drawing/2010/main">
      <mc:Choice Requires="a14">
        <xdr:graphicFrame macro="">
          <xdr:nvGraphicFramePr>
            <xdr:cNvPr id="10"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6028765" y="23532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oneCellAnchor>
    <xdr:from>
      <xdr:col>7</xdr:col>
      <xdr:colOff>123825</xdr:colOff>
      <xdr:row>1</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1</xdr:row>
      <xdr:rowOff>156210</xdr:rowOff>
    </xdr:from>
    <xdr:to>
      <xdr:col>21</xdr:col>
      <xdr:colOff>390523</xdr:colOff>
      <xdr:row>31</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14</xdr:row>
      <xdr:rowOff>123825</xdr:rowOff>
    </xdr:from>
    <xdr:to>
      <xdr:col>10</xdr:col>
      <xdr:colOff>361950</xdr:colOff>
      <xdr:row>25</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25</xdr:row>
      <xdr:rowOff>22860</xdr:rowOff>
    </xdr:from>
    <xdr:to>
      <xdr:col>10</xdr:col>
      <xdr:colOff>335280</xdr:colOff>
      <xdr:row>35</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5"/>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7"/>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13.996290277777" createdVersion="5" refreshedVersion="5" minRefreshableVersion="3" recordCount="25">
  <cacheSource type="external" connectionId="3"/>
  <cacheFields count="14">
    <cacheField name="PROCESSID" numFmtId="0" sqlType="6">
      <sharedItems containsSemiMixedTypes="0" containsString="0" containsNumber="1" containsInteger="1" minValue="1604" maxValue="14360" count="25">
        <n v="6132"/>
        <n v="10016"/>
        <n v="10408"/>
        <n v="1604"/>
        <n v="14108"/>
        <n v="12652"/>
        <n v="6704"/>
        <n v="9900"/>
        <n v="11900"/>
        <n v="7272"/>
        <n v="11184"/>
        <n v="12500"/>
        <n v="8352"/>
        <n v="12651"/>
        <n v="14360"/>
        <n v="9004"/>
        <n v="6956"/>
        <n v="11808"/>
        <n v="2504"/>
        <n v="9912"/>
        <n v="12292"/>
        <n v="8408"/>
        <n v="5644"/>
        <n v="9652"/>
        <n v="6912"/>
      </sharedItems>
    </cacheField>
    <cacheField name="ENGINETYPE" numFmtId="0" sqlType="6">
      <sharedItems containsSemiMixedTypes="0" containsString="0" containsNumber="1" containsInteger="1" minValue="2" maxValue="2" count="1">
        <n v="2"/>
      </sharedItems>
    </cacheField>
    <cacheField name="DATASAMPLELEN" numFmtId="0" sqlType="6">
      <sharedItems containsSemiMixedTypes="0" containsString="0" containsNumber="1" containsInteger="1" minValue="10" maxValue="50" count="3">
        <n v="20"/>
        <n v="50"/>
        <n v="10"/>
      </sharedItems>
    </cacheField>
    <cacheField name="DATAPREDICTIONLEN" numFmtId="0" sqlType="6">
      <sharedItems containsSemiMixedTypes="0" containsString="0" containsNumber="1" containsInteger="1" minValue="1" maxValue="10" count="4">
        <n v="5"/>
        <n v="3"/>
        <n v="10"/>
        <n v="1"/>
      </sharedItems>
    </cacheField>
    <cacheField name="DATAFEATURESCNT" numFmtId="0" sqlType="6">
      <sharedItems containsSemiMixedTypes="0" containsString="0" containsNumber="1" containsInteger="1" minValue="4" maxValue="4" count="1">
        <n v="4"/>
      </sharedItems>
    </cacheField>
    <cacheField name="DATABATCHSIZE" numFmtId="0" sqlType="6">
      <sharedItems containsString="0" containsBlank="1" containsNumber="1" containsInteger="1" minValue="1" maxValue="20" count="4">
        <n v="1"/>
        <m/>
        <n v="20"/>
        <n v="10"/>
      </sharedItems>
    </cacheField>
    <cacheField name="WNNDECOMPLEVEL" numFmtId="0" sqlType="6">
      <sharedItems containsSemiMixedTypes="0" containsString="0" containsNumber="1" containsInteger="1" minValue="-1" maxValue="-1" count="1">
        <n v="-1"/>
      </sharedItems>
    </cacheField>
    <cacheField name="WNNWAVELETTYPE" numFmtId="0" sqlType="6">
      <sharedItems containsSemiMixedTypes="0" containsString="0" containsNumber="1" containsInteger="1" minValue="-1" maxValue="-1" count="1">
        <n v="-1"/>
      </sharedItems>
    </cacheField>
    <cacheField name="READFROM" numFmtId="0" sqlType="6">
      <sharedItems containsString="0" containsBlank="1" count="1">
        <m/>
      </sharedItems>
    </cacheField>
    <cacheField name="SAVETODB" numFmtId="0" sqlType="6">
      <sharedItems containsSemiMixedTypes="0" containsString="0" containsNumber="1" containsInteger="1" minValue="1" maxValue="1" count="1">
        <n v="1"/>
      </sharedItems>
    </cacheField>
    <cacheField name="SAVETOFILE" numFmtId="0" sqlType="6">
      <sharedItems containsSemiMixedTypes="0" containsString="0" containsNumber="1" containsInteger="1" minValue="0" maxValue="0" count="1">
        <n v="0"/>
      </sharedItems>
    </cacheField>
    <cacheField name="ORAUSERNAME" numFmtId="0" sqlType="12">
      <sharedItems count="1">
        <s v="LogUser"/>
      </sharedItems>
    </cacheField>
    <cacheField name="ORAPASSWORD" numFmtId="0" sqlType="12">
      <sharedItems count="1">
        <s v="LogPwd"/>
      </sharedItems>
    </cacheField>
    <cacheField name="ORACONNSTRING" numFmtId="0" sqlType="12">
      <sharedItems count="1">
        <s v="Algo"/>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21.870861226853" createdVersion="5" refreshedVersion="5" minRefreshableVersion="3" recordCount="2140">
  <cacheSource type="external" connectionId="4"/>
  <cacheFields count="7">
    <cacheField name="SIMULATIONID" numFmtId="0" sqlType="6">
      <sharedItems containsSemiMixedTypes="0" containsString="0" containsNumber="1" containsInteger="1" minValue="1" maxValue="101" count="46">
        <n v="83"/>
        <n v="30"/>
        <n v="70"/>
        <n v="20"/>
        <n v="40"/>
        <n v="80"/>
        <n v="50"/>
        <n v="81"/>
        <n v="77"/>
        <n v="82"/>
        <n v="90"/>
        <n v="96" u="1"/>
        <n v="100" u="1"/>
        <n v="5" u="1"/>
        <n v="87" u="1"/>
        <n v="66" u="1"/>
        <n v="15" u="1"/>
        <n v="95" u="1"/>
        <n v="2" u="1"/>
        <n v="99" u="1"/>
        <n v="6" u="1"/>
        <n v="48" u="1"/>
        <n v="86" u="1"/>
        <n v="7" u="1"/>
        <n v="94" u="1"/>
        <n v="21" u="1"/>
        <n v="98" u="1"/>
        <n v="22" u="1"/>
        <n v="1" u="1"/>
        <n v="3" u="1"/>
        <n v="8" u="1"/>
        <n v="85" u="1"/>
        <n v="89" u="1"/>
        <n v="9" u="1"/>
        <n v="97" u="1"/>
        <n v="10" u="1"/>
        <n v="101" u="1"/>
        <n v="49" u="1"/>
        <n v="84" u="1"/>
        <n v="11" u="1"/>
        <n v="51" u="1"/>
        <n v="88" u="1"/>
        <n v="31" u="1"/>
        <n v="4" u="1"/>
        <n v="12" u="1"/>
        <n v="32" u="1"/>
      </sharedItems>
    </cacheField>
    <cacheField name="PROCESSID" numFmtId="0" sqlType="6">
      <sharedItems containsSemiMixedTypes="0" containsString="0" containsNumber="1" containsInteger="1" minValue="32" maxValue="89824" count="614">
        <n v="1284"/>
        <n v="5644"/>
        <n v="6132"/>
        <n v="6704"/>
        <n v="6912"/>
        <n v="6956"/>
        <n v="7272"/>
        <n v="8352"/>
        <n v="8408"/>
        <n v="9004"/>
        <n v="9652"/>
        <n v="9900"/>
        <n v="9912"/>
        <n v="10012"/>
        <n v="10408"/>
        <n v="11184"/>
        <n v="11808"/>
        <n v="11900"/>
        <n v="12292"/>
        <n v="12500"/>
        <n v="12651"/>
        <n v="12652"/>
        <n v="13796"/>
        <n v="14096"/>
        <n v="14108"/>
        <n v="14308"/>
        <n v="14360"/>
        <n v="14524"/>
        <n v="15200"/>
        <n v="16504"/>
        <n v="8816" u="1"/>
        <n v="7464" u="1"/>
        <n v="10124" u="1"/>
        <n v="3700" u="1"/>
        <n v="6495" u="1"/>
        <n v="2140" u="1"/>
        <n v="8312" u="1"/>
        <n v="1964" u="1"/>
        <n v="7472" u="1"/>
        <n v="4935" u="1"/>
        <n v="6952" u="1"/>
        <n v="6692" u="1"/>
        <n v="6172" u="1"/>
        <n v="1444" u="1"/>
        <n v="9163" u="1"/>
        <n v="11180" u="1"/>
        <n v="5392" u="1"/>
        <n v="9620" u="1"/>
        <n v="1184" u="1"/>
        <n v="4612" u="1"/>
        <n v="4352" u="1"/>
        <n v="3964" u="1"/>
        <n v="11448" u="1"/>
        <n v="7283" u="1"/>
        <n v="9888" u="1"/>
        <n v="9368" u="1"/>
        <n v="1576" u="1"/>
        <n v="5920" u="1"/>
        <n v="4620" u="1"/>
        <n v="4100" u="1"/>
        <n v="2408" u="1"/>
        <n v="8864" u="1"/>
        <n v="2148" u="1"/>
        <n v="8344" u="1"/>
        <n v="5731" u="1"/>
        <n v="7228" u="1"/>
        <n v="6448" u="1"/>
        <n v="10172" u="1"/>
        <n v="4888" u="1"/>
        <n v="3972" u="1"/>
        <n v="2932" u="1"/>
        <n v="10960" u="1"/>
        <n v="6976" u="1"/>
        <n v="11228" u="1"/>
        <n v="4896" u="1"/>
        <n v="1060" u="1"/>
        <n v="3976" u="1"/>
        <n v="240" u="1"/>
        <n v="5353" u="1"/>
        <n v="14616" u="1"/>
        <n v="3456" u="1"/>
        <n v="2676" u="1"/>
        <n v="2416" u="1"/>
        <n v="8896" u="1"/>
        <n v="7504" u="1"/>
        <n v="1228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4160" u="1"/>
        <n v="10000" u="1"/>
        <n v="1980" u="1"/>
        <n v="7796" u="1"/>
        <n v="7536" u="1"/>
        <n v="6496" u="1"/>
        <n v="5196" u="1"/>
        <n v="4936" u="1"/>
        <n v="8708" u="1"/>
        <n v="3736" u="1"/>
        <n v="3476" u="1"/>
        <n v="2436" u="1"/>
        <n v="6827" u="1"/>
        <n v="6307" u="1"/>
        <n v="8456" u="1"/>
        <n v="8064" u="1"/>
        <n v="7284" u="1"/>
        <n v="6764" u="1"/>
        <n v="13404" u="1"/>
        <n v="4684" u="1"/>
        <n v="4164" u="1"/>
        <n v="3740" u="1"/>
        <n v="8135" u="1"/>
        <n v="73624" u="1"/>
        <n v="8992" u="1"/>
        <n v="528" u="1"/>
        <n v="8072" u="1"/>
        <n v="5992" u="1"/>
        <n v="5732" u="1"/>
        <n v="5212" u="1"/>
        <n v="9780" u="1"/>
        <n v="9260" u="1"/>
        <n v="984" u="1"/>
        <n v="13688" u="1"/>
        <n v="12128" u="1"/>
        <n v="2444" u="1"/>
        <n v="9528" u="1"/>
        <n v="7820" u="1"/>
        <n v="488" u="1"/>
        <n v="6780" u="1"/>
        <n v="6260" u="1"/>
        <n v="10836" u="1"/>
        <n v="1336" u="1"/>
        <n v="8236" u="1"/>
        <n v="3748" u="1"/>
        <n v="11167" u="1"/>
        <n v="3228" u="1"/>
        <n v="10584" u="1"/>
        <n v="7568" u="1"/>
        <n v="12932" u="1"/>
        <n v="12412" u="1"/>
        <n v="5748" u="1"/>
        <n v="8252" u="1"/>
        <n v="4012" u="1"/>
        <n v="12160" u="1"/>
        <n v="2712" u="1"/>
        <n v="10600" u="1"/>
        <n v="10080" u="1"/>
        <n v="9560" u="1"/>
        <n v="596" u="1"/>
        <n v="7316" u="1"/>
        <n v="11908" u="1"/>
        <n v="1340" u="1"/>
        <n v="10348" u="1"/>
        <n v="4456" u="1"/>
        <n v="8788" u="1"/>
        <n v="15296" u="1"/>
        <n v="3756" u="1"/>
        <n v="9056" u="1"/>
        <n v="532" u="1"/>
        <n v="7064" u="1"/>
        <n v="1732" u="1"/>
        <n v="6804" u="1"/>
        <n v="1348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7876" u="1"/>
        <n v="7616" u="1"/>
        <n v="6316" u="1"/>
        <n v="5796" u="1"/>
        <n v="4756" u="1"/>
        <n v="1173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4052" u="1"/>
        <n v="7719" u="1"/>
        <n v="9720" u="1"/>
        <n v="7656" u="1"/>
        <n v="14148" u="1"/>
        <n v="10508" u="1"/>
        <n v="3276" u="1"/>
        <n v="6364" u="1"/>
        <n v="5844" u="1"/>
        <n v="10004" u="1"/>
        <n v="4804" u="1"/>
        <n v="9484" u="1"/>
        <n v="8444" u="1"/>
        <n v="3800" u="1"/>
        <n v="3540" u="1"/>
        <n v="10272" u="1"/>
        <n v="9752" u="1"/>
        <n v="9232" u="1"/>
        <n v="6435" u="1"/>
        <n v="6892" u="1"/>
        <n v="13140" u="1"/>
        <n v="1624" u="1"/>
        <n v="6112" u="1"/>
        <n v="4812" u="1"/>
        <n v="4064" u="1"/>
        <n v="13928"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7192" u="1"/>
        <n v="6932" u="1"/>
        <n v="6152" u="1"/>
        <n v="5892" u="1"/>
        <n v="11140" u="1"/>
        <n v="5372" u="1"/>
        <n v="9580" u="1"/>
        <n v="8540" u="1"/>
        <n v="61028" u="1"/>
        <n v="11408" u="1"/>
        <n v="2524" u="1"/>
        <n v="9848" u="1"/>
        <n v="7980" u="1"/>
        <n v="7460" u="1"/>
        <n v="8556" u="1"/>
        <n v="47036" u="1"/>
        <n v="2528" u="1"/>
        <n v="9344" u="1"/>
        <n v="8304" u="1"/>
        <n v="6168" u="1"/>
        <n v="5648" u="1"/>
        <n v="8572" u="1"/>
        <n v="3832" u="1"/>
        <n v="14040" u="1"/>
        <n v="7476" u="1"/>
        <n v="6176" u="1"/>
        <n v="5656" u="1"/>
        <n v="5396" u="1"/>
        <n v="9628" u="1"/>
        <n v="4616" u="1"/>
        <n v="3576" u="1"/>
        <n v="3056" u="1"/>
        <n v="10936" u="1"/>
        <n v="9896" u="1"/>
        <n v="8856" u="1"/>
        <n v="1772" u="1"/>
        <n v="1252" u="1"/>
        <n v="9644" u="1"/>
        <n v="9124" u="1"/>
        <n v="10952" u="1"/>
        <n v="2280" u="1"/>
        <n v="8012" u="1"/>
        <n v="3907" u="1"/>
        <n v="7232" u="1"/>
        <n v="6712" u="1"/>
        <n v="5932" u="1"/>
        <n v="11740" u="1"/>
        <n v="4112" u="1"/>
        <n v="944" u="1"/>
        <n v="13568" u="1"/>
        <n v="10968" u="1"/>
        <n v="7760" u="1"/>
        <n v="6460" u="1"/>
        <n v="1516" u="1"/>
        <n v="5940" u="1"/>
        <n v="11756" u="1"/>
        <n v="10196" u="1"/>
        <n v="8636" u="1"/>
        <n v="232" u="1"/>
        <n v="14104" u="1"/>
        <n v="880" u="1"/>
        <n v="3068" u="1"/>
        <n v="1908" u="1"/>
        <n v="6208" u="1"/>
        <n v="5688" u="1"/>
        <n v="1388" u="1"/>
        <n v="8195" u="1"/>
        <n v="9172" u="1"/>
        <n v="13868" u="1"/>
        <n v="11268" u="1"/>
        <n v="5176" u="1"/>
        <n v="10228" u="1"/>
        <n v="3076" u="1"/>
        <n v="997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0355" u="1"/>
        <n v="3352" u="1"/>
        <n v="12640" u="1"/>
        <n v="12120" u="1"/>
        <n v="89824" u="1"/>
        <n v="9063" u="1"/>
        <n v="10560" u="1"/>
        <n v="8480" u="1"/>
        <n v="7296" u="1"/>
        <n v="5216" u="1"/>
        <n v="10308" u="1"/>
        <n v="9788" u="1"/>
        <n v="4696" u="1"/>
        <n v="8748" u="1"/>
        <n v="3616" u="1"/>
        <n v="14216" u="1"/>
        <n v="6587" u="1"/>
        <n v="1792" u="1"/>
        <n v="6784" u="1"/>
        <n v="6264" u="1"/>
        <n v="11884" u="1"/>
        <n v="8244" u="1"/>
        <n v="13192" u="1"/>
        <n v="3100" u="1"/>
        <n v="11632" u="1"/>
        <n v="10592" u="1"/>
        <n v="2580" u="1"/>
        <n v="1924" u="1"/>
        <n v="6792" u="1"/>
        <n v="5752" u="1"/>
        <n v="2844" u="1"/>
        <n v="9568" u="1"/>
        <n v="9048" u="1"/>
        <n v="2064" u="1"/>
        <n v="7580" u="1"/>
        <n v="12956" u="1"/>
        <n v="4980" u="1"/>
        <n v="9836" u="1"/>
        <n v="12184" u="1"/>
        <n v="2848" u="1"/>
        <n v="10104" u="1"/>
        <n v="6548" u="1"/>
        <n v="5768" u="1"/>
        <n v="1408" u="1"/>
        <n v="3892" u="1"/>
        <n v="956" u="1"/>
        <n v="14280" u="1"/>
        <n v="10120" u="1"/>
        <n v="6556" u="1"/>
        <n v="6296" u="1"/>
        <n v="5776" u="1"/>
        <n v="8308" u="1"/>
        <n v="14296" u="1"/>
        <n v="10136" u="1"/>
        <n v="8576" u="1"/>
        <n v="6564" u="1"/>
        <n v="5004" u="1"/>
        <n v="9884" u="1"/>
        <n v="8324" u="1"/>
        <n v="3120" u="1"/>
        <n v="7415" u="1"/>
        <n v="10152" u="1"/>
        <n v="8592" u="1"/>
        <n v="8132" u="1"/>
        <n v="7612" u="1"/>
        <n v="11460" u="1"/>
        <n v="5532" u="1"/>
        <n v="10420" u="1"/>
        <n v="9380"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9176" u="1"/>
        <n v="8164" u="1"/>
        <n v="11004" u="1"/>
        <n v="5304" u="1"/>
        <n v="4264" u="1"/>
        <n v="3400" u="1"/>
        <n v="3140" u="1"/>
        <n v="2620" u="1"/>
        <n v="10232" u="1"/>
        <n v="2100" u="1"/>
        <n v="7912" u="1"/>
        <n v="6092" u="1"/>
        <n v="1164" u="1"/>
        <n v="8420" u="1"/>
        <n v="3144" u="1"/>
        <n v="9728" u="1"/>
        <n v="6880" u="1"/>
        <n v="12076" u="1"/>
        <n v="9996" u="1"/>
        <n v="14944" u="1"/>
        <n v="13652" u="1"/>
        <n v="13132" u="1"/>
        <n v="5848" u="1"/>
        <n v="8972" u="1"/>
        <n v="8200" u="1"/>
        <n v="7936" u="1"/>
        <n v="7156" u="1"/>
        <n v="5856" u="1"/>
        <n v="11588" u="1"/>
        <n v="11068" u="1"/>
        <n v="5076" u="1"/>
        <n v="9508" u="1"/>
        <n v="8988" u="1"/>
        <n v="8216" u="1"/>
        <n v="7944" u="1"/>
        <n v="6644" u="1"/>
        <n v="6384" u="1"/>
        <n v="5084" u="1"/>
        <n v="10044" u="1"/>
        <n v="42336" u="1"/>
        <n v="2707" u="1"/>
        <n v="10580" u="1"/>
        <n v="8500" u="1"/>
        <n v="3424" u="1"/>
        <n v="10328" u="1"/>
        <n v="9288" u="1"/>
        <n v="7440" u="1"/>
        <n v="6920" u="1"/>
        <n v="6400" u="1"/>
        <n v="11116" u="1"/>
        <n v="3688" u="1"/>
        <n v="11904" u="1"/>
        <n v="1828" u="1"/>
        <n v="7188" u="1"/>
        <n v="13212" u="1"/>
        <n v="416" u="1"/>
        <n v="5368" u="1"/>
        <n v="4848" u="1"/>
        <n v="9572"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708" maxValue="16960" count="30">
        <n v="10360"/>
        <n v="5432"/>
        <n v="15888"/>
        <n v="6132"/>
        <n v="16340"/>
        <n v="11548"/>
        <n v="12888"/>
        <n v="15764"/>
        <n v="1996"/>
        <n v="11580"/>
        <n v="5940"/>
        <n v="6864"/>
        <n v="708"/>
        <n v="15120"/>
        <n v="13176"/>
        <n v="11500"/>
        <n v="11684"/>
        <n v="3672"/>
        <n v="6656"/>
        <n v="11320"/>
        <n v="5364"/>
        <n v="7980"/>
        <n v="15036"/>
        <n v="3904"/>
        <n v="11064"/>
        <n v="13336"/>
        <n v="7084"/>
        <n v="14788"/>
        <n v="4124"/>
        <n v="1696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453" u="1"/>
        <n v="1781" u="1"/>
        <n v="3531" u="1"/>
        <n v="4983" u="1"/>
        <n v="1716" u="1"/>
        <n v="3401" u="1"/>
        <n v="4723" u="1"/>
        <n v="1651" u="1"/>
        <n v="3271" u="1"/>
        <n v="446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457" u="1"/>
        <n v="1797" u="1"/>
        <n v="3563" u="1"/>
        <n v="1732" u="1"/>
        <n v="3433" u="1"/>
        <n v="4787" u="1"/>
        <n v="1667" u="1"/>
        <n v="3303" u="1"/>
        <n v="4527"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461" u="1"/>
        <n v="1813" u="1"/>
        <n v="3595" u="1"/>
        <n v="1748" u="1"/>
        <n v="3465" u="1"/>
        <n v="4851" u="1"/>
        <n v="1683" u="1"/>
        <n v="3335" u="1"/>
        <n v="4591"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196" u="1"/>
        <n v="3012" u="1"/>
        <n v="736" u="1"/>
        <n v="2882" u="1"/>
        <n v="2752" u="1"/>
        <n v="671" u="1"/>
        <n v="2622" u="1"/>
        <n v="2492" u="1"/>
        <n v="4922" u="1"/>
        <n v="606" u="1"/>
        <n v="2362" u="1"/>
        <n v="4662" u="1"/>
        <n v="2232" u="1"/>
        <n v="4402" u="1"/>
        <n v="541" u="1"/>
        <n v="2102" u="1"/>
        <n v="4142"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465" u="1"/>
        <n v="1829" u="1"/>
        <n v="3627" u="1"/>
        <n v="1764" u="1"/>
        <n v="3497" u="1"/>
        <n v="4915" u="1"/>
        <n v="1699" u="1"/>
        <n v="3367" u="1"/>
        <n v="4655"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441" u="1"/>
        <n v="1733" u="1"/>
        <n v="3435" u="1"/>
        <n v="4791" u="1"/>
        <n v="1668" u="1"/>
        <n v="3305" u="1"/>
        <n v="4531" u="1"/>
        <n v="1603" u="1"/>
        <n v="3175" u="1"/>
        <n v="4271"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445" u="1"/>
        <n v="1749" u="1"/>
        <n v="3467" u="1"/>
        <n v="4855" u="1"/>
        <n v="1684" u="1"/>
        <n v="3337" u="1"/>
        <n v="4595" u="1"/>
        <n v="1619" u="1"/>
        <n v="3207" u="1"/>
        <n v="4335"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449" u="1"/>
        <n v="1765" u="1"/>
        <n v="3499" u="1"/>
        <n v="4919" u="1"/>
        <n v="1700" u="1"/>
        <n v="3369" u="1"/>
        <n v="4659" u="1"/>
        <n v="1635" u="1"/>
        <n v="3239" u="1"/>
        <n v="4399"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DURATION" numFmtId="0" sqlType="6">
      <sharedItems containsSemiMixedTypes="0" containsString="0" containsNumber="1" containsInteger="1" minValue="74" maxValue="16385"/>
    </cacheField>
    <cacheField name="MSE_T" numFmtId="0" sqlType="6">
      <sharedItems containsSemiMixedTypes="0" containsString="0" containsNumber="1" minValue="1.00165052572265E-5" maxValue="1.19542255997658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22.989861111113" createdVersion="5" refreshedVersion="5" minRefreshableVersion="3" recordCount="576">
  <cacheSource type="external" connectionId="9"/>
  <cacheFields count="20">
    <cacheField name="PROCESSID" numFmtId="0" sqlType="6">
      <sharedItems containsSemiMixedTypes="0" containsString="0" containsNumber="1" containsInteger="1" minValue="32" maxValue="16380" count="319">
        <n v="1656"/>
        <n v="10040" u="1"/>
        <n v="11460" u="1"/>
        <n v="12099" u="1"/>
        <n v="12880" u="1"/>
        <n v="14868" u="1"/>
        <n v="15720" u="1"/>
        <n v="2720" u="1"/>
        <n v="14092" u="1"/>
        <n v="7204" u="1"/>
        <n v="7488" u="1"/>
        <n v="11612" u="1"/>
        <n v="1196" u="1"/>
        <n v="3468" u="1"/>
        <n v="7171" u="1"/>
        <n v="10552" u="1"/>
        <n v="13108" u="1"/>
        <n v="14812" u="1"/>
        <n v="1596" u="1"/>
        <n v="5576" u="1"/>
        <n v="12048" u="1"/>
        <n v="12332" u="1"/>
        <n v="12616" u="1"/>
        <n v="15172" u="1"/>
        <n v="10988" u="1"/>
        <n v="11840" u="1"/>
        <n v="13544" u="1"/>
        <n v="12484" u="1"/>
        <n v="13336" u="1"/>
        <n v="12276" u="1"/>
        <n v="13128" u="1"/>
        <n v="548" u="1"/>
        <n v="7432" u="1"/>
        <n v="8944" u="1"/>
        <n v="12636" u="1"/>
        <n v="5624" u="1"/>
        <n v="7896" u="1"/>
        <n v="11576" u="1"/>
        <n v="4100" u="1"/>
        <n v="8244" u="1"/>
        <n v="11723" u="1"/>
        <n v="12788" u="1"/>
        <n v="13640" u="1"/>
        <n v="13924" u="1"/>
        <n v="14208" u="1"/>
        <n v="10308" u="1"/>
        <n v="11444" u="1"/>
        <n v="12012" u="1"/>
        <n v="12651" u="1"/>
        <n v="11804" u="1"/>
        <n v="14360" u="1"/>
        <n v="6912" u="1"/>
        <n v="15004" u="1"/>
        <n v="8406" u="1"/>
        <n v="4432" u="1"/>
        <n v="11464" u="1"/>
        <n v="1284" u="1"/>
        <n v="14096" u="1"/>
        <n v="2740" u="1"/>
        <n v="4508" u="1"/>
        <n v="8776" u="1"/>
        <n v="9628" u="1"/>
        <n v="10480" u="1"/>
        <n v="11900" u="1"/>
        <n v="12468" u="1"/>
        <n v="12260" u="1"/>
        <n v="12828" u="1"/>
        <n v="13680" u="1"/>
        <n v="15952" u="1"/>
        <n v="16028" u="1"/>
        <n v="4004" u="1"/>
        <n v="8172" u="1"/>
        <n v="9288" u="1"/>
        <n v="12128" u="1"/>
        <n v="13548" u="1"/>
        <n v="1296" u="1"/>
        <n v="5512" u="1"/>
        <n v="1980" u="1"/>
        <n v="11428" u="1"/>
        <n v="13132" u="1"/>
        <n v="1244" u="1"/>
        <n v="5872" u="1"/>
        <n v="10368" u="1"/>
        <n v="10936" u="1"/>
        <n v="11788" u="1"/>
        <n v="15764" u="1"/>
        <n v="1999" u="1"/>
        <n v="2944" u="1"/>
        <n v="3512" u="1"/>
        <n v="8740" u="1"/>
        <n v="12787" u="1"/>
        <n v="13000" u="1"/>
        <n v="13284" u="1"/>
        <n v="13568" u="1"/>
        <n v="13852" u="1"/>
        <n v="3460" u="1"/>
        <n v="11372" u="1"/>
        <n v="11940" u="1"/>
        <n v="13360" u="1"/>
        <n v="13928" u="1"/>
        <n v="14851" u="1"/>
        <n v="3692" u="1"/>
        <n v="5915" u="1"/>
        <n v="10596" u="1"/>
        <n v="11164" u="1"/>
        <n v="11448" u="1"/>
        <n v="12016" u="1"/>
        <n v="15140" u="1"/>
        <n v="656" u="1"/>
        <n v="1708" u="1"/>
        <n v="4888" u="1"/>
        <n v="10104" u="1"/>
        <n v="11808" u="1"/>
        <n v="13583" u="1"/>
        <n v="9896" u="1"/>
        <n v="13872" u="1"/>
        <n v="14156" u="1"/>
        <n v="6952" u="1"/>
        <n v="8088" u="1"/>
        <n v="1488" u="1"/>
        <n v="2561" u="1"/>
        <n v="4052" u="1"/>
        <n v="7700" u="1"/>
        <n v="8912" u="1"/>
        <n v="13172" u="1"/>
        <n v="14308" u="1"/>
        <n v="9556" u="1"/>
        <n v="9840" u="1"/>
        <n v="10408" u="1"/>
        <n v="11260" u="1"/>
        <n v="12396" u="1"/>
        <n v="12467" u="1"/>
        <n v="244" u="1"/>
        <n v="5504" u="1"/>
        <n v="10768" u="1"/>
        <n v="12472" u="1"/>
        <n v="13892" u="1"/>
        <n v="1268" u="1"/>
        <n v="6536" u="1"/>
        <n v="13968" u="1"/>
        <n v="14252" u="1"/>
        <n v="14536" u="1"/>
        <n v="16240" u="1"/>
        <n v="1952" u="1"/>
        <n v="3560" u="1"/>
        <n v="7568" u="1"/>
        <n v="11204" u="1"/>
        <n v="11772" u="1"/>
        <n v="14044" u="1"/>
        <n v="16032" u="1"/>
        <n v="2088" u="1"/>
        <n v="6896" u="1"/>
        <n v="7464" u="1"/>
        <n v="10712" u="1"/>
        <n v="10996" u="1"/>
        <n v="11280" u="1"/>
        <n v="13836" u="1"/>
        <n v="3740" u="1"/>
        <n v="5656" u="1"/>
        <n v="5940" u="1"/>
        <n v="6792" u="1"/>
        <n v="7928" u="1"/>
        <n v="9652" u="1"/>
        <n v="11427" u="1"/>
        <n v="13912" u="1"/>
        <n v="3972" u="1"/>
        <n v="13136" u="1"/>
        <n v="13988" u="1"/>
        <n v="14272" u="1"/>
        <n v="1848" u="1"/>
        <n v="4312" u="1"/>
        <n v="4880" u="1"/>
        <n v="5164" u="1"/>
        <n v="9236" u="1"/>
        <n v="12360" u="1"/>
        <n v="13212" u="1"/>
        <n v="15200" u="1"/>
        <n v="1325" u="1"/>
        <n v="7228" u="1"/>
        <n v="8536" u="1"/>
        <n v="9104" u="1"/>
        <n v="12796" u="1"/>
        <n v="13648" u="1"/>
        <n v="16204" u="1"/>
        <n v="5704" u="1"/>
        <n v="12588" u="1"/>
        <n v="14292" u="1"/>
        <n v="16280" u="1"/>
        <n v="6168" u="1"/>
        <n v="7020" u="1"/>
        <n v="12096" u="1"/>
        <n v="12948" u="1"/>
        <n v="13232" u="1"/>
        <n v="14368" u="1"/>
        <n v="2240" u="1"/>
        <n v="7484" u="1"/>
        <n v="10468" u="1"/>
        <n v="11036" u="1"/>
        <n v="13308" u="1"/>
        <n v="14160" u="1"/>
        <n v="8272" u="1"/>
        <n v="12816" u="1"/>
        <n v="13100" u="1"/>
        <n v="13668" u="1"/>
        <n v="14520" u="1"/>
        <n v="14804" u="1"/>
        <n v="9768" u="1"/>
        <n v="11756" u="1"/>
        <n v="12040" u="1"/>
        <n v="13176" u="1"/>
        <n v="13744" u="1"/>
        <n v="14312" u="1"/>
        <n v="4900" u="1"/>
        <n v="7172" u="1"/>
        <n v="5364" u="1"/>
        <n v="5648" u="1"/>
        <n v="10488" u="1"/>
        <n v="11908" u="1"/>
        <n v="8292" u="1"/>
        <n v="8576" u="1"/>
        <n v="10280" u="1"/>
        <n v="11700" u="1"/>
        <n v="13688" u="1"/>
        <n v="10356" u="1"/>
        <n v="12060" u="1"/>
        <n v="1252" u="1"/>
        <n v="1936" u="1"/>
        <n v="8072" u="1"/>
        <n v="10295" u="1"/>
        <n v="14200" u="1"/>
        <n v="15052" u="1"/>
        <n v="8312" u="1"/>
        <n v="10300" u="1"/>
        <n v="14276" u="1"/>
        <n v="14844" u="1"/>
        <n v="1600" u="1"/>
        <n v="2572" u="1"/>
        <n v="8148" u="1"/>
        <n v="2000" u="1"/>
        <n v="7760" u="1"/>
        <n v="10452" u="1"/>
        <n v="12724" u="1"/>
        <n v="14144" u="1"/>
        <n v="4532" u="1"/>
        <n v="5100" u="1"/>
        <n v="5952" u="1"/>
        <n v="11380" u="1"/>
        <n v="12800" u="1"/>
        <n v="6132" u="1"/>
        <n v="6984" u="1"/>
        <n v="9468" u="1"/>
        <n v="7732" u="1"/>
        <n v="9828" u="1"/>
        <n v="12100" u="1"/>
        <n v="13307" u="1"/>
        <n v="7628" u="1"/>
        <n v="9052" u="1"/>
        <n v="15300" u="1"/>
        <n v="7808" u="1"/>
        <n v="8092" u="1"/>
        <n v="15944" u="1"/>
        <n v="4296" u="1"/>
        <n v="8352" u="1"/>
        <n v="9204" u="1"/>
        <n v="10340" u="1"/>
        <n v="11192" u="1"/>
        <n v="13180" u="1"/>
        <n v="3008" u="1"/>
        <n v="6464" u="1"/>
        <n v="8428" u="1"/>
        <n v="15244" u="1"/>
        <n v="16380" u="1"/>
        <n v="1224" u="1"/>
        <n v="8220" u="1"/>
        <n v="11912" u="1"/>
        <n v="13616" u="1"/>
        <n v="232" u="1"/>
        <n v="2052" u="1"/>
        <n v="8580" u="1"/>
        <n v="11704" u="1"/>
        <n v="13124" u="1"/>
        <n v="13976" u="1"/>
        <n v="14260" u="1"/>
        <n v="956" u="1"/>
        <n v="5300" u="1"/>
        <n v="8372" u="1"/>
        <n v="10076" u="1"/>
        <n v="12064" u="1"/>
        <n v="14620" u="1"/>
        <n v="15756" u="1"/>
        <n v="7539" u="1"/>
        <n v="13560" u="1"/>
        <n v="15548" u="1"/>
        <n v="8240" u="1"/>
        <n v="9944" u="1"/>
        <n v="12500" u="1"/>
        <n v="13068" u="1"/>
        <n v="16192" u="1"/>
        <n v="10304" u="1"/>
        <n v="12576" u="1"/>
        <n v="12860" u="1"/>
        <n v="14564" u="1"/>
        <n v="14848" u="1"/>
        <n v="3496" u="1"/>
        <n v="7156" u="1"/>
        <n v="14924" u="1"/>
        <n v="1468" u="1"/>
        <n v="5916" u="1"/>
        <n v="14148" u="1"/>
        <n v="16136" u="1"/>
        <n v="32" u="1"/>
        <n v="1020" u="1"/>
        <n v="3392" u="1"/>
        <n v="4960" u="1"/>
        <n v="6948" u="1"/>
        <n v="7232" u="1"/>
        <n v="8544" u="1"/>
        <n v="9964" u="1"/>
        <n v="10248" u="1"/>
      </sharedItems>
    </cacheField>
    <cacheField name="THREADID" numFmtId="0" sqlType="6">
      <sharedItems containsSemiMixedTypes="0" containsString="0" containsNumber="1" containsInteger="1" minValue="100" maxValue="16360" count="678">
        <n v="5124"/>
        <n v="1052"/>
        <n v="15844" u="1"/>
        <n v="14284" u="1"/>
        <n v="6684" u="1"/>
        <n v="12204" u="1"/>
        <n v="5644" u="1"/>
        <n v="5384" u="1"/>
        <n v="8564" u="1"/>
        <n v="13512" u="1"/>
        <n v="2400" u="1"/>
        <n v="15860" u="1"/>
        <n v="13780" u="1"/>
        <n v="6692" u="1"/>
        <n v="10660" u="1"/>
        <n v="15088" u="1"/>
        <n v="9888" u="1"/>
        <n v="8000" u="1"/>
        <n v="7480" u="1"/>
        <n v="14316" u="1"/>
        <n v="11716" u="1"/>
        <n v="5400" u="1"/>
        <n v="10676" u="1"/>
        <n v="9636" u="1"/>
        <n v="4620" u="1"/>
        <n v="15624" u="1"/>
        <n v="14584" u="1"/>
        <n v="2928" u="1"/>
        <n v="7748" u="1"/>
        <n v="13812" u="1"/>
        <n v="1708" u="1"/>
        <n v="12252" u="1"/>
        <n v="5928" u="1"/>
        <n v="11732" u="1"/>
        <n v="11212" u="1"/>
        <n v="10172" u="1"/>
        <n v="13560" u="1"/>
        <n v="12520" u="1"/>
        <n v="10960" u="1"/>
        <n v="10440" u="1"/>
        <n v="14868" u="1"/>
        <n v="12788" u="1"/>
        <n v="6196" u="1"/>
        <n v="10188" u="1"/>
        <n v="9148" u="1"/>
        <n v="240" u="1"/>
        <n v="14616" u="1"/>
        <n v="14096" u="1"/>
        <n v="13576" u="1"/>
        <n v="12016" u="1"/>
        <n v="2936" u="1"/>
        <n v="11496" u="1"/>
        <n v="10456" u="1"/>
        <n v="2416" u="1"/>
        <n v="8896" u="1"/>
        <n v="14884" u="1"/>
        <n v="13844" u="1"/>
        <n v="6464" u="1"/>
        <n v="5164" u="1"/>
        <n v="4904" u="1"/>
        <n v="15672" u="1"/>
        <n v="14112" u="1"/>
        <n v="224" u="1"/>
        <n v="13072" u="1"/>
        <n v="3200" u="1"/>
        <n v="11512" u="1"/>
        <n v="10992" u="1"/>
        <n v="420" u="1"/>
        <n v="8660" u="1"/>
        <n v="15168" u="1"/>
        <n v="12568" u="1"/>
        <n v="14396" u="1"/>
        <n v="12836" u="1"/>
        <n v="11276" u="1"/>
        <n v="1196" u="1"/>
        <n v="4660" u="1"/>
        <n v="4140" u="1"/>
        <n v="3988" u="1"/>
        <n v="15184" u="1"/>
        <n v="2688" u="1"/>
        <n v="9984" u="1"/>
        <n v="8048" u="1"/>
        <n v="7788" u="1"/>
        <n v="7268" u="1"/>
        <n v="6488" u="1"/>
        <n v="6228" u="1"/>
        <n v="5708" u="1"/>
        <n v="14680" u="1"/>
        <n v="14160" u="1"/>
        <n v="3212" u="1"/>
        <n v="12080" u="1"/>
        <n v="11040" u="1"/>
        <n v="9480" u="1"/>
        <n v="13908" u="1"/>
        <n v="13388" u="1"/>
        <n v="5716" u="1"/>
        <n v="5196" u="1"/>
        <n v="10268" u="1"/>
        <n v="4156" u="1"/>
        <n v="12616" u="1"/>
        <n v="2176" u="1"/>
        <n v="14964" u="1"/>
        <n v="12884" u="1"/>
        <n v="11844" u="1"/>
        <n v="11324" u="1"/>
        <n v="8724" u="1"/>
        <n v="14192" u="1"/>
        <n v="13420" u="1"/>
        <n v="11860" u="1"/>
        <n v="1464" u="1"/>
        <n v="10820" u="1"/>
        <n v="5212" u="1"/>
        <n v="4432" u="1"/>
        <n v="16288" u="1"/>
        <n v="13168" u="1"/>
        <n v="12648" u="1"/>
        <n v="10568" u="1"/>
        <n v="4180" u="1"/>
        <n v="10064" u="1"/>
        <n v="7828" u="1"/>
        <n v="14492" u="1"/>
        <n v="11892" u="1"/>
        <n v="14240" u="1"/>
        <n v="13720" u="1"/>
        <n v="9560" u="1"/>
        <n v="16068" u="1"/>
        <n v="15028" u="1"/>
        <n v="12948" u="1"/>
        <n v="1600" u="1"/>
        <n v="11388" u="1"/>
        <n v="5496" u="1"/>
        <n v="4716" u="1"/>
        <n v="4016" u="1"/>
        <n v="3756" u="1"/>
        <n v="12696" u="1"/>
        <n v="2456" u="1"/>
        <n v="9576" u="1"/>
        <n v="9056" u="1"/>
        <n v="16084" u="1"/>
        <n v="15044" u="1"/>
        <n v="14004" u="1"/>
        <n v="13484" u="1"/>
        <n v="12444" u="1"/>
        <n v="6024" u="1"/>
        <n v="3500" u="1"/>
        <n v="11672" u="1"/>
        <n v="11152" u="1"/>
        <n v="2720" u="1"/>
        <n v="8552" u="1"/>
        <n v="7332" u="1"/>
        <n v="7072" u="1"/>
        <n v="14020" u="1"/>
        <n v="13500" u="1"/>
        <n v="6032" u="1"/>
        <n v="11420" u="1"/>
        <n v="15328" u="1"/>
        <n v="3504" u="1"/>
        <n v="12208" u="1"/>
        <n v="10648" u="1"/>
        <n v="14036" u="1"/>
        <n v="6040" u="1"/>
        <n v="11956" u="1"/>
        <n v="14304" u="1"/>
        <n v="13784" u="1"/>
        <n v="12744" u="1"/>
        <n v="10664" u="1"/>
        <n v="7608" u="1"/>
        <n v="13012" u="1"/>
        <n v="12492" u="1"/>
        <n v="11972" u="1"/>
        <n v="11452" u="1"/>
        <n v="3512" u="1"/>
        <n v="2992" u="1"/>
        <n v="10680" u="1"/>
        <n v="10160" u="1"/>
        <n v="2212" u="1"/>
        <n v="2000" u="1"/>
        <n v="15628" u="1"/>
        <n v="7356" u="1"/>
        <n v="1740" u="1"/>
        <n v="6836" u="1"/>
        <n v="13548" u="1"/>
        <n v="5276" u="1"/>
        <n v="8868" u="1"/>
        <n v="13296" u="1"/>
        <n v="3256" u="1"/>
        <n v="2996" u="1"/>
        <n v="10696" u="1"/>
        <n v="9136" u="1"/>
        <n v="2216" u="1"/>
        <n v="8144" u="1"/>
        <n v="7104" u="1"/>
        <n v="12004" u="1"/>
        <n v="10444" u="1"/>
        <n v="5024" u="1"/>
        <n v="15912" u="1"/>
        <n v="12272" u="1"/>
        <n v="7632" u="1"/>
        <n v="13580" u="1"/>
        <n v="6592" u="1"/>
        <n v="13060" u="1"/>
        <n v="11500" u="1"/>
        <n v="5032" u="1"/>
        <n v="9420" u="1"/>
        <n v="14368" u="1"/>
        <n v="228" u="1"/>
        <n v="2484" u="1"/>
        <n v="7640" u="1"/>
        <n v="15156" u="1"/>
        <n v="7380" u="1"/>
        <n v="7120" u="1"/>
        <n v="6080" u="1"/>
        <n v="12036" u="1"/>
        <n v="1356" u="1"/>
        <n v="9436" u="1"/>
        <n v="3268" u="1"/>
        <n v="12824" u="1"/>
        <n v="3008" u="1"/>
        <n v="11784" u="1"/>
        <n v="2748" u="1"/>
        <n v="10744" u="1"/>
        <n v="9704" u="1"/>
        <n v="7388" u="1"/>
        <n v="14652" u="1"/>
        <n v="1748" u="1"/>
        <n v="12572" u="1"/>
        <n v="11532" u="1"/>
        <n v="5568" u="1"/>
        <n v="9972" u="1"/>
        <n v="4528" u="1"/>
        <n v="996" u="1"/>
        <n v="12320" u="1"/>
        <n v="2492" u="1"/>
        <n v="9200" u="1"/>
        <n v="15708" u="1"/>
        <n v="14148" u="1"/>
        <n v="6616" u="1"/>
        <n v="12068" u="1"/>
        <n v="5576" u="1"/>
        <n v="10776" u="1"/>
        <n v="2236" u="1"/>
        <n v="7144" u="1"/>
        <n v="12084" u="1"/>
        <n v="1492" u="1"/>
        <n v="5844" u="1"/>
        <n v="11564" u="1"/>
        <n v="3540" u="1"/>
        <n v="13392" u="1"/>
        <n v="12352" u="1"/>
        <n v="10272" u="1"/>
        <n v="9752" u="1"/>
        <n v="9232" u="1"/>
        <n v="14700" u="1"/>
        <n v="6892" u="1"/>
        <n v="13660" u="1"/>
        <n v="6632" u="1"/>
        <n v="13140" u="1"/>
        <n v="6112" u="1"/>
        <n v="10540" u="1"/>
        <n v="8460" u="1"/>
        <n v="15488" u="1"/>
        <n v="14968" u="1"/>
        <n v="13928" u="1"/>
        <n v="12888" u="1"/>
        <n v="11848" u="1"/>
        <n v="11328" u="1"/>
        <n v="10288" u="1"/>
        <n v="8728" u="1"/>
        <n v="544" u="1"/>
        <n v="14196" u="1"/>
        <n v="12636" u="1"/>
        <n v="5860" u="1"/>
        <n v="1236" u="1"/>
        <n v="4300" u="1"/>
        <n v="8476" u="1"/>
        <n v="3808" u="1"/>
        <n v="14984" u="1"/>
        <n v="13424" u="1"/>
        <n v="12384" u="1"/>
        <n v="2768" u="1"/>
        <n v="10824" u="1"/>
        <n v="2248" u="1"/>
        <n v="7948" u="1"/>
        <n v="7688" u="1"/>
        <n v="10052" u="1"/>
        <n v="4828" u="1"/>
        <n v="9012" u="1"/>
        <n v="11360" u="1"/>
        <n v="2512" u="1"/>
        <n v="9800" u="1"/>
        <n v="2252" u="1"/>
        <n v="1240" u="1"/>
        <n v="12936" u="1"/>
        <n v="12416" u="1"/>
        <n v="10856" u="1"/>
        <n v="7704" u="1"/>
        <n v="14244" u="1"/>
        <n v="12684" u="1"/>
        <n v="5884" u="1"/>
        <n v="11644" u="1"/>
        <n v="8524" u="1"/>
        <n v="15552" u="1"/>
        <n v="11912" u="1"/>
        <n v="11392" u="1"/>
        <n v="10872" u="1"/>
        <n v="8272" u="1"/>
        <n v="15300" u="1"/>
        <n v="7192" u="1"/>
        <n v="12700" u="1"/>
        <n v="5632" u="1"/>
        <n v="10620" u="1"/>
        <n v="8540" u="1"/>
        <n v="3824" u="1"/>
        <n v="15048" u="1"/>
        <n v="14008" u="1"/>
        <n v="13488" u="1"/>
        <n v="11928" u="1"/>
        <n v="8808" u="1"/>
        <n v="14276" u="1"/>
        <n v="6680" u="1"/>
        <n v="13236" u="1"/>
        <n v="10636" u="1"/>
        <n v="10116" u="1"/>
        <n v="4340" u="1"/>
        <n v="4088" u="1"/>
        <n v="15584" u="1"/>
        <n v="15064" u="1"/>
        <n v="14544" u="1"/>
        <n v="11424" u="1"/>
        <n v="10904" u="1"/>
        <n v="9864" u="1"/>
        <n v="15852" u="1"/>
        <n v="11692" u="1"/>
        <n v="4092" u="1"/>
        <n v="12480" u="1"/>
        <n v="15348" u="1"/>
        <n v="5916" u="1"/>
        <n v="5396" u="1"/>
        <n v="8588" u="1"/>
        <n v="15616" u="1"/>
        <n v="14576" u="1"/>
        <n v="12496" u="1"/>
        <n v="10936" u="1"/>
        <n v="15364" u="1"/>
        <n v="13284" u="1"/>
        <n v="6444" u="1"/>
        <n v="9124" u="1"/>
        <n v="4364" u="1"/>
        <n v="14592" u="1"/>
        <n v="13032" u="1"/>
        <n v="12512" u="1"/>
        <n v="8352" u="1"/>
        <n v="15900" u="1"/>
        <n v="13820" u="1"/>
        <n v="6192" u="1"/>
        <n v="11740" u="1"/>
        <n v="9140" u="1"/>
        <n v="8620" u="1"/>
        <n v="3844" u="1"/>
        <n v="944" u="1"/>
        <n v="10448" u="1"/>
        <n v="9928" u="1"/>
        <n v="9408" u="1"/>
        <n v="8020" u="1"/>
        <n v="15916" u="1"/>
        <n v="15396" u="1"/>
        <n v="13836" u="1"/>
        <n v="12796" u="1"/>
        <n v="12276" u="1"/>
        <n v="4640" u="1"/>
        <n v="4380" u="1"/>
        <n v="14104" u="1"/>
        <n v="13584" u="1"/>
        <n v="10464" u="1"/>
        <n v="9424" u="1"/>
        <n v="1908" u="1"/>
        <n v="14892" u="1"/>
        <n v="14372" u="1"/>
        <n v="436" u="1"/>
        <n v="6728" u="1"/>
        <n v="13332" u="1"/>
        <n v="12292" u="1"/>
        <n v="9692" u="1"/>
        <n v="4388" u="1"/>
        <n v="15680" u="1"/>
        <n v="3592" u="1"/>
        <n v="14120" u="1"/>
        <n v="12560" u="1"/>
        <n v="11520" u="1"/>
        <n v="8400" u="1"/>
        <n v="7776" u="1"/>
        <n v="7516" u="1"/>
        <n v="6996" u="1"/>
        <n v="12828" u="1"/>
        <n v="11788" u="1"/>
        <n v="11268" u="1"/>
        <n v="10748" u="1"/>
        <n v="9188" u="1"/>
        <n v="8668" u="1"/>
        <n v="4136" u="1"/>
        <n v="1012" u="1"/>
        <n v="10496" u="1"/>
        <n v="8936" u="1"/>
        <n v="8416" u="1"/>
        <n v="6744" u="1"/>
        <n v="4924" u="1"/>
        <n v="4664" u="1"/>
        <n v="9204" u="1"/>
        <n v="4144" u="1"/>
        <n v="7792" u="1"/>
        <n v="14420" u="1"/>
        <n v="6752" u="1"/>
        <n v="6232" u="1"/>
        <n v="9740" u="1"/>
        <n v="14688" u="1"/>
        <n v="13128" u="1"/>
        <n v="12088" u="1"/>
        <n v="11568" u="1"/>
        <n v="10008" u="1"/>
        <n v="7280" u="1"/>
        <n v="9236" u="1"/>
        <n v="1136" u="1"/>
        <n v="16264" u="1"/>
        <n v="13144" u="1"/>
        <n v="10544" u="1"/>
        <n v="7028" u="1"/>
        <n v="6508" u="1"/>
        <n v="12372" u="1"/>
        <n v="11852" u="1"/>
        <n v="11332" u="1"/>
        <n v="16280" u="1"/>
        <n v="15240" u="1"/>
        <n v="14200" u="1"/>
        <n v="10560" u="1"/>
        <n v="8076" u="1"/>
        <n v="12908" u="1"/>
        <n v="6256" u="1"/>
        <n v="5996" u="1"/>
        <n v="5476" u="1"/>
        <n v="4956" u="1"/>
        <n v="4436" u="1"/>
        <n v="4176" u="1"/>
        <n v="12656" u="1"/>
        <n v="12136" u="1"/>
        <n v="2576" u="1"/>
        <n v="9016" u="1"/>
        <n v="8496" u="1"/>
        <n v="16044" u="1"/>
        <n v="7824" u="1"/>
        <n v="6784" u="1"/>
        <n v="6264" u="1"/>
        <n v="12404" u="1"/>
        <n v="11884" u="1"/>
        <n v="10324" u="1"/>
        <n v="14752" u="1"/>
        <n v="13712" u="1"/>
        <n v="13192" u="1"/>
        <n v="12672" u="1"/>
        <n v="2840" u="1"/>
        <n v="16060" u="1"/>
        <n v="1924" u="1"/>
        <n v="13980" u="1"/>
        <n v="6792" u="1"/>
        <n v="12420" u="1"/>
        <n v="5752" u="1"/>
        <n v="10860" u="1"/>
        <n v="10340" u="1"/>
        <n v="9300" u="1"/>
        <n v="8780" u="1"/>
        <n v="11128" u="1"/>
        <n v="10608" u="1"/>
        <n v="6800" u="1"/>
        <n v="10876" u="1"/>
        <n v="10356" u="1"/>
        <n v="16344" u="1"/>
        <n v="15304" u="1"/>
        <n v="3628" u="1"/>
        <n v="13224" u="1"/>
        <n v="12704" u="1"/>
        <n v="12184" u="1"/>
        <n v="2848" u="1"/>
        <n v="11144" u="1"/>
        <n v="9584" u="1"/>
        <n v="8108" u="1"/>
        <n v="15572" u="1"/>
        <n v="15052" u="1"/>
        <n v="13492" u="1"/>
        <n v="1668" u="1"/>
        <n v="6548" u="1"/>
        <n v="12972" u="1"/>
        <n v="100" u="1"/>
        <n v="11412" u="1"/>
        <n v="4728" u="1"/>
        <n v="16360" u="1"/>
        <n v="14280" u="1"/>
        <n v="13760" u="1"/>
        <n v="13240" u="1"/>
        <n v="11680" u="1"/>
        <n v="11160" u="1"/>
        <n v="10120" u="1"/>
        <n v="2332" u="1"/>
        <n v="1800" u="1"/>
        <n v="13508" u="1"/>
        <n v="6036" u="1"/>
        <n v="5516" u="1"/>
        <n v="344" u="1"/>
        <n v="9348" u="1"/>
        <n v="3896" u="1"/>
        <n v="14816" u="1"/>
        <n v="13776" u="1"/>
        <n v="13256" u="1"/>
        <n v="14044" u="1"/>
        <n v="6304" u="1"/>
        <n v="11444" u="1"/>
        <n v="15872" u="1"/>
        <n v="15352" u="1"/>
        <n v="11712" u="1"/>
        <n v="2080" u="1"/>
        <n v="15100" u="1"/>
        <n v="7352" u="1"/>
        <n v="12500" u="1"/>
        <n v="11460" u="1"/>
        <n v="10420" u="1"/>
        <n v="15888" u="1"/>
        <n v="3644" u="1"/>
        <n v="13808" u="1"/>
        <n v="13288" u="1"/>
        <n v="764" u="1"/>
        <n v="11728" u="1"/>
        <n v="2604" u="1"/>
        <n v="10168" u="1"/>
        <n v="16156" u="1"/>
        <n v="7880" u="1"/>
        <n v="15636" u="1"/>
        <n v="14596" u="1"/>
        <n v="14076" u="1"/>
        <n v="13556" u="1"/>
        <n v="5020" u="1"/>
        <n v="4760" u="1"/>
        <n v="15904" u="1"/>
        <n v="252" u="1"/>
        <n v="14864" u="1"/>
        <n v="3388" u="1"/>
        <n v="12784" u="1"/>
        <n v="8624" u="1"/>
        <n v="2088" u="1"/>
        <n v="14092" u="1"/>
        <n v="6848" u="1"/>
        <n v="6328" u="1"/>
        <n v="6068" u="1"/>
        <n v="12012" u="1"/>
        <n v="11492" u="1"/>
        <n v="1288" u="1"/>
        <n v="3912" u="1"/>
        <n v="11760" u="1"/>
        <n v="8640" u="1"/>
        <n v="7376" u="1"/>
        <n v="14108" u="1"/>
        <n v="6856" u="1"/>
        <n v="13588" u="1"/>
        <n v="12548" u="1"/>
        <n v="11508" u="1"/>
        <n v="5556" u="1"/>
        <n v="8388" u="1"/>
        <n v="3136" u="1"/>
        <n v="2876" u="1"/>
        <n v="10216" u="1"/>
        <n v="9696" u="1"/>
        <n v="14124" u="1"/>
        <n v="13604" u="1"/>
        <n v="12564" u="1"/>
        <n v="6084" u="1"/>
        <n v="8924" u="1"/>
        <n v="1032" u="1"/>
        <n v="3920" u="1"/>
        <n v="3140" u="1"/>
        <n v="12312" u="1"/>
        <n v="11792" u="1"/>
        <n v="10752" u="1"/>
        <n v="2360" u="1"/>
        <n v="8172" u="1"/>
        <n v="7912" u="1"/>
        <n v="7652" u="1"/>
        <n v="14140" u="1"/>
        <n v="13100" u="1"/>
        <n v="5572" u="1"/>
        <n v="9980" u="1"/>
        <n v="8420" u="1"/>
        <n v="15968" u="1"/>
        <n v="12328" u="1"/>
        <n v="11288" u="1"/>
        <n v="10248" u="1"/>
        <n v="7920" u="1"/>
        <n v="15196" u="1"/>
        <n v="13636" u="1"/>
        <n v="6100" u="1"/>
        <n v="9996" u="1"/>
        <n v="3928" u="1"/>
        <n v="15464" u="1"/>
        <n v="12864" u="1"/>
        <n v="13652" u="1"/>
        <n v="12092" u="1"/>
        <n v="11572" u="1"/>
        <n v="11052" u="1"/>
        <n v="10532" u="1"/>
        <n v="9492" u="1"/>
        <n v="4548" u="1"/>
        <n v="8972" u="1"/>
        <n v="8452" u="1"/>
        <n v="14960" u="1"/>
        <n v="13400" u="1"/>
        <n v="11840" u="1"/>
        <n v="11320" u="1"/>
        <n v="9240" u="1"/>
        <n v="14708" u="1"/>
        <n v="14188" u="1"/>
        <n v="13668" u="1"/>
        <n v="1560" u="1"/>
        <n v="11588" u="1"/>
        <n v="10548" u="1"/>
        <n v="9508" u="1"/>
        <n v="14456" u="1"/>
        <n v="3416" u="1"/>
        <n v="13416" u="1"/>
        <n v="11856" u="1"/>
        <n v="10816" u="1"/>
        <n v="1952" u="1"/>
        <n v="15244" u="1"/>
        <n v="7424" u="1"/>
        <n v="14724" u="1"/>
        <n v="14204" u="1"/>
        <n v="1692" u="1"/>
        <n v="6644" u="1"/>
        <n v="10564" u="1"/>
        <n v="3680" u="1"/>
        <n v="14472" u="1"/>
        <n v="10312" u="1"/>
        <n v="9792" u="1"/>
        <n v="13700" u="1"/>
        <n v="6392" u="1"/>
        <n v="5872" u="1"/>
        <n v="13968" u="1"/>
        <n v="12928" u="1"/>
        <n v="2904" u="1"/>
        <n v="9808" u="1"/>
        <n v="9288" u="1"/>
        <n v="8768" u="1"/>
        <n v="16316" u="1"/>
        <n v="1956" u="1"/>
        <n v="13196" u="1"/>
        <n v="6140" u="1"/>
        <n v="12156" u="1"/>
        <n v="1436" u="1"/>
        <n v="11116" u="1"/>
        <n v="4580" u="1"/>
        <n v="9036" u="1"/>
        <n v="8516" u="1"/>
        <n v="16064" u="1"/>
        <n v="3428" u="1"/>
        <n v="9824" u="1"/>
        <n v="9304" u="1"/>
        <n v="1828" u="1"/>
        <n v="6668" u="1"/>
        <n v="12692" u="1"/>
        <n v="11132" u="1"/>
        <n v="4588" u="1"/>
        <n v="15040" u="1"/>
        <n v="2392" u="1"/>
        <n v="8800" u="1"/>
        <n v="15828" u="1"/>
        <n v="7196" u="1"/>
        <n v="14268" u="1"/>
        <n v="13228" u="1"/>
        <n v="5376" u="1"/>
        <n v="10628" u="1"/>
        <n v="12976" u="1"/>
        <n v="11936" u="1"/>
        <n v="10896" u="1"/>
      </sharedItems>
    </cacheField>
    <cacheField name="SEQUENCEID" numFmtId="0" sqlType="6">
      <sharedItems containsSemiMixedTypes="0" containsString="0" containsNumber="1" containsInteger="1" minValue="0" maxValue="24" count="25">
        <n v="0"/>
        <n v="1"/>
        <n v="13" u="1"/>
        <n v="5" u="1"/>
        <n v="14" u="1"/>
        <n v="15" u="1"/>
        <n v="2" u="1"/>
        <n v="6" u="1"/>
        <n v="16" u="1"/>
        <n v="17" u="1"/>
        <n v="18" u="1"/>
        <n v="19" u="1"/>
        <n v="7" u="1"/>
        <n v="20" u="1"/>
        <n v="21" u="1"/>
        <n v="22" u="1"/>
        <n v="23" u="1"/>
        <n v="3" u="1"/>
        <n v="8" u="1"/>
        <n v="24" u="1"/>
        <n v="9" u="1"/>
        <n v="10" u="1"/>
        <n v="11" u="1"/>
        <n v="4" u="1"/>
        <n v="12" u="1"/>
      </sharedItems>
    </cacheField>
    <cacheField name="NETPROCESSID" numFmtId="0" sqlType="6">
      <sharedItems containsSemiMixedTypes="0" containsString="0" containsNumber="1" containsInteger="1" minValue="0" maxValue="16204" count="138">
        <n v="14308"/>
        <n v="0" u="1"/>
        <n v="10040" u="1"/>
        <n v="11460" u="1"/>
        <n v="1196" u="1"/>
        <n v="3468" u="1"/>
        <n v="1596" u="1"/>
        <n v="13128" u="1"/>
        <n v="548" u="1"/>
        <n v="7896" u="1"/>
        <n v="4100" u="1"/>
        <n v="8244" u="1"/>
        <n v="12788" u="1"/>
        <n v="13924" u="1"/>
        <n v="10308" u="1"/>
        <n v="11444" u="1"/>
        <n v="12012" u="1"/>
        <n v="12651" u="1"/>
        <n v="11804" u="1"/>
        <n v="14360" u="1"/>
        <n v="6912" u="1"/>
        <n v="15004" u="1"/>
        <n v="1284" u="1"/>
        <n v="14096" u="1"/>
        <n v="2740" u="1"/>
        <n v="8776" u="1"/>
        <n v="9628" u="1"/>
        <n v="11900" u="1"/>
        <n v="8172" u="1"/>
        <n v="9288" u="1"/>
        <n v="12128" u="1"/>
        <n v="13132" u="1"/>
        <n v="1244" u="1"/>
        <n v="10936" u="1"/>
        <n v="12787" u="1"/>
        <n v="13568" u="1"/>
        <n v="11372" u="1"/>
        <n v="13928" u="1"/>
        <n v="11164" u="1"/>
        <n v="11448" u="1"/>
        <n v="15140" u="1"/>
        <n v="11808" u="1"/>
        <n v="9896" u="1"/>
        <n v="14156" u="1"/>
        <n v="6952" u="1"/>
        <n v="8088" u="1"/>
        <n v="1488" u="1"/>
        <n v="4052" u="1"/>
        <n v="13172" u="1"/>
        <n v="9840" u="1"/>
        <n v="10408" u="1"/>
        <n v="12396" u="1"/>
        <n v="10768" u="1"/>
        <n v="12472" u="1"/>
        <n v="13892" u="1"/>
        <n v="1268" u="1"/>
        <n v="6536" u="1"/>
        <n v="14252" u="1"/>
        <n v="1952" u="1"/>
        <n v="3560" u="1"/>
        <n v="11204" u="1"/>
        <n v="11772" u="1"/>
        <n v="16032" u="1"/>
        <n v="2088" u="1"/>
        <n v="6896" u="1"/>
        <n v="10712" u="1"/>
        <n v="3740" u="1"/>
        <n v="6792" u="1"/>
        <n v="7928" u="1"/>
        <n v="9652" u="1"/>
        <n v="13912" u="1"/>
        <n v="3972" u="1"/>
        <n v="13136" u="1"/>
        <n v="14272" u="1"/>
        <n v="4880" u="1"/>
        <n v="5164" u="1"/>
        <n v="9236" u="1"/>
        <n v="12360" u="1"/>
        <n v="13212" u="1"/>
        <n v="15200" u="1"/>
        <n v="9104" u="1"/>
        <n v="13648" u="1"/>
        <n v="16204" u="1"/>
        <n v="5704" u="1"/>
        <n v="12588" u="1"/>
        <n v="6168" u="1"/>
        <n v="12948" u="1"/>
        <n v="13232" u="1"/>
        <n v="7484" u="1"/>
        <n v="14160" u="1"/>
        <n v="8272" u="1"/>
        <n v="12816" u="1"/>
        <n v="11756" u="1"/>
        <n v="12040" u="1"/>
        <n v="13176" u="1"/>
        <n v="5648" u="1"/>
        <n v="10488" u="1"/>
        <n v="11908" u="1"/>
        <n v="8576" u="1"/>
        <n v="13688" u="1"/>
        <n v="1252" u="1"/>
        <n v="1936" u="1"/>
        <n v="8312" u="1"/>
        <n v="10300" u="1"/>
        <n v="8148" u="1"/>
        <n v="12724" u="1"/>
        <n v="4532" u="1"/>
        <n v="12800" u="1"/>
        <n v="6132" u="1"/>
        <n v="9468" u="1"/>
        <n v="7732" u="1"/>
        <n v="7628" u="1"/>
        <n v="15300" u="1"/>
        <n v="15944" u="1"/>
        <n v="4296" u="1"/>
        <n v="8352" u="1"/>
        <n v="10340" u="1"/>
        <n v="11192" u="1"/>
        <n v="13180" u="1"/>
        <n v="8220" u="1"/>
        <n v="232" u="1"/>
        <n v="13124" u="1"/>
        <n v="13976" u="1"/>
        <n v="5300" u="1"/>
        <n v="8372" u="1"/>
        <n v="12500" u="1"/>
        <n v="12292" u="1"/>
        <n v="12860" u="1"/>
        <n v="3496" u="1"/>
        <n v="7156" u="1"/>
        <n v="1468" u="1"/>
        <n v="14148" u="1"/>
        <n v="32" u="1"/>
        <n v="1020" u="1"/>
        <n v="3392" u="1"/>
        <n v="4960" u="1"/>
        <n v="7232" u="1"/>
        <n v="9964" u="1"/>
      </sharedItems>
    </cacheField>
    <cacheField name="NETTHREADID" numFmtId="0" sqlType="6">
      <sharedItems containsSemiMixedTypes="0" containsString="0" containsNumber="1" containsInteger="1" minValue="13336" maxValue="13336" count="1">
        <n v="13336"/>
      </sharedItems>
    </cacheField>
    <cacheField name="COREID" numFmtId="0" sqlType="6">
      <sharedItems containsSemiMixedTypes="0" containsString="0" containsNumber="1" containsInteger="1" minValue="0" maxValue="5" count="6">
        <n v="0"/>
        <n v="5" u="1"/>
        <n v="2" u="1"/>
        <n v="1" u="1"/>
        <n v="3" u="1"/>
        <n v="4"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1.1016039934475E-5" maxValue="99983704" count="542">
        <n v="3332713.5"/>
        <n v="3332673"/>
        <n v="3.32746049389243E-3" u="1"/>
        <n v="0.13907459378242501" u="1"/>
        <n v="3.0078948475420501E-3" u="1"/>
        <n v="6.4356178045272799E-2" u="1"/>
        <n v="3.8119740784168202E-2" u="1"/>
        <n v="5.45318871736526E-2" u="1"/>
        <n v="6.0924282297492001E-3" u="1"/>
        <n v="1999647" u="1"/>
        <n v="8.7471198639832396E-5" u="1"/>
        <n v="6.8663796409964596E-3" u="1"/>
        <n v="4.7846185043454196E-3" u="1"/>
        <n v="9.3915509060025198E-3" u="1"/>
        <n v="6.9644287228584303E-2" u="1"/>
        <n v="8.1430068239569699E-3" u="1"/>
        <n v="1.11488094553351E-2" u="1"/>
        <n v="2.25128121674061E-2" u="1"/>
        <n v="2.9666482005268301E-3" u="1"/>
        <n v="0.26762863993644698" u="1"/>
        <n v="3.0381444375962002E-3" u="1"/>
        <n v="6.6882692277431502E-2" u="1"/>
        <n v="4.6422313898801804E-3" u="1"/>
        <n v="1.53880240395665E-2" u="1"/>
        <n v="3.00051318481565E-3" u="1"/>
        <n v="1.06531232595444E-2" u="1"/>
        <n v="3.7642791867256199E-2" u="1"/>
        <n v="4.9421489238739E-2" u="1"/>
        <n v="8.8948598131537403E-3" u="1"/>
        <n v="0.10138213634491" u="1"/>
        <n v="2.23632045090199E-2" u="1"/>
        <n v="2.5233626365661599E-3"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6.9194003008306E-3" u="1"/>
        <n v="4.1017923504114203E-3" u="1"/>
        <n v="2.9596248641610098E-3" u="1"/>
        <n v="3.1359547283500398E-3" u="1"/>
        <n v="0.112694442272186"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1.3179022062104201E-4" u="1"/>
        <n v="8.4908008575439505E-3" u="1"/>
        <n v="7.8899646177887899E-3" u="1"/>
        <n v="1.7888940870761899E-2" u="1"/>
        <n v="7.6322459790389998E-5" u="1"/>
        <n v="1.14963790401816E-2" u="1"/>
        <n v="4.9126382917165798E-2" u="1"/>
        <n v="3.4180120564997201E-3" u="1"/>
        <n v="1.14016489533242E-4" u="1"/>
        <n v="5.8150403201579999E-2" u="1"/>
        <n v="3.75149757019244E-5" u="1"/>
        <n v="8.7330099195241893E-3" u="1"/>
        <n v="3775.46850585938" u="1"/>
        <n v="1.14018577733077E-4" u="1"/>
        <n v="659.066162109375" u="1"/>
        <n v="1.0310555808246099E-2" u="1"/>
        <n v="1.1242379434406801E-2" u="1"/>
        <n v="3.4825425595045097E-2" u="1"/>
        <n v="4.59832511842251E-3" u="1"/>
        <n v="1.2279257643967899E-3" u="1"/>
        <n v="0.140096619725227" u="1"/>
        <n v="3.7105281080585E-5" u="1"/>
        <n v="2.2807196364738001E-4" u="1"/>
        <n v="1.3989728176966301E-3" u="1"/>
        <n v="3.97422863170505E-3" u="1"/>
        <n v="9.1238059103488905E-3" u="1"/>
        <n v="4.8113185912370703E-2" u="1"/>
        <n v="8.6723277345299703E-3" u="1"/>
        <n v="659.06604003906295" u="1"/>
        <n v="1.0761433281004399E-2" u="1"/>
        <n v="3.9897868409752802E-3" u="1"/>
        <n v="1.3408453669398999E-3" u="1"/>
        <n v="2.2488504648208601E-2" u="1"/>
        <n v="3.9897677488624998E-3" u="1"/>
        <n v="1.53448209166527E-2" u="1"/>
        <n v="4.87713478505611E-2" u="1"/>
        <n v="5.5689834058284801E-2" u="1"/>
        <n v="5.9592876583337798E-2" u="1"/>
        <n v="1.3990575680509201E-3" u="1"/>
        <n v="2.18683984712698E-4" u="1"/>
        <n v="2.2698862478136999E-2" u="1"/>
        <n v="1.6000303439795999E-3" u="1"/>
        <n v="1.0491791181266299E-2" u="1"/>
        <n v="3.0936501920223201E-2" u="1"/>
        <n v="6.6915199160575894E-2" u="1"/>
        <n v="4.7942907549440904E-3" u="1"/>
        <n v="5.3879595361650001E-4" u="1"/>
        <n v="99980520" u="1"/>
        <n v="7.2920337319374098E-2" u="1"/>
        <n v="99980584" u="1"/>
        <n v="99980648" u="1"/>
        <n v="99980776" u="1"/>
        <n v="6.00037383264862E-5" u="1"/>
        <n v="1.1108611710369601E-2" u="1"/>
        <n v="1.33707222994417E-3" u="1"/>
        <n v="3.7812962546013302E-5" u="1"/>
        <n v="99980384" u="1"/>
        <n v="99980576" u="1"/>
        <n v="3.0486937612295199E-2" u="1"/>
        <n v="99980768" u="1"/>
        <n v="2.2792423143982901E-2" u="1"/>
        <n v="99980832" u="1"/>
        <n v="1.14679774269462E-2" u="1"/>
        <n v="99980376" u="1"/>
        <n v="9.4659408205188797E-5" u="1"/>
        <n v="2.7540927752852402E-2" u="1"/>
        <n v="99980568" u="1"/>
        <n v="4.7788950614631202E-3" u="1"/>
        <n v="99980632" u="1"/>
        <n v="4.4687058776617099E-2" u="1"/>
        <n v="4.1631506755948101E-3" u="1"/>
        <n v="4.2743988160509603E-5" u="1"/>
        <n v="8.2927334005944404E-5" u="1"/>
        <n v="5.8038525283336598E-2" u="1"/>
        <n v="1.08732795342803E-3" u="1"/>
        <n v="6.7314383340999495E-4" u="1"/>
        <n v="8.6389429867267595E-2" u="1"/>
        <n v="5.0046145915985099E-3" u="1"/>
        <n v="99983704" u="1"/>
        <n v="0.24374139308929399" u="1"/>
        <n v="3.2849919050931903E-2" u="1"/>
        <n v="3.0352545436471701E-3" u="1"/>
        <n v="6.8605691194534302E-3" u="1"/>
        <n v="99980488" u="1"/>
        <n v="99980616" u="1"/>
        <n v="4.7942921519279497E-3" u="1"/>
        <n v="2.2463271394372E-2" u="1"/>
        <n v="0.13075289130210899" u="1"/>
        <n v="1.40667275991291E-3" u="1"/>
        <n v="3.00177093595266E-3" u="1"/>
        <n v="4.3159809138160199E-5" u="1"/>
        <n v="99980352" u="1"/>
        <n v="99980416" u="1"/>
        <n v="99980544" u="1"/>
        <n v="0.41545334458351102" u="1"/>
        <n v="5.4849866777658497E-2" u="1"/>
        <n v="3.03932535462081E-3" u="1"/>
        <n v="6.0566286556422702E-3" u="1"/>
        <n v="1.4593017112929401E-4" u="1"/>
        <n v="4.5291692018508897E-2" u="1"/>
        <n v="3.0094101093709499E-3" u="1"/>
        <n v="1.40489614568651E-3" u="1"/>
        <n v="1.1979308328591299E-4" u="1"/>
        <n v="2.7501201257109599E-3" u="1"/>
        <n v="2.0238088443875299E-2" u="1"/>
        <n v="99980408" u="1"/>
        <n v="99980472" u="1"/>
        <n v="99980536" u="1"/>
        <n v="99980600" u="1"/>
        <n v="1.92174389958382E-2" u="1"/>
        <n v="3.6100439727306401E-2" u="1"/>
        <n v="1.0088890849147E-4" u="1"/>
        <n v="1.60215760115534E-3" u="1"/>
        <n v="4.2317351326346397E-3" u="1"/>
        <n v="1.93357598618604E-4" u="1"/>
        <n v="5.0655584782362002E-3" u="1"/>
        <n v="2.48329737223685E-3" u="1"/>
        <n v="3.01326555199921E-3" u="1"/>
        <n v="3.02081881090999E-3" u="1"/>
        <n v="6.9442920386791201E-2" u="1"/>
        <n v="6.6029766458086697E-5" u="1"/>
        <n v="9.3522351235151308E-3" u="1"/>
        <n v="3.8867346942424802E-2" u="1"/>
        <n v="5.8821089565753902E-2" u="1"/>
        <n v="2.6401599869132E-2" u="1"/>
        <n v="7.1495920419692993E-2" u="1"/>
        <n v="7.0187780074775202E-3" u="1"/>
        <n v="2.24957726895809E-2" u="1"/>
        <n v="2.2975675761699701E-2" u="1"/>
        <n v="3.0547736212611198E-2" u="1"/>
        <n v="3.4378890413790898E-3" u="1"/>
        <n v="5.7619608938694E-2" u="1"/>
        <n v="3.6043547093868297E-2" u="1"/>
        <n v="5.5015832185745196E-4" u="1"/>
        <n v="5.8301578974351298E-4" u="1"/>
        <n v="1.14042610221077E-4" u="1"/>
        <n v="5.4024032579036402E-5" u="1"/>
        <n v="1.3975246110931E-3" u="1"/>
        <n v="7.9689249396324192E-3" u="1"/>
        <n v="1.2628244236111599E-2" u="1"/>
        <n v="1.13144114948227E-5" u="1"/>
        <n v="0.11429512500762901" u="1"/>
        <n v="4.10759646911174E-4" u="1"/>
        <n v="3.5984296351671198E-2" u="1"/>
        <n v="2.5772130116820301E-2" u="1"/>
        <n v="3.6040931940078701E-2" u="1"/>
        <n v="8.8642392074689302E-4"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2.26767994463444E-2" u="1"/>
        <n v="1.3469773693941501E-4" u="1"/>
        <n v="2.24979910999537E-2" u="1"/>
        <n v="1.2811231135856401E-4" u="1"/>
        <n v="2.45746807195246E-3" u="1"/>
        <n v="1.9191913306713101E-2" u="1"/>
        <n v="1.0360063984990101E-2" u="1"/>
        <n v="7.2467938065528897E-2" u="1"/>
        <n v="0.124162152409554" u="1"/>
        <n v="3.1033072620630299E-2" u="1"/>
        <n v="4.3932250264333602E-5" u="1"/>
        <n v="3.9694658480584604E-3" u="1"/>
        <n v="2.4764209520071702E-3" u="1"/>
        <n v="7.3794566094875294E-2" u="1"/>
        <n v="3.9172647520899799E-3" u="1"/>
        <n v="1.8424546578898999E-4" u="1"/>
        <n v="2.24683340638876E-2" u="1"/>
        <n v="1.4107666211202699E-3" u="1"/>
        <n v="3.02125979214907E-3"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4.4733155518770201E-3" u="1"/>
        <n v="3332693.25" u="1"/>
        <n v="0.51187664270401001" u="1"/>
        <n v="7.2502727562095997E-5" u="1"/>
        <n v="3.6292392760515199E-2" u="1"/>
        <n v="8.3025656640529598E-3" u="1"/>
        <n v="5.63797494396567E-3" u="1"/>
        <n v="2.2499192506074898E-2" u="1"/>
        <n v="4.4462294317781898E-4" u="1"/>
        <n v="1.0692243464291099E-2" u="1"/>
        <n v="3.7194777280092198E-2" u="1"/>
        <n v="3332697" u="1"/>
        <n v="3.0324605759233202E-3" u="1"/>
        <n v="1.1277460493147399E-2" u="1"/>
        <n v="3.63388127880171E-4" u="1"/>
        <n v="1.4291341358330101E-4" u="1"/>
        <n v="1.0915813036263E-3" u="1"/>
        <n v="4.35349624603987E-3" u="1"/>
        <n v="4.45838831365108E-2" u="1"/>
        <n v="3332676.75" u="1"/>
        <n v="3332682.75" u="1"/>
        <n v="3332684.75" u="1"/>
        <n v="1.9330194918438801E-3" u="1"/>
        <n v="1.04364100843668E-2" u="1"/>
        <n v="3332698.75" u="1"/>
        <n v="3332700.75" u="1"/>
        <n v="1.0105469264090099E-2" u="1"/>
        <n v="7.8136071562767001E-2" u="1"/>
        <n v="3.2019815989770002E-5" u="1"/>
        <n v="3.00995609723032E-3" u="1"/>
        <n v="1.7812889069318799E-2" u="1"/>
        <n v="1.3939592463430001E-4" u="1"/>
        <n v="3332670.5" u="1"/>
        <n v="6.9227553904056497E-3" u="1"/>
        <n v="3332686.5" u="1"/>
        <n v="3332694.5" u="1"/>
        <n v="3332698.5" u="1"/>
        <n v="5.8136897860094905E-4" u="1"/>
        <n v="4.4225484132766703E-2" u="1"/>
        <n v="3.07346433401108E-2" u="1"/>
        <n v="2.2559328004717799E-2" u="1"/>
        <n v="3.7979118525981903E-2" u="1"/>
        <n v="6.9832704029977304E-3" u="1"/>
        <n v="2.51037231646478E-3" u="1"/>
        <n v="3332676.25" u="1"/>
        <n v="3332680.25" u="1"/>
        <n v="3332686.25" u="1"/>
        <n v="4.1126757860183698E-3" u="1"/>
        <n v="5.5706850253045602E-3" u="1"/>
        <n v="3.4421812742948502E-3" u="1"/>
        <n v="3332706.25" u="1"/>
        <n v="5.4145250469446203E-2" u="1"/>
        <n v="0.11119163036346399" u="1"/>
        <n v="2.27122996002436E-2" u="1"/>
        <n v="3.0591832473874101E-3" u="1"/>
        <n v="3332672" u="1"/>
        <n v="3332788.5" u="1"/>
        <n v="2.76553560979664E-4" u="1"/>
        <n v="8.21292586624622E-3" u="1"/>
        <n v="1.74205601215363E-2" u="1"/>
        <n v="2.4879705160856199E-3" u="1"/>
        <n v="7.0136059075593896E-3" u="1"/>
        <n v="3.0214919243007898E-3" u="1"/>
        <n v="9.74057329585776E-5" u="1"/>
        <n v="2.7548284269869302E-3" u="1"/>
        <n v="3.4613508731126799E-2" u="1"/>
        <n v="3332780.25" u="1"/>
        <n v="3.6072786315344301E-5" u="1"/>
        <n v="3332669.75" u="1"/>
        <n v="2.4844959843903802E-3" u="1"/>
        <n v="3332683.75" u="1"/>
        <n v="8.2427337765693699E-3" u="1"/>
        <n v="2.9535794630646699E-2" u="1"/>
        <n v="3332691.75" u="1"/>
        <n v="3332693.75" u="1"/>
        <n v="3332695.75" u="1"/>
        <n v="3332697.75" u="1"/>
        <n v="2.9715454205870601E-2" u="1"/>
        <n v="3332711.75" u="1"/>
        <n v="2.2532440721988699E-2" u="1"/>
        <n v="2.2501410916447601E-2" u="1"/>
        <n v="0.107953391969204" u="1"/>
        <n v="2.68606469035149E-2" u="1"/>
        <n v="3.01800575107336E-3" u="1"/>
        <n v="3332695.5" u="1"/>
        <n v="2.25627645850182E-2" u="1"/>
        <n v="1.86572468373924E-3" u="1"/>
        <n v="3332715.5" u="1"/>
        <n v="2.9992938507348299E-3" u="1"/>
        <n v="1.7574185505509401E-2" u="1"/>
        <n v="3.7255253642797498E-2" u="1"/>
        <n v="3.0106580816209299E-3" u="1"/>
        <n v="5.7758677750825903E-2" u="1"/>
        <n v="6.8784775212407103E-3" u="1"/>
        <n v="2.25038770586252E-2" u="1"/>
        <n v="2.01588179916143E-2" u="1"/>
        <n v="1.0407860390842001E-2" u="1"/>
        <n v="3.3336195629090101E-3" u="1"/>
        <n v="2.2532479837536801E-2" u="1"/>
        <n v="1.15201715379953E-2" u="1"/>
        <n v="4.7599021345377003E-3" u="1"/>
        <n v="3.3334938343614301E-3" u="1"/>
        <n v="0.523553907871246" u="1"/>
        <n v="6.5781185403466199E-3" u="1"/>
        <n v="2.6771625503897702E-2" u="1"/>
        <n v="1.75455901771784E-2" u="1"/>
        <n v="3.4163412638008599E-3" u="1"/>
        <n v="3.5967424046248202E-3" u="1"/>
        <n v="7.0816077291965498E-2" u="1"/>
        <n v="3.1851120293140397E-2" u="1"/>
        <n v="6.5095775062218298E-4" u="1"/>
        <n v="2.92438012547791E-3" u="1"/>
        <n v="3.03685874678195E-3" u="1"/>
        <n v="3.9786188863217796E-3" u="1"/>
        <n v="1.0649603791534901E-2" u="1"/>
        <n v="2.2594336420297598E-2" u="1"/>
        <n v="4.2674262076616301E-2" u="1"/>
        <n v="3774.0107421875" u="1"/>
        <n v="2.2113565355539301E-2" u="1"/>
        <n v="1.04233548045158E-2" u="1"/>
        <n v="2.7223862707614899E-2"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8.9994928566738996E-4" u="1"/>
        <n v="1.6072748228907599E-2" u="1"/>
        <n v="1.75455491989851E-2" u="1"/>
        <n v="1.7666639760136601E-2" u="1"/>
        <n v="1.00045399740338E-2" u="1"/>
        <n v="7.6230123639106806E-2" u="1"/>
        <n v="1.3850997202098401E-2" u="1"/>
        <n v="5.1580806029960502E-4" u="1"/>
        <n v="2.2505655884742699E-2" u="1"/>
        <n v="2.52219033427536E-4" u="1"/>
        <n v="3.04485019296408E-3" u="1"/>
        <n v="3.9937901310622701E-3" u="1"/>
        <n v="4.0571484714746503E-2" u="1"/>
        <n v="1.73080060631037E-2" u="1"/>
        <n v="1.3925399398431199E-3" u="1"/>
        <n v="6.8664595484733595E-2" u="1"/>
        <n v="2.2627435624599498E-2" u="1"/>
        <n v="4.9713016487657998E-3" u="1"/>
        <n v="3.8408942520618397E-2" u="1"/>
        <n v="1.72464270144701E-2" u="1"/>
        <n v="8.7112560868263193E-3" u="1"/>
        <n v="5.3092553280293898E-3" u="1"/>
        <n v="2.2478383034467701E-2" u="1"/>
        <n v="1.39062013477087E-3" u="1"/>
        <n v="3.2580479979515103E-2" u="1"/>
        <n v="2.2569116204977001E-2" u="1"/>
        <n v="5.5239617824554402E-2" u="1"/>
        <n v="4.9983058124780698E-4" u="1"/>
        <n v="5.84252178668976E-3" u="1"/>
        <n v="3.0443858355283699E-2" u="1"/>
        <n v="1.8454075325280401E-4" u="1"/>
        <n v="8.6050480604171796E-4" u="1"/>
        <n v="9.3908384442329407E-2" u="1"/>
        <n v="6.99910968542099E-2" u="1"/>
        <n v="3.0262013897299801E-3" u="1"/>
        <n v="4.7367401421070099E-2" u="1"/>
        <n v="5.8186624199152E-2" u="1"/>
        <n v="833189.75" u="1"/>
        <n v="2.5604809634387502E-3" u="1"/>
        <n v="2.085598744452E-2" u="1"/>
        <n v="0.25696560740470897" u="1"/>
        <n v="8.2017742097377794E-3" u="1"/>
        <n v="4.0845577605068701E-3" u="1"/>
        <n v="7.9939942224882502E-5" u="1"/>
        <n v="3.0297932680696201E-3" u="1"/>
        <n v="4.72507381346077E-4" u="1"/>
        <n v="7.5520485639572102E-2" u="1"/>
        <n v="1.977314427495E-2" u="1"/>
        <n v="6.7341998219490107E-2" u="1"/>
        <n v="7.42021054029465E-2" u="1"/>
        <n v="2.6725463612820001E-5" u="1"/>
        <n v="1837.82482910156" u="1"/>
        <n v="7.4068462708964903E-5" u="1"/>
        <n v="2.83221714198589E-4" u="1"/>
        <n v="3.8639567792415602E-3" u="1"/>
        <n v="1.4019998488947699E-3" u="1"/>
        <n v="1.03508932515979E-2" u="1"/>
        <n v="0.14146538078784901" u="1"/>
        <n v="2.7106031775474501E-3" u="1"/>
        <n v="2.87296026945114E-2" u="1"/>
        <n v="1.9411931280046699E-3" u="1"/>
        <n v="8.7210784840863198E-5" u="1"/>
        <n v="8.6677838116884197E-3" u="1"/>
        <n v="7.0659146877005696E-4" u="1"/>
        <n v="3.1015491113066699E-3" u="1"/>
        <n v="2.0555919036269198E-2" u="1"/>
        <n v="1.0531181469559701E-2" u="1"/>
        <n v="9.9149430170655303E-3" u="1"/>
        <n v="2.1358935628086298E-3" u="1"/>
        <n v="1.05005791410804E-2" u="1"/>
        <n v="0.124338671565056" u="1"/>
        <n v="8.6381314322352392E-3" u="1"/>
        <n v="7.9587938671466004E-5" u="1"/>
        <n v="6.21872721239924E-3" u="1"/>
        <n v="1.1237488128244899E-2" u="1"/>
        <n v="3.6068167537450797E-2" u="1"/>
        <n v="1.09370723366737E-2" u="1"/>
        <n v="7.1192502975463895E-2" u="1"/>
        <n v="0.12049327045679099" u="1"/>
        <n v="1.39846513047814E-3" u="1"/>
        <n v="2.2450482472777401E-2" u="1"/>
        <n v="6.3472674228250998E-3" u="1"/>
        <n v="1.12526193261147E-2" u="1"/>
        <n v="1.15088922902942E-2" u="1"/>
        <n v="1.5110269887372899E-3" u="1"/>
        <n v="7.8718364238738996E-3" u="1"/>
        <n v="8.0824280157685297E-3" u="1"/>
        <n v="2.0256491377949701E-2" u="1"/>
        <n v="1.92068479955196E-2" u="1"/>
        <n v="2.9889964498579502E-3" u="1"/>
        <n v="5.6154452264308902E-2" u="1"/>
        <n v="0.35031244158744801" u="1"/>
        <n v="5.5958903394639501E-3" u="1"/>
        <n v="3.50526385009289E-2" u="1"/>
        <n v="1.3127541751600799E-4" u="1"/>
        <n v="1.03827472776175E-2" u="1"/>
        <n v="5.6875217705965E-2" u="1"/>
        <n v="3.4027781337499598E-2" u="1"/>
        <n v="4.5931581407785402E-2" u="1"/>
        <n v="2.9702358879148999E-3" u="1"/>
        <n v="3.6073479801416397E-2" u="1"/>
        <n v="6.9406494498252896E-2" u="1"/>
        <n v="3.61375398933887E-2" u="1"/>
        <n v="6.08423799276352E-2" u="1"/>
        <n v="4.0284588932991E-2" u="1"/>
        <n v="6.7959867417812306E-2" u="1"/>
        <n v="6.3527066959068201E-4" u="1"/>
        <n v="2.58191703323973E-5" u="1"/>
        <n v="1.41357292886823E-3" u="1"/>
      </sharedItems>
    </cacheField>
    <cacheField name="POS" numFmtId="0" sqlType="6">
      <sharedItems containsSemiMixedTypes="0" containsString="0" containsNumber="1" containsInteger="1" minValue="0" maxValue="24427"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4470" u="1"/>
        <n v="8816" u="1"/>
        <n v="14867" u="1"/>
        <n v="4210" u="1"/>
        <n v="8296" u="1"/>
        <n v="10313" u="1"/>
        <n v="14347" u="1"/>
        <n v="517" u="1"/>
        <n v="5967" u="1"/>
        <n v="7984" u="1"/>
        <n v="9793" u="1"/>
        <n v="5707" u="1"/>
        <n v="7724" u="1"/>
        <n v="9273" u="1"/>
        <n v="482" u="1"/>
        <n v="1897" u="1"/>
        <n v="5447" u="1"/>
        <n v="8753" u="1"/>
        <n v="10770" u="1"/>
        <n v="14804" u="1"/>
        <n v="1832" u="1"/>
        <n v="5187" u="1"/>
        <n v="8233" u="1"/>
        <n v="10250" u="1"/>
        <n v="1767" u="1"/>
        <n v="3503" u="1"/>
        <n v="4927" u="1"/>
        <n v="9730" u="1"/>
        <n v="1702" u="1"/>
        <n v="3373" u="1"/>
        <n v="9210" u="1"/>
        <n v="11227" u="1"/>
        <n v="1637" u="1"/>
        <n v="3243" u="1"/>
        <n v="6424" u="1"/>
        <n v="8690" u="1"/>
        <n v="10707" u="1"/>
        <n v="3113" u="1"/>
        <n v="6164" u="1"/>
        <n v="10187" u="1"/>
        <n v="2983" u="1"/>
        <n v="5904" u="1"/>
        <n v="9667" u="1"/>
        <n v="11684" u="1"/>
        <n v="94" u="1"/>
        <n v="5644" u="1"/>
        <n v="9147" u="1"/>
        <n v="11164" u="1"/>
        <n v="352" u="1"/>
        <n v="5384" u="1"/>
        <n v="10644" u="1"/>
        <n v="12661" u="1"/>
        <n v="7141" u="1"/>
        <n v="10124" u="1"/>
        <n v="12141" u="1"/>
        <n v="1247" u="1"/>
        <n v="6881" u="1"/>
        <n v="9604" u="1"/>
        <n v="11621" u="1"/>
        <n v="1182" u="1"/>
        <n v="6621" u="1"/>
        <n v="11101" u="1"/>
        <n v="13118" u="1"/>
        <n v="1117" u="1"/>
        <n v="2203" u="1"/>
        <n v="6361" u="1"/>
        <n v="10581" u="1"/>
        <n v="12598" u="1"/>
        <n v="1052" u="1"/>
        <n v="2073" u="1"/>
        <n v="4090" u="1"/>
        <n v="6101" u="1"/>
        <n v="12078" u="1"/>
        <n v="3960" u="1"/>
        <n v="11558" u="1"/>
        <n v="13575" u="1"/>
        <n v="3830" u="1"/>
        <n v="7598" u="1"/>
        <n v="11038" u="1"/>
        <n v="13055" u="1"/>
        <n v="239" u="1"/>
        <n v="3700" u="1"/>
        <n v="7338" u="1"/>
        <n v="12535" u="1"/>
        <n v="3570" u="1"/>
        <n v="7078" u="1"/>
        <n v="12015" u="1"/>
        <n v="14032" u="1"/>
        <n v="6818" u="1"/>
        <n v="11495" u="1"/>
        <n v="13512" u="1"/>
        <n v="843" u="1"/>
        <n v="4541" u="1"/>
        <n v="6558" u="1"/>
        <n v="12992" u="1"/>
        <n v="15009" u="1"/>
        <n v="4281" u="1"/>
        <n v="8438" u="1"/>
        <n v="12472" u="1"/>
        <n v="14489" u="1"/>
        <n v="20662" u="1"/>
        <n v="778" u="1"/>
        <n v="8055" u="1"/>
        <n v="11952" u="1"/>
        <n v="13969" u="1"/>
        <n v="7795" u="1"/>
        <n v="13449" u="1"/>
        <n v="713" u="1"/>
        <n v="2790" u="1"/>
        <n v="7535" u="1"/>
        <n v="8895" u="1"/>
        <n v="12929" u="1"/>
        <n v="14946" u="1"/>
        <n v="2660" u="1"/>
        <n v="5258" u="1"/>
        <n v="7275" u="1"/>
        <n v="8375" u="1"/>
        <n v="14426" u="1"/>
        <n v="2530" u="1"/>
        <n v="4998" u="1"/>
        <n v="13906" u="1"/>
        <n v="2400" u="1"/>
        <n v="4738" u="1"/>
        <n v="9352" u="1"/>
        <n v="13386" u="1"/>
        <n v="4478" u="1"/>
        <n v="8832" u="1"/>
        <n v="14883" u="1"/>
        <n v="4218" u="1"/>
        <n v="8312" u="1"/>
        <n v="14363" u="1"/>
        <n v="518" u="1"/>
        <n v="7992" u="1"/>
        <n v="9809" u="1"/>
        <n v="13843" u="1"/>
        <n v="5715" u="1"/>
        <n v="7732" u="1"/>
        <n v="9289" u="1"/>
        <n v="5455" u="1"/>
        <n v="8769" u="1"/>
        <n v="10786" u="1"/>
        <n v="14820" u="1"/>
        <n v="1834" u="1"/>
        <n v="5195" u="1"/>
        <n v="8249" u="1"/>
        <n v="10266" u="1"/>
        <n v="14300" u="1"/>
        <n v="1769" u="1"/>
        <n v="4935" u="1"/>
        <n v="9746" u="1"/>
        <n v="1704" u="1"/>
        <n v="3377" u="1"/>
        <n v="4675" u="1"/>
        <n v="9226" u="1"/>
        <n v="11243" u="1"/>
        <n v="1639" u="1"/>
        <n v="3247" u="1"/>
        <n v="6432" u="1"/>
        <n v="8706" u="1"/>
        <n v="10723" u="1"/>
        <n v="1574" u="1"/>
        <n v="3117" u="1"/>
        <n v="6172" u="1"/>
        <n v="10203" u="1"/>
        <n v="2987" u="1"/>
        <n v="5912" u="1"/>
        <n v="9683" u="1"/>
        <n v="11700" u="1"/>
        <n v="5652" u="1"/>
        <n v="9163" u="1"/>
        <n v="11180" u="1"/>
        <n v="5392" u="1"/>
        <n v="10660" u="1"/>
        <n v="10140" u="1"/>
        <n v="12157" u="1"/>
        <n v="320" u="1"/>
        <n v="1249" u="1"/>
        <n v="6889" u="1"/>
        <n v="9620" u="1"/>
        <n v="11637" u="1"/>
        <n v="1184" u="1"/>
        <n v="6629" u="1"/>
        <n v="11117" u="1"/>
        <n v="13134" u="1"/>
        <n v="1119" u="1"/>
        <n v="2207" u="1"/>
        <n v="6369" u="1"/>
        <n v="10597" u="1"/>
        <n v="12614" u="1"/>
        <n v="16912" u="1"/>
        <n v="1054" u="1"/>
        <n v="2077" u="1"/>
        <n v="6109" u="1"/>
        <n v="10077" u="1"/>
        <n v="12094" u="1"/>
        <n v="3964" u="1"/>
        <n v="5849" u="1"/>
        <n v="11574" u="1"/>
        <n v="13591" u="1"/>
        <n v="3834" u="1"/>
        <n v="7606" u="1"/>
        <n v="11054" u="1"/>
        <n v="13071" u="1"/>
        <n v="3704" u="1"/>
        <n v="7346" u="1"/>
        <n v="12551" u="1"/>
        <n v="3574" u="1"/>
        <n v="7086" u="1"/>
        <n v="12031" u="1"/>
        <n v="14048" u="1"/>
        <n v="223" u="1"/>
        <n v="6826" u="1"/>
        <n v="11511" u="1"/>
        <n v="13528" u="1"/>
        <n v="844" u="1"/>
        <n v="4549" u="1"/>
        <n v="6566" u="1"/>
        <n v="13008" u="1"/>
        <n v="4289" u="1"/>
        <n v="12488" u="1"/>
        <n v="14505" u="1"/>
        <n v="779" u="1"/>
        <n v="8063" u="1"/>
        <n v="11968" u="1"/>
        <n v="13985" u="1"/>
        <n v="7803" u="1"/>
        <n v="13465" u="1"/>
        <n v="714" u="1"/>
        <n v="2794" u="1"/>
        <n v="7543" u="1"/>
        <n v="12945" u="1"/>
        <n v="14962" u="1"/>
        <n v="21608" u="1"/>
        <n v="2664" u="1"/>
        <n v="7283" u="1"/>
        <n v="8391" u="1"/>
        <n v="12425" u="1"/>
        <n v="14442" u="1"/>
        <n v="2534" u="1"/>
        <n v="5006" u="1"/>
        <n v="7023" u="1"/>
        <n v="13922" u="1"/>
        <n v="158" u="1"/>
        <n v="2404" u="1"/>
        <n v="4746" u="1"/>
        <n v="9368" u="1"/>
        <n v="13402" u="1"/>
        <n v="2274" u="1"/>
        <n v="4486" u="1"/>
        <n v="8848" u="1"/>
        <n v="14899" u="1"/>
        <n v="4226" u="1"/>
        <n v="8328" u="1"/>
        <n v="14379" u="1"/>
        <n v="519" u="1"/>
        <n v="8000" u="1"/>
        <n v="9825" u="1"/>
        <n v="13859" u="1"/>
        <n v="5723" u="1"/>
        <n v="7740" u="1"/>
        <n v="9305" u="1"/>
        <n v="483" u="1"/>
        <n v="5463" u="1"/>
        <n v="8785" u="1"/>
        <n v="14836" u="1"/>
        <n v="1836" u="1"/>
        <n v="5203" u="1"/>
        <n v="8265" u="1"/>
        <n v="10282" u="1"/>
        <n v="14316" u="1"/>
        <n v="1771" u="1"/>
        <n v="4943" u="1"/>
        <n v="9762" u="1"/>
        <n v="1706" u="1"/>
        <n v="3381" u="1"/>
        <n v="4683" u="1"/>
        <n v="9242" u="1"/>
        <n v="1641" u="1"/>
        <n v="3251" u="1"/>
        <n v="8722" u="1"/>
        <n v="10739" u="1"/>
        <n v="14773" u="1"/>
        <n v="1576" u="1"/>
        <n v="3121" u="1"/>
        <n v="6180" u="1"/>
        <n v="8202" u="1"/>
        <n v="10219" u="1"/>
        <n v="2991" u="1"/>
        <n v="5920" u="1"/>
        <n v="9699" u="1"/>
        <n v="11716" u="1"/>
        <n v="2861" u="1"/>
        <n v="5660" u="1"/>
        <n v="9179" u="1"/>
        <n v="11196" u="1"/>
        <n v="353" u="1"/>
        <n v="5400" u="1"/>
        <n v="10676" u="1"/>
        <n v="10156" u="1"/>
        <n v="12173" u="1"/>
        <n v="1251" u="1"/>
        <n v="6897" u="1"/>
        <n v="9636" u="1"/>
        <n v="11653" u="1"/>
        <n v="1186" u="1"/>
        <n v="6637" u="1"/>
        <n v="11133" u="1"/>
        <n v="1121" u="1"/>
        <n v="2211" u="1"/>
        <n v="6377" u="1"/>
        <n v="10613" u="1"/>
        <n v="12630" u="1"/>
        <n v="1056" u="1"/>
        <n v="2081" u="1"/>
        <n v="6117" u="1"/>
        <n v="10093" u="1"/>
        <n v="12110" u="1"/>
        <n v="3968" u="1"/>
        <n v="5857" u="1"/>
        <n v="11590" u="1"/>
        <n v="3838" u="1"/>
        <n v="11070" u="1"/>
        <n v="13087" u="1"/>
        <n v="3708" u="1"/>
        <n v="7354" u="1"/>
        <n v="10550" u="1"/>
        <n v="12567" u="1"/>
        <n v="3578" u="1"/>
        <n v="7094" u="1"/>
        <n v="12047" u="1"/>
        <n v="14064" u="1"/>
        <n v="3448" u="1"/>
        <n v="6834" u="1"/>
        <n v="11527" u="1"/>
        <n v="13544" u="1"/>
        <n v="4557" u="1"/>
        <n v="6574" u="1"/>
        <n v="13024" u="1"/>
        <n v="207" u="1"/>
        <n v="4297" u="1"/>
        <n v="12504" u="1"/>
        <n v="14521" u="1"/>
        <n v="780" u="1"/>
        <n v="8071" u="1"/>
        <n v="11984" u="1"/>
        <n v="14001" u="1"/>
        <n v="7811" u="1"/>
        <n v="13481" u="1"/>
        <n v="20663" u="1"/>
        <n v="715" u="1"/>
        <n v="2798" u="1"/>
        <n v="7551" u="1"/>
        <n v="12961" u="1"/>
        <n v="14978" u="1"/>
        <n v="2668" u="1"/>
        <n v="7291" u="1"/>
        <n v="8407" u="1"/>
        <n v="12441" u="1"/>
        <n v="14458" u="1"/>
        <n v="2538" u="1"/>
        <n v="5014" u="1"/>
        <n v="7031" u="1"/>
        <n v="13938" u="1"/>
        <n v="2408" u="1"/>
        <n v="4754" u="1"/>
        <n v="13418" u="1"/>
        <n v="2278" u="1"/>
        <n v="4494" u="1"/>
        <n v="8864" u="1"/>
        <n v="12898" u="1"/>
        <n v="14915" u="1"/>
        <n v="142" u="1"/>
        <n v="4234" u="1"/>
        <n v="8344" u="1"/>
        <n v="14395" u="1"/>
        <n v="520" u="1"/>
        <n v="4035" u="1"/>
        <n v="8008" u="1"/>
        <n v="9841" u="1"/>
        <n v="13875" u="1"/>
        <n v="5731" u="1"/>
        <n v="7748" u="1"/>
        <n v="9321" u="1"/>
        <n v="5471" u="1"/>
        <n v="8801" u="1"/>
        <n v="14852" u="1"/>
        <n v="1838" u="1"/>
        <n v="5211" u="1"/>
        <n v="8281" u="1"/>
        <n v="10298" u="1"/>
        <n v="14332" u="1"/>
        <n v="451" u="1"/>
        <n v="1773" u="1"/>
        <n v="4951" u="1"/>
        <n v="9778" u="1"/>
        <n v="1708" u="1"/>
        <n v="3385" u="1"/>
        <n v="4691" u="1"/>
        <n v="9258" u="1"/>
        <n v="1643" u="1"/>
        <n v="3255" u="1"/>
        <n v="8738" u="1"/>
        <n v="10755" u="1"/>
        <n v="14789" u="1"/>
        <n v="1578" u="1"/>
        <n v="3125" u="1"/>
        <n v="6188" u="1"/>
        <n v="8218" u="1"/>
        <n v="10235" u="1"/>
        <n v="2995" u="1"/>
        <n v="5928" u="1"/>
        <n v="9715" u="1"/>
        <n v="2865" u="1"/>
        <n v="5668" u="1"/>
        <n v="9195" u="1"/>
        <n v="11212" u="1"/>
        <n v="5408" u="1"/>
        <n v="8675" u="1"/>
        <n v="10692" u="1"/>
        <n v="5148" u="1"/>
        <n v="10172" u="1"/>
        <n v="12189" u="1"/>
        <n v="321" u="1"/>
        <n v="6905" u="1"/>
        <n v="9652" u="1"/>
        <n v="11669" u="1"/>
        <n v="1188" u="1"/>
        <n v="6645" u="1"/>
        <n v="11149" u="1"/>
        <n v="1123" u="1"/>
        <n v="2215" u="1"/>
        <n v="6385" u="1"/>
        <n v="10629" u="1"/>
        <n v="12646" u="1"/>
        <n v="1058" u="1"/>
        <n v="2085" u="1"/>
        <n v="6125" u="1"/>
        <n v="10109" u="1"/>
        <n v="12126" u="1"/>
        <n v="3972" u="1"/>
        <n v="5865" u="1"/>
        <n v="11606" u="1"/>
        <n v="16913" u="1"/>
        <n v="976" u="1"/>
        <n v="3842" u="1"/>
        <n v="11086" u="1"/>
        <n v="13103" u="1"/>
        <n v="3712" u="1"/>
        <n v="7362" u="1"/>
        <n v="10566" u="1"/>
        <n v="12583" u="1"/>
        <n v="3582" u="1"/>
        <n v="7102" u="1"/>
        <n v="12063" u="1"/>
        <n v="3452" u="1"/>
        <n v="6842" u="1"/>
        <n v="11543" u="1"/>
        <n v="13560" u="1"/>
        <n v="6582" u="1"/>
        <n v="11023" u="1"/>
        <n v="13040" u="1"/>
        <n v="4305" u="1"/>
        <n v="6322" u="1"/>
        <n v="12520" u="1"/>
        <n v="14537" u="1"/>
        <n v="781" u="1"/>
        <n v="8079" u="1"/>
        <n v="12000" u="1"/>
        <n v="14017" u="1"/>
        <n v="7819" u="1"/>
        <n v="13497" u="1"/>
        <n v="716" u="1"/>
        <n v="2802" u="1"/>
        <n v="7559" u="1"/>
        <n v="12977" u="1"/>
        <n v="14994" u="1"/>
        <n v="2672" u="1"/>
        <n v="7299" u="1"/>
        <n v="8423" u="1"/>
        <n v="12457" u="1"/>
        <n v="14474" u="1"/>
        <n v="2542" u="1"/>
        <n v="5022" u="1"/>
        <n v="7039" u="1"/>
        <n v="13954" u="1"/>
        <n v="21609" u="1"/>
        <n v="2412" u="1"/>
        <n v="4762" u="1"/>
        <n v="13434" u="1"/>
        <n v="2282" u="1"/>
        <n v="4502" u="1"/>
        <n v="8880" u="1"/>
        <n v="12914" u="1"/>
        <n v="14931" u="1"/>
        <n v="4242" u="1"/>
        <n v="8360" u="1"/>
        <n v="14411" u="1"/>
        <n v="521" u="1"/>
        <n v="4039" u="1"/>
        <n v="8016" u="1"/>
        <n v="13891" u="1"/>
        <n v="127" u="1"/>
        <n v="7756" u="1"/>
        <n v="9337" u="1"/>
        <n v="13371" u="1"/>
        <n v="484" u="1"/>
        <n v="5479" u="1"/>
        <n v="7496" u="1"/>
        <n v="8817" u="1"/>
        <n v="14868" u="1"/>
        <n v="5219" u="1"/>
        <n v="8297" u="1"/>
        <n v="10314" u="1"/>
        <n v="14348" u="1"/>
        <n v="1775" u="1"/>
        <n v="4959" u="1"/>
        <n v="9794" u="1"/>
        <n v="1710" u="1"/>
        <n v="3389" u="1"/>
        <n v="4699" u="1"/>
        <n v="9274" u="1"/>
        <n v="1645" u="1"/>
        <n v="3259" u="1"/>
        <n v="4439" u="1"/>
        <n v="8754" u="1"/>
        <n v="10771" u="1"/>
        <n v="14805" u="1"/>
        <n v="1580" u="1"/>
        <n v="3129" u="1"/>
        <n v="6196" u="1"/>
        <n v="8234" u="1"/>
        <n v="10251" u="1"/>
        <n v="1515" u="1"/>
        <n v="2999" u="1"/>
        <n v="5936" u="1"/>
        <n v="9731" u="1"/>
        <n v="2869" u="1"/>
        <n v="5676" u="1"/>
        <n v="9211" u="1"/>
        <n v="11228" u="1"/>
        <n v="354" u="1"/>
        <n v="5416" u="1"/>
        <n v="8691" u="1"/>
        <n v="10708" u="1"/>
        <n v="5156" u="1"/>
        <n v="10188" u="1"/>
        <n v="9668" u="1"/>
        <n v="11685" u="1"/>
        <n v="1190" u="1"/>
        <n v="6653" u="1"/>
        <n v="9148" u="1"/>
        <n v="11165" u="1"/>
        <n v="1125" u="1"/>
        <n v="6393" u="1"/>
        <n v="10645" u="1"/>
        <n v="12662" u="1"/>
        <n v="1060" u="1"/>
        <n v="2089" u="1"/>
        <n v="6133" u="1"/>
        <n v="10125" u="1"/>
        <n v="12142" u="1"/>
        <n v="16176" u="1"/>
        <n v="5873" u="1"/>
        <n v="9605" u="1"/>
        <n v="11622" u="1"/>
        <n v="977" u="1"/>
        <n v="3846" u="1"/>
        <n v="5613" u="1"/>
        <n v="11102" u="1"/>
        <n v="13119" u="1"/>
        <n v="3716" u="1"/>
        <n v="7370" u="1"/>
        <n v="10582" u="1"/>
        <n v="12599" u="1"/>
        <n v="3586" u="1"/>
        <n v="7110" u="1"/>
        <n v="12079" u="1"/>
        <n v="3456" u="1"/>
        <n v="6850" u="1"/>
        <n v="11559" u="1"/>
        <n v="13576" u="1"/>
        <n v="6590" u="1"/>
        <n v="11039" u="1"/>
        <n v="13056" u="1"/>
        <n v="4313" u="1"/>
        <n v="6330" u="1"/>
        <n v="12536" u="1"/>
        <n v="782" u="1"/>
        <n v="12016" u="1"/>
        <n v="14033" u="1"/>
        <n v="7827" u="1"/>
        <n v="11496" u="1"/>
        <n v="13513" u="1"/>
        <n v="717" u="1"/>
        <n v="7567" u="1"/>
        <n v="12993" u="1"/>
        <n v="15010" u="1"/>
        <n v="2676" u="1"/>
        <n v="7307" u="1"/>
        <n v="8439" u="1"/>
        <n v="12473" u="1"/>
        <n v="14490" u="1"/>
        <n v="20664" u="1"/>
        <n v="2546" u="1"/>
        <n v="7047" u="1"/>
        <n v="11953" u="1"/>
        <n v="13970" u="1"/>
        <n v="2416" u="1"/>
        <n v="4770" u="1"/>
        <n v="6787" u="1"/>
        <n v="13450" u="1"/>
        <n v="2286" u="1"/>
        <n v="4510" u="1"/>
        <n v="8896" u="1"/>
        <n v="12930" u="1"/>
        <n v="14947" u="1"/>
        <n v="2156" u="1"/>
        <n v="4250" u="1"/>
        <n v="8376" u="1"/>
        <n v="14427" u="1"/>
        <n v="4043" u="1"/>
        <n v="8024" u="1"/>
        <n v="13907" u="1"/>
        <n v="7764" u="1"/>
        <n v="9353" u="1"/>
        <n v="13387" u="1"/>
        <n v="5487" u="1"/>
        <n v="7504" u="1"/>
        <n v="8833" u="1"/>
        <n v="14884" u="1"/>
        <n v="5227" u="1"/>
        <n v="8313" u="1"/>
        <n v="14364" u="1"/>
        <n v="452" u="1"/>
        <n v="1777" u="1"/>
        <n v="4967" u="1"/>
        <n v="9810" u="1"/>
        <n v="13844" u="1"/>
        <n v="1712" u="1"/>
        <n v="4707" u="1"/>
        <n v="9290" u="1"/>
        <n v="1647" u="1"/>
        <n v="3263" u="1"/>
        <n v="4447" u="1"/>
        <n v="8770" u="1"/>
        <n v="14821" u="1"/>
        <n v="1582" u="1"/>
        <n v="3133" u="1"/>
        <n v="8250" u="1"/>
        <n v="10267" u="1"/>
        <n v="14301" u="1"/>
        <n v="1517" u="1"/>
        <n v="3003" u="1"/>
        <n v="5944" u="1"/>
        <n v="7961" u="1"/>
        <n v="9747" u="1"/>
        <n v="2873" u="1"/>
        <n v="5684" u="1"/>
        <n v="9227" u="1"/>
        <n v="11244" u="1"/>
        <n v="2743" u="1"/>
        <n v="5424" u="1"/>
        <n v="8707" u="1"/>
        <n v="10724" u="1"/>
        <n v="5164" u="1"/>
        <n v="10204" u="1"/>
        <n v="322" u="1"/>
        <n v="9684" u="1"/>
        <n v="11701" u="1"/>
        <n v="1192" u="1"/>
        <n v="6661" u="1"/>
        <n v="9164" u="1"/>
        <n v="11181" u="1"/>
        <n v="1127" u="1"/>
        <n v="6401" u="1"/>
        <n v="10661" u="1"/>
        <n v="1062" u="1"/>
        <n v="2093" u="1"/>
        <n v="6141" u="1"/>
        <n v="10141" u="1"/>
        <n v="12158" u="1"/>
        <n v="5881" u="1"/>
        <n v="9621" u="1"/>
        <n v="11638" u="1"/>
        <n v="978" u="1"/>
        <n v="3850" u="1"/>
        <n v="5621" u="1"/>
        <n v="11118" u="1"/>
        <n v="3720" u="1"/>
        <n v="10598" u="1"/>
        <n v="12615" u="1"/>
        <n v="16914" u="1"/>
        <n v="3590" u="1"/>
        <n v="7118" u="1"/>
        <n v="10078" u="1"/>
        <n v="12095" u="1"/>
        <n v="224" u="1"/>
        <n v="3460" u="1"/>
        <n v="6858" u="1"/>
        <n v="11575" u="1"/>
        <n v="13592" u="1"/>
        <n v="3330" u="1"/>
        <n v="6598" u="1"/>
        <n v="11055" u="1"/>
        <n v="13072" u="1"/>
        <n v="4321" u="1"/>
        <n v="6338" u="1"/>
        <n v="12552" u="1"/>
        <n v="783" u="1"/>
        <n v="12032" u="1"/>
        <n v="14049" u="1"/>
        <n v="7835" u="1"/>
        <n v="11512" u="1"/>
        <n v="13529" u="1"/>
        <n v="718" u="1"/>
        <n v="7575" u="1"/>
        <n v="13009" u="1"/>
        <n v="2680" u="1"/>
        <n v="7315" u="1"/>
        <n v="12489" u="1"/>
        <n v="14506" u="1"/>
        <n v="653" u="1"/>
        <n v="2550" u="1"/>
        <n v="7055" u="1"/>
        <n v="11969" u="1"/>
        <n v="13986" u="1"/>
        <n v="159" u="1"/>
        <n v="2420" u="1"/>
        <n v="4778" u="1"/>
        <n v="6795" u="1"/>
        <n v="13466" u="1"/>
        <n v="2290" u="1"/>
        <n v="4518" u="1"/>
        <n v="12946" u="1"/>
        <n v="14963" u="1"/>
        <n v="21610" u="1"/>
        <n v="2160" u="1"/>
        <n v="4258" u="1"/>
        <n v="8392" u="1"/>
        <n v="12426" u="1"/>
        <n v="14443" u="1"/>
        <n v="4047" u="1"/>
        <n v="8032" u="1"/>
        <n v="13923" u="1"/>
        <n v="3917" u="1"/>
        <n v="7772" u="1"/>
        <n v="9369" u="1"/>
        <n v="13403" u="1"/>
        <n v="485" u="1"/>
        <n v="5495" u="1"/>
        <n v="7512" u="1"/>
        <n v="8849" u="1"/>
        <n v="14900" u="1"/>
        <n v="5235" u="1"/>
        <n v="8329" u="1"/>
        <n v="14380" u="1"/>
        <n v="1779" u="1"/>
        <n v="4975" u="1"/>
        <n v="9826" u="1"/>
        <n v="13860" u="1"/>
        <n v="1714" u="1"/>
        <n v="4715" u="1"/>
        <n v="9306" u="1"/>
        <n v="1649" u="1"/>
        <n v="3267" u="1"/>
        <n v="4455" u="1"/>
        <n v="8786" u="1"/>
        <n v="14837" u="1"/>
        <n v="1584" u="1"/>
        <n v="3137" u="1"/>
        <n v="8266" u="1"/>
        <n v="10283" u="1"/>
        <n v="14317" u="1"/>
        <n v="1519" u="1"/>
        <n v="3007" u="1"/>
        <n v="5952" u="1"/>
        <n v="7969" u="1"/>
        <n v="9763" u="1"/>
        <n v="2877" u="1"/>
        <n v="5692" u="1"/>
        <n v="9243" u="1"/>
        <n v="355" u="1"/>
        <n v="2747" u="1"/>
        <n v="5432" u="1"/>
        <n v="8723" u="1"/>
        <n v="10740" u="1"/>
        <n v="14774" u="1"/>
        <n v="5172" u="1"/>
        <n v="8203" u="1"/>
        <n v="10220" u="1"/>
        <n v="4912" u="1"/>
        <n v="9700" u="1"/>
        <n v="11717" u="1"/>
        <n v="6669" u="1"/>
        <n v="9180" u="1"/>
        <n v="11197" u="1"/>
        <n v="290" u="1"/>
        <n v="1129" u="1"/>
        <n v="6409" u="1"/>
        <n v="10677" u="1"/>
        <n v="1064" u="1"/>
        <n v="2097" u="1"/>
        <n v="6149" u="1"/>
        <n v="10157" u="1"/>
        <n v="12174" u="1"/>
        <n v="5889" u="1"/>
        <n v="9637" u="1"/>
        <n v="11654" u="1"/>
        <n v="979" u="1"/>
        <n v="3854" u="1"/>
        <n v="5629" u="1"/>
        <n v="11134" u="1"/>
        <n v="3724" u="1"/>
        <n v="10614" u="1"/>
        <n v="12631" u="1"/>
        <n v="3594" u="1"/>
        <n v="7126" u="1"/>
        <n v="10094" u="1"/>
        <n v="12111" u="1"/>
        <n v="3464" u="1"/>
        <n v="6866" u="1"/>
        <n v="11591" u="1"/>
        <n v="3334" u="1"/>
        <n v="6606" u="1"/>
        <n v="11071" u="1"/>
        <n v="13088" u="1"/>
        <n v="208" u="1"/>
        <n v="6346" u="1"/>
        <n v="10551" u="1"/>
        <n v="12568" u="1"/>
        <n v="784" u="1"/>
        <n v="6086" u="1"/>
        <n v="12048" u="1"/>
        <n v="14065" u="1"/>
        <n v="7843" u="1"/>
        <n v="11528" u="1"/>
        <n v="13545" u="1"/>
        <n v="719" u="1"/>
        <n v="7583" u="1"/>
        <n v="13025" u="1"/>
        <n v="2684" u="1"/>
        <n v="7323" u="1"/>
        <n v="12505" u="1"/>
        <n v="14522" u="1"/>
        <n v="654" u="1"/>
        <n v="2554" u="1"/>
        <n v="7063" u="1"/>
        <n v="11985" u="1"/>
        <n v="14002" u="1"/>
        <n v="2424" u="1"/>
        <n v="4786" u="1"/>
        <n v="6803" u="1"/>
        <n v="13482" u="1"/>
        <n v="20665" u="1"/>
        <n v="2294" u="1"/>
        <n v="4526" u="1"/>
        <n v="12962" u="1"/>
        <n v="14979" u="1"/>
        <n v="143" u="1"/>
        <n v="2164" u="1"/>
        <n v="4266" u="1"/>
        <n v="8408" u="1"/>
        <n v="12442" u="1"/>
        <n v="14459" u="1"/>
        <n v="4051" u="1"/>
        <n v="8040" u="1"/>
        <n v="13939" u="1"/>
        <n v="3921" u="1"/>
        <n v="7780" u="1"/>
        <n v="13419" u="1"/>
        <n v="7520" u="1"/>
        <n v="8865" u="1"/>
        <n v="12899" u="1"/>
        <n v="14916" u="1"/>
        <n v="5243" u="1"/>
        <n v="7260" u="1"/>
        <n v="8345" u="1"/>
        <n v="14396" u="1"/>
        <n v="453" u="1"/>
        <n v="4983" u="1"/>
        <n v="9842" u="1"/>
        <n v="13876" u="1"/>
        <n v="1716" u="1"/>
        <n v="4723" u="1"/>
        <n v="9322" u="1"/>
        <n v="1651" u="1"/>
        <n v="3271" u="1"/>
        <n v="4463" u="1"/>
        <n v="8802" u="1"/>
        <n v="14853" u="1"/>
        <n v="103" u="1"/>
        <n v="1586" u="1"/>
        <n v="3141" u="1"/>
        <n v="4203" u="1"/>
        <n v="8282" u="1"/>
        <n v="10299" u="1"/>
        <n v="14333" u="1"/>
        <n v="1521" u="1"/>
        <n v="3011" u="1"/>
        <n v="5960" u="1"/>
        <n v="7977" u="1"/>
        <n v="9779" u="1"/>
        <n v="1456" u="1"/>
        <n v="2881" u="1"/>
        <n v="5700" u="1"/>
        <n v="9259" u="1"/>
        <n v="2751" u="1"/>
        <n v="5440" u="1"/>
        <n v="8739" u="1"/>
        <n v="10756" u="1"/>
        <n v="14790" u="1"/>
        <n v="5180" u="1"/>
        <n v="8219" u="1"/>
        <n v="10236" u="1"/>
        <n v="323" u="1"/>
        <n v="4920" u="1"/>
        <n v="9716" u="1"/>
        <n v="9196" u="1"/>
        <n v="11213" u="1"/>
        <n v="1131" u="1"/>
        <n v="6417" u="1"/>
        <n v="8676" u="1"/>
        <n v="10693" u="1"/>
        <n v="1066" u="1"/>
        <n v="6157" u="1"/>
        <n v="10173" u="1"/>
        <n v="12190" u="1"/>
        <n v="5897" u="1"/>
        <n v="9653" u="1"/>
        <n v="11670" u="1"/>
        <n v="980" u="1"/>
        <n v="3858" u="1"/>
        <n v="5637" u="1"/>
        <n v="11150" u="1"/>
        <n v="3728" u="1"/>
        <n v="5377" u="1"/>
        <n v="10630" u="1"/>
        <n v="12647" u="1"/>
        <n v="3598" u="1"/>
        <n v="7134" u="1"/>
        <n v="10110" u="1"/>
        <n v="12127" u="1"/>
        <n v="3468" u="1"/>
        <n v="6874" u="1"/>
        <n v="11607" u="1"/>
        <n v="16915" u="1"/>
        <n v="3338" u="1"/>
        <n v="6614" u="1"/>
        <n v="11087" u="1"/>
        <n v="13104" u="1"/>
        <n v="6354" u="1"/>
        <n v="10567" u="1"/>
        <n v="12584" u="1"/>
        <n v="785" u="1"/>
        <n v="6094" u="1"/>
        <n v="12064" u="1"/>
        <n v="192" u="1"/>
        <n v="11544" u="1"/>
        <n v="13561" u="1"/>
        <n v="720" u="1"/>
        <n v="7591" u="1"/>
        <n v="11024" u="1"/>
        <n v="13041" u="1"/>
        <n v="7331" u="1"/>
        <n v="12521" u="1"/>
        <n v="14538" u="1"/>
        <n v="655" u="1"/>
        <n v="2558" u="1"/>
        <n v="7071" u="1"/>
        <n v="12001" u="1"/>
        <n v="14018" u="1"/>
        <n v="2428" u="1"/>
        <n v="4794" u="1"/>
        <n v="6811" u="1"/>
        <n v="13498" u="1"/>
        <n v="2298" u="1"/>
        <n v="4534" u="1"/>
        <n v="6551" u="1"/>
        <n v="12978" u="1"/>
        <n v="14995" u="1"/>
        <n v="2168" u="1"/>
        <n v="4274" u="1"/>
        <n v="8424" u="1"/>
        <n v="12458" u="1"/>
        <n v="14475" u="1"/>
        <n v="2043" u="1"/>
        <n v="4055" u="1"/>
        <n v="8048" u="1"/>
        <n v="13955" u="1"/>
        <n v="3925" u="1"/>
        <n v="7788" u="1"/>
        <n v="13435" u="1"/>
        <n v="486" u="1"/>
        <n v="7528" u="1"/>
        <n v="8881" u="1"/>
        <n v="12915" u="1"/>
        <n v="14932" u="1"/>
        <n v="5251" u="1"/>
        <n v="7268" u="1"/>
        <n v="8361" u="1"/>
        <n v="14412" u="1"/>
        <n v="4991" u="1"/>
        <n v="13892" u="1"/>
        <n v="1718" u="1"/>
        <n v="4731" u="1"/>
        <n v="9338" u="1"/>
        <n v="13372" u="1"/>
        <n v="1653" u="1"/>
        <n v="4471" u="1"/>
        <n v="8818" u="1"/>
        <n v="14869" u="1"/>
        <n v="1588" u="1"/>
        <n v="3145" u="1"/>
        <n v="4211" u="1"/>
        <n v="8298" u="1"/>
        <n v="10315" u="1"/>
        <n v="14349" u="1"/>
        <n v="1523" u="1"/>
        <n v="3015" u="1"/>
        <n v="5968" u="1"/>
        <n v="7985" u="1"/>
        <n v="9795" u="1"/>
        <n v="13829" u="1"/>
        <n v="95" u="1"/>
        <n v="1458" u="1"/>
        <n v="2885" u="1"/>
        <n v="5708" u="1"/>
        <n v="7725" u="1"/>
        <n v="9275" u="1"/>
        <n v="2755" u="1"/>
        <n v="5448" u="1"/>
        <n v="8755" u="1"/>
        <n v="10772" u="1"/>
        <n v="14806" u="1"/>
        <n v="2625" u="1"/>
        <n v="5188" u="1"/>
        <n v="8235" u="1"/>
        <n v="10252" u="1"/>
        <n v="4928" u="1"/>
        <n v="9732" u="1"/>
        <n v="9212" u="1"/>
        <n v="11229" u="1"/>
        <n v="291" u="1"/>
        <n v="1133" u="1"/>
        <n v="6425" u="1"/>
        <n v="8692" u="1"/>
        <n v="10709" u="1"/>
        <n v="1068" u="1"/>
        <n v="6165" u="1"/>
        <n v="10189" u="1"/>
        <n v="5905" u="1"/>
        <n v="9669" u="1"/>
        <n v="11686" u="1"/>
        <n v="981" u="1"/>
        <n v="5645" u="1"/>
        <n v="9149" u="1"/>
        <n v="11166" u="1"/>
        <n v="3732" u="1"/>
        <n v="5385" u="1"/>
        <n v="10646" u="1"/>
        <n v="12663" u="1"/>
        <n v="3602" u="1"/>
        <n v="7142" u="1"/>
        <n v="10126" u="1"/>
        <n v="12143" u="1"/>
        <n v="16177" u="1"/>
        <n v="3472" u="1"/>
        <n v="6882" u="1"/>
        <n v="9606" u="1"/>
        <n v="11623" u="1"/>
        <n v="3342" u="1"/>
        <n v="6622" u="1"/>
        <n v="11103" u="1"/>
        <n v="13120" u="1"/>
        <n v="3212" u="1"/>
        <n v="6362" u="1"/>
        <n v="10583" u="1"/>
        <n v="12600" u="1"/>
        <n v="6102" u="1"/>
        <n v="12080" u="1"/>
        <n v="11560" u="1"/>
        <n v="13577" u="1"/>
        <n v="721" u="1"/>
        <n v="7599" u="1"/>
        <n v="11040" u="1"/>
        <n v="13057" u="1"/>
        <n v="7339" u="1"/>
        <n v="12537" u="1"/>
        <n v="656" u="1"/>
        <n v="2562" u="1"/>
        <n v="7079" u="1"/>
        <n v="12017" u="1"/>
        <n v="14034" u="1"/>
        <n v="2432" u="1"/>
        <n v="6819" u="1"/>
        <n v="11497" u="1"/>
        <n v="13514" u="1"/>
        <n v="2302" u="1"/>
        <n v="4542" u="1"/>
        <n v="6559" u="1"/>
        <n v="12994" u="1"/>
        <n v="15011" u="1"/>
        <n v="2172" u="1"/>
        <n v="4282" u="1"/>
        <n v="12474" u="1"/>
        <n v="14491" u="1"/>
        <n v="20666" u="1"/>
        <n v="2045" u="1"/>
        <n v="4059" u="1"/>
        <n v="8056" u="1"/>
        <n v="11954" u="1"/>
        <n v="13971" u="1"/>
        <n v="3929" u="1"/>
        <n v="7796" u="1"/>
        <n v="13451" u="1"/>
        <n v="3799" u="1"/>
        <n v="7536" u="1"/>
        <n v="8897" u="1"/>
        <n v="12931" u="1"/>
        <n v="14948" u="1"/>
        <n v="5259" u="1"/>
        <n v="7276" u="1"/>
        <n v="8377" u="1"/>
        <n v="14428" u="1"/>
        <n v="454" u="1"/>
        <n v="4999" u="1"/>
        <n v="13908" u="1"/>
        <n v="1720" u="1"/>
        <n v="4739" u="1"/>
        <n v="9354" u="1"/>
        <n v="13388" u="1"/>
        <n v="1655" u="1"/>
        <n v="4479" u="1"/>
        <n v="8834" u="1"/>
        <n v="14885" u="1"/>
        <n v="1590" u="1"/>
        <n v="3149" u="1"/>
        <n v="4219" u="1"/>
        <n v="8314" u="1"/>
        <n v="14365" u="1"/>
        <n v="1525" u="1"/>
        <n v="3019" u="1"/>
        <n v="7993" u="1"/>
        <n v="9811" u="1"/>
        <n v="13845" u="1"/>
        <n v="1460" u="1"/>
        <n v="2889" u="1"/>
        <n v="5716" u="1"/>
        <n v="7733" u="1"/>
        <n v="9291" u="1"/>
        <n v="2759" u="1"/>
        <n v="5456" u="1"/>
        <n v="8771" u="1"/>
        <n v="14822" u="1"/>
        <n v="87" u="1"/>
        <n v="2629" u="1"/>
        <n v="5196" u="1"/>
        <n v="8251" u="1"/>
        <n v="10268" u="1"/>
        <n v="14302" u="1"/>
        <n v="324" u="1"/>
        <n v="4936" u="1"/>
        <n v="9748" u="1"/>
        <n v="4676" u="1"/>
        <n v="9228" u="1"/>
        <n v="11245" u="1"/>
        <n v="6433" u="1"/>
        <n v="8708" u="1"/>
        <n v="10725" u="1"/>
        <n v="1070" u="1"/>
        <n v="6173" u="1"/>
        <n v="10205" u="1"/>
        <n v="5913" u="1"/>
        <n v="9685" u="1"/>
        <n v="11702" u="1"/>
        <n v="982" u="1"/>
        <n v="5653" u="1"/>
        <n v="9165" u="1"/>
        <n v="11182" u="1"/>
        <n v="3736" u="1"/>
        <n v="5393" u="1"/>
        <n v="10662" u="1"/>
        <n v="3606" u="1"/>
        <n v="10142" u="1"/>
        <n v="12159" u="1"/>
        <n v="225" u="1"/>
        <n v="3476" u="1"/>
        <n v="6890" u="1"/>
        <n v="9622" u="1"/>
        <n v="11639" u="1"/>
        <n v="3346" u="1"/>
        <n v="6630" u="1"/>
        <n v="11119" u="1"/>
        <n v="3216" u="1"/>
        <n v="6370" u="1"/>
        <n v="10599" u="1"/>
        <n v="12616" u="1"/>
        <n v="6110" u="1"/>
        <n v="10079" u="1"/>
        <n v="12096" u="1"/>
        <n v="5850" u="1"/>
        <n v="11576" u="1"/>
        <n v="13593" u="1"/>
        <n v="722" u="1"/>
        <n v="7607" u="1"/>
        <n v="11056" u="1"/>
        <n v="13073" u="1"/>
        <n v="7347" u="1"/>
        <n v="12553" u="1"/>
        <n v="657" u="1"/>
        <n v="2566" u="1"/>
        <n v="7087" u="1"/>
        <n v="12033" u="1"/>
        <n v="14050" u="1"/>
        <n v="2436" u="1"/>
        <n v="6827" u="1"/>
        <n v="11513" u="1"/>
        <n v="13530" u="1"/>
        <n v="2306" u="1"/>
        <n v="4550" u="1"/>
        <n v="6567" u="1"/>
        <n v="13010" u="1"/>
        <n v="2176" u="1"/>
        <n v="4290" u="1"/>
        <n v="12490" u="1"/>
        <n v="14507" u="1"/>
        <n v="2047" u="1"/>
        <n v="4063" u="1"/>
        <n v="8064" u="1"/>
        <n v="11970" u="1"/>
        <n v="13987" u="1"/>
        <n v="3933" u="1"/>
        <n v="7804" u="1"/>
        <n v="13467" u="1"/>
        <n v="487" u="1"/>
        <n v="3803" u="1"/>
        <n v="7544" u="1"/>
        <n v="12947" u="1"/>
        <n v="14964" u="1"/>
        <n v="7284" u="1"/>
        <n v="8393" u="1"/>
        <n v="12427" u="1"/>
        <n v="14444" u="1"/>
        <n v="5007" u="1"/>
        <n v="7024" u="1"/>
        <n v="13924" u="1"/>
        <n v="4747" u="1"/>
        <n v="9370" u="1"/>
        <n v="13404" u="1"/>
        <n v="422" u="1"/>
        <n v="1657" u="1"/>
        <n v="4487" u="1"/>
        <n v="8850" u="1"/>
        <n v="14901" u="1"/>
        <n v="1592" u="1"/>
        <n v="3153" u="1"/>
        <n v="4227" u="1"/>
        <n v="8330" u="1"/>
        <n v="14381" u="1"/>
        <n v="1527" u="1"/>
        <n v="3023" u="1"/>
        <n v="8001" u="1"/>
        <n v="9827" u="1"/>
        <n v="13861" u="1"/>
        <n v="1462" u="1"/>
        <n v="2893" u="1"/>
        <n v="5724" u="1"/>
        <n v="7741" u="1"/>
        <n v="9307" u="1"/>
        <n v="1397" u="1"/>
        <n v="2763" u="1"/>
        <n v="5464" u="1"/>
        <n v="8787" u="1"/>
        <n v="14838" u="1"/>
        <n v="2633" u="1"/>
        <n v="5204" u="1"/>
        <n v="8267" u="1"/>
        <n v="10284" u="1"/>
        <n v="14318" u="1"/>
        <n v="4944" u="1"/>
        <n v="9764" u="1"/>
        <n v="4684" u="1"/>
        <n v="9244" u="1"/>
        <n v="292" u="1"/>
        <n v="8724" u="1"/>
        <n v="10741" u="1"/>
        <n v="14775" u="1"/>
        <n v="1072" u="1"/>
        <n v="6181" u="1"/>
        <n v="8204" u="1"/>
        <n v="10221" u="1"/>
        <n v="5921" u="1"/>
        <n v="9701" u="1"/>
        <n v="11718" u="1"/>
        <n v="983" u="1"/>
        <n v="5661" u="1"/>
        <n v="9181" u="1"/>
        <n v="11198" u="1"/>
        <n v="3740" u="1"/>
        <n v="5401" u="1"/>
        <n v="10678" u="1"/>
        <n v="918" u="1"/>
        <n v="3610" u="1"/>
        <n v="10158" u="1"/>
        <n v="12175" u="1"/>
        <n v="3480" u="1"/>
        <n v="6898" u="1"/>
        <n v="9638" u="1"/>
        <n v="11655" u="1"/>
        <n v="3350" u="1"/>
        <n v="6638" u="1"/>
        <n v="11135" u="1"/>
        <n v="209" u="1"/>
        <n v="3220" u="1"/>
        <n v="6378" u="1"/>
        <n v="10615" u="1"/>
        <n v="12632" u="1"/>
        <n v="6118" u="1"/>
        <n v="10095" u="1"/>
        <n v="12112" u="1"/>
        <n v="5858" u="1"/>
        <n v="11592" u="1"/>
        <n v="723" u="1"/>
        <n v="11072" u="1"/>
        <n v="13089" u="1"/>
        <n v="7355" u="1"/>
        <n v="10552" u="1"/>
        <n v="12569" u="1"/>
        <n v="658" u="1"/>
        <n v="7095" u="1"/>
        <n v="12049" u="1"/>
        <n v="14066" u="1"/>
        <n v="2440" u="1"/>
        <n v="6835" u="1"/>
        <n v="11529" u="1"/>
        <n v="13546" u="1"/>
        <n v="2310" u="1"/>
        <n v="4558" u="1"/>
        <n v="6575" u="1"/>
        <n v="13026" u="1"/>
        <n v="144" u="1"/>
        <n v="2180" u="1"/>
        <n v="4298" u="1"/>
        <n v="12506" u="1"/>
        <n v="14523" u="1"/>
        <n v="2050" u="1"/>
        <n v="4067" u="1"/>
        <n v="8072" u="1"/>
        <n v="11986" u="1"/>
        <n v="14003" u="1"/>
        <n v="1984" u="1"/>
        <n v="3937" u="1"/>
        <n v="7812" u="1"/>
        <n v="13483" u="1"/>
        <n v="20667" u="1"/>
        <n v="3807" u="1"/>
        <n v="7552" u="1"/>
        <n v="12963" u="1"/>
        <n v="14980" u="1"/>
        <n v="7292" u="1"/>
        <n v="8409" u="1"/>
        <n v="12443" u="1"/>
        <n v="14460" u="1"/>
        <n v="455" u="1"/>
        <n v="5015" u="1"/>
        <n v="7032" u="1"/>
        <n v="13940" u="1"/>
        <n v="4755" u="1"/>
        <n v="13420" u="1"/>
        <n v="1659" u="1"/>
        <n v="4495" u="1"/>
        <n v="8866" u="1"/>
        <n v="12900" u="1"/>
        <n v="14917" u="1"/>
        <n v="1594" u="1"/>
        <n v="4235" u="1"/>
        <n v="8346" u="1"/>
        <n v="14397" u="1"/>
        <n v="1529" u="1"/>
        <n v="3027" u="1"/>
        <n v="8009" u="1"/>
        <n v="9843" u="1"/>
        <n v="13877" u="1"/>
        <n v="1464" u="1"/>
        <n v="2897" u="1"/>
        <n v="5732" u="1"/>
        <n v="7749" u="1"/>
        <n v="9323" u="1"/>
        <n v="1399" u="1"/>
        <n v="2767" u="1"/>
        <n v="5472" u="1"/>
        <n v="8803" u="1"/>
        <n v="14854" u="1"/>
        <n v="2637" u="1"/>
        <n v="5212" u="1"/>
        <n v="8283" u="1"/>
        <n v="10300" u="1"/>
        <n v="14334" u="1"/>
        <n v="325" u="1"/>
        <n v="2507" u="1"/>
        <n v="4952" u="1"/>
        <n v="9780" u="1"/>
        <n v="4692" u="1"/>
        <n v="9260" u="1"/>
        <n v="8740" u="1"/>
        <n v="10757" u="1"/>
        <n v="14791" u="1"/>
        <n v="1074" u="1"/>
        <n v="6189" u="1"/>
        <n v="8220" u="1"/>
        <n v="10237" u="1"/>
        <n v="260" u="1"/>
        <n v="5929" u="1"/>
        <n v="9717" u="1"/>
        <n v="984" u="1"/>
        <n v="5669" u="1"/>
        <n v="9197" u="1"/>
        <n v="11214" u="1"/>
        <n v="5409" u="1"/>
        <n v="8677" u="1"/>
        <n v="10694" u="1"/>
        <n v="919" u="1"/>
        <n v="3614" u="1"/>
        <n v="5149" u="1"/>
        <n v="10174" u="1"/>
        <n v="12191" u="1"/>
        <n v="3484" u="1"/>
        <n v="6906" u="1"/>
        <n v="9654" u="1"/>
        <n v="11671" u="1"/>
        <n v="3354" u="1"/>
        <n v="6646" u="1"/>
        <n v="9134" u="1"/>
        <n v="11151" u="1"/>
        <n v="3224" u="1"/>
        <n v="6386" u="1"/>
        <n v="10631" u="1"/>
        <n v="12648" u="1"/>
        <n v="3094" u="1"/>
        <n v="6126" u="1"/>
        <n v="10111" u="1"/>
        <n v="12128" u="1"/>
        <n v="193" u="1"/>
        <n v="5866" u="1"/>
        <n v="11608" u="1"/>
        <n v="724" u="1"/>
        <n v="11088" u="1"/>
        <n v="13105" u="1"/>
        <n v="7363" u="1"/>
        <n v="10568" u="1"/>
        <n v="12585" u="1"/>
        <n v="659" u="1"/>
        <n v="7103" u="1"/>
        <n v="12065" u="1"/>
        <n v="2444" u="1"/>
        <n v="6843" u="1"/>
        <n v="11545" u="1"/>
        <n v="13562" u="1"/>
        <n v="2314" u="1"/>
        <n v="6583" u="1"/>
        <n v="11025" u="1"/>
        <n v="13042" u="1"/>
        <n v="2184" u="1"/>
        <n v="4306" u="1"/>
        <n v="6323" u="1"/>
        <n v="12522" u="1"/>
        <n v="14539" u="1"/>
        <n v="2054" u="1"/>
        <n v="4071" u="1"/>
        <n v="8080" u="1"/>
        <n v="12002" u="1"/>
        <n v="14019" u="1"/>
        <n v="128" u="1"/>
        <n v="1986" u="1"/>
        <n v="3941" u="1"/>
        <n v="7820" u="1"/>
        <n v="11482" u="1"/>
        <n v="13499" u="1"/>
        <n v="3811" u="1"/>
        <n v="7560" u="1"/>
        <n v="12979" u="1"/>
        <n v="14996" u="1"/>
        <n v="3681" u="1"/>
        <n v="7300" u="1"/>
        <n v="8425" u="1"/>
        <n v="12459" u="1"/>
        <n v="14476" u="1"/>
        <n v="5023" u="1"/>
        <n v="7040" u="1"/>
        <n v="13956" u="1"/>
        <n v="4763" u="1"/>
        <n v="13436" u="1"/>
        <n v="423" u="1"/>
        <n v="1661" u="1"/>
        <n v="4503" u="1"/>
        <n v="8882" u="1"/>
        <n v="12916" u="1"/>
        <n v="14933" u="1"/>
        <n v="1596" u="1"/>
        <n v="4243" u="1"/>
        <n v="8362" u="1"/>
        <n v="14413" u="1"/>
        <n v="1531" u="1"/>
        <n v="3031" u="1"/>
        <n v="8017" u="1"/>
        <n v="13893" u="1"/>
        <n v="1466" u="1"/>
        <n v="2901" u="1"/>
        <n v="7757" u="1"/>
        <n v="9339" u="1"/>
        <n v="13373" u="1"/>
        <n v="1401" u="1"/>
        <n v="2771" u="1"/>
        <n v="5480" u="1"/>
        <n v="7497" u="1"/>
        <n v="8819" u="1"/>
        <n v="14870" u="1"/>
        <n v="2641" u="1"/>
        <n v="5220" u="1"/>
        <n v="8299" u="1"/>
        <n v="10316" u="1"/>
        <n v="14350" u="1"/>
        <n v="24418" u="1"/>
        <n v="2511" u="1"/>
        <n v="4960" u="1"/>
        <n v="9796" u="1"/>
        <n v="13830" u="1"/>
        <n v="4700" u="1"/>
        <n v="9276" u="1"/>
        <n v="293" u="1"/>
        <n v="4440" u="1"/>
        <n v="8756" u="1"/>
        <n v="10773" u="1"/>
        <n v="14807" u="1"/>
        <n v="6197" u="1"/>
        <n v="8236" u="1"/>
        <n v="10253" u="1"/>
        <n v="5937" u="1"/>
        <n v="9733" u="1"/>
        <n v="985" u="1"/>
        <n v="5677" u="1"/>
        <n v="9213" u="1"/>
        <n v="11230" u="1"/>
        <n v="5417" u="1"/>
        <n v="8693" u="1"/>
        <n v="10710" u="1"/>
        <n v="920" u="1"/>
        <n v="3618" u="1"/>
        <n v="5157" u="1"/>
        <n v="10190" u="1"/>
        <n v="3488" u="1"/>
        <n v="9670" u="1"/>
        <n v="11687" u="1"/>
        <n v="3358" u="1"/>
        <n v="6654" u="1"/>
        <n v="9150" u="1"/>
        <n v="11167" u="1"/>
        <n v="3228" u="1"/>
        <n v="6394" u="1"/>
        <n v="10647" u="1"/>
        <n v="12664" u="1"/>
        <n v="3098" u="1"/>
        <n v="6134" u="1"/>
        <n v="10127" u="1"/>
        <n v="12144" u="1"/>
        <n v="16178" u="1"/>
        <n v="5874" u="1"/>
        <n v="9607" u="1"/>
        <n v="11624" u="1"/>
        <n v="725" u="1"/>
        <n v="5614" u="1"/>
        <n v="11104" u="1"/>
        <n v="13121" u="1"/>
        <n v="7371" u="1"/>
        <n v="10584" u="1"/>
        <n v="12601" u="1"/>
        <n v="660" u="1"/>
        <n v="7111" u="1"/>
        <n v="12081" u="1"/>
        <n v="2448" u="1"/>
        <n v="6851" u="1"/>
        <n v="11561" u="1"/>
        <n v="13578" u="1"/>
        <n v="595" u="1"/>
        <n v="2318" u="1"/>
        <n v="6591" u="1"/>
        <n v="11041" u="1"/>
        <n v="13058" u="1"/>
        <n v="2188" u="1"/>
        <n v="4314" u="1"/>
        <n v="6331" u="1"/>
        <n v="12538" u="1"/>
        <n v="2058" u="1"/>
        <n v="4075" u="1"/>
        <n v="12018" u="1"/>
        <n v="14035" u="1"/>
        <n v="1988" u="1"/>
        <n v="3945" u="1"/>
        <n v="7828" u="1"/>
        <n v="11498" u="1"/>
        <n v="13515" u="1"/>
        <n v="3815" u="1"/>
        <n v="7568" u="1"/>
        <n v="12995" u="1"/>
        <n v="15012" u="1"/>
        <n v="120" u="1"/>
        <n v="3685" u="1"/>
        <n v="7308" u="1"/>
        <n v="12475" u="1"/>
        <n v="14492" u="1"/>
        <n v="20668" u="1"/>
        <n v="456" u="1"/>
        <n v="7048" u="1"/>
        <n v="11955" u="1"/>
        <n v="13972" u="1"/>
        <n v="4771" u="1"/>
        <n v="6788" u="1"/>
        <n v="13452" u="1"/>
        <n v="4511" u="1"/>
        <n v="8898" u="1"/>
        <n v="12932" u="1"/>
        <n v="14949" u="1"/>
        <n v="1598" u="1"/>
        <n v="4251" u="1"/>
        <n v="8378" u="1"/>
        <n v="14429" u="1"/>
        <n v="1533" u="1"/>
        <n v="3035" u="1"/>
        <n v="8025" u="1"/>
        <n v="13909" u="1"/>
        <n v="1468" u="1"/>
        <n v="2905" u="1"/>
        <n v="7765" u="1"/>
        <n v="9355" u="1"/>
        <n v="13389" u="1"/>
        <n v="1403" u="1"/>
        <n v="2775" u="1"/>
        <n v="5488" u="1"/>
        <n v="7505" u="1"/>
        <n v="8835" u="1"/>
        <n v="14886" u="1"/>
        <n v="2645" u="1"/>
        <n v="5228" u="1"/>
        <n v="8315" u="1"/>
        <n v="14366" u="1"/>
        <n v="326" u="1"/>
        <n v="2515" u="1"/>
        <n v="4968" u="1"/>
        <n v="9812" u="1"/>
        <n v="13846" u="1"/>
        <n v="4708" u="1"/>
        <n v="9292" u="1"/>
        <n v="4448" u="1"/>
        <n v="8772" u="1"/>
        <n v="14823" u="1"/>
        <n v="8252" u="1"/>
        <n v="10269" u="1"/>
        <n v="14303" u="1"/>
        <n v="261" u="1"/>
        <n v="5945" u="1"/>
        <n v="7962" u="1"/>
        <n v="9749" u="1"/>
        <n v="986" u="1"/>
        <n v="5685" u="1"/>
        <n v="9229" u="1"/>
        <n v="11246" u="1"/>
        <n v="5425" u="1"/>
        <n v="8709" u="1"/>
        <n v="10726" u="1"/>
        <n v="921" u="1"/>
        <n v="3622" u="1"/>
        <n v="5165" u="1"/>
        <n v="10206" u="1"/>
        <n v="3492" u="1"/>
        <n v="9686" u="1"/>
        <n v="11703" u="1"/>
        <n v="3362" u="1"/>
        <n v="6662" u="1"/>
        <n v="9166" u="1"/>
        <n v="11183" u="1"/>
        <n v="3232" u="1"/>
        <n v="6402" u="1"/>
        <n v="10663" u="1"/>
        <n v="3102" u="1"/>
        <n v="6142" u="1"/>
        <n v="10143" u="1"/>
        <n v="12160" u="1"/>
        <n v="5882" u="1"/>
        <n v="9623" u="1"/>
        <n v="11640" u="1"/>
        <n v="726" u="1"/>
        <n v="5622" u="1"/>
        <n v="11120" u="1"/>
        <n v="10600" u="1"/>
        <n v="12617" u="1"/>
        <n v="661" u="1"/>
        <n v="7119" u="1"/>
        <n v="10080" u="1"/>
        <n v="12097" u="1"/>
        <n v="6859" u="1"/>
        <n v="11577" u="1"/>
        <n v="13594" u="1"/>
        <n v="596" u="1"/>
        <n v="2322" u="1"/>
        <n v="6599" u="1"/>
        <n v="11057" u="1"/>
        <n v="13074" u="1"/>
        <n v="2192" u="1"/>
        <n v="4322" u="1"/>
        <n v="6339" u="1"/>
        <n v="12554" u="1"/>
        <n v="2062" u="1"/>
        <n v="4079" u="1"/>
        <n v="12034" u="1"/>
        <n v="14051" u="1"/>
        <n v="1990" u="1"/>
        <n v="3949" u="1"/>
        <n v="7836" u="1"/>
        <n v="11514" u="1"/>
        <n v="13531" u="1"/>
        <n v="3819" u="1"/>
        <n v="7576" u="1"/>
        <n v="13011" u="1"/>
        <n v="3689" u="1"/>
        <n v="7316" u="1"/>
        <n v="12491" u="1"/>
        <n v="14508" u="1"/>
        <n v="7056" u="1"/>
        <n v="11971" u="1"/>
        <n v="13988" u="1"/>
        <n v="4779" u="1"/>
        <n v="6796" u="1"/>
        <n v="13468" u="1"/>
        <n v="424" u="1"/>
        <n v="4519" u="1"/>
        <n v="12948" u="1"/>
        <n v="14965" u="1"/>
        <n v="1600" u="1"/>
        <n v="4259" u="1"/>
        <n v="8394" u="1"/>
        <n v="12428" u="1"/>
        <n v="14445" u="1"/>
        <n v="1535" u="1"/>
        <n v="8033" u="1"/>
        <n v="13925" u="1"/>
        <n v="1470" u="1"/>
        <n v="2909" u="1"/>
        <n v="7773" u="1"/>
        <n v="9371" u="1"/>
        <n v="13405" u="1"/>
        <n v="1405" u="1"/>
        <n v="2779" u="1"/>
        <n v="5496" u="1"/>
        <n v="7513" u="1"/>
        <n v="8851" u="1"/>
        <n v="14902" u="1"/>
        <n v="1340" u="1"/>
        <n v="2649" u="1"/>
        <n v="5236" u="1"/>
        <n v="8331" u="1"/>
        <n v="14382" u="1"/>
        <n v="2519" u="1"/>
        <n v="4976" u="1"/>
        <n v="9828" u="1"/>
        <n v="13862" u="1"/>
        <n v="4716" u="1"/>
        <n v="9308" u="1"/>
        <n v="24419" u="1"/>
        <n v="294" u="1"/>
        <n v="4456" u="1"/>
        <n v="8788" u="1"/>
        <n v="14839" u="1"/>
        <n v="8268" u="1"/>
        <n v="10285" u="1"/>
        <n v="14319" u="1"/>
        <n v="5953" u="1"/>
        <n v="7970" u="1"/>
        <n v="9765" u="1"/>
        <n v="987" u="1"/>
        <n v="5693" u="1"/>
        <n v="9245" u="1"/>
        <n v="5433" u="1"/>
        <n v="8725" u="1"/>
        <n v="10742" u="1"/>
        <n v="14776" u="1"/>
        <n v="922" u="1"/>
        <n v="5173" u="1"/>
        <n v="8205" u="1"/>
        <n v="10222" u="1"/>
        <n v="3496" u="1"/>
        <n v="4913" u="1"/>
        <n v="9702" u="1"/>
        <n v="11719" u="1"/>
        <n v="3366" u="1"/>
        <n v="6670" u="1"/>
        <n v="9182" u="1"/>
        <n v="11199" u="1"/>
        <n v="210" u="1"/>
        <n v="3236" u="1"/>
        <n v="6410" u="1"/>
        <n v="10679" u="1"/>
        <n v="3106" u="1"/>
        <n v="6150" u="1"/>
        <n v="10159" u="1"/>
        <n v="12176" u="1"/>
        <n v="2976" u="1"/>
        <n v="5890" u="1"/>
        <n v="9639" u="1"/>
        <n v="11656" u="1"/>
        <n v="5630" u="1"/>
        <n v="11136" u="1"/>
        <n v="10616" u="1"/>
        <n v="12633" u="1"/>
        <n v="662" u="1"/>
        <n v="7127" u="1"/>
        <n v="10096" u="1"/>
        <n v="12113" u="1"/>
        <n v="6867" u="1"/>
        <n v="11593" u="1"/>
        <n v="597" u="1"/>
        <n v="2326" u="1"/>
        <n v="6607" u="1"/>
        <n v="11073" u="1"/>
        <n v="13090" u="1"/>
        <n v="2196" u="1"/>
        <n v="6347" u="1"/>
        <n v="10553" u="1"/>
        <n v="12570" u="1"/>
        <n v="2066" u="1"/>
        <n v="4083" u="1"/>
        <n v="6087" u="1"/>
        <n v="12050" u="1"/>
        <n v="14067" u="1"/>
        <n v="1992" u="1"/>
        <n v="3953" u="1"/>
        <n v="7844" u="1"/>
        <n v="11530" u="1"/>
        <n v="13547" u="1"/>
        <n v="1927" u="1"/>
        <n v="3823" u="1"/>
        <n v="7584" u="1"/>
        <n v="13027" u="1"/>
        <n v="3693" u="1"/>
        <n v="7324" u="1"/>
        <n v="12507" u="1"/>
        <n v="14524" u="1"/>
        <n v="457" u="1"/>
        <n v="3563" u="1"/>
        <n v="7064" u="1"/>
        <n v="11987" u="1"/>
        <n v="14004" u="1"/>
        <n v="4787" u="1"/>
        <n v="6804" u="1"/>
        <n v="13484" u="1"/>
        <n v="20669" u="1"/>
        <n v="4527" u="1"/>
        <n v="12964" u="1"/>
        <n v="14981" u="1"/>
        <n v="1602" u="1"/>
        <n v="4267" u="1"/>
        <n v="8410" u="1"/>
        <n v="12444" u="1"/>
        <n v="14461" u="1"/>
        <n v="392" u="1"/>
        <n v="1537" u="1"/>
        <n v="8041" u="1"/>
        <n v="13941" u="1"/>
        <n v="1472" u="1"/>
        <n v="2913" u="1"/>
        <n v="7781" u="1"/>
        <n v="13421" u="1"/>
        <n v="1407" u="1"/>
        <n v="2783" u="1"/>
        <n v="7521" u="1"/>
        <n v="8867" u="1"/>
        <n v="12901" u="1"/>
        <n v="14918" u="1"/>
        <n v="1342" u="1"/>
        <n v="2653" u="1"/>
        <n v="5244" u="1"/>
        <n v="7261" u="1"/>
        <n v="8347" u="1"/>
        <n v="14398" u="1"/>
        <n v="2523" u="1"/>
        <n v="4984" u="1"/>
        <n v="9844" u="1"/>
        <n v="13878" u="1"/>
        <n v="2393" u="1"/>
        <n v="4724" u="1"/>
        <n v="9324" u="1"/>
        <n v="4464" u="1"/>
        <n v="8804" u="1"/>
        <n v="14855" u="1"/>
        <n v="4204" u="1"/>
        <n v="8284" u="1"/>
        <n v="10301" u="1"/>
        <n v="14335" u="1"/>
        <n v="262" u="1"/>
        <n v="5961" u="1"/>
        <n v="7978" u="1"/>
        <n v="9781" u="1"/>
        <n v="988" u="1"/>
        <n v="5701" u="1"/>
        <n v="9261" u="1"/>
        <n v="5441" u="1"/>
        <n v="8741" u="1"/>
        <n v="10758" u="1"/>
        <n v="14792" u="1"/>
        <n v="923" u="1"/>
        <n v="5181" u="1"/>
        <n v="8221" u="1"/>
        <n v="10238" u="1"/>
        <n v="3500" u="1"/>
        <n v="4921" u="1"/>
        <n v="9718" u="1"/>
        <n v="3370" u="1"/>
        <n v="9198" u="1"/>
        <n v="11215" u="1"/>
        <n v="3240" u="1"/>
        <n v="6418" u="1"/>
        <n v="8678" u="1"/>
        <n v="10695" u="1"/>
        <n v="3110" u="1"/>
        <n v="6158" u="1"/>
        <n v="10175" u="1"/>
        <n v="12192" u="1"/>
        <n v="194" u="1"/>
        <n v="2980" u="1"/>
        <n v="5898" u="1"/>
        <n v="9655" u="1"/>
        <n v="11672" u="1"/>
        <n v="5638" u="1"/>
        <n v="9135" u="1"/>
        <n v="11152" u="1"/>
        <n v="5378" u="1"/>
        <n v="10632" u="1"/>
        <n v="12649" u="1"/>
        <n v="663" u="1"/>
        <n v="7135" u="1"/>
        <n v="10112" u="1"/>
        <n v="12129" u="1"/>
        <n v="6875" u="1"/>
        <n v="11609" u="1"/>
        <n v="598" u="1"/>
        <n v="2330" u="1"/>
        <n v="6615" u="1"/>
        <n v="11089" u="1"/>
        <n v="13106" u="1"/>
        <n v="2200" u="1"/>
        <n v="6355" u="1"/>
        <n v="10569" u="1"/>
        <n v="12586" u="1"/>
        <n v="2070" u="1"/>
        <n v="4087" u="1"/>
        <n v="6095" u="1"/>
        <n v="12066" u="1"/>
        <n v="129" u="1"/>
        <n v="1994" u="1"/>
        <n v="3957" u="1"/>
        <n v="11546" u="1"/>
        <n v="13563" u="1"/>
        <n v="1929" u="1"/>
        <n v="3827" u="1"/>
        <n v="7592" u="1"/>
        <n v="11026" u="1"/>
        <n v="13043" u="1"/>
        <n v="3697" u="1"/>
        <n v="7332" u="1"/>
        <n v="12523" u="1"/>
        <n v="14540" u="1"/>
        <n v="3567" u="1"/>
        <n v="7072" u="1"/>
        <n v="12003" u="1"/>
        <n v="14020" u="1"/>
        <n v="19724" u="1"/>
        <n v="6812" u="1"/>
        <n v="11483" u="1"/>
        <n v="13500" u="1"/>
        <n v="425" u="1"/>
        <n v="4535" u="1"/>
        <n v="6552" u="1"/>
        <n v="12980" u="1"/>
        <n v="14997" u="1"/>
        <n v="4275" u="1"/>
        <n v="8426" u="1"/>
        <n v="12460" u="1"/>
        <n v="14477" u="1"/>
        <n v="1539" u="1"/>
        <n v="8049" u="1"/>
        <n v="13957" u="1"/>
        <n v="1474" u="1"/>
        <n v="2917" u="1"/>
        <n v="7789" u="1"/>
        <n v="13437" u="1"/>
        <n v="1409" u="1"/>
        <n v="2787" u="1"/>
        <n v="7529" u="1"/>
        <n v="8883" u="1"/>
        <n v="12917" u="1"/>
        <n v="14934" u="1"/>
        <n v="1344" u="1"/>
        <n v="2657" u="1"/>
        <n v="5252" u="1"/>
        <n v="7269" u="1"/>
        <n v="8363" u="1"/>
        <n v="14414" u="1"/>
        <n v="2527" u="1"/>
        <n v="4992" u="1"/>
        <n v="13894" u="1"/>
        <n v="2397" u="1"/>
        <n v="4732" u="1"/>
        <n v="9340" u="1"/>
        <n v="13374" u="1"/>
        <n v="295" u="1"/>
        <n v="4472" u="1"/>
        <n v="8820" u="1"/>
        <n v="14871" u="1"/>
        <n v="4212" u="1"/>
        <n v="8300" u="1"/>
        <n v="10317" u="1"/>
        <n v="14351" u="1"/>
        <n v="24420" u="1"/>
        <n v="7986" u="1"/>
        <n v="9797" u="1"/>
        <n v="13831" u="1"/>
        <n v="989" u="1"/>
        <n v="5709" u="1"/>
        <n v="7726" u="1"/>
        <n v="9277" u="1"/>
        <n v="5449" u="1"/>
        <n v="8757" u="1"/>
        <n v="10774" u="1"/>
        <n v="14808" u="1"/>
        <n v="924" u="1"/>
        <n v="5189" u="1"/>
        <n v="8237" u="1"/>
        <n v="10254" u="1"/>
        <n v="3504" u="1"/>
        <n v="4929" u="1"/>
        <n v="9734" u="1"/>
        <n v="859" u="1"/>
        <n v="3374" u="1"/>
        <n v="9214" u="1"/>
        <n v="11231" u="1"/>
        <n v="3244" u="1"/>
        <n v="6426" u="1"/>
        <n v="8694" u="1"/>
        <n v="10711" u="1"/>
        <n v="3114" u="1"/>
        <n v="6166" u="1"/>
        <n v="10191" u="1"/>
        <n v="2984" u="1"/>
        <n v="5906" u="1"/>
        <n v="9671" u="1"/>
        <n v="11688" u="1"/>
        <n v="5646" u="1"/>
        <n v="9151" u="1"/>
        <n v="11168" u="1"/>
        <n v="178" u="1"/>
        <n v="5386" u="1"/>
        <n v="10648" u="1"/>
        <n v="664" u="1"/>
        <n v="10128" u="1"/>
        <n v="12145" u="1"/>
        <n v="16179" u="1"/>
        <n v="6883" u="1"/>
        <n v="9608" u="1"/>
        <n v="11625" u="1"/>
        <n v="599" u="1"/>
        <n v="6623" u="1"/>
        <n v="11105" u="1"/>
        <n v="13122" u="1"/>
        <n v="2204" u="1"/>
        <n v="6363" u="1"/>
        <n v="10585" u="1"/>
        <n v="12602" u="1"/>
        <n v="2074" u="1"/>
        <n v="4091" u="1"/>
        <n v="6103" u="1"/>
        <n v="12082" u="1"/>
        <n v="1996" u="1"/>
        <n v="3961" u="1"/>
        <n v="11562" u="1"/>
        <n v="13579" u="1"/>
        <n v="1931" u="1"/>
        <n v="3831" u="1"/>
        <n v="7600" u="1"/>
        <n v="11042" u="1"/>
        <n v="13059" u="1"/>
        <n v="3701" u="1"/>
        <n v="7340" u="1"/>
        <n v="12539" u="1"/>
        <n v="458" u="1"/>
        <n v="3571" u="1"/>
        <n v="7080" u="1"/>
        <n v="12019" u="1"/>
        <n v="14036" u="1"/>
        <n v="6820" u="1"/>
        <n v="11499" u="1"/>
        <n v="13516" u="1"/>
        <n v="4543" u="1"/>
        <n v="6560" u="1"/>
        <n v="12996" u="1"/>
        <n v="4283" u="1"/>
        <n v="12476" u="1"/>
        <n v="14493" u="1"/>
        <n v="20670" u="1"/>
        <n v="393" u="1"/>
        <n v="1541" u="1"/>
        <n v="8057" u="1"/>
        <n v="11956" u="1"/>
        <n v="13973" u="1"/>
        <n v="1476" u="1"/>
        <n v="7797" u="1"/>
        <n v="13453" u="1"/>
        <n v="1411" u="1"/>
        <n v="2791" u="1"/>
        <n v="7537" u="1"/>
        <n v="8899" u="1"/>
        <n v="12933" u="1"/>
        <n v="14950" u="1"/>
        <n v="88" u="1"/>
        <n v="1346" u="1"/>
        <n v="2661" u="1"/>
        <n v="5260" u="1"/>
        <n v="7277" u="1"/>
        <n v="8379" u="1"/>
        <n v="14430" u="1"/>
        <n v="1281" u="1"/>
        <n v="2531" u="1"/>
        <n v="5000" u="1"/>
        <n v="13910" u="1"/>
        <n v="2401" u="1"/>
        <n v="4740" u="1"/>
        <n v="9356" u="1"/>
        <n v="13390" u="1"/>
        <n v="4480" u="1"/>
        <n v="8836" u="1"/>
        <n v="14887" u="1"/>
        <n v="4220" u="1"/>
        <n v="8316" u="1"/>
        <n v="14367" u="1"/>
        <n v="263" u="1"/>
        <n v="7994" u="1"/>
        <n v="9813" u="1"/>
        <n v="13847" u="1"/>
        <n v="990" u="1"/>
        <n v="5717" u="1"/>
        <n v="7734" u="1"/>
        <n v="9293" u="1"/>
        <n v="5457" u="1"/>
        <n v="8773" u="1"/>
        <n v="14824" u="1"/>
        <n v="925" u="1"/>
        <n v="5197" u="1"/>
        <n v="8253" u="1"/>
        <n v="10270" u="1"/>
        <n v="14304" u="1"/>
        <n v="4937" u="1"/>
        <n v="9750" u="1"/>
        <n v="860" u="1"/>
        <n v="3378" u="1"/>
        <n v="4677" u="1"/>
        <n v="9230" u="1"/>
        <n v="11247" u="1"/>
        <n v="3248" u="1"/>
        <n v="6434" u="1"/>
        <n v="8710" u="1"/>
        <n v="10727" u="1"/>
        <n v="3118" u="1"/>
        <n v="6174" u="1"/>
        <n v="10207" u="1"/>
        <n v="2988" u="1"/>
        <n v="5914" u="1"/>
        <n v="9687" u="1"/>
        <n v="11704" u="1"/>
        <n v="5654" u="1"/>
        <n v="9167" u="1"/>
        <n v="11184" u="1"/>
        <n v="5394" u="1"/>
        <n v="10664" u="1"/>
        <n v="665" u="1"/>
        <n v="10144" u="1"/>
        <n v="12161" u="1"/>
        <n v="6891" u="1"/>
        <n v="9624" u="1"/>
        <n v="11641" u="1"/>
        <n v="600" u="1"/>
        <n v="6631" u="1"/>
        <n v="11121" u="1"/>
        <n v="2208" u="1"/>
        <n v="6371" u="1"/>
        <n v="10601" u="1"/>
        <n v="12618" u="1"/>
        <n v="2078" u="1"/>
        <n v="6111" u="1"/>
        <n v="10081" u="1"/>
        <n v="12098" u="1"/>
        <n v="1998" u="1"/>
        <n v="3965" u="1"/>
        <n v="5851" u="1"/>
        <n v="11578" u="1"/>
        <n v="13595" u="1"/>
        <n v="1933" u="1"/>
        <n v="3835" u="1"/>
        <n v="7608" u="1"/>
        <n v="11058" u="1"/>
        <n v="13075" u="1"/>
        <n v="1868" u="1"/>
        <n v="3705" u="1"/>
        <n v="7348" u="1"/>
        <n v="12555" u="1"/>
        <n v="3575" u="1"/>
        <n v="7088" u="1"/>
        <n v="12035" u="1"/>
        <n v="14052" u="1"/>
        <n v="6828" u="1"/>
        <n v="11515" u="1"/>
        <n v="13532" u="1"/>
        <n v="426" u="1"/>
        <n v="4551" u="1"/>
        <n v="6568" u="1"/>
        <n v="13012" u="1"/>
        <n v="19725" u="1"/>
        <n v="4291" u="1"/>
        <n v="12492" u="1"/>
        <n v="14509" u="1"/>
        <n v="1543" u="1"/>
        <n v="8065" u="1"/>
        <n v="11972" u="1"/>
        <n v="13989" u="1"/>
        <n v="1478" u="1"/>
        <n v="7805" u="1"/>
        <n v="13469" u="1"/>
        <n v="1413" u="1"/>
        <n v="2795" u="1"/>
        <n v="7545" u="1"/>
        <n v="12949" u="1"/>
        <n v="14966" u="1"/>
        <n v="1348" u="1"/>
        <n v="2665" u="1"/>
        <n v="7285" u="1"/>
        <n v="8395" u="1"/>
        <n v="12429" u="1"/>
        <n v="14446" u="1"/>
        <n v="1283" u="1"/>
        <n v="2535" u="1"/>
        <n v="5008" u="1"/>
        <n v="7025" u="1"/>
        <n v="13926" u="1"/>
        <n v="80" u="1"/>
        <n v="2405" u="1"/>
        <n v="4748" u="1"/>
        <n v="9372" u="1"/>
        <n v="13406" u="1"/>
        <n v="296" u="1"/>
        <n v="2275" u="1"/>
        <n v="4488" u="1"/>
        <n v="8852" u="1"/>
        <n v="14903" u="1"/>
        <n v="4228" u="1"/>
        <n v="8332" u="1"/>
        <n v="14383" u="1"/>
        <n v="8002" u="1"/>
        <n v="9829" u="1"/>
        <n v="13863" u="1"/>
        <n v="991" u="1"/>
        <n v="5725" u="1"/>
        <n v="7742" u="1"/>
        <n v="9309" u="1"/>
        <n v="24421" u="1"/>
        <n v="5465" u="1"/>
        <n v="8789" u="1"/>
        <n v="14840" u="1"/>
        <n v="926" u="1"/>
        <n v="5205" u="1"/>
        <n v="8269" u="1"/>
        <n v="10286" u="1"/>
        <n v="14320" u="1"/>
        <n v="4945" u="1"/>
        <n v="9766" u="1"/>
        <n v="861" u="1"/>
        <n v="3382" u="1"/>
        <n v="4685" u="1"/>
        <n v="9246" u="1"/>
        <n v="3252" u="1"/>
        <n v="8726" u="1"/>
        <n v="10743" u="1"/>
        <n v="14777" u="1"/>
        <n v="3122" u="1"/>
        <n v="6182" u="1"/>
        <n v="8206" u="1"/>
        <n v="10223" u="1"/>
        <n v="2992" u="1"/>
        <n v="5922" u="1"/>
        <n v="9703" u="1"/>
        <n v="11720" u="1"/>
        <n v="2862" u="1"/>
        <n v="5662" u="1"/>
        <n v="9183" u="1"/>
        <n v="11200" u="1"/>
        <n v="5402" u="1"/>
        <n v="10680" u="1"/>
        <n v="666" u="1"/>
        <n v="5142" u="1"/>
        <n v="10160" u="1"/>
        <n v="12177" u="1"/>
        <n v="6899" u="1"/>
        <n v="9640" u="1"/>
        <n v="11657" u="1"/>
        <n v="601" u="1"/>
        <n v="6639" u="1"/>
        <n v="11137" u="1"/>
        <n v="2212" u="1"/>
        <n v="6379" u="1"/>
        <n v="10617" u="1"/>
        <n v="12634" u="1"/>
        <n v="536" u="1"/>
        <n v="2082" u="1"/>
        <n v="6119" u="1"/>
        <n v="10097" u="1"/>
        <n v="12114" u="1"/>
        <n v="2000" u="1"/>
        <n v="3969" u="1"/>
        <n v="5859" u="1"/>
        <n v="11594" u="1"/>
        <n v="1935" u="1"/>
        <n v="3839" u="1"/>
        <n v="11074" u="1"/>
        <n v="13091" u="1"/>
        <n v="1870" u="1"/>
        <n v="3709" u="1"/>
        <n v="7356" u="1"/>
        <n v="10554" u="1"/>
        <n v="12571" u="1"/>
        <n v="3579" u="1"/>
        <n v="7096" u="1"/>
        <n v="12051" u="1"/>
        <n v="14068" u="1"/>
        <n v="3449" u="1"/>
        <n v="6836" u="1"/>
        <n v="11531" u="1"/>
        <n v="13548" u="1"/>
        <n v="4559" u="1"/>
        <n v="6576" u="1"/>
        <n v="13028" u="1"/>
        <n v="4299" u="1"/>
        <n v="6316" u="1"/>
        <n v="12508" u="1"/>
        <n v="14525" u="1"/>
        <n v="394" u="1"/>
        <n v="8073" u="1"/>
        <n v="11988" u="1"/>
        <n v="14005" u="1"/>
        <n v="1480" u="1"/>
        <n v="7813" u="1"/>
        <n v="13485" u="1"/>
        <n v="20671" u="1"/>
        <n v="1415" u="1"/>
        <n v="2799" u="1"/>
        <n v="7553" u="1"/>
        <n v="12965" u="1"/>
        <n v="14982" u="1"/>
        <n v="1350" u="1"/>
        <n v="2669" u="1"/>
        <n v="7293" u="1"/>
        <n v="8411" u="1"/>
        <n v="12445" u="1"/>
        <n v="14462" u="1"/>
        <n v="1285" u="1"/>
        <n v="2539" u="1"/>
        <n v="5016" u="1"/>
        <n v="7033" u="1"/>
        <n v="13942" u="1"/>
        <n v="2409" u="1"/>
        <n v="4756" u="1"/>
        <n v="13422" u="1"/>
        <n v="2279" u="1"/>
        <n v="4496" u="1"/>
        <n v="8868" u="1"/>
        <n v="12902" u="1"/>
        <n v="14919" u="1"/>
        <n v="72" u="1"/>
        <n v="4236" u="1"/>
        <n v="8348" u="1"/>
        <n v="14399" u="1"/>
        <n v="264" u="1"/>
        <n v="4036" u="1"/>
        <n v="8010" u="1"/>
        <n v="9845" u="1"/>
        <n v="13879" u="1"/>
        <n v="5733" u="1"/>
        <n v="7750" u="1"/>
        <n v="9325" u="1"/>
        <n v="13359" u="1"/>
        <n v="5473" u="1"/>
        <n v="7490" u="1"/>
        <n v="8805" u="1"/>
        <n v="14856" u="1"/>
        <n v="927" u="1"/>
        <n v="5213" u="1"/>
        <n v="8285" u="1"/>
        <n v="10302" u="1"/>
        <n v="14336" u="1"/>
        <n v="4953" u="1"/>
        <n v="9782" u="1"/>
        <n v="862" u="1"/>
        <n v="3386" u="1"/>
        <n v="4693" u="1"/>
        <n v="9262" u="1"/>
        <n v="3256" u="1"/>
        <n v="8742" u="1"/>
        <n v="10759" u="1"/>
        <n v="14793" u="1"/>
        <n v="3126" u="1"/>
        <n v="6190" u="1"/>
        <n v="8222" u="1"/>
        <n v="10239" u="1"/>
        <n v="195" u="1"/>
        <n v="2996" u="1"/>
        <n v="5930" u="1"/>
        <n v="9719" u="1"/>
        <n v="2866" u="1"/>
        <n v="5670" u="1"/>
        <n v="9199" u="1"/>
        <n v="11216" u="1"/>
        <n v="5410" u="1"/>
        <n v="8679" u="1"/>
        <n v="10696" u="1"/>
        <n v="667" u="1"/>
        <n v="5150" u="1"/>
        <n v="10176" u="1"/>
        <n v="12193" u="1"/>
        <n v="6907" u="1"/>
        <n v="9656" u="1"/>
        <n v="11673" u="1"/>
        <n v="15707" u="1"/>
        <n v="602" u="1"/>
        <n v="6647" u="1"/>
        <n v="9136" u="1"/>
        <n v="11153" u="1"/>
        <n v="6387" u="1"/>
        <n v="10633" u="1"/>
        <n v="12650" u="1"/>
        <n v="537" u="1"/>
        <n v="2086" u="1"/>
        <n v="6127" u="1"/>
        <n v="10113" u="1"/>
        <n v="12130" u="1"/>
        <n v="2002" u="1"/>
        <n v="3973" u="1"/>
        <n v="5867" u="1"/>
        <n v="11610" u="1"/>
        <n v="1937" u="1"/>
        <n v="3843" u="1"/>
        <n v="11090" u="1"/>
        <n v="13107" u="1"/>
        <n v="1872" u="1"/>
        <n v="3713" u="1"/>
        <n v="7364" u="1"/>
        <n v="10570" u="1"/>
        <n v="12587" u="1"/>
        <n v="3583" u="1"/>
        <n v="7104" u="1"/>
        <n v="12067" u="1"/>
        <n v="3453" u="1"/>
        <n v="6844" u="1"/>
        <n v="11547" u="1"/>
        <n v="13564" u="1"/>
        <n v="427" u="1"/>
        <n v="6584" u="1"/>
        <n v="11027" u="1"/>
        <n v="13044" u="1"/>
        <n v="4307" u="1"/>
        <n v="6324" u="1"/>
        <n v="12524" u="1"/>
        <n v="14541" u="1"/>
        <n v="8081" u="1"/>
        <n v="12004" u="1"/>
        <n v="14021" u="1"/>
        <n v="19726" u="1"/>
        <n v="1482" u="1"/>
        <n v="7821" u="1"/>
        <n v="11484" u="1"/>
        <n v="13501" u="1"/>
        <n v="1417" u="1"/>
        <n v="7561" u="1"/>
        <n v="12981" u="1"/>
        <n v="14998" u="1"/>
        <n v="1352" u="1"/>
        <n v="2673" u="1"/>
        <n v="7301" u="1"/>
        <n v="8427" u="1"/>
        <n v="12461" u="1"/>
        <n v="14478" u="1"/>
        <n v="1287" u="1"/>
        <n v="2543" u="1"/>
        <n v="5024" u="1"/>
        <n v="7041" u="1"/>
        <n v="13958" u="1"/>
        <n v="1222" u="1"/>
        <n v="2413" u="1"/>
        <n v="4764" u="1"/>
        <n v="13438" u="1"/>
        <n v="2283" u="1"/>
        <n v="4504" u="1"/>
        <n v="8884" u="1"/>
        <n v="12918" u="1"/>
        <n v="14935" u="1"/>
        <n v="4244" u="1"/>
        <n v="8364" u="1"/>
        <n v="14415" u="1"/>
        <n v="4040" u="1"/>
        <n v="8018" u="1"/>
        <n v="13895" u="1"/>
        <n v="7758" u="1"/>
        <n v="9341" u="1"/>
        <n v="13375" u="1"/>
        <n v="244" u="1"/>
        <n v="5481" u="1"/>
        <n v="7498" u="1"/>
        <n v="8821" u="1"/>
        <n v="14872" u="1"/>
        <n v="928" u="1"/>
        <n v="5221" u="1"/>
        <n v="8301" u="1"/>
        <n v="14352" u="1"/>
        <n v="24422" u="1"/>
        <n v="4961" u="1"/>
        <n v="9798" u="1"/>
        <n v="13832" u="1"/>
        <n v="863" u="1"/>
        <n v="4701" u="1"/>
        <n v="9278" u="1"/>
        <n v="3260" u="1"/>
        <n v="4441" u="1"/>
        <n v="8758" u="1"/>
        <n v="10775" u="1"/>
        <n v="14809" u="1"/>
        <n v="3130" u="1"/>
        <n v="6198" u="1"/>
        <n v="8238" u="1"/>
        <n v="10255" u="1"/>
        <n v="3000" u="1"/>
        <n v="5938" u="1"/>
        <n v="9735" u="1"/>
        <n v="2870" u="1"/>
        <n v="5678" u="1"/>
        <n v="9215" u="1"/>
        <n v="11232" u="1"/>
        <n v="179" u="1"/>
        <n v="5418" u="1"/>
        <n v="8695" u="1"/>
        <n v="10712" u="1"/>
        <n v="668" u="1"/>
        <n v="5158" u="1"/>
        <n v="10192" u="1"/>
        <n v="9672" u="1"/>
        <n v="11689" u="1"/>
        <n v="603" u="1"/>
        <n v="6655" u="1"/>
        <n v="9152" u="1"/>
        <n v="11169" u="1"/>
        <n v="6395" u="1"/>
        <n v="10649" u="1"/>
        <n v="538" u="1"/>
        <n v="2090" u="1"/>
        <n v="6135" u="1"/>
        <n v="10129" u="1"/>
        <n v="12146" u="1"/>
        <n v="16180" u="1"/>
        <n v="2004" u="1"/>
        <n v="5875" u="1"/>
        <n v="9609" u="1"/>
        <n v="11626" u="1"/>
        <n v="1939" u="1"/>
        <n v="3847" u="1"/>
        <n v="5615" u="1"/>
        <n v="11106" u="1"/>
        <n v="13123" u="1"/>
        <n v="121" u="1"/>
        <n v="1874" u="1"/>
        <n v="3717" u="1"/>
        <n v="7372" u="1"/>
        <n v="10586" u="1"/>
        <n v="12603" u="1"/>
        <n v="1809" u="1"/>
        <n v="3587" u="1"/>
        <n v="7112" u="1"/>
        <n v="12083" u="1"/>
        <n v="3457" u="1"/>
        <n v="6852" u="1"/>
        <n v="11563" u="1"/>
        <n v="13580" u="1"/>
        <n v="6592" u="1"/>
        <n v="11043" u="1"/>
        <n v="13060" u="1"/>
        <n v="4315" u="1"/>
        <n v="6332" u="1"/>
        <n v="12540" u="1"/>
        <n v="395" u="1"/>
        <n v="12020" u="1"/>
        <n v="14037" u="1"/>
        <n v="1484" u="1"/>
        <n v="7829" u="1"/>
        <n v="11500" u="1"/>
        <n v="13517" u="1"/>
        <n v="1419" u="1"/>
        <n v="7569" u="1"/>
        <n v="12997" u="1"/>
        <n v="1354" u="1"/>
        <n v="2677" u="1"/>
        <n v="7309" u="1"/>
        <n v="12477" u="1"/>
        <n v="14494" u="1"/>
        <n v="1289" u="1"/>
        <n v="2547" u="1"/>
        <n v="7049" u="1"/>
        <n v="11957" u="1"/>
        <n v="13974" u="1"/>
        <n v="1224" u="1"/>
        <n v="2417" u="1"/>
        <n v="4772" u="1"/>
        <n v="6789" u="1"/>
        <n v="13454" u="1"/>
        <n v="2287" u="1"/>
        <n v="4512" u="1"/>
        <n v="8900" u="1"/>
        <n v="12934" u="1"/>
        <n v="14951" u="1"/>
        <n v="2157" u="1"/>
        <n v="4252" u="1"/>
        <n v="8380" u="1"/>
        <n v="14431" u="1"/>
        <n v="265" u="1"/>
        <n v="4044" u="1"/>
        <n v="8026" u="1"/>
        <n v="13911" u="1"/>
        <n v="7766" u="1"/>
        <n v="9357" u="1"/>
        <n v="13391" u="1"/>
        <n v="5489" u="1"/>
        <n v="7506" u="1"/>
        <n v="8837" u="1"/>
        <n v="14888" u="1"/>
        <n v="929" u="1"/>
        <n v="5229" u="1"/>
        <n v="8317" u="1"/>
        <n v="14368" u="1"/>
        <n v="4969" u="1"/>
        <n v="9814" u="1"/>
        <n v="13848" u="1"/>
        <n v="864" u="1"/>
        <n v="4709" u="1"/>
        <n v="9294" u="1"/>
        <n v="3264" u="1"/>
        <n v="4449" u="1"/>
        <n v="8774" u="1"/>
        <n v="14825" u="1"/>
        <n v="3134" u="1"/>
        <n v="8254" u="1"/>
        <n v="10271" u="1"/>
        <n v="14305" u="1"/>
        <n v="3004" u="1"/>
        <n v="5946" u="1"/>
        <n v="7963" u="1"/>
        <n v="9751" u="1"/>
        <n v="2874" u="1"/>
        <n v="5686" u="1"/>
        <n v="9231" u="1"/>
        <n v="11248" u="1"/>
        <n v="2744" u="1"/>
        <n v="5426" u="1"/>
        <n v="8711" u="1"/>
        <n v="10728" u="1"/>
        <n v="5166" u="1"/>
        <n v="10208" u="1"/>
        <n v="163" u="1"/>
        <n v="9688" u="1"/>
        <n v="11705" u="1"/>
        <n v="604" u="1"/>
        <n v="6663" u="1"/>
        <n v="9168" u="1"/>
        <n v="11185" u="1"/>
        <n v="6403" u="1"/>
        <n v="10665" u="1"/>
        <n v="539" u="1"/>
        <n v="2094" u="1"/>
        <n v="6143" u="1"/>
        <n v="10145" u="1"/>
        <n v="12162" u="1"/>
        <n v="2006" u="1"/>
        <n v="5883" u="1"/>
        <n v="9625" u="1"/>
        <n v="11642" u="1"/>
        <n v="1941" u="1"/>
        <n v="3851" u="1"/>
        <n v="5623" u="1"/>
        <n v="11122" u="1"/>
        <n v="1876" u="1"/>
        <n v="3721" u="1"/>
        <n v="10602" u="1"/>
        <n v="12619" u="1"/>
        <n v="1811" u="1"/>
        <n v="3591" u="1"/>
        <n v="7120" u="1"/>
        <n v="10082" u="1"/>
        <n v="12099" u="1"/>
        <n v="113" u="1"/>
        <n v="3461" u="1"/>
        <n v="6860" u="1"/>
        <n v="11579" u="1"/>
        <n v="13596" u="1"/>
        <n v="428" u="1"/>
        <n v="3331" u="1"/>
        <n v="6600" u="1"/>
        <n v="11059" u="1"/>
        <n v="13076" u="1"/>
        <n v="4323" u="1"/>
        <n v="6340" u="1"/>
        <n v="12556" u="1"/>
        <n v="12036" u="1"/>
        <n v="14053" u="1"/>
        <n v="1486" u="1"/>
        <n v="7837" u="1"/>
        <n v="11516" u="1"/>
        <n v="13533" u="1"/>
        <n v="363" u="1"/>
        <n v="1421" u="1"/>
        <n v="7577" u="1"/>
        <n v="13013" u="1"/>
        <n v="19727" u="1"/>
        <n v="1356" u="1"/>
        <n v="2681" u="1"/>
        <n v="7317" u="1"/>
        <n v="12493" u="1"/>
        <n v="14510" u="1"/>
        <n v="1291" u="1"/>
        <n v="2551" u="1"/>
        <n v="7057" u="1"/>
        <n v="11973" u="1"/>
        <n v="13990" u="1"/>
        <n v="1226" u="1"/>
        <n v="2421" u="1"/>
        <n v="4780" u="1"/>
        <n v="6797" u="1"/>
        <n v="13470" u="1"/>
        <n v="2291" u="1"/>
        <n v="4520" u="1"/>
        <n v="12950" u="1"/>
        <n v="14967" u="1"/>
        <n v="2161" u="1"/>
        <n v="4260" u="1"/>
        <n v="8396" u="1"/>
        <n v="12430" u="1"/>
        <n v="14447" u="1"/>
        <n v="4048" u="1"/>
        <n v="8034" u="1"/>
        <n v="13927" u="1"/>
        <n v="3918" u="1"/>
        <n v="7774" u="1"/>
        <n v="9373" u="1"/>
        <n v="13407" u="1"/>
        <n v="5497" u="1"/>
        <n v="7514" u="1"/>
        <n v="8853" u="1"/>
        <n v="14904" u="1"/>
        <n v="930" u="1"/>
        <n v="5237" u="1"/>
        <n v="8333" u="1"/>
        <n v="14384" u="1"/>
        <n v="4977" u="1"/>
        <n v="9830" u="1"/>
        <n v="13864" u="1"/>
        <n v="865" u="1"/>
        <n v="4717" u="1"/>
        <n v="9310" u="1"/>
        <n v="24423" u="1"/>
        <n v="3268" u="1"/>
        <n v="4457" u="1"/>
        <n v="8790" u="1"/>
        <n v="14841" u="1"/>
        <n v="800" u="1"/>
        <n v="3138" u="1"/>
        <n v="8270" u="1"/>
        <n v="10287" u="1"/>
        <n v="14321" u="1"/>
        <n v="3008" u="1"/>
        <n v="5954" u="1"/>
        <n v="7971" u="1"/>
        <n v="9767" u="1"/>
        <n v="2878" u="1"/>
        <n v="5694" u="1"/>
        <n v="9247" u="1"/>
        <n v="2748" u="1"/>
        <n v="5434" u="1"/>
        <n v="8727" u="1"/>
        <n v="10744" u="1"/>
        <n v="14778" u="1"/>
        <n v="5174" u="1"/>
        <n v="8207" u="1"/>
        <n v="10224" u="1"/>
        <n v="4914" u="1"/>
        <n v="9704" u="1"/>
        <n v="11721" u="1"/>
        <n v="605" u="1"/>
        <n v="6671" u="1"/>
        <n v="9184" u="1"/>
        <n v="11201" u="1"/>
        <n v="6411" u="1"/>
        <n v="10681" u="1"/>
        <n v="540" u="1"/>
        <n v="2098" u="1"/>
        <n v="6151" u="1"/>
        <n v="10161" u="1"/>
        <n v="12178" u="1"/>
        <n v="2008" u="1"/>
        <n v="5891" u="1"/>
        <n v="9641" u="1"/>
        <n v="11658" u="1"/>
        <n v="1943" u="1"/>
        <n v="3855" u="1"/>
        <n v="5631" u="1"/>
        <n v="11138" u="1"/>
        <n v="1878" u="1"/>
        <n v="3725" u="1"/>
        <n v="10618" u="1"/>
        <n v="12635" u="1"/>
        <n v="1813" u="1"/>
        <n v="3595" u="1"/>
        <n v="7128" u="1"/>
        <n v="10098" u="1"/>
        <n v="12115" u="1"/>
        <n v="3465" u="1"/>
        <n v="6868" u="1"/>
        <n v="11595" u="1"/>
        <n v="3335" u="1"/>
        <n v="6608" u="1"/>
        <n v="11075" u="1"/>
        <n v="13092" u="1"/>
        <n v="105" u="1"/>
        <n v="6348" u="1"/>
        <n v="10555" u="1"/>
        <n v="12572" u="1"/>
        <n v="396" u="1"/>
        <n v="6088" u="1"/>
        <n v="12052" u="1"/>
        <n v="14069" u="1"/>
        <n v="7845" u="1"/>
        <n v="11532" u="1"/>
        <n v="13549" u="1"/>
        <n v="1423" u="1"/>
        <n v="7585" u="1"/>
        <n v="11012" u="1"/>
        <n v="13029" u="1"/>
        <n v="1358" u="1"/>
        <n v="7325" u="1"/>
        <n v="12509" u="1"/>
        <n v="14526" u="1"/>
        <n v="1293" u="1"/>
        <n v="2555" u="1"/>
        <n v="7065" u="1"/>
        <n v="11989" u="1"/>
        <n v="14006" u="1"/>
        <n v="1228" u="1"/>
        <n v="2425" u="1"/>
        <n v="4788" u="1"/>
        <n v="6805" u="1"/>
        <n v="13486" u="1"/>
        <n v="1163" u="1"/>
        <n v="2295" u="1"/>
        <n v="4528" u="1"/>
        <n v="12966" u="1"/>
        <n v="14983" u="1"/>
        <n v="2165" u="1"/>
        <n v="4268" u="1"/>
        <n v="8412" u="1"/>
        <n v="12446" u="1"/>
        <n v="14463" u="1"/>
        <n v="266" u="1"/>
        <n v="4052" u="1"/>
        <n v="8042" u="1"/>
        <n v="13943" u="1"/>
        <n v="3922" u="1"/>
        <n v="7782" u="1"/>
        <n v="13423" u="1"/>
        <n v="7522" u="1"/>
        <n v="8869" u="1"/>
        <n v="12903" u="1"/>
        <n v="14920" u="1"/>
        <n v="931" u="1"/>
        <n v="5245" u="1"/>
        <n v="7262" u="1"/>
        <n v="8349" u="1"/>
        <n v="14400" u="1"/>
        <n v="4985" u="1"/>
        <n v="9846" u="1"/>
        <n v="13880" u="1"/>
        <n v="866" u="1"/>
        <n v="4725" u="1"/>
        <n v="9326" u="1"/>
        <n v="13360" u="1"/>
        <n v="4465" u="1"/>
        <n v="8806" u="1"/>
        <n v="14857" u="1"/>
        <n v="801" u="1"/>
        <n v="3142" u="1"/>
        <n v="4205" u="1"/>
        <n v="8286" u="1"/>
        <n v="10303" u="1"/>
        <n v="14337" u="1"/>
        <n v="3012" u="1"/>
        <n v="5962" u="1"/>
        <n v="7979" u="1"/>
        <n v="9783" u="1"/>
        <n v="2882" u="1"/>
        <n v="5702" u="1"/>
        <n v="9263" u="1"/>
        <n v="2752" u="1"/>
        <n v="5442" u="1"/>
        <n v="8743" u="1"/>
        <n v="10760" u="1"/>
        <n v="14794" u="1"/>
        <n v="5182" u="1"/>
        <n v="8223" u="1"/>
        <n v="10240" u="1"/>
        <n v="4922" u="1"/>
        <n v="9720" u="1"/>
        <n v="606" u="1"/>
        <n v="9200" u="1"/>
        <n v="11217" u="1"/>
        <n v="6419" u="1"/>
        <n v="8680" u="1"/>
        <n v="10697" u="1"/>
        <n v="541" u="1"/>
        <n v="6159" u="1"/>
        <n v="10177" u="1"/>
        <n v="12194" u="1"/>
        <n v="2010" u="1"/>
        <n v="5899" u="1"/>
        <n v="9657" u="1"/>
        <n v="11674" u="1"/>
        <n v="15708" u="1"/>
        <n v="1945" u="1"/>
        <n v="5639" u="1"/>
        <n v="9137" u="1"/>
        <n v="11154" u="1"/>
        <n v="1880" u="1"/>
        <n v="3729" u="1"/>
        <n v="5379" u="1"/>
        <n v="10634" u="1"/>
        <n v="12651" u="1"/>
        <n v="1815" u="1"/>
        <n v="3599" u="1"/>
        <n v="7136" u="1"/>
        <n v="10114" u="1"/>
        <n v="12131" u="1"/>
        <n v="1750" u="1"/>
        <n v="3469" u="1"/>
        <n v="6876" u="1"/>
        <n v="11611" u="1"/>
        <n v="3339" u="1"/>
        <n v="6616" u="1"/>
        <n v="11091" u="1"/>
        <n v="13108" u="1"/>
        <n v="6356" u="1"/>
        <n v="10571" u="1"/>
        <n v="12588" u="1"/>
        <n v="6096" u="1"/>
        <n v="12068" u="1"/>
        <n v="11548" u="1"/>
        <n v="13565" u="1"/>
        <n v="364" u="1"/>
        <n v="1425" u="1"/>
        <n v="7593" u="1"/>
        <n v="11028" u="1"/>
        <n v="13045" u="1"/>
        <n v="1360" u="1"/>
        <n v="7333" u="1"/>
        <n v="12525" u="1"/>
        <n v="14542" u="1"/>
        <n v="1295" u="1"/>
        <n v="2559" u="1"/>
        <n v="7073" u="1"/>
        <n v="12005" u="1"/>
        <n v="14022" u="1"/>
        <n v="19728" u="1"/>
        <n v="1230" u="1"/>
        <n v="2429" u="1"/>
        <n v="6813" u="1"/>
        <n v="11485" u="1"/>
        <n v="13502" u="1"/>
        <n v="1165" u="1"/>
        <n v="2299" u="1"/>
        <n v="4536" u="1"/>
        <n v="6553" u="1"/>
        <n v="12982" u="1"/>
        <n v="14999" u="1"/>
        <n v="2169" u="1"/>
        <n v="4276" u="1"/>
        <n v="8428" u="1"/>
        <n v="12462" u="1"/>
        <n v="14479" u="1"/>
        <n v="4056" u="1"/>
        <n v="8050" u="1"/>
        <n v="13959" u="1"/>
        <n v="3926" u="1"/>
        <n v="7790" u="1"/>
        <n v="13439" u="1"/>
        <n v="245" u="1"/>
        <n v="7530" u="1"/>
        <n v="8885" u="1"/>
        <n v="12919" u="1"/>
        <n v="14936" u="1"/>
        <n v="932" u="1"/>
        <n v="5253" u="1"/>
        <n v="7270" u="1"/>
        <n v="8365" u="1"/>
        <n v="14416" u="1"/>
        <n v="4993" u="1"/>
        <n v="13896" u="1"/>
        <n v="867" u="1"/>
        <n v="4733" u="1"/>
        <n v="9342" u="1"/>
        <n v="13376" u="1"/>
        <n v="4473" u="1"/>
        <n v="8822" u="1"/>
        <n v="14873" u="1"/>
        <n v="802" u="1"/>
        <n v="3146" u="1"/>
        <n v="4213" u="1"/>
        <n v="8302" u="1"/>
        <n v="14353" u="1"/>
        <n v="24424" u="1"/>
        <n v="3016" u="1"/>
        <n v="7987" u="1"/>
        <n v="9799" u="1"/>
        <n v="13833" u="1"/>
        <n v="2886" u="1"/>
        <n v="5710" u="1"/>
        <n v="7727" u="1"/>
        <n v="9279" u="1"/>
        <n v="180" u="1"/>
        <n v="2756" u="1"/>
        <n v="5450" u="1"/>
        <n v="8759" u="1"/>
        <n v="10776" u="1"/>
        <n v="14810" u="1"/>
        <n v="2626" u="1"/>
        <n v="5190" u="1"/>
        <n v="8239" u="1"/>
        <n v="10256" u="1"/>
        <n v="4930" u="1"/>
        <n v="9736" u="1"/>
        <n v="607" u="1"/>
        <n v="9216" u="1"/>
        <n v="11233" u="1"/>
        <n v="6427" u="1"/>
        <n v="8696" u="1"/>
        <n v="10713" u="1"/>
        <n v="542" u="1"/>
        <n v="6167" u="1"/>
        <n v="10193" u="1"/>
        <n v="2012" u="1"/>
        <n v="5907" u="1"/>
        <n v="9673" u="1"/>
        <n v="11690" u="1"/>
        <n v="1947" u="1"/>
        <n v="5647" u="1"/>
        <n v="9153" u="1"/>
        <n v="11170" u="1"/>
        <n v="1882" u="1"/>
        <n v="3733" u="1"/>
        <n v="5387" u="1"/>
        <n v="10650" u="1"/>
        <n v="1817" u="1"/>
        <n v="3603" u="1"/>
        <n v="10130" u="1"/>
        <n v="12147" u="1"/>
        <n v="1752" u="1"/>
        <n v="3473" u="1"/>
        <n v="6884" u="1"/>
        <n v="9610" u="1"/>
        <n v="11627" u="1"/>
        <n v="3343" u="1"/>
        <n v="6624" u="1"/>
        <n v="11107" u="1"/>
        <n v="13124" u="1"/>
        <n v="3213" u="1"/>
        <n v="6364" u="1"/>
        <n v="10587" u="1"/>
        <n v="12604" u="1"/>
        <n v="397" u="1"/>
        <n v="6104" u="1"/>
        <n v="12084" u="1"/>
        <n v="11564" u="1"/>
        <n v="13581" u="1"/>
        <n v="1427" u="1"/>
        <n v="7601" u="1"/>
        <n v="11044" u="1"/>
        <n v="13061" u="1"/>
        <n v="1362" u="1"/>
        <n v="7341" u="1"/>
        <n v="12541" u="1"/>
        <n v="1297" u="1"/>
        <n v="2563" u="1"/>
        <n v="7081" u="1"/>
        <n v="12021" u="1"/>
        <n v="14038" u="1"/>
        <n v="1232" u="1"/>
        <n v="2433" u="1"/>
        <n v="6821" u="1"/>
        <n v="11501" u="1"/>
        <n v="13518" u="1"/>
        <n v="1167" u="1"/>
        <n v="2303" u="1"/>
        <n v="4544" u="1"/>
        <n v="6561" u="1"/>
        <n v="12998" u="1"/>
        <n v="2173" u="1"/>
        <n v="4284" u="1"/>
        <n v="12478" u="1"/>
        <n v="14495" u="1"/>
        <n v="267" u="1"/>
        <n v="4060" u="1"/>
        <n v="8058" u="1"/>
        <n v="11958" u="1"/>
        <n v="13975" u="1"/>
        <n v="3930" u="1"/>
        <n v="7798" u="1"/>
        <n v="13455" u="1"/>
        <n v="3800" u="1"/>
        <n v="7538" u="1"/>
        <n v="8901" u="1"/>
        <n v="12935" u="1"/>
        <n v="14952" u="1"/>
        <n v="5261" u="1"/>
        <n v="7278" u="1"/>
        <n v="8381" u="1"/>
        <n v="14432" u="1"/>
        <n v="229" u="1"/>
        <n v="5001" u="1"/>
        <n v="13912" u="1"/>
        <n v="868" u="1"/>
        <n v="4741" u="1"/>
        <n v="9358" u="1"/>
        <n v="13392" u="1"/>
        <n v="4481" u="1"/>
        <n v="8838" u="1"/>
        <n v="14889" u="1"/>
        <n v="23479" u="1"/>
        <n v="803" u="1"/>
        <n v="3150" u="1"/>
        <n v="4221" u="1"/>
        <n v="8318" u="1"/>
        <n v="14369" u="1"/>
        <n v="3020" u="1"/>
        <n v="7995" u="1"/>
        <n v="9815" u="1"/>
        <n v="13849" u="1"/>
        <n v="2890" u="1"/>
        <n v="5718" u="1"/>
        <n v="7735" u="1"/>
        <n v="9295" u="1"/>
        <n v="2760" u="1"/>
        <n v="5458" u="1"/>
        <n v="8775" u="1"/>
        <n v="14826" u="1"/>
        <n v="2630" u="1"/>
        <n v="5198" u="1"/>
        <n v="8255" u="1"/>
        <n v="10272" u="1"/>
        <n v="14306" u="1"/>
        <n v="164" u="1"/>
        <n v="4938" u="1"/>
        <n v="9752" u="1"/>
        <n v="608" u="1"/>
        <n v="4678" u="1"/>
        <n v="9232" u="1"/>
        <n v="11249" u="1"/>
        <n v="6435" u="1"/>
        <n v="8712" u="1"/>
        <n v="10729" u="1"/>
        <n v="543" u="1"/>
        <n v="6175" u="1"/>
        <n v="10209" u="1"/>
        <n v="2014" u="1"/>
        <n v="5915" u="1"/>
        <n v="9689" u="1"/>
        <n v="11706" u="1"/>
        <n v="495" u="1"/>
        <n v="1949" u="1"/>
        <n v="5655" u="1"/>
        <n v="9169" u="1"/>
        <n v="11186" u="1"/>
        <n v="1884" u="1"/>
        <n v="3737" u="1"/>
        <n v="5395" u="1"/>
        <n v="10666" u="1"/>
        <n v="1819" u="1"/>
        <n v="3607" u="1"/>
        <n v="10146" u="1"/>
        <n v="12163" u="1"/>
        <n v="1754" u="1"/>
        <n v="3477" u="1"/>
        <n v="6892" u="1"/>
        <n v="9626" u="1"/>
        <n v="11643" u="1"/>
        <n v="3347" u="1"/>
        <n v="6632" u="1"/>
        <n v="11123" u="1"/>
        <n v="3217" u="1"/>
        <n v="6372" u="1"/>
        <n v="10603" u="1"/>
        <n v="12620" u="1"/>
        <n v="6112" u="1"/>
        <n v="10083" u="1"/>
        <n v="12100" u="1"/>
        <n v="5852" u="1"/>
        <n v="11580" u="1"/>
        <n v="13597" u="1"/>
        <n v="365" u="1"/>
        <n v="7609" u="1"/>
        <n v="11060" u="1"/>
        <n v="13077" u="1"/>
        <n v="1364" u="1"/>
        <n v="7349" u="1"/>
        <n v="12557" u="1"/>
        <n v="1299" u="1"/>
        <n v="2567" u="1"/>
        <n v="7089" u="1"/>
        <n v="12037" u="1"/>
        <n v="14054" u="1"/>
        <n v="81" u="1"/>
        <n v="1234" u="1"/>
        <n v="2437" u="1"/>
        <n v="6829" u="1"/>
        <n v="11517" u="1"/>
        <n v="13534" u="1"/>
        <n v="1169" u="1"/>
        <n v="2307" u="1"/>
        <n v="4552" u="1"/>
        <n v="6569" u="1"/>
        <n v="13014" u="1"/>
        <n v="19729" u="1"/>
        <n v="1104" u="1"/>
        <n v="2177" u="1"/>
        <n v="4292" u="1"/>
        <n v="12494" u="1"/>
        <n v="14511" u="1"/>
        <n v="4064" u="1"/>
        <n v="8066" u="1"/>
        <n v="11974" u="1"/>
        <n v="13991" u="1"/>
        <n v="3934" u="1"/>
        <n v="7806" u="1"/>
        <n v="13471" u="1"/>
        <n v="3804" u="1"/>
        <n v="7546" u="1"/>
        <n v="12951" u="1"/>
        <n v="14968" u="1"/>
        <n v="7286" u="1"/>
        <n v="8397" u="1"/>
        <n v="12431" u="1"/>
        <n v="14448" u="1"/>
        <n v="5009" u="1"/>
        <n v="7026" u="1"/>
        <n v="13928" u="1"/>
        <n v="869" u="1"/>
        <n v="4749" u="1"/>
        <n v="9374" u="1"/>
        <n v="13408" u="1"/>
        <n v="4489" u="1"/>
        <n v="8854" u="1"/>
        <n v="14905" u="1"/>
        <n v="804" u="1"/>
        <n v="3154" u="1"/>
        <n v="4229" u="1"/>
        <n v="8334" u="1"/>
        <n v="14385" u="1"/>
        <n v="3024" u="1"/>
        <n v="8003" u="1"/>
        <n v="9831" u="1"/>
        <n v="13865" u="1"/>
        <n v="2894" u="1"/>
        <n v="5726" u="1"/>
        <n v="7743" u="1"/>
        <n v="9311" u="1"/>
        <n v="24425" u="1"/>
        <n v="2764" u="1"/>
        <n v="5466" u="1"/>
        <n v="8791" u="1"/>
        <n v="14842" u="1"/>
        <n v="2634" u="1"/>
        <n v="5206" u="1"/>
        <n v="8271" u="1"/>
        <n v="10288" u="1"/>
        <n v="14322" u="1"/>
        <n v="4946" u="1"/>
        <n v="9768" u="1"/>
        <n v="609" u="1"/>
        <n v="4686" u="1"/>
        <n v="9248" u="1"/>
        <n v="148" u="1"/>
        <n v="8728" u="1"/>
        <n v="10745" u="1"/>
        <n v="14779" u="1"/>
        <n v="544" u="1"/>
        <n v="6183" u="1"/>
        <n v="8208" u="1"/>
        <n v="10225" u="1"/>
        <n v="5923" u="1"/>
        <n v="9705" u="1"/>
        <n v="11722" u="1"/>
        <n v="1951" u="1"/>
        <n v="5663" u="1"/>
        <n v="9185" u="1"/>
        <n v="11202" u="1"/>
        <n v="1886" u="1"/>
        <n v="3741" u="1"/>
        <n v="5403" u="1"/>
        <n v="8665" u="1"/>
        <n v="10682" u="1"/>
        <n v="1821" u="1"/>
        <n v="3611" u="1"/>
        <n v="5143" u="1"/>
        <n v="10162" u="1"/>
        <n v="12179" u="1"/>
        <n v="1756" u="1"/>
        <n v="3481" u="1"/>
        <n v="6900" u="1"/>
        <n v="9642" u="1"/>
        <n v="11659" u="1"/>
        <n v="1691" u="1"/>
        <n v="3351" u="1"/>
        <n v="6640" u="1"/>
        <n v="11139" u="1"/>
        <n v="3221" u="1"/>
        <n v="6380" u="1"/>
        <n v="10619" u="1"/>
        <n v="12636" u="1"/>
        <n v="398" u="1"/>
        <n v="6120" u="1"/>
        <n v="10099" u="1"/>
        <n v="12116" u="1"/>
        <n v="5860" u="1"/>
        <n v="11596" u="1"/>
        <n v="11076" u="1"/>
        <n v="13093" u="1"/>
        <n v="1366" u="1"/>
        <n v="7357" u="1"/>
        <n v="10556" u="1"/>
        <n v="12573" u="1"/>
        <n v="1301" u="1"/>
        <n v="7097" u="1"/>
        <n v="12053" u="1"/>
        <n v="14070" u="1"/>
        <n v="1236" u="1"/>
        <n v="2441" u="1"/>
        <n v="6837" u="1"/>
        <n v="11533" u="1"/>
        <n v="13550" u="1"/>
        <n v="1171" u="1"/>
        <n v="2311" u="1"/>
        <n v="4560" u="1"/>
        <n v="6577" u="1"/>
        <n v="11013" u="1"/>
        <n v="13030" u="1"/>
        <n v="73" u="1"/>
        <n v="1106" u="1"/>
        <n v="2181" u="1"/>
        <n v="4300" u="1"/>
        <n v="6317" u="1"/>
        <n v="12510" u="1"/>
        <n v="14527" u="1"/>
        <n v="2051" u="1"/>
        <n v="4068" u="1"/>
        <n v="8074" u="1"/>
        <n v="11990" u="1"/>
        <n v="14007" u="1"/>
        <n v="3938" u="1"/>
        <n v="7814" u="1"/>
        <n v="13487" u="1"/>
        <n v="3808" u="1"/>
        <n v="7554" u="1"/>
        <n v="12967" u="1"/>
        <n v="14984" u="1"/>
        <n v="7294" u="1"/>
        <n v="8413" u="1"/>
        <n v="12447" u="1"/>
        <n v="14464" u="1"/>
        <n v="5017" u="1"/>
        <n v="7034" u="1"/>
        <n v="13944" u="1"/>
        <n v="870" u="1"/>
        <n v="4757" u="1"/>
        <n v="13424" u="1"/>
        <n v="4497" u="1"/>
        <n v="8870" u="1"/>
        <n v="12904" u="1"/>
        <n v="14921" u="1"/>
        <n v="805" u="1"/>
        <n v="4237" u="1"/>
        <n v="8350" u="1"/>
        <n v="14401" u="1"/>
        <n v="3028" u="1"/>
        <n v="8011" u="1"/>
        <n v="9847" u="1"/>
        <n v="13881" u="1"/>
        <n v="23480" u="1"/>
        <n v="2898" u="1"/>
        <n v="7751" u="1"/>
        <n v="9327" u="1"/>
        <n v="13361" u="1"/>
        <n v="2768" u="1"/>
        <n v="5474" u="1"/>
        <n v="7491" u="1"/>
        <n v="8807" u="1"/>
        <n v="14858" u="1"/>
        <n v="2638" u="1"/>
        <n v="5214" u="1"/>
        <n v="8287" u="1"/>
        <n v="10304" u="1"/>
        <n v="14338" u="1"/>
        <n v="2508" u="1"/>
        <n v="4954" u="1"/>
        <n v="9784" u="1"/>
        <n v="4694" u="1"/>
        <n v="9264" u="1"/>
        <n v="8744" u="1"/>
        <n v="10761" u="1"/>
        <n v="14795" u="1"/>
        <n v="545" u="1"/>
        <n v="6191" u="1"/>
        <n v="8224" u="1"/>
        <n v="10241" u="1"/>
        <n v="5931" u="1"/>
        <n v="9721" u="1"/>
        <n v="496" u="1"/>
        <n v="1953" u="1"/>
        <n v="5671" u="1"/>
        <n v="9201" u="1"/>
        <n v="11218" u="1"/>
        <n v="1888" u="1"/>
        <n v="5411" u="1"/>
        <n v="8681" u="1"/>
        <n v="10698" u="1"/>
        <n v="1823" u="1"/>
        <n v="3615" u="1"/>
        <n v="5151" u="1"/>
        <n v="10178" u="1"/>
        <n v="12195" u="1"/>
        <n v="1758" u="1"/>
        <n v="3485" u="1"/>
        <n v="9658" u="1"/>
        <n v="11675" u="1"/>
        <n v="15709" u="1"/>
        <n v="1693" u="1"/>
        <n v="3355" u="1"/>
        <n v="6648" u="1"/>
        <n v="9138" u="1"/>
        <n v="11155" u="1"/>
        <n v="3225" u="1"/>
        <n v="6388" u="1"/>
        <n v="10635" u="1"/>
        <n v="12652" u="1"/>
        <n v="3095" u="1"/>
        <n v="6128" u="1"/>
        <n v="10115" u="1"/>
        <n v="12132" u="1"/>
        <n v="5868" u="1"/>
        <n v="11612" u="1"/>
        <n v="366" u="1"/>
        <n v="11092" u="1"/>
        <n v="13109" u="1"/>
        <n v="1368" u="1"/>
        <n v="7365" u="1"/>
        <n v="10572" u="1"/>
        <n v="12589" u="1"/>
        <n v="1303" u="1"/>
        <n v="7105" u="1"/>
        <n v="12069" u="1"/>
        <n v="1238" u="1"/>
        <n v="2445" u="1"/>
        <n v="6845" u="1"/>
        <n v="11549" u="1"/>
        <n v="13566" u="1"/>
        <n v="1173" u="1"/>
        <n v="2315" u="1"/>
        <n v="6585" u="1"/>
        <n v="11029" u="1"/>
        <n v="13046" u="1"/>
        <n v="1108" u="1"/>
        <n v="2185" u="1"/>
        <n v="4308" u="1"/>
        <n v="6325" u="1"/>
        <n v="12526" u="1"/>
        <n v="2055" u="1"/>
        <n v="4072" u="1"/>
        <n v="12006" u="1"/>
        <n v="14023" u="1"/>
        <n v="19730" u="1"/>
        <n v="3942" u="1"/>
        <n v="7822" u="1"/>
        <n v="11486" u="1"/>
        <n v="13503" u="1"/>
        <n v="246" u="1"/>
        <n v="3812" u="1"/>
        <n v="7562" u="1"/>
        <n v="12983" u="1"/>
        <n v="15000" u="1"/>
        <n v="3682" u="1"/>
        <n v="7302" u="1"/>
        <n v="8429" u="1"/>
        <n v="12463" u="1"/>
        <n v="14480" u="1"/>
        <n v="5025" u="1"/>
        <n v="7042" u="1"/>
        <n v="13960" u="1"/>
        <n v="871" u="1"/>
        <n v="4765" u="1"/>
        <n v="13440" u="1"/>
        <n v="4505" u="1"/>
        <n v="8886" u="1"/>
        <n v="12920" u="1"/>
        <n v="14937" u="1"/>
        <n v="806" u="1"/>
        <n v="4245" u="1"/>
        <n v="8366" u="1"/>
        <n v="14417" u="1"/>
        <n v="3032" u="1"/>
        <n v="8019" u="1"/>
        <n v="13897" u="1"/>
        <n v="2902" u="1"/>
        <n v="7759" u="1"/>
        <n v="9343" u="1"/>
        <n v="13377" u="1"/>
        <n v="181" u="1"/>
        <n v="2772" u="1"/>
        <n v="5482" u="1"/>
        <n v="7499" u="1"/>
        <n v="8823" u="1"/>
        <n v="14874" u="1"/>
        <n v="2642" u="1"/>
        <n v="5222" u="1"/>
        <n v="8303" u="1"/>
        <n v="14354" u="1"/>
        <n v="24426" u="1"/>
        <n v="2512" u="1"/>
        <n v="4962" u="1"/>
        <n v="9800" u="1"/>
        <n v="13834" u="1"/>
        <n v="4702" u="1"/>
        <n v="9280" u="1"/>
        <n v="4442" u="1"/>
        <n v="8760" u="1"/>
        <n v="10777" u="1"/>
        <n v="14811" u="1"/>
        <n v="546" u="1"/>
        <n v="6199" u="1"/>
        <n v="8240" u="1"/>
        <n v="10257" u="1"/>
        <n v="5939" u="1"/>
        <n v="9737" u="1"/>
        <n v="1955" u="1"/>
        <n v="5679" u="1"/>
        <n v="9217" u="1"/>
        <n v="11234" u="1"/>
        <n v="1890" u="1"/>
        <n v="5419" u="1"/>
        <n v="8697" u="1"/>
        <n v="10714" u="1"/>
        <n v="1825" u="1"/>
        <n v="3619" u="1"/>
        <n v="5159" u="1"/>
        <n v="10194" u="1"/>
        <n v="1760" u="1"/>
        <n v="3489" u="1"/>
        <n v="9674" u="1"/>
        <n v="11691" u="1"/>
        <n v="1695" u="1"/>
        <n v="3359" u="1"/>
        <n v="6656" u="1"/>
        <n v="9154" u="1"/>
        <n v="11171" u="1"/>
        <n v="3229" u="1"/>
        <n v="6396" u="1"/>
        <n v="10651" u="1"/>
        <n v="399" u="1"/>
        <n v="3099" u="1"/>
        <n v="6136" u="1"/>
        <n v="10131" u="1"/>
        <n v="12148" u="1"/>
        <n v="5876" u="1"/>
        <n v="9611" u="1"/>
        <n v="11628" u="1"/>
        <n v="5616" u="1"/>
        <n v="11108" u="1"/>
        <n v="13125" u="1"/>
        <n v="7373" u="1"/>
        <n v="10588" u="1"/>
        <n v="12605" u="1"/>
        <n v="334" u="1"/>
        <n v="1305" u="1"/>
        <n v="7113" u="1"/>
        <n v="12085" u="1"/>
        <n v="1240" u="1"/>
        <n v="2449" u="1"/>
        <n v="6853" u="1"/>
        <n v="11565" u="1"/>
        <n v="13582" u="1"/>
        <n v="1175" u="1"/>
        <n v="2319" u="1"/>
        <n v="6593" u="1"/>
        <n v="11045" u="1"/>
        <n v="13062" u="1"/>
        <n v="1110" u="1"/>
        <n v="2189" u="1"/>
        <n v="4316" u="1"/>
        <n v="6333" u="1"/>
        <n v="12542" u="1"/>
        <n v="18785" u="1"/>
        <n v="1045" u="1"/>
        <n v="2059" u="1"/>
        <n v="4076" u="1"/>
        <n v="12022" u="1"/>
        <n v="14039" u="1"/>
        <n v="3946" u="1"/>
        <n v="7830" u="1"/>
        <n v="11502" u="1"/>
        <n v="13519" u="1"/>
        <n v="3816" u="1"/>
        <n v="7570" u="1"/>
        <n v="12999" u="1"/>
        <n v="3686" u="1"/>
        <n v="7310" u="1"/>
        <n v="12479" u="1"/>
        <n v="14496" u="1"/>
        <n v="230" u="1"/>
        <n v="7050" u="1"/>
        <n v="11959" u="1"/>
        <n v="13976" u="1"/>
        <n v="872" u="1"/>
        <n v="4773" u="1"/>
        <n v="6790" u="1"/>
        <n v="13456" u="1"/>
        <n v="4513" u="1"/>
        <n v="8902" u="1"/>
        <n v="12936" u="1"/>
        <n v="14953" u="1"/>
        <n v="807" u="1"/>
        <n v="4253" u="1"/>
        <n v="8382" u="1"/>
        <n v="14433" u="1"/>
        <n v="3036" u="1"/>
        <n v="8027" u="1"/>
        <n v="13913" u="1"/>
        <n v="742" u="1"/>
        <n v="2906" u="1"/>
        <n v="7767" u="1"/>
        <n v="9359" u="1"/>
        <n v="13393" u="1"/>
        <n v="2776" u="1"/>
        <n v="5490" u="1"/>
        <n v="7507" u="1"/>
        <n v="8839" u="1"/>
        <n v="14890" u="1"/>
        <n v="23481" u="1"/>
        <n v="2646" u="1"/>
        <n v="5230" u="1"/>
        <n v="8319" u="1"/>
        <n v="14370" u="1"/>
        <n v="165" u="1"/>
        <n v="2516" u="1"/>
        <n v="4970" u="1"/>
        <n v="9816" u="1"/>
        <n v="13850" u="1"/>
        <n v="4710" u="1"/>
        <n v="9296" u="1"/>
        <n v="4450" u="1"/>
        <n v="8776" u="1"/>
        <n v="14827" u="1"/>
        <n v="547" u="1"/>
        <n v="8256" u="1"/>
        <n v="10273" u="1"/>
        <n v="14307" u="1"/>
        <n v="5947" u="1"/>
        <n v="7964" u="1"/>
        <n v="9753" u="1"/>
        <n v="497" u="1"/>
        <n v="5687" u="1"/>
        <n v="9233" u="1"/>
        <n v="11250" u="1"/>
        <n v="1892" u="1"/>
        <n v="5427" u="1"/>
        <n v="8713" u="1"/>
        <n v="10730" u="1"/>
        <n v="1827" u="1"/>
        <n v="3623" u="1"/>
        <n v="5167" u="1"/>
        <n v="10210" u="1"/>
        <n v="114" u="1"/>
        <n v="1762" u="1"/>
        <n v="3493" u="1"/>
        <n v="9690" u="1"/>
        <n v="11707" u="1"/>
        <n v="1697" u="1"/>
        <n v="3363" u="1"/>
        <n v="6664" u="1"/>
        <n v="9170" u="1"/>
        <n v="11187" u="1"/>
        <n v="1632" u="1"/>
        <n v="3233" u="1"/>
        <n v="6404" u="1"/>
        <n v="10667" u="1"/>
        <n v="3103" u="1"/>
        <n v="6144" u="1"/>
        <n v="10147" u="1"/>
        <n v="12164" u="1"/>
        <n v="5884" u="1"/>
        <n v="9627" u="1"/>
        <n v="11644" u="1"/>
        <n v="367" u="1"/>
        <n v="5624" u="1"/>
        <n v="11124" u="1"/>
        <n v="10604" u="1"/>
        <n v="12621" u="1"/>
        <n v="1307" u="1"/>
        <n v="7121" u="1"/>
        <n v="10084" u="1"/>
        <n v="12101" u="1"/>
        <n v="1242" u="1"/>
        <n v="6861" u="1"/>
        <n v="11581" u="1"/>
        <n v="13598" u="1"/>
        <n v="1177" u="1"/>
        <n v="2323" u="1"/>
        <n v="6601" u="1"/>
        <n v="11061" u="1"/>
        <n v="13078" u="1"/>
        <n v="1112" u="1"/>
        <n v="2193" u="1"/>
        <n v="4324" u="1"/>
        <n v="6341" u="1"/>
        <n v="12558" u="1"/>
        <n v="1047" u="1"/>
        <n v="2063" u="1"/>
        <n v="4080" u="1"/>
        <n v="6081" u="1"/>
        <n v="12038" u="1"/>
        <n v="14055" u="1"/>
        <n v="3950" u="1"/>
        <n v="7838" u="1"/>
        <n v="11518" u="1"/>
        <n v="13535" u="1"/>
        <n v="3820" u="1"/>
        <n v="7578" u="1"/>
        <n v="13015" u="1"/>
        <n v="19731" u="1"/>
        <n v="3690" u="1"/>
        <n v="7318" u="1"/>
        <n v="12495" u="1"/>
        <n v="14512" u="1"/>
        <n v="7058" u="1"/>
        <n v="11975" u="1"/>
        <n v="13992" u="1"/>
        <n v="873" u="1"/>
        <n v="4781" u="1"/>
        <n v="6798" u="1"/>
        <n v="13472" u="1"/>
        <n v="214" u="1"/>
        <n v="4521" u="1"/>
        <n v="12952" u="1"/>
        <n v="14969" u="1"/>
        <n v="808" u="1"/>
        <n v="4261" u="1"/>
        <n v="8398" u="1"/>
        <n v="12432" u="1"/>
        <n v="14449" u="1"/>
        <n v="8035" u="1"/>
        <n v="13929" u="1"/>
        <n v="743" u="1"/>
        <n v="2910" u="1"/>
        <n v="7775" u="1"/>
        <n v="9375" u="1"/>
        <n v="13409" u="1"/>
        <n v="2780" u="1"/>
        <n v="5498" u="1"/>
        <n v="7515" u="1"/>
        <n v="8855" u="1"/>
        <n v="14906" u="1"/>
        <n v="2650" u="1"/>
        <n v="5238" u="1"/>
        <n v="7255" u="1"/>
        <n v="8335" u="1"/>
        <n v="14386" u="1"/>
        <n v="2520" u="1"/>
        <n v="4978" u="1"/>
        <n v="9832" u="1"/>
        <n v="13866" u="1"/>
        <n v="2390" u="1"/>
        <n v="4718" u="1"/>
        <n v="9312" u="1"/>
        <n v="24427" u="1"/>
        <n v="149" u="1"/>
        <n v="4458" u="1"/>
        <n v="8792" u="1"/>
        <n v="14843" u="1"/>
        <n v="548" u="1"/>
        <n v="8272" u="1"/>
        <n v="10289" u="1"/>
        <n v="14323" u="1"/>
        <n v="5955" u="1"/>
        <n v="7972" u="1"/>
        <n v="9769" u="1"/>
        <n v="5695" u="1"/>
        <n v="9249" u="1"/>
        <n v="1894" u="1"/>
        <n v="5435" u="1"/>
        <n v="8729" u="1"/>
        <n v="10746" u="1"/>
        <n v="14780" u="1"/>
        <n v="1829" u="1"/>
        <n v="5175" u="1"/>
        <n v="8209" u="1"/>
        <n v="10226" u="1"/>
        <n v="1764" u="1"/>
        <n v="3497" u="1"/>
        <n v="4915" u="1"/>
        <n v="9706" u="1"/>
        <n v="11723" u="1"/>
        <n v="1699" u="1"/>
        <n v="3367" u="1"/>
        <n v="6672" u="1"/>
        <n v="9186" u="1"/>
        <n v="11203" u="1"/>
        <n v="15237" u="1"/>
        <n v="106" u="1"/>
        <n v="1634" u="1"/>
        <n v="3237" u="1"/>
        <n v="6412" u="1"/>
        <n v="8666" u="1"/>
        <n v="10683" u="1"/>
        <n v="3107" u="1"/>
        <n v="6152" u="1"/>
        <n v="10163" u="1"/>
        <n v="12180" u="1"/>
        <n v="2977" u="1"/>
        <n v="5892" u="1"/>
        <n v="9643" u="1"/>
        <n v="11660" u="1"/>
        <n v="5632" u="1"/>
        <n v="11140" u="1"/>
        <n v="10620" u="1"/>
        <n v="12637" u="1"/>
        <n v="335" u="1"/>
        <n v="1309" u="1"/>
        <n v="7129" u="1"/>
        <n v="10100" u="1"/>
        <n v="12117" u="1"/>
        <n v="1244" u="1"/>
        <n v="6869" u="1"/>
        <n v="11597" u="1"/>
        <n v="1179" u="1"/>
        <n v="2327" u="1"/>
        <n v="6609" u="1"/>
        <n v="11077" u="1"/>
        <n v="13094" u="1"/>
        <n v="1114" u="1"/>
        <n v="2197" u="1"/>
        <n v="6349" u="1"/>
        <n v="10557" u="1"/>
        <n v="12574" u="1"/>
        <n v="1049" u="1"/>
        <n v="2067" u="1"/>
        <n v="4084" u="1"/>
        <n v="6089" u="1"/>
        <n v="12054" u="1"/>
        <n v="14071" u="1"/>
        <n v="3954" u="1"/>
        <n v="7846" u="1"/>
        <n v="11534" u="1"/>
        <n v="13551" u="1"/>
        <n v="18786" u="1"/>
        <n v="3824" u="1"/>
        <n v="7586" u="1"/>
        <n v="11014" u="1"/>
        <n v="13031" u="1"/>
        <n v="3694" u="1"/>
        <n v="7326" u="1"/>
        <n v="12511" u="1"/>
        <n v="14528" u="1"/>
        <n v="3564" u="1"/>
        <n v="7066" u="1"/>
        <n v="11991" u="1"/>
        <n v="14008" u="1"/>
        <n v="4789" u="1"/>
        <n v="6806" u="1"/>
        <n v="13488" u="1"/>
        <n v="4529" u="1"/>
        <n v="12968" u="1"/>
        <n v="14985" u="1"/>
        <n v="809" u="1"/>
        <n v="4269" u="1"/>
        <n v="8414" u="1"/>
        <n v="12448" u="1"/>
        <n v="14465" u="1"/>
        <n v="8043" u="1"/>
        <n v="13945" u="1"/>
        <n v="744" u="1"/>
        <n v="2914" u="1"/>
        <n v="7783" u="1"/>
        <n v="13425" u="1"/>
        <n v="2784" u="1"/>
        <n v="7523" u="1"/>
        <n v="8871" u="1"/>
        <n v="12905" u="1"/>
        <n v="14922" u="1"/>
        <n v="2654" u="1"/>
        <n v="5246" u="1"/>
        <n v="7263" u="1"/>
        <n v="8351" u="1"/>
        <n v="14402" u="1"/>
        <n v="2524" u="1"/>
        <n v="4986" u="1"/>
        <n v="13882" u="1"/>
        <n v="23482" u="1"/>
        <n v="2394" u="1"/>
        <n v="4726" u="1"/>
        <n v="9328" u="1"/>
        <n v="13362" u="1"/>
        <n v="4466" u="1"/>
        <n v="8808" u="1"/>
        <n v="14859" u="1"/>
        <n v="549" u="1"/>
        <n v="4206" u="1"/>
        <n v="8288" u="1"/>
        <n v="10305" u="1"/>
        <n v="14339" u="1"/>
        <n v="5963" u="1"/>
        <n v="7980" u="1"/>
        <n v="9785" u="1"/>
        <n v="498" u="1"/>
        <n v="5703" u="1"/>
        <n v="9265" u="1"/>
        <n v="1896" u="1"/>
        <n v="5443" u="1"/>
        <n v="8745" u="1"/>
        <n v="10762" u="1"/>
        <n v="14796" u="1"/>
        <n v="1831" u="1"/>
        <n v="5183" u="1"/>
        <n v="8225" u="1"/>
        <n v="10242" u="1"/>
        <n v="1766" u="1"/>
        <n v="3501" u="1"/>
        <n v="4923" u="1"/>
        <n v="9722" u="1"/>
        <n v="1701" u="1"/>
        <n v="3371" u="1"/>
        <n v="9202" u="1"/>
        <n v="11219" u="1"/>
        <n v="1636" u="1"/>
        <n v="3241" u="1"/>
        <n v="6420" u="1"/>
        <n v="8682" u="1"/>
        <n v="10699" u="1"/>
        <n v="3111" u="1"/>
        <n v="6160" u="1"/>
        <n v="10179" u="1"/>
        <n v="98" u="1"/>
        <n v="2981" u="1"/>
        <n v="5900" u="1"/>
        <n v="9659" u="1"/>
        <n v="11676" u="1"/>
        <n v="15710" u="1"/>
        <n v="368" u="1"/>
        <n v="5640" u="1"/>
        <n v="9139" u="1"/>
        <n v="11156" u="1"/>
        <n v="5380" u="1"/>
        <n v="10636" u="1"/>
        <n v="12653" u="1"/>
        <n v="7137" u="1"/>
        <n v="10116" u="1"/>
        <n v="12133" u="1"/>
        <n v="1246" u="1"/>
        <n v="6877" u="1"/>
        <n v="11613" u="1"/>
        <n v="1181" u="1"/>
        <n v="2331" u="1"/>
        <n v="6617" u="1"/>
        <n v="11093" u="1"/>
        <n v="13110" u="1"/>
        <n v="1116" u="1"/>
        <n v="2201" u="1"/>
        <n v="6357" u="1"/>
        <n v="10573" u="1"/>
        <n v="12590" u="1"/>
        <n v="1051" u="1"/>
        <n v="2071" u="1"/>
        <n v="4088" u="1"/>
        <n v="6097" u="1"/>
        <n v="12070" u="1"/>
        <n v="3958" u="1"/>
        <n v="11550" u="1"/>
        <n v="13567" u="1"/>
        <n v="247" u="1"/>
        <n v="3828" u="1"/>
        <n v="7594" u="1"/>
        <n v="11030" u="1"/>
        <n v="13047" u="1"/>
        <n v="3698" u="1"/>
        <n v="7334" u="1"/>
        <n v="12527" u="1"/>
        <n v="3568" u="1"/>
        <n v="7074" u="1"/>
        <n v="12007" u="1"/>
        <n v="14024" u="1"/>
        <n v="19732" u="1"/>
        <n v="6814" u="1"/>
        <n v="11487" u="1"/>
        <n v="13504" u="1"/>
        <n v="4537" u="1"/>
        <n v="6554" u="1"/>
        <n v="12984" u="1"/>
        <n v="15001" u="1"/>
        <n v="810" u="1"/>
        <n v="4277" u="1"/>
        <n v="8430" u="1"/>
        <n v="12464" u="1"/>
        <n v="14481" u="1"/>
        <n v="8051" u="1"/>
        <n v="13961" u="1"/>
        <n v="745" u="1"/>
        <n v="2918" u="1"/>
        <n v="7791" u="1"/>
        <n v="13441" u="1"/>
        <n v="2788" u="1"/>
        <n v="7531" u="1"/>
        <n v="8887" u="1"/>
        <n v="12921" u="1"/>
        <n v="14938" u="1"/>
        <n v="2658" u="1"/>
        <n v="5254" u="1"/>
        <n v="7271" u="1"/>
        <n v="8367" u="1"/>
        <n v="14418" u="1"/>
        <n v="2528" u="1"/>
        <n v="4994" u="1"/>
        <n v="13898" u="1"/>
        <n v="2398" u="1"/>
        <n v="4734" u="1"/>
        <n v="9344" u="1"/>
        <n v="13378" u="1"/>
        <n v="4474" u="1"/>
        <n v="8824" u="1"/>
        <n v="14875" u="1"/>
        <n v="550" u="1"/>
        <n v="4214" u="1"/>
        <n v="8304" u="1"/>
        <n v="14355" u="1"/>
        <n v="7988" u="1"/>
        <n v="9801" u="1"/>
        <n v="13835" u="1"/>
        <n v="5711" u="1"/>
        <n v="7728" u="1"/>
        <n v="9281" u="1"/>
        <n v="5451" u="1"/>
        <n v="8761" u="1"/>
        <n v="10778" u="1"/>
        <n v="14812" u="1"/>
        <n v="466" u="1"/>
        <n v="1833" u="1"/>
        <n v="5191" u="1"/>
        <n v="8241" u="1"/>
        <n v="10258" u="1"/>
        <n v="1768" u="1"/>
        <n v="3505" u="1"/>
        <n v="4931" u="1"/>
        <n v="9738" u="1"/>
        <n v="1703" u="1"/>
        <n v="3375" u="1"/>
        <n v="9218" u="1"/>
        <n v="11235" u="1"/>
        <n v="1638" u="1"/>
        <n v="3245" u="1"/>
        <n v="6428" u="1"/>
        <n v="8698" u="1"/>
        <n v="10715" u="1"/>
        <n v="3115" u="1"/>
        <n v="6168" u="1"/>
        <n v="10195" u="1"/>
        <n v="2985" u="1"/>
        <n v="5908" u="1"/>
        <n v="9675" u="1"/>
        <n v="11692" u="1"/>
        <n v="5648" u="1"/>
        <n v="9155" u="1"/>
        <n v="11172" u="1"/>
        <n v="5388" u="1"/>
        <n v="10652" u="1"/>
        <n v="336" u="1"/>
        <n v="10132" u="1"/>
        <n v="12149" u="1"/>
        <n v="1248" u="1"/>
        <n v="6885" u="1"/>
        <n v="9612" u="1"/>
        <n v="11629" u="1"/>
        <n v="1183" u="1"/>
        <n v="6625" u="1"/>
        <n v="11109" u="1"/>
        <n v="13126" u="1"/>
        <n v="1118" u="1"/>
        <n v="2205" u="1"/>
        <n v="6365" u="1"/>
        <n v="10589" u="1"/>
        <n v="12606" u="1"/>
        <n v="1053" u="1"/>
        <n v="2075" u="1"/>
        <n v="4092" u="1"/>
        <n v="6105" u="1"/>
        <n v="12086" u="1"/>
        <n v="1006" u="1"/>
        <n v="3962" u="1"/>
        <n v="11566" u="1"/>
        <n v="13583" u="1"/>
        <n v="3832" u="1"/>
        <n v="7602" u="1"/>
        <n v="11046" u="1"/>
        <n v="13063" u="1"/>
        <n v="3702" u="1"/>
        <n v="7342" u="1"/>
        <n v="12543" u="1"/>
        <n v="18787" u="1"/>
        <n v="231" u="1"/>
        <n v="3572" u="1"/>
        <n v="7082" u="1"/>
        <n v="12023" u="1"/>
        <n v="14040" u="1"/>
        <n v="6822" u="1"/>
        <n v="11503" u="1"/>
        <n v="13520" u="1"/>
        <n v="4545" u="1"/>
        <n v="6562" u="1"/>
        <n v="13000" u="1"/>
        <n v="811" u="1"/>
        <n v="4285" u="1"/>
        <n v="12480" u="1"/>
        <n v="14497" u="1"/>
        <n v="8059" u="1"/>
        <n v="11960" u="1"/>
        <n v="13977" u="1"/>
        <n v="746" u="1"/>
        <n v="7799" u="1"/>
        <n v="13457" u="1"/>
        <n v="2792" u="1"/>
        <n v="7539" u="1"/>
        <n v="8903" u="1"/>
        <n v="12937" u="1"/>
        <n v="14954" u="1"/>
        <n v="2662" u="1"/>
        <n v="5262" u="1"/>
        <n v="7279" u="1"/>
        <n v="8383" u="1"/>
        <n v="14434" u="1"/>
        <n v="166" u="1"/>
        <n v="2532" u="1"/>
        <n v="5002" u="1"/>
        <n v="13914" u="1"/>
        <n v="2402" u="1"/>
        <n v="4742" u="1"/>
        <n v="9360" u="1"/>
        <n v="13394" u="1"/>
        <n v="2272" u="1"/>
        <n v="4482" u="1"/>
        <n v="8840" u="1"/>
        <n v="14891" u="1"/>
        <n v="23483" u="1"/>
        <n v="4222" u="1"/>
        <n v="8320" u="1"/>
        <n v="14371" u="1"/>
        <n v="7996" u="1"/>
        <n v="9817" u="1"/>
        <n v="13851" u="1"/>
        <n v="499" u="1"/>
        <n v="5719" u="1"/>
        <n v="7736" u="1"/>
        <n v="9297" u="1"/>
        <n v="5459" u="1"/>
        <n v="8777" u="1"/>
        <n v="14828" u="1"/>
        <n v="1835" u="1"/>
        <n v="5199" u="1"/>
        <n v="8257" u="1"/>
        <n v="10274" u="1"/>
        <n v="14308" u="1"/>
        <n v="1770" u="1"/>
        <n v="4939" u="1"/>
        <n v="9754" u="1"/>
        <n v="1705" u="1"/>
        <n v="3379" u="1"/>
        <n v="4679" u="1"/>
        <n v="9234" u="1"/>
        <n v="11251" u="1"/>
        <n v="1640" u="1"/>
        <n v="3249" u="1"/>
        <n v="6436" u="1"/>
        <n v="8714" u="1"/>
        <n v="10731" u="1"/>
        <n v="1575" u="1"/>
        <n v="3119" u="1"/>
        <n v="6176" u="1"/>
        <n v="10211" u="1"/>
        <n v="2989" u="1"/>
        <n v="5916" u="1"/>
        <n v="9691" u="1"/>
        <n v="11708" u="1"/>
        <n v="369" u="1"/>
        <n v="2859" u="1"/>
        <n v="5656" u="1"/>
        <n v="9171" u="1"/>
        <n v="11188" u="1"/>
        <n v="5396" u="1"/>
        <n v="10668" u="1"/>
        <n v="10148" u="1"/>
        <n v="12165" u="1"/>
        <n v="1250" u="1"/>
        <n v="6893" u="1"/>
        <n v="9628" u="1"/>
        <n v="11645" u="1"/>
        <n v="304" u="1"/>
        <n v="1185" u="1"/>
        <n v="6633" u="1"/>
        <n v="11125" u="1"/>
        <n v="1120" u="1"/>
        <n v="2209" u="1"/>
        <n v="6373" u="1"/>
        <n v="10605" u="1"/>
        <n v="12622" u="1"/>
        <n v="1055" u="1"/>
        <n v="2079" u="1"/>
        <n v="6113" u="1"/>
        <n v="10085" u="1"/>
        <n v="12102" u="1"/>
        <n v="1007" u="1"/>
        <n v="3966" u="1"/>
        <n v="5853" u="1"/>
        <n v="11582" u="1"/>
        <n v="13599" u="1"/>
        <n v="3836" u="1"/>
        <n v="7610" u="1"/>
        <n v="11062" u="1"/>
        <n v="13079" u="1"/>
        <n v="3706" u="1"/>
        <n v="7350" u="1"/>
        <n v="12559" u="1"/>
        <n v="3576" u="1"/>
        <n v="7090" u="1"/>
        <n v="12039" u="1"/>
        <n v="14056" u="1"/>
        <n v="3446" u="1"/>
        <n v="6830" u="1"/>
        <n v="11519" u="1"/>
        <n v="13536" u="1"/>
        <n v="215" u="1"/>
        <n v="4553" u="1"/>
        <n v="6570" u="1"/>
        <n v="13016" u="1"/>
        <n v="812" u="1"/>
        <n v="4293" u="1"/>
        <n v="12496" u="1"/>
        <n v="14513" u="1"/>
        <n v="8067" u="1"/>
        <n v="11976" u="1"/>
        <n v="13993" u="1"/>
        <n v="747" u="1"/>
        <n v="7807" u="1"/>
        <n v="13473" u="1"/>
        <n v="2796" u="1"/>
        <n v="7547" u="1"/>
        <n v="12953" u="1"/>
        <n v="14970" u="1"/>
        <n v="2666" u="1"/>
        <n v="7287" u="1"/>
        <n v="8399" u="1"/>
        <n v="12433" u="1"/>
        <n v="14450" u="1"/>
        <n v="2536" u="1"/>
        <n v="5010" u="1"/>
        <n v="7027" u="1"/>
        <n v="13930" u="1"/>
        <n v="2406" u="1"/>
        <n v="4750" u="1"/>
        <n v="9376" u="1"/>
        <n v="13410" u="1"/>
        <n v="150" u="1"/>
        <n v="2276" u="1"/>
        <n v="4490" u="1"/>
        <n v="8856" u="1"/>
        <n v="12890" u="1"/>
        <n v="14907" u="1"/>
        <n v="4230" u="1"/>
        <n v="8336" u="1"/>
        <n v="14387" u="1"/>
        <n v="4033" u="1"/>
        <n v="8004" u="1"/>
        <n v="9833" u="1"/>
        <n v="13867" u="1"/>
        <n v="5727" u="1"/>
        <n v="7744" u="1"/>
        <n v="9313" u="1"/>
        <n v="5467" u="1"/>
        <n v="8793" u="1"/>
        <n v="14844" u="1"/>
        <n v="467" u="1"/>
        <n v="1837" u="1"/>
        <n v="5207" u="1"/>
        <n v="8273" u="1"/>
        <n v="10290" u="1"/>
        <n v="14324" u="1"/>
        <n v="1772" u="1"/>
        <n v="4947" u="1"/>
        <n v="9770" u="1"/>
        <n v="1707" u="1"/>
        <n v="3383" u="1"/>
        <n v="4687" u="1"/>
        <n v="9250" u="1"/>
        <n v="1642" u="1"/>
        <n v="3253" u="1"/>
        <n v="8730" u="1"/>
        <n v="10747" u="1"/>
        <n v="14781" u="1"/>
        <n v="1577" u="1"/>
        <n v="3123" u="1"/>
        <n v="6184" u="1"/>
        <n v="8210" u="1"/>
        <n v="10227" u="1"/>
        <n v="2993" u="1"/>
        <n v="5924" u="1"/>
        <n v="9707" u="1"/>
        <n v="11724" u="1"/>
        <n v="2863" u="1"/>
        <n v="5664" u="1"/>
        <n v="9187" u="1"/>
        <n v="11204" u="1"/>
        <n v="15238" u="1"/>
        <n v="5404" u="1"/>
        <n v="8667" u="1"/>
        <n v="10684" u="1"/>
        <n v="337" u="1"/>
        <n v="5144" u="1"/>
        <n v="10164" u="1"/>
        <n v="12181" u="1"/>
        <n v="6901" u="1"/>
        <n v="9644" u="1"/>
        <n v="11661" u="1"/>
        <n v="1187" u="1"/>
        <n v="6641" u="1"/>
        <n v="11141" u="1"/>
        <n v="1122" u="1"/>
        <n v="2213" u="1"/>
        <n v="6381" u="1"/>
        <n v="10621" u="1"/>
        <n v="12638" u="1"/>
        <n v="1057" u="1"/>
        <n v="2083" u="1"/>
        <n v="6121" u="1"/>
        <n v="10101" u="1"/>
        <n v="12118" u="1"/>
        <n v="1008" u="1"/>
        <n v="3970" u="1"/>
        <n v="5861" u="1"/>
        <n v="11598" u="1"/>
        <n v="3840" u="1"/>
        <n v="11078" u="1"/>
        <n v="13095" u="1"/>
        <n v="3710" u="1"/>
        <n v="7358" u="1"/>
        <n v="10558" u="1"/>
        <n v="12575" u="1"/>
        <n v="3580" u="1"/>
        <n v="7098" u="1"/>
        <n v="12055" u="1"/>
        <n v="14072" u="1"/>
        <n v="3450" u="1"/>
        <n v="6838" u="1"/>
        <n v="11535" u="1"/>
        <n v="13552" u="1"/>
        <n v="18788" u="1"/>
        <n v="6578" u="1"/>
        <n v="11015" u="1"/>
        <n v="13032" u="1"/>
        <n v="813" u="1"/>
        <n v="4301" u="1"/>
        <n v="6318" u="1"/>
        <n v="12512" u="1"/>
        <n v="14529" u="1"/>
        <n v="8075" u="1"/>
        <n v="11992" u="1"/>
        <n v="14009" u="1"/>
        <n v="748" u="1"/>
        <n v="7815" u="1"/>
        <n v="13489" u="1"/>
        <n v="2800" u="1"/>
        <n v="7555" u="1"/>
        <n v="12969" u="1"/>
        <n v="14986" u="1"/>
        <n v="683" u="1"/>
        <n v="2670" u="1"/>
        <n v="7295" u="1"/>
        <n v="8415" u="1"/>
        <n v="12449" u="1"/>
        <n v="14466" u="1"/>
        <n v="2540" u="1"/>
        <n v="5018" u="1"/>
        <n v="7035" u="1"/>
        <n v="13946" u="1"/>
        <n v="2410" u="1"/>
        <n v="4758" u="1"/>
        <n v="13426" u="1"/>
        <n v="2280" u="1"/>
        <n v="4498" u="1"/>
        <n v="8872" u="1"/>
        <n v="12906" u="1"/>
        <n v="14923" u="1"/>
        <n v="4238" u="1"/>
        <n v="8352" u="1"/>
        <n v="14403" u="1"/>
        <n v="134" u="1"/>
        <n v="4037" u="1"/>
        <n v="8012" u="1"/>
        <n v="13883" u="1"/>
        <n v="23484" u="1"/>
        <n v="500" u="1"/>
        <n v="7752" u="1"/>
        <n v="9329" u="1"/>
        <n v="13363" u="1"/>
        <n v="5475" u="1"/>
        <n v="7492" u="1"/>
        <n v="8809" u="1"/>
        <n v="14860" u="1"/>
        <n v="5215" u="1"/>
        <n v="8289" u="1"/>
        <n v="10306" u="1"/>
        <n v="14340" u="1"/>
        <n v="1774" u="1"/>
        <n v="4955" u="1"/>
        <n v="9786" u="1"/>
        <n v="1709" u="1"/>
        <n v="3387" u="1"/>
        <n v="4695" u="1"/>
        <n v="9266" u="1"/>
        <n v="1644" u="1"/>
        <n v="3257" u="1"/>
        <n v="8746" u="1"/>
        <n v="10763" u="1"/>
        <n v="14797" u="1"/>
        <n v="1579" u="1"/>
        <n v="3127" u="1"/>
        <n v="6192" u="1"/>
        <n v="8226" u="1"/>
        <n v="10243" u="1"/>
        <n v="2997" u="1"/>
        <n v="5932" u="1"/>
        <n v="9723" u="1"/>
        <n v="370" u="1"/>
        <n v="2867" u="1"/>
        <n v="5672" u="1"/>
        <n v="9203" u="1"/>
        <n v="11220" u="1"/>
        <n v="5412" u="1"/>
        <n v="8683" u="1"/>
        <n v="10700" u="1"/>
        <n v="5152" u="1"/>
        <n v="10180" u="1"/>
        <n v="9660" u="1"/>
        <n v="11677" u="1"/>
        <n v="305" u="1"/>
        <n v="1189" u="1"/>
        <n v="6649" u="1"/>
        <n v="9140" u="1"/>
        <n v="11157" u="1"/>
        <n v="1124" u="1"/>
        <n v="6389" u="1"/>
        <n v="10637" u="1"/>
        <n v="12654" u="1"/>
        <n v="1059" u="1"/>
        <n v="2087" u="1"/>
        <n v="6129" u="1"/>
        <n v="10117" u="1"/>
        <n v="12134" u="1"/>
        <n v="1009" u="1"/>
        <n v="3974" u="1"/>
        <n v="5869" u="1"/>
        <n v="11614" u="1"/>
        <n v="3844" u="1"/>
        <n v="11094" u="1"/>
        <n v="13111" u="1"/>
        <n v="3714" u="1"/>
        <n v="7366" u="1"/>
        <n v="10574" u="1"/>
        <n v="12591" u="1"/>
        <n v="3584" u="1"/>
        <n v="7106" u="1"/>
        <n v="12071" u="1"/>
        <n v="3454" u="1"/>
        <n v="6846" u="1"/>
        <n v="11551" u="1"/>
        <n v="13568" u="1"/>
        <n v="6586" u="1"/>
        <n v="11031" u="1"/>
        <n v="13048" u="1"/>
        <n v="814" u="1"/>
        <n v="4309" u="1"/>
        <n v="6326" u="1"/>
        <n v="12528" u="1"/>
        <n v="12008" u="1"/>
        <n v="14025" u="1"/>
        <n v="749" u="1"/>
        <n v="7823" u="1"/>
        <n v="11488" u="1"/>
        <n v="13505" u="1"/>
        <n v="7563" u="1"/>
        <n v="12985" u="1"/>
        <n v="15002" u="1"/>
        <n v="684" u="1"/>
        <n v="2674" u="1"/>
        <n v="7303" u="1"/>
        <n v="8431" u="1"/>
        <n v="12465" u="1"/>
        <n v="14482" u="1"/>
        <n v="2544" u="1"/>
        <n v="5026" u="1"/>
        <n v="7043" u="1"/>
        <n v="13962" u="1"/>
        <n v="2414" u="1"/>
        <n v="4766" u="1"/>
        <n v="13442" u="1"/>
        <n v="2284" u="1"/>
        <n v="4506" u="1"/>
        <n v="8888" u="1"/>
        <n v="12922" u="1"/>
        <n v="14939" u="1"/>
        <n v="4246" u="1"/>
        <n v="8368" u="1"/>
        <n v="14419" u="1"/>
        <n v="4041" u="1"/>
        <n v="8020" u="1"/>
        <n v="13899" u="1"/>
        <n v="7760" u="1"/>
        <n v="9345" u="1"/>
        <n v="13379" u="1"/>
        <n v="5483" u="1"/>
        <n v="7500" u="1"/>
        <n v="8825" u="1"/>
        <n v="14876" u="1"/>
        <n v="468" u="1"/>
        <n v="5223" u="1"/>
        <n v="8305" u="1"/>
        <n v="14356" u="1"/>
        <n v="1776" u="1"/>
        <n v="4963" u="1"/>
        <n v="9802" u="1"/>
        <n v="13836" u="1"/>
        <n v="1711" u="1"/>
        <n v="4703" u="1"/>
        <n v="9282" u="1"/>
        <n v="1646" u="1"/>
        <n v="3261" u="1"/>
        <n v="4443" u="1"/>
        <n v="8762" u="1"/>
        <n v="10779" u="1"/>
        <n v="14813" u="1"/>
        <n v="1581" u="1"/>
        <n v="3131" u="1"/>
        <n v="6200" u="1"/>
        <n v="8242" u="1"/>
        <n v="10259" u="1"/>
        <n v="1516" u="1"/>
        <n v="3001" u="1"/>
        <n v="5940" u="1"/>
        <n v="9739" u="1"/>
        <n v="2871" u="1"/>
        <n v="5680" u="1"/>
        <n v="9219" u="1"/>
        <n v="11236" u="1"/>
        <n v="5420" u="1"/>
        <n v="8699" u="1"/>
        <n v="10716" u="1"/>
        <n v="338" u="1"/>
        <n v="5160" u="1"/>
        <n v="10196" u="1"/>
        <n v="9676" u="1"/>
        <n v="11693" u="1"/>
        <n v="1191" u="1"/>
        <n v="6657" u="1"/>
        <n v="9156" u="1"/>
        <n v="11173" u="1"/>
        <n v="1126" u="1"/>
        <n v="6397" u="1"/>
        <n v="10653" u="1"/>
        <n v="1061" u="1"/>
        <n v="2091" u="1"/>
        <n v="6137" u="1"/>
        <n v="10133" u="1"/>
        <n v="12150" u="1"/>
        <n v="1010" u="1"/>
        <n v="5877" u="1"/>
        <n v="9613" u="1"/>
        <n v="11630" u="1"/>
        <n v="3848" u="1"/>
        <n v="5617" u="1"/>
        <n v="11110" u="1"/>
        <n v="13127" u="1"/>
        <n v="3718" u="1"/>
        <n v="7374" u="1"/>
        <n v="10590" u="1"/>
        <n v="12607" u="1"/>
        <n v="232" u="1"/>
        <n v="3588" u="1"/>
        <n v="7114" u="1"/>
        <n v="12087" u="1"/>
        <n v="3458" u="1"/>
        <n v="6854" u="1"/>
        <n v="11567" u="1"/>
        <n v="13584" u="1"/>
        <n v="3328" u="1"/>
        <n v="6594" u="1"/>
        <n v="11047" u="1"/>
        <n v="13064" u="1"/>
        <n v="4317" u="1"/>
        <n v="6334" u="1"/>
        <n v="12544" u="1"/>
        <n v="12024" u="1"/>
        <n v="14041" u="1"/>
        <n v="750" u="1"/>
        <n v="7831" u="1"/>
        <n v="11504" u="1"/>
        <n v="13521" u="1"/>
        <n v="7571" u="1"/>
        <n v="13001" u="1"/>
        <n v="685" u="1"/>
        <n v="2678" u="1"/>
        <n v="7311" u="1"/>
        <n v="12481" u="1"/>
        <n v="14498" u="1"/>
        <n v="2548" u="1"/>
        <n v="7051" u="1"/>
        <n v="11961" u="1"/>
        <n v="13978" u="1"/>
        <n v="2418" u="1"/>
        <n v="4774" u="1"/>
        <n v="6791" u="1"/>
        <n v="13458" u="1"/>
        <n v="2288" u="1"/>
        <n v="4514" u="1"/>
        <n v="8904" u="1"/>
        <n v="12938" u="1"/>
        <n v="14955" u="1"/>
        <n v="2158" u="1"/>
        <n v="4254" u="1"/>
        <n v="8384" u="1"/>
        <n v="14435" u="1"/>
        <n v="4045" u="1"/>
        <n v="8028" u="1"/>
        <n v="13915" u="1"/>
        <n v="501" u="1"/>
        <n v="3915" u="1"/>
        <n v="7768" u="1"/>
        <n v="9361" u="1"/>
        <n v="13395" u="1"/>
        <n v="5491" u="1"/>
        <n v="7508" u="1"/>
        <n v="8841" u="1"/>
        <n v="14892" u="1"/>
        <n v="5231" u="1"/>
        <n v="8321" u="1"/>
        <n v="14372" u="1"/>
        <n v="1778" u="1"/>
        <n v="4971" u="1"/>
        <n v="9818" u="1"/>
        <n v="13852" u="1"/>
        <n v="436" u="1"/>
        <n v="1713" u="1"/>
        <n v="4711" u="1"/>
        <n v="9298" u="1"/>
        <n v="1648" u="1"/>
        <n v="3265" u="1"/>
        <n v="4451" u="1"/>
        <n v="8778" u="1"/>
        <n v="14829" u="1"/>
        <n v="1583" u="1"/>
        <n v="3135" u="1"/>
        <n v="8258" u="1"/>
        <n v="10275" u="1"/>
        <n v="14309" u="1"/>
        <n v="1518" u="1"/>
        <n v="3005" u="1"/>
        <n v="5948" u="1"/>
        <n v="7965" u="1"/>
        <n v="9755" u="1"/>
        <n v="2875" u="1"/>
        <n v="5688" u="1"/>
        <n v="9235" u="1"/>
        <n v="11252" u="1"/>
        <n v="2745" u="1"/>
        <n v="5428" u="1"/>
        <n v="8715" u="1"/>
        <n v="10732" u="1"/>
        <n v="5168" u="1"/>
        <n v="8195" u="1"/>
        <n v="10212" u="1"/>
        <n v="4908" u="1"/>
        <n v="9692" u="1"/>
        <n v="11709" u="1"/>
        <n v="306" u="1"/>
        <n v="6665" u="1"/>
        <n v="9172" u="1"/>
        <n v="11189" u="1"/>
        <n v="1128" u="1"/>
        <n v="6405" u="1"/>
        <n v="10669" u="1"/>
        <n v="1063" u="1"/>
        <n v="2095" u="1"/>
        <n v="6145" u="1"/>
        <n v="10149" u="1"/>
        <n v="12166" u="1"/>
        <n v="1011" u="1"/>
        <n v="5885" u="1"/>
        <n v="9629" u="1"/>
        <n v="11646" u="1"/>
        <n v="3852" u="1"/>
        <n v="5625" u="1"/>
        <n v="11126" u="1"/>
        <n v="3722" u="1"/>
        <n v="10606" u="1"/>
        <n v="12623" u="1"/>
        <n v="3592" u="1"/>
        <n v="7122" u="1"/>
        <n v="10086" u="1"/>
        <n v="12103" u="1"/>
        <n v="3462" u="1"/>
        <n v="6862" u="1"/>
        <n v="11583" u="1"/>
        <n v="13600" u="1"/>
        <n v="216" u="1"/>
        <n v="3332" u="1"/>
        <n v="6602" u="1"/>
        <n v="11063" u="1"/>
        <n v="13080" u="1"/>
        <n v="4325" u="1"/>
        <n v="6342" u="1"/>
        <n v="10543" u="1"/>
        <n v="12560" u="1"/>
        <n v="6082" u="1"/>
        <n v="12040" u="1"/>
        <n v="14057" u="1"/>
        <n v="751" u="1"/>
        <n v="7839" u="1"/>
        <n v="11520" u="1"/>
        <n v="13537" u="1"/>
        <n v="7579" u="1"/>
        <n v="13017" u="1"/>
        <n v="686" u="1"/>
        <n v="2682" u="1"/>
        <n v="7319" u="1"/>
        <n v="12497" u="1"/>
        <n v="14514" u="1"/>
        <n v="2552" u="1"/>
        <n v="7059" u="1"/>
        <n v="11977" u="1"/>
        <n v="13994" u="1"/>
        <n v="2422" u="1"/>
        <n v="4782" u="1"/>
        <n v="6799" u="1"/>
        <n v="13474" u="1"/>
        <n v="151" u="1"/>
        <n v="2292" u="1"/>
        <n v="4522" u="1"/>
        <n v="12954" u="1"/>
        <n v="14971" u="1"/>
        <n v="2162" u="1"/>
        <n v="4262" u="1"/>
        <n v="8400" u="1"/>
        <n v="12434" u="1"/>
        <n v="14451" u="1"/>
        <n v="4049" u="1"/>
        <n v="8036" u="1"/>
        <n v="13931" u="1"/>
        <n v="3919" u="1"/>
        <n v="7776" u="1"/>
        <n v="9377" u="1"/>
        <n v="13411" u="1"/>
        <n v="5499" u="1"/>
        <n v="7516" u="1"/>
        <n v="8857" u="1"/>
        <n v="12891" u="1"/>
        <n v="14908" u="1"/>
        <n v="469" u="1"/>
        <n v="5239" u="1"/>
        <n v="7256" u="1"/>
        <n v="8337" u="1"/>
        <n v="14388" u="1"/>
        <n v="4979" u="1"/>
        <n v="9834" u="1"/>
        <n v="13868" u="1"/>
        <n v="1715" u="1"/>
        <n v="4719" u="1"/>
        <n v="9314" u="1"/>
        <n v="1650" u="1"/>
        <n v="3269" u="1"/>
        <n v="4459" u="1"/>
        <n v="8794" u="1"/>
        <n v="14845" u="1"/>
        <n v="1585" u="1"/>
        <n v="3139" u="1"/>
        <n v="8274" u="1"/>
        <n v="10291" u="1"/>
        <n v="14325" u="1"/>
        <n v="1520" u="1"/>
        <n v="3009" u="1"/>
        <n v="5956" u="1"/>
        <n v="7973" u="1"/>
        <n v="9771" u="1"/>
        <n v="2879" u="1"/>
        <n v="5696" u="1"/>
        <n v="9251" u="1"/>
        <n v="2749" u="1"/>
        <n v="5436" u="1"/>
        <n v="8731" u="1"/>
        <n v="10748" u="1"/>
        <n v="14782" u="1"/>
        <n v="339" u="1"/>
        <n v="5176" u="1"/>
        <n v="8211" u="1"/>
        <n v="10228" u="1"/>
        <n v="4916" u="1"/>
        <n v="9708" u="1"/>
        <n v="11725" u="1"/>
        <n v="9188" u="1"/>
        <n v="11205" u="1"/>
        <n v="1130" u="1"/>
        <n v="6413" u="1"/>
        <n v="8668" u="1"/>
        <n v="10685" u="1"/>
        <n v="1065" u="1"/>
        <n v="6153" u="1"/>
        <n v="10165" u="1"/>
        <n v="12182" u="1"/>
        <n v="1012" u="1"/>
        <n v="5893" u="1"/>
        <n v="9645" u="1"/>
        <n v="11662" u="1"/>
        <n v="3856" u="1"/>
        <n v="5633" u="1"/>
        <n v="11142" u="1"/>
        <n v="947" u="1"/>
        <n v="3726" u="1"/>
        <n v="10622" u="1"/>
        <n v="12639" u="1"/>
        <n v="3596" u="1"/>
        <n v="7130" u="1"/>
        <n v="10102" u="1"/>
        <n v="12119" u="1"/>
        <n v="3466" u="1"/>
        <n v="6870" u="1"/>
        <n v="11599" u="1"/>
        <n v="3336" u="1"/>
        <n v="6610" u="1"/>
        <n v="11079" u="1"/>
        <n v="13096" u="1"/>
        <n v="6350" u="1"/>
        <n v="10559" u="1"/>
        <n v="12576" u="1"/>
        <n v="200" u="1"/>
        <n v="6090" u="1"/>
        <n v="12056" u="1"/>
        <n v="14073" u="1"/>
        <n v="752" u="1"/>
        <n v="11536" u="1"/>
        <n v="13553" u="1"/>
        <n v="7587" u="1"/>
        <n v="11016" u="1"/>
        <n v="13033" u="1"/>
        <n v="687" u="1"/>
        <n v="7327" u="1"/>
        <n v="12513" u="1"/>
        <n v="14530" u="1"/>
        <n v="2556" u="1"/>
        <n v="7067" u="1"/>
        <n v="11993" u="1"/>
        <n v="14010" u="1"/>
        <n v="2426" u="1"/>
        <n v="4790" u="1"/>
        <n v="6807" u="1"/>
        <n v="13490" u="1"/>
        <n v="2296" u="1"/>
        <n v="4530" u="1"/>
        <n v="12970" u="1"/>
        <n v="14987" u="1"/>
        <n v="2166" u="1"/>
        <n v="4270" u="1"/>
        <n v="8416" u="1"/>
        <n v="12450" u="1"/>
        <n v="14467" u="1"/>
        <n v="135" u="1"/>
        <n v="4053" u="1"/>
        <n v="8044" u="1"/>
        <n v="13947" u="1"/>
        <n v="502" u="1"/>
        <n v="3923" u="1"/>
        <n v="7784" u="1"/>
        <n v="13427" u="1"/>
        <n v="7524" u="1"/>
        <n v="8873" u="1"/>
        <n v="12907" u="1"/>
        <n v="14924" u="1"/>
        <n v="5247" u="1"/>
        <n v="7264" u="1"/>
        <n v="8353" u="1"/>
        <n v="14404" u="1"/>
        <n v="4987" u="1"/>
        <n v="13884" u="1"/>
        <n v="437" u="1"/>
        <n v="1717" u="1"/>
        <n v="4727" u="1"/>
        <n v="9330" u="1"/>
        <n v="13364" u="1"/>
        <n v="1652" u="1"/>
        <n v="4467" u="1"/>
        <n v="8810" u="1"/>
        <n v="14861" u="1"/>
        <n v="1587" u="1"/>
        <n v="3143" u="1"/>
        <n v="4207" u="1"/>
        <n v="8290" u="1"/>
        <n v="10307" u="1"/>
        <n v="14341" u="1"/>
        <n v="99" u="1"/>
        <n v="1522" u="1"/>
        <n v="3013" u="1"/>
        <n v="5964" u="1"/>
        <n v="7981" u="1"/>
        <n v="9787" u="1"/>
        <n v="1457" u="1"/>
        <n v="2883" u="1"/>
        <n v="5704" u="1"/>
        <n v="9267" u="1"/>
        <n v="2753" u="1"/>
        <n v="5444" u="1"/>
        <n v="8747" u="1"/>
        <n v="10764" u="1"/>
        <n v="14798" u="1"/>
        <n v="5184" u="1"/>
        <n v="8227" u="1"/>
        <n v="10244" u="1"/>
        <n v="4924" u="1"/>
        <n v="9724" u="1"/>
        <n v="307" u="1"/>
        <n v="9204" u="1"/>
        <n v="11221" u="1"/>
        <n v="1132" u="1"/>
        <n v="6421" u="1"/>
        <n v="8684" u="1"/>
        <n v="10701" u="1"/>
        <n v="1067" u="1"/>
        <n v="6161" u="1"/>
        <n v="10181" u="1"/>
        <n v="1013" u="1"/>
        <n v="5901" u="1"/>
        <n v="9661" u="1"/>
        <n v="11678" u="1"/>
        <n v="5641" u="1"/>
        <n v="9141" u="1"/>
        <n v="11158" u="1"/>
        <n v="948" u="1"/>
        <n v="3730" u="1"/>
        <n v="5381" u="1"/>
        <n v="10638" u="1"/>
        <n v="12655" u="1"/>
        <n v="3600" u="1"/>
        <n v="7138" u="1"/>
        <n v="10118" u="1"/>
        <n v="12135" u="1"/>
        <n v="3470" u="1"/>
        <n v="6878" u="1"/>
        <n v="11615" u="1"/>
        <n v="3340" u="1"/>
        <n v="6618" u="1"/>
        <n v="11095" u="1"/>
        <n v="13112" u="1"/>
        <n v="6358" u="1"/>
        <n v="10575" u="1"/>
        <n v="12592" u="1"/>
        <n v="6098" u="1"/>
        <n v="12072" u="1"/>
        <n v="753" u="1"/>
        <n v="11552" u="1"/>
        <n v="13569" u="1"/>
        <n v="7595" u="1"/>
        <n v="11032" u="1"/>
        <n v="13049" u="1"/>
        <n v="688" u="1"/>
        <n v="7335" u="1"/>
        <n v="12529" u="1"/>
        <n v="2560" u="1"/>
        <n v="7075" u="1"/>
        <n v="12009" u="1"/>
        <n v="14026" u="1"/>
        <n v="2430" u="1"/>
        <n v="6815" u="1"/>
        <n v="11489" u="1"/>
        <n v="13506" u="1"/>
        <n v="2300" u="1"/>
        <n v="4538" u="1"/>
        <n v="6555" u="1"/>
        <n v="12986" u="1"/>
        <n v="15003" u="1"/>
        <n v="2170" u="1"/>
        <n v="4278" u="1"/>
        <n v="8432" u="1"/>
        <n v="12466" u="1"/>
        <n v="14483" u="1"/>
        <n v="2044" u="1"/>
        <n v="4057" u="1"/>
        <n v="8052" u="1"/>
        <n v="13963" u="1"/>
        <n v="3927" u="1"/>
        <n v="7792" u="1"/>
        <n v="13443" u="1"/>
        <n v="7532" u="1"/>
        <n v="8889" u="1"/>
        <n v="12923" u="1"/>
        <n v="14940" u="1"/>
        <n v="470" u="1"/>
        <n v="5255" u="1"/>
        <n v="7272" u="1"/>
        <n v="8369" u="1"/>
        <n v="14420" u="1"/>
        <n v="4995" u="1"/>
        <n v="13900" u="1"/>
        <n v="1719" u="1"/>
        <n v="4735" u="1"/>
        <n v="9346" u="1"/>
        <n v="13380" u="1"/>
        <n v="1654" u="1"/>
        <n v="4475" u="1"/>
        <n v="8826" u="1"/>
        <n v="14877" u="1"/>
        <n v="1589" u="1"/>
        <n v="3147" u="1"/>
        <n v="4215" u="1"/>
        <n v="8306" u="1"/>
        <n v="14357" u="1"/>
        <n v="1524" u="1"/>
        <n v="3017" u="1"/>
        <n v="7989" u="1"/>
        <n v="9803" u="1"/>
        <n v="13837" u="1"/>
        <n v="1459" u="1"/>
        <n v="2887" u="1"/>
        <n v="5712" u="1"/>
        <n v="7729" u="1"/>
        <n v="9283" u="1"/>
        <n v="91" u="1"/>
        <n v="2757" u="1"/>
        <n v="5452" u="1"/>
        <n v="8763" u="1"/>
        <n v="10780" u="1"/>
        <n v="14814" u="1"/>
        <n v="340" u="1"/>
        <n v="2627" u="1"/>
        <n v="5192" u="1"/>
        <n v="8243" u="1"/>
        <n v="10260" u="1"/>
        <n v="4932" u="1"/>
        <n v="9740" u="1"/>
        <n v="9220" u="1"/>
        <n v="11237" u="1"/>
        <n v="1134" u="1"/>
        <n v="6429" u="1"/>
        <n v="8700" u="1"/>
        <n v="10717" u="1"/>
        <n v="275" u="1"/>
        <n v="1069" u="1"/>
        <n v="6169" u="1"/>
        <n v="10197" u="1"/>
        <n v="1014" u="1"/>
        <n v="5909" u="1"/>
        <n v="9677" u="1"/>
        <n v="11694" u="1"/>
        <n v="5649" u="1"/>
        <n v="9157" u="1"/>
        <n v="11174" u="1"/>
        <n v="949" u="1"/>
        <n v="3734" u="1"/>
        <n v="5389" u="1"/>
        <n v="10654" u="1"/>
        <n v="3604" u="1"/>
        <n v="10134" u="1"/>
        <n v="12151" u="1"/>
        <n v="3474" u="1"/>
        <n v="6886" u="1"/>
        <n v="9614" u="1"/>
        <n v="11631" u="1"/>
        <n v="3344" u="1"/>
        <n v="6626" u="1"/>
        <n v="11111" u="1"/>
        <n v="13128" u="1"/>
        <n v="3214" u="1"/>
        <n v="6366" u="1"/>
        <n v="10591" u="1"/>
        <n v="12608" u="1"/>
        <n v="6106" u="1"/>
        <n v="12088" u="1"/>
        <n v="754" u="1"/>
        <n v="11568" u="1"/>
        <n v="13585" u="1"/>
        <n v="7603" u="1"/>
        <n v="11048" u="1"/>
        <n v="13065" u="1"/>
        <n v="689" u="1"/>
        <n v="7343" u="1"/>
        <n v="12545" u="1"/>
        <n v="2564" u="1"/>
        <n v="7083" u="1"/>
        <n v="12025" u="1"/>
        <n v="14042" u="1"/>
        <n v="624" u="1"/>
        <n v="2434" u="1"/>
        <n v="6823" u="1"/>
        <n v="11505" u="1"/>
        <n v="13522" u="1"/>
        <n v="2304" u="1"/>
        <n v="4546" u="1"/>
        <n v="6563" u="1"/>
        <n v="13002" u="1"/>
        <n v="2174" u="1"/>
        <n v="4286" u="1"/>
        <n v="12482" u="1"/>
        <n v="14499" u="1"/>
        <n v="2046" u="1"/>
        <n v="4061" u="1"/>
        <n v="8060" u="1"/>
        <n v="11962" u="1"/>
        <n v="13979" u="1"/>
        <n v="3931" u="1"/>
        <n v="7800" u="1"/>
        <n v="13459" u="1"/>
        <n v="3801" u="1"/>
        <n v="7540" u="1"/>
        <n v="8905" u="1"/>
        <n v="12939" u="1"/>
        <n v="14956" u="1"/>
        <n v="5263" u="1"/>
        <n v="7280" u="1"/>
        <n v="8385" u="1"/>
        <n v="14436" u="1"/>
        <n v="5003" u="1"/>
        <n v="7020" u="1"/>
        <n v="13916" u="1"/>
        <n v="438" u="1"/>
        <n v="4743" u="1"/>
        <n v="9362" u="1"/>
        <n v="13396" u="1"/>
        <n v="1656" u="1"/>
        <n v="4483" u="1"/>
        <n v="8842" u="1"/>
        <n v="14893" u="1"/>
        <n v="1591" u="1"/>
        <n v="3151" u="1"/>
        <n v="4223" u="1"/>
        <n v="8322" u="1"/>
        <n v="14373" u="1"/>
        <n v="1526" u="1"/>
        <n v="3021" u="1"/>
        <n v="7997" u="1"/>
        <n v="9819" u="1"/>
        <n v="13853" u="1"/>
        <n v="1461" u="1"/>
        <n v="2891" u="1"/>
        <n v="5720" u="1"/>
        <n v="7737" u="1"/>
        <n v="9299" u="1"/>
        <n v="2761" u="1"/>
        <n v="5460" u="1"/>
        <n v="8779" u="1"/>
        <n v="14830" u="1"/>
        <n v="2631" u="1"/>
        <n v="5200" u="1"/>
        <n v="8259" u="1"/>
        <n v="10276" u="1"/>
        <n v="14310" u="1"/>
        <n v="83" u="1"/>
        <n v="4940" u="1"/>
        <n v="9756" u="1"/>
        <n v="308" u="1"/>
        <n v="4680" u="1"/>
        <n v="9236" u="1"/>
        <n v="11253" u="1"/>
        <n v="6437" u="1"/>
        <n v="8716" u="1"/>
        <n v="10733" u="1"/>
        <n v="1071" u="1"/>
        <n v="6177" u="1"/>
        <n v="8196" u="1"/>
        <n v="10213" u="1"/>
        <n v="1015" u="1"/>
        <n v="5917" u="1"/>
        <n v="9693" u="1"/>
        <n v="11710" u="1"/>
        <n v="5657" u="1"/>
        <n v="9173" u="1"/>
        <n v="11190" u="1"/>
        <n v="950" u="1"/>
        <n v="3738" u="1"/>
        <n v="5397" u="1"/>
        <n v="10670" u="1"/>
        <n v="3608" u="1"/>
        <n v="10150" u="1"/>
        <n v="12167" u="1"/>
        <n v="3478" u="1"/>
        <n v="6894" u="1"/>
        <n v="9630" u="1"/>
        <n v="11647" u="1"/>
        <n v="217" u="1"/>
        <n v="3348" u="1"/>
        <n v="6634" u="1"/>
        <n v="11127" u="1"/>
        <n v="3218" u="1"/>
        <n v="6374" u="1"/>
        <n v="10607" u="1"/>
        <n v="12624" u="1"/>
        <n v="6114" u="1"/>
        <n v="10087" u="1"/>
        <n v="12104" u="1"/>
        <n v="755" u="1"/>
        <n v="5854" u="1"/>
        <n v="11584" u="1"/>
        <n v="13601" u="1"/>
        <n v="7611" u="1"/>
        <n v="11064" u="1"/>
        <n v="13081" u="1"/>
        <n v="690" u="1"/>
        <n v="7351" u="1"/>
        <n v="10544" u="1"/>
        <n v="12561" u="1"/>
        <n v="7091" u="1"/>
        <n v="12041" u="1"/>
        <n v="14058" u="1"/>
        <n v="625" u="1"/>
        <n v="2438" u="1"/>
        <n v="6831" u="1"/>
        <n v="11521" u="1"/>
        <n v="13538" u="1"/>
        <n v="2308" u="1"/>
        <n v="4554" u="1"/>
        <n v="6571" u="1"/>
        <n v="13018" u="1"/>
        <n v="2178" u="1"/>
        <n v="4294" u="1"/>
        <n v="12498" u="1"/>
        <n v="14515" u="1"/>
        <n v="2048" u="1"/>
        <n v="4065" u="1"/>
        <n v="8068" u="1"/>
        <n v="11978" u="1"/>
        <n v="13995" u="1"/>
        <n v="3935" u="1"/>
        <n v="7808" u="1"/>
        <n v="13475" u="1"/>
        <n v="3805" u="1"/>
        <n v="7548" u="1"/>
        <n v="12955" u="1"/>
        <n v="14972" u="1"/>
        <n v="471" u="1"/>
        <n v="7288" u="1"/>
        <n v="8401" u="1"/>
        <n v="12435" u="1"/>
        <n v="14452" u="1"/>
        <n v="5011" u="1"/>
        <n v="7028" u="1"/>
        <n v="13932" u="1"/>
        <n v="4751" u="1"/>
        <n v="9378" u="1"/>
        <n v="13412" u="1"/>
        <n v="1658" u="1"/>
        <n v="4491" u="1"/>
        <n v="8858" u="1"/>
        <n v="12892" u="1"/>
        <n v="14909" u="1"/>
        <n v="1593" u="1"/>
        <n v="4231" u="1"/>
        <n v="8338" u="1"/>
        <n v="14389" u="1"/>
        <n v="1528" u="1"/>
        <n v="3025" u="1"/>
        <n v="8005" u="1"/>
        <n v="9835" u="1"/>
        <n v="13869" u="1"/>
        <n v="1463" u="1"/>
        <n v="2895" u="1"/>
        <n v="5728" u="1"/>
        <n v="7745" u="1"/>
        <n v="9315" u="1"/>
        <n v="1398" u="1"/>
        <n v="2765" u="1"/>
        <n v="5468" u="1"/>
        <n v="8795" u="1"/>
        <n v="14846" u="1"/>
        <n v="2635" u="1"/>
        <n v="5208" u="1"/>
        <n v="8275" u="1"/>
        <n v="10292" u="1"/>
        <n v="14326" u="1"/>
        <n v="4948" u="1"/>
        <n v="9772" u="1"/>
        <n v="4688" u="1"/>
        <n v="9252" u="1"/>
        <n v="8732" u="1"/>
        <n v="10749" u="1"/>
        <n v="14783" u="1"/>
        <n v="276" u="1"/>
        <n v="1073" u="1"/>
        <n v="6185" u="1"/>
        <n v="8212" u="1"/>
        <n v="10229" u="1"/>
        <n v="1016" u="1"/>
        <n v="5925" u="1"/>
        <n v="9709" u="1"/>
        <n v="5665" u="1"/>
        <n v="9189" u="1"/>
        <n v="11206" u="1"/>
        <n v="951" u="1"/>
        <n v="5405" u="1"/>
        <n v="8669" u="1"/>
        <n v="10686" u="1"/>
        <n v="3612" u="1"/>
        <n v="5145" u="1"/>
        <n v="10166" u="1"/>
        <n v="12183" u="1"/>
        <n v="3482" u="1"/>
        <n v="6902" u="1"/>
        <n v="9646" u="1"/>
        <n v="11663" u="1"/>
        <n v="3352" u="1"/>
        <n v="6642" u="1"/>
        <n v="11143" u="1"/>
        <n v="3222" u="1"/>
        <n v="6382" u="1"/>
        <n v="10623" u="1"/>
        <n v="12640" u="1"/>
        <n v="201" u="1"/>
        <n v="6122" u="1"/>
        <n v="10103" u="1"/>
        <n v="12120" u="1"/>
        <n v="756" u="1"/>
        <n v="5862" u="1"/>
        <n v="11600" u="1"/>
        <n v="11080" u="1"/>
        <n v="13097" u="1"/>
        <n v="691" u="1"/>
        <n v="7359" u="1"/>
        <n v="10560" u="1"/>
        <n v="12577" u="1"/>
        <n v="7099" u="1"/>
        <n v="12057" u="1"/>
        <n v="626" u="1"/>
        <n v="2442" u="1"/>
        <n v="6839" u="1"/>
        <n v="11537" u="1"/>
        <n v="13554" u="1"/>
        <n v="2312" u="1"/>
        <n v="6579" u="1"/>
        <n v="11017" u="1"/>
        <n v="13034" u="1"/>
        <n v="2182" u="1"/>
        <n v="4302" u="1"/>
        <n v="6319" u="1"/>
        <n v="12514" u="1"/>
        <n v="14531" u="1"/>
        <n v="136" u="1"/>
        <n v="2052" u="1"/>
        <n v="4069" u="1"/>
        <n v="8076" u="1"/>
        <n v="11994" u="1"/>
        <n v="14011" u="1"/>
        <n v="1985" u="1"/>
        <n v="3939" u="1"/>
        <n v="7816" u="1"/>
        <n v="13491" u="1"/>
        <n v="3809" u="1"/>
        <n v="7556" u="1"/>
        <n v="12971" u="1"/>
        <n v="14988" u="1"/>
        <n v="7296" u="1"/>
        <n v="8417" u="1"/>
        <n v="12451" u="1"/>
        <n v="14468" u="1"/>
        <n v="5019" u="1"/>
        <n v="7036" u="1"/>
        <n v="13948" u="1"/>
        <n v="439" u="1"/>
        <n v="4759" u="1"/>
        <n v="13428" u="1"/>
        <n v="1660" u="1"/>
        <n v="4499" u="1"/>
        <n v="8874" u="1"/>
        <n v="12908" u="1"/>
        <n v="14925" u="1"/>
        <n v="1595" u="1"/>
        <n v="4239" u="1"/>
        <n v="8354" u="1"/>
        <n v="14405" u="1"/>
        <n v="1530" u="1"/>
        <n v="3029" u="1"/>
        <n v="8013" u="1"/>
        <n v="13885" u="1"/>
        <n v="1465" u="1"/>
        <n v="2899" u="1"/>
        <n v="7753" u="1"/>
        <n v="9331" u="1"/>
        <n v="13365" u="1"/>
        <n v="1400" u="1"/>
        <n v="2769" u="1"/>
        <n v="5476" u="1"/>
        <n v="7493" u="1"/>
        <n v="8811" u="1"/>
        <n v="14862" u="1"/>
        <n v="2639" u="1"/>
        <n v="5216" u="1"/>
        <n v="8291" u="1"/>
        <n v="10308" u="1"/>
        <n v="14342" u="1"/>
        <n v="2509" u="1"/>
        <n v="4956" u="1"/>
        <n v="9788" u="1"/>
        <n v="309" u="1"/>
        <n v="4696" u="1"/>
        <n v="9268" u="1"/>
        <n v="8748" u="1"/>
        <n v="10765" u="1"/>
        <n v="14799" u="1"/>
        <n v="1075" u="1"/>
        <n v="6193" u="1"/>
        <n v="8228" u="1"/>
        <n v="10245" u="1"/>
        <n v="1017" u="1"/>
        <n v="5933" u="1"/>
        <n v="9725" u="1"/>
        <n v="5673" u="1"/>
        <n v="9205" u="1"/>
        <n v="11222" u="1"/>
        <n v="952" u="1"/>
        <n v="5413" u="1"/>
        <n v="8685" u="1"/>
        <n v="10702" u="1"/>
        <n v="3616" u="1"/>
        <n v="5153" u="1"/>
        <n v="10182" u="1"/>
        <n v="3486" u="1"/>
        <n v="9662" u="1"/>
        <n v="11679" u="1"/>
        <n v="3356" u="1"/>
        <n v="6650" u="1"/>
        <n v="9142" u="1"/>
        <n v="11159" u="1"/>
        <n v="3226" u="1"/>
        <n v="6390" u="1"/>
        <n v="10639" u="1"/>
        <n v="12656" u="1"/>
        <n v="3096" u="1"/>
        <n v="6130" u="1"/>
        <n v="10119" u="1"/>
        <n v="12136" u="1"/>
        <n v="5870" u="1"/>
        <n v="11616" u="1"/>
        <n v="185" u="1"/>
        <n v="11096" u="1"/>
        <n v="13113" u="1"/>
        <n v="692" u="1"/>
        <n v="7367" u="1"/>
        <n v="10576" u="1"/>
        <n v="12593" u="1"/>
        <n v="7107" u="1"/>
        <n v="12073" u="1"/>
        <n v="627" u="1"/>
        <n v="2446" u="1"/>
        <n v="6847" u="1"/>
        <n v="11553" u="1"/>
        <n v="13570" u="1"/>
        <n v="2316" u="1"/>
        <n v="6587" u="1"/>
        <n v="11033" u="1"/>
        <n v="13050" u="1"/>
        <n v="2186" u="1"/>
        <n v="4310" u="1"/>
        <n v="6327" u="1"/>
        <n v="12530" u="1"/>
        <n v="2056" u="1"/>
        <n v="4073" u="1"/>
        <n v="12010" u="1"/>
        <n v="14027" u="1"/>
        <n v="1987" u="1"/>
        <n v="3943" u="1"/>
        <n v="7824" u="1"/>
        <n v="11490" u="1"/>
        <n v="13507" u="1"/>
        <n v="124" u="1"/>
        <n v="3813" u="1"/>
        <n v="7564" u="1"/>
        <n v="12987" u="1"/>
        <n v="15004" u="1"/>
        <n v="472" u="1"/>
        <n v="3683" u="1"/>
        <n v="7304" u="1"/>
        <n v="8433" u="1"/>
        <n v="12467" u="1"/>
        <n v="14484" u="1"/>
        <n v="5027" u="1"/>
        <n v="7044" u="1"/>
        <n v="13964" u="1"/>
        <n v="4767" u="1"/>
        <n v="13444" u="1"/>
        <n v="1662" u="1"/>
        <n v="4507" u="1"/>
        <n v="8890" u="1"/>
        <n v="12924" u="1"/>
        <n v="14941" u="1"/>
        <n v="407" u="1"/>
        <n v="1597" u="1"/>
        <n v="4247" u="1"/>
        <n v="8370" u="1"/>
        <n v="14421" u="1"/>
        <n v="1532" u="1"/>
        <n v="3033" u="1"/>
        <n v="8021" u="1"/>
        <n v="13901" u="1"/>
        <n v="1467" u="1"/>
        <n v="2903" u="1"/>
        <n v="7761" u="1"/>
        <n v="9347" u="1"/>
        <n v="13381" u="1"/>
        <n v="1402" u="1"/>
        <n v="2773" u="1"/>
        <n v="5484" u="1"/>
        <n v="7501" u="1"/>
        <n v="8827" u="1"/>
        <n v="14878" u="1"/>
        <n v="2643" u="1"/>
        <n v="5224" u="1"/>
        <n v="8307" u="1"/>
        <n v="14358" u="1"/>
        <n v="2513" u="1"/>
        <n v="4964" u="1"/>
        <n v="9804" u="1"/>
        <n v="13838" u="1"/>
        <n v="4704" u="1"/>
        <n v="9284" u="1"/>
        <n v="4444" u="1"/>
        <n v="8764" u="1"/>
        <n v="10781" u="1"/>
        <n v="14815" u="1"/>
        <n v="277" u="1"/>
        <n v="6201" u="1"/>
        <n v="8244" u="1"/>
        <n v="10261" u="1"/>
        <n v="1018" u="1"/>
        <n v="5941" u="1"/>
        <n v="9741" u="1"/>
        <n v="5681" u="1"/>
        <n v="9221" u="1"/>
        <n v="11238" u="1"/>
        <n v="953" u="1"/>
        <n v="5421" u="1"/>
        <n v="8701" u="1"/>
        <n v="10718" u="1"/>
        <n v="3620" u="1"/>
        <n v="5161" u="1"/>
        <n v="10198" u="1"/>
        <n v="888" u="1"/>
        <n v="3490" u="1"/>
        <n v="9678" u="1"/>
        <n v="11695" u="1"/>
        <n v="3360" u="1"/>
        <n v="6658" u="1"/>
        <n v="9158" u="1"/>
        <n v="11175" u="1"/>
        <n v="3230" u="1"/>
        <n v="6398" u="1"/>
        <n v="10655" u="1"/>
        <n v="3100" u="1"/>
        <n v="6138" u="1"/>
        <n v="10135" u="1"/>
        <n v="12152" u="1"/>
        <n v="5878" u="1"/>
        <n v="9615" u="1"/>
        <n v="11632" u="1"/>
        <n v="5618" u="1"/>
        <n v="11112" u="1"/>
        <n v="13129" u="1"/>
        <n v="693" u="1"/>
        <n v="7375" u="1"/>
        <n v="10592" u="1"/>
        <n v="12609" u="1"/>
        <n v="7115" u="1"/>
        <n v="12089" u="1"/>
        <n v="628" u="1"/>
        <n v="2450" u="1"/>
        <n v="6855" u="1"/>
        <n v="11569" u="1"/>
        <n v="13586" u="1"/>
        <n v="2320" u="1"/>
        <n v="6595" u="1"/>
        <n v="11049" u="1"/>
        <n v="13066" u="1"/>
        <n v="2190" u="1"/>
        <n v="4318" u="1"/>
        <n v="6335" u="1"/>
        <n v="12546" u="1"/>
        <n v="2060" u="1"/>
        <n v="4077" u="1"/>
        <n v="12026" u="1"/>
        <n v="14043" u="1"/>
        <n v="1989" u="1"/>
        <n v="3947" u="1"/>
        <n v="7832" u="1"/>
        <n v="11506" u="1"/>
        <n v="13523" u="1"/>
        <n v="3817" u="1"/>
        <n v="7572" u="1"/>
        <n v="13003" u="1"/>
        <n v="3687" u="1"/>
        <n v="7312" u="1"/>
        <n v="12483" u="1"/>
        <n v="14500" u="1"/>
        <n v="116" u="1"/>
        <n v="7052" u="1"/>
        <n v="11963" u="1"/>
        <n v="13980" u="1"/>
        <n v="440" u="1"/>
        <n v="4775" u="1"/>
        <n v="6792" u="1"/>
        <n v="13460" u="1"/>
        <n v="4515" u="1"/>
        <n v="8906" u="1"/>
        <n v="12940" u="1"/>
        <n v="14957" u="1"/>
        <n v="1599" u="1"/>
        <n v="4255" u="1"/>
        <n v="8386" u="1"/>
        <n v="12420" u="1"/>
        <n v="14437" u="1"/>
        <n v="1534" u="1"/>
        <n v="3037" u="1"/>
        <n v="8029" u="1"/>
        <n v="13917" u="1"/>
        <n v="1469" u="1"/>
        <n v="2907" u="1"/>
        <n v="7769" u="1"/>
        <n v="9363" u="1"/>
        <n v="13397" u="1"/>
        <n v="1404" u="1"/>
        <n v="2777" u="1"/>
        <n v="5492" u="1"/>
        <n v="7509" u="1"/>
        <n v="8843" u="1"/>
        <n v="14894" u="1"/>
        <n v="1339" u="1"/>
        <n v="2647" u="1"/>
        <n v="5232" u="1"/>
        <n v="8323" u="1"/>
        <n v="14374" u="1"/>
        <n v="2517" u="1"/>
        <n v="4972" u="1"/>
        <n v="9820" u="1"/>
        <n v="13854" u="1"/>
        <n v="310" u="1"/>
        <n v="4712" u="1"/>
        <n v="9300" u="1"/>
        <n v="4452" u="1"/>
        <n v="8780" u="1"/>
        <n v="14831" u="1"/>
        <n v="8260" u="1"/>
        <n v="10277" u="1"/>
        <n v="14311" u="1"/>
        <n v="1019" u="1"/>
        <n v="5949" u="1"/>
        <n v="7966" u="1"/>
        <n v="9757" u="1"/>
        <n v="5689" u="1"/>
        <n v="9237" u="1"/>
        <n v="11254" u="1"/>
        <n v="954" u="1"/>
        <n v="5429" u="1"/>
        <n v="8717" u="1"/>
        <n v="10734" u="1"/>
        <n v="14768" u="1"/>
        <n v="5169" u="1"/>
        <n v="8197" u="1"/>
        <n v="10214" u="1"/>
        <n v="889" u="1"/>
        <n v="3494" u="1"/>
        <n v="4909" u="1"/>
        <n v="9694" u="1"/>
        <n v="11711" u="1"/>
        <n v="3364" u="1"/>
        <n v="6666" u="1"/>
        <n v="9174" u="1"/>
        <n v="11191" u="1"/>
        <n v="3234" u="1"/>
        <n v="6406" u="1"/>
        <n v="10671" u="1"/>
        <n v="3104" u="1"/>
        <n v="6146" u="1"/>
        <n v="10151" u="1"/>
        <n v="12168" u="1"/>
        <n v="5886" u="1"/>
        <n v="9631" u="1"/>
        <n v="11648" u="1"/>
        <n v="5626" u="1"/>
        <n v="11128" u="1"/>
        <n v="694" u="1"/>
        <n v="10608" u="1"/>
        <n v="12625" u="1"/>
        <n v="7123" u="1"/>
        <n v="10088" u="1"/>
        <n v="12105" u="1"/>
        <n v="629" u="1"/>
        <n v="6863" u="1"/>
        <n v="11585" u="1"/>
        <n v="13602" u="1"/>
        <n v="2324" u="1"/>
        <n v="6603" u="1"/>
        <n v="11065" u="1"/>
        <n v="13082" u="1"/>
        <n v="2194" u="1"/>
        <n v="6343" u="1"/>
        <n v="10545" u="1"/>
        <n v="12562" u="1"/>
        <n v="2064" u="1"/>
        <n v="4081" u="1"/>
        <n v="6083" u="1"/>
        <n v="12042" u="1"/>
        <n v="14059" u="1"/>
        <n v="1991" u="1"/>
        <n v="3951" u="1"/>
        <n v="7840" u="1"/>
        <n v="11522" u="1"/>
        <n v="13539" u="1"/>
        <n v="1926" u="1"/>
        <n v="3821" u="1"/>
        <n v="7580" u="1"/>
        <n v="13019" u="1"/>
        <n v="3691" u="1"/>
        <n v="7320" u="1"/>
        <n v="12499" u="1"/>
        <n v="14516" u="1"/>
        <n v="7060" u="1"/>
        <n v="11979" u="1"/>
        <n v="13996" u="1"/>
        <n v="4783" u="1"/>
        <n v="6800" u="1"/>
        <n v="13476" u="1"/>
        <n v="4523" u="1"/>
        <n v="12956" u="1"/>
        <n v="14973" u="1"/>
        <n v="408" u="1"/>
        <n v="1601" u="1"/>
        <n v="4263" u="1"/>
        <n v="8402" u="1"/>
        <n v="12436" u="1"/>
        <n v="14453" u="1"/>
        <n v="1536" u="1"/>
        <n v="8037" u="1"/>
        <n v="13933" u="1"/>
        <n v="1471" u="1"/>
        <n v="2911" u="1"/>
        <n v="7777" u="1"/>
        <n v="13413" u="1"/>
        <n v="1406" u="1"/>
        <n v="2781" u="1"/>
        <n v="7517" u="1"/>
        <n v="8859" u="1"/>
        <n v="12893" u="1"/>
        <n v="14910" u="1"/>
        <n v="1341" u="1"/>
        <n v="2651" u="1"/>
        <n v="5240" u="1"/>
        <n v="7257" u="1"/>
        <n v="8339" u="1"/>
        <n v="14390" u="1"/>
        <n v="2521" u="1"/>
        <n v="4980" u="1"/>
        <n v="9836" u="1"/>
        <n v="13870" u="1"/>
        <n v="2391" u="1"/>
        <n v="4720" u="1"/>
        <n v="9316" u="1"/>
        <n v="4460" u="1"/>
        <n v="8796" u="1"/>
        <n v="14847" u="1"/>
        <n v="278" u="1"/>
        <n v="8276" u="1"/>
        <n v="10293" u="1"/>
        <n v="14327" u="1"/>
        <n v="1020" u="1"/>
        <n v="5957" u="1"/>
        <n v="7974" u="1"/>
        <n v="9773" u="1"/>
        <n v="5697" u="1"/>
        <n v="9253" u="1"/>
        <n v="955" u="1"/>
        <n v="5437" u="1"/>
        <n v="8733" u="1"/>
        <n v="10750" u="1"/>
        <n v="14784" u="1"/>
        <n v="5177" u="1"/>
        <n v="8213" u="1"/>
        <n v="10230" u="1"/>
        <n v="890" u="1"/>
        <n v="3498" u="1"/>
        <n v="4917" u="1"/>
        <n v="9710" u="1"/>
        <n v="3368" u="1"/>
        <n v="9190" u="1"/>
        <n v="11207" u="1"/>
        <n v="3238" u="1"/>
        <n v="6414" u="1"/>
        <n v="8670" u="1"/>
        <n v="10687" u="1"/>
        <n v="202" u="1"/>
        <n v="3108" u="1"/>
        <n v="6154" u="1"/>
        <n v="10167" u="1"/>
        <n v="12184" u="1"/>
        <n v="2978" u="1"/>
        <n v="5894" u="1"/>
        <n v="9647" u="1"/>
        <n v="11664" u="1"/>
        <n v="5634" u="1"/>
        <n v="11144" u="1"/>
        <n v="695" u="1"/>
        <n v="10624" u="1"/>
        <n v="12641" u="1"/>
        <n v="7131" u="1"/>
        <n v="10104" u="1"/>
        <n v="12121" u="1"/>
        <n v="630" u="1"/>
        <n v="6871" u="1"/>
        <n v="11601" u="1"/>
        <n v="2328" u="1"/>
        <n v="6611" u="1"/>
        <n v="11081" u="1"/>
        <n v="13098" u="1"/>
        <n v="565" u="1"/>
        <n v="2198" u="1"/>
        <n v="6351" u="1"/>
        <n v="10561" u="1"/>
        <n v="12578" u="1"/>
        <n v="2068" u="1"/>
        <n v="4085" u="1"/>
        <n v="6091" u="1"/>
        <n v="12058" u="1"/>
        <n v="1993" u="1"/>
        <n v="3955" u="1"/>
        <n v="11538" u="1"/>
        <n v="13555" u="1"/>
        <n v="1928" u="1"/>
        <n v="3825" u="1"/>
        <n v="7588" u="1"/>
        <n v="11018" u="1"/>
        <n v="13035" u="1"/>
        <n v="3695" u="1"/>
        <n v="7328" u="1"/>
        <n v="12515" u="1"/>
        <n v="14532" u="1"/>
        <n v="3565" u="1"/>
        <n v="7068" u="1"/>
        <n v="11995" u="1"/>
        <n v="14012" u="1"/>
        <n v="441" u="1"/>
        <n v="4791" u="1"/>
        <n v="6808" u="1"/>
        <n v="13492" u="1"/>
        <n v="4531" u="1"/>
        <n v="12972" u="1"/>
        <n v="14989" u="1"/>
        <n v="1603" u="1"/>
        <n v="4271" u="1"/>
        <n v="8418" u="1"/>
        <n v="12452" u="1"/>
        <n v="14469" u="1"/>
        <n v="1538" u="1"/>
        <n v="8045" u="1"/>
        <n v="13949" u="1"/>
        <n v="1473" u="1"/>
        <n v="2915" u="1"/>
        <n v="7785" u="1"/>
        <n v="13429" u="1"/>
        <n v="1408" u="1"/>
        <n v="2785" u="1"/>
        <n v="7525" u="1"/>
        <n v="8875" u="1"/>
        <n v="12909" u="1"/>
        <n v="14926" u="1"/>
        <n v="1343" u="1"/>
        <n v="2655" u="1"/>
        <n v="5248" u="1"/>
        <n v="7265" u="1"/>
        <n v="8355" u="1"/>
        <n v="14406" u="1"/>
        <n v="2525" u="1"/>
        <n v="4988" u="1"/>
        <n v="13886" u="1"/>
        <n v="311" u="1"/>
        <n v="2395" u="1"/>
        <n v="4728" u="1"/>
        <n v="9332" u="1"/>
        <n v="13366" u="1"/>
        <n v="4468" u="1"/>
        <n v="8812" u="1"/>
        <n v="14863" u="1"/>
        <n v="4208" u="1"/>
        <n v="8292" u="1"/>
        <n v="10309" u="1"/>
        <n v="14343" u="1"/>
        <n v="5965" u="1"/>
        <n v="7982" u="1"/>
        <n v="9789" u="1"/>
        <n v="251" u="1"/>
        <n v="5705" u="1"/>
        <n v="9269" u="1"/>
        <n v="956" u="1"/>
        <n v="5445" u="1"/>
        <n v="8749" u="1"/>
        <n v="10766" u="1"/>
        <n v="14800" u="1"/>
        <n v="5185" u="1"/>
        <n v="8229" u="1"/>
        <n v="10246" u="1"/>
        <n v="891" u="1"/>
        <n v="3502" u="1"/>
        <n v="4925" u="1"/>
        <n v="9726" u="1"/>
        <n v="3372" u="1"/>
        <n v="9206" u="1"/>
        <n v="11223" u="1"/>
        <n v="3242" u="1"/>
        <n v="6422" u="1"/>
        <n v="8686" u="1"/>
        <n v="10703" u="1"/>
        <n v="3112" u="1"/>
        <n v="6162" u="1"/>
        <n v="10183" u="1"/>
        <n v="2982" u="1"/>
        <n v="5902" u="1"/>
        <n v="9663" u="1"/>
        <n v="11680" u="1"/>
        <n v="186" u="1"/>
        <n v="5642" u="1"/>
        <n v="9143" u="1"/>
        <n v="11160" u="1"/>
        <n v="696" u="1"/>
        <n v="5382" u="1"/>
        <n v="10640" u="1"/>
        <n v="12657" u="1"/>
        <n v="7139" u="1"/>
        <n v="10120" u="1"/>
        <n v="12137" u="1"/>
        <n v="631" u="1"/>
        <n v="6879" u="1"/>
        <n v="11617" u="1"/>
        <n v="2332" u="1"/>
        <n v="6619" u="1"/>
        <n v="11097" u="1"/>
        <n v="13114" u="1"/>
        <n v="566" u="1"/>
        <n v="2202" u="1"/>
        <n v="6359" u="1"/>
        <n v="10577" u="1"/>
        <n v="12594" u="1"/>
        <n v="2072" u="1"/>
        <n v="4089" u="1"/>
        <n v="6099" u="1"/>
        <n v="12074" u="1"/>
        <n v="1995" u="1"/>
        <n v="3959" u="1"/>
        <n v="11554" u="1"/>
        <n v="13571" u="1"/>
        <n v="1930" u="1"/>
        <n v="3829" u="1"/>
        <n v="7596" u="1"/>
        <n v="11034" u="1"/>
        <n v="13051" u="1"/>
        <n v="3699" u="1"/>
        <n v="7336" u="1"/>
        <n v="12531" u="1"/>
        <n v="3569" u="1"/>
        <n v="7076" u="1"/>
        <n v="12011" u="1"/>
        <n v="14028" u="1"/>
        <n v="6816" u="1"/>
        <n v="11491" u="1"/>
        <n v="13508" u="1"/>
        <n v="4539" u="1"/>
        <n v="6556" u="1"/>
        <n v="12988" u="1"/>
        <n v="15005" u="1"/>
        <n v="409" u="1"/>
        <n v="4279" u="1"/>
        <n v="8434" u="1"/>
        <n v="12468" u="1"/>
        <n v="14485" u="1"/>
        <n v="1540" u="1"/>
        <n v="8053" u="1"/>
        <n v="13965" u="1"/>
        <n v="1475" u="1"/>
        <n v="2919" u="1"/>
        <n v="7793" u="1"/>
        <n v="13445" u="1"/>
        <n v="92" u="1"/>
        <n v="1410" u="1"/>
        <n v="2789" u="1"/>
        <n v="7533" u="1"/>
        <n v="8891" u="1"/>
        <n v="12925" u="1"/>
        <n v="14942" u="1"/>
        <n v="1345" u="1"/>
        <n v="2659" u="1"/>
        <n v="5256" u="1"/>
        <n v="7273" u="1"/>
        <n v="8371" u="1"/>
        <n v="14422" u="1"/>
        <n v="1280" u="1"/>
        <n v="2529" u="1"/>
        <n v="4996" u="1"/>
        <n v="13902" u="1"/>
        <n v="2399" u="1"/>
        <n v="4736" u="1"/>
        <n v="9348" u="1"/>
        <n v="13382" u="1"/>
        <n v="4476" u="1"/>
        <n v="8828" u="1"/>
        <n v="14879" u="1"/>
        <n v="279" u="1"/>
        <n v="4216" u="1"/>
        <n v="8308" u="1"/>
        <n v="14359" u="1"/>
        <n v="7990" u="1"/>
        <n v="9805" u="1"/>
        <n v="13839" u="1"/>
        <n v="5713" u="1"/>
        <n v="7730" u="1"/>
        <n v="9285" u="1"/>
        <n v="957" u="1"/>
        <n v="5453" u="1"/>
        <n v="8765" u="1"/>
        <n v="10782" u="1"/>
        <n v="14816" u="1"/>
        <n v="5193" u="1"/>
        <n v="8245" u="1"/>
        <n v="10262" u="1"/>
        <n v="892" u="1"/>
        <n v="3506" u="1"/>
        <n v="4933" u="1"/>
        <n v="9742" u="1"/>
        <n v="3376" u="1"/>
        <n v="4673" u="1"/>
        <n v="9222" u="1"/>
        <n v="11239" u="1"/>
        <n v="3246" u="1"/>
        <n v="6430" u="1"/>
        <n v="8702" u="1"/>
        <n v="10719" u="1"/>
        <n v="3116" u="1"/>
        <n v="6170" u="1"/>
        <n v="10199" u="1"/>
        <n v="2986" u="1"/>
        <n v="5910" u="1"/>
        <n v="9679" u="1"/>
        <n v="11696" u="1"/>
        <n v="5650" u="1"/>
        <n v="9159" u="1"/>
        <n v="11176" u="1"/>
        <n v="697" u="1"/>
        <n v="5390" u="1"/>
        <n v="10656" u="1"/>
        <n v="170" u="1"/>
        <n v="10136" u="1"/>
        <n v="12153" u="1"/>
        <n v="632" u="1"/>
        <n v="6887" u="1"/>
        <n v="9616" u="1"/>
        <n v="11633" u="1"/>
        <n v="6627" u="1"/>
        <n v="11113" u="1"/>
        <n v="13130" u="1"/>
        <n v="567" u="1"/>
        <n v="2206" u="1"/>
        <n v="6367" u="1"/>
        <n v="10593" u="1"/>
        <n v="12610" u="1"/>
        <n v="2076" u="1"/>
        <n v="4093" u="1"/>
        <n v="6107" u="1"/>
        <n v="10073" u="1"/>
        <n v="12090" u="1"/>
        <n v="1997" u="1"/>
        <n v="3963" u="1"/>
        <n v="5847" u="1"/>
        <n v="11570" u="1"/>
        <n v="13587" u="1"/>
        <n v="1932" u="1"/>
        <n v="3833" u="1"/>
        <n v="7604" u="1"/>
        <n v="11050" u="1"/>
        <n v="13067" u="1"/>
        <n v="1867" u="1"/>
        <n v="3703" u="1"/>
        <n v="7344" u="1"/>
        <n v="12547" u="1"/>
        <n v="3573" u="1"/>
        <n v="7084" u="1"/>
        <n v="12027" u="1"/>
        <n v="14044" u="1"/>
        <n v="442" u="1"/>
        <n v="6824" u="1"/>
        <n v="11507" u="1"/>
        <n v="13524" u="1"/>
        <n v="4547" u="1"/>
        <n v="6564" u="1"/>
        <n v="13004" u="1"/>
        <n v="4287" u="1"/>
        <n v="12484" u="1"/>
        <n v="14501" u="1"/>
        <n v="1542" u="1"/>
        <n v="8061" u="1"/>
        <n v="11964" u="1"/>
        <n v="13981" u="1"/>
        <n v="1477" u="1"/>
        <n v="7801" u="1"/>
        <n v="13461" u="1"/>
        <n v="1412" u="1"/>
        <n v="2793" u="1"/>
        <n v="7541" u="1"/>
        <n v="8907" u="1"/>
        <n v="12941" u="1"/>
        <n v="14958" u="1"/>
        <n v="1347" u="1"/>
        <n v="2663" u="1"/>
        <n v="5264" u="1"/>
        <n v="7281" u="1"/>
        <n v="8387" u="1"/>
        <n v="12421" u="1"/>
        <n v="14438" u="1"/>
        <n v="84" u="1"/>
        <n v="1282" u="1"/>
        <n v="2533" u="1"/>
        <n v="5004" u="1"/>
        <n v="7021" u="1"/>
        <n v="13918" u="1"/>
        <n v="2403" u="1"/>
        <n v="4744" u="1"/>
        <n v="9364" u="1"/>
        <n v="13398" u="1"/>
        <n v="2273" u="1"/>
        <n v="4484" u="1"/>
        <n v="8844" u="1"/>
        <n v="14895" u="1"/>
        <n v="4224" u="1"/>
        <n v="8324" u="1"/>
        <n v="14375" u="1"/>
        <n v="7998" u="1"/>
        <n v="9821" u="1"/>
        <n v="13855" u="1"/>
        <n v="5721" u="1"/>
        <n v="7738" u="1"/>
        <n v="9301" u="1"/>
        <n v="958" u="1"/>
        <n v="5461" u="1"/>
        <n v="8781" u="1"/>
        <n v="14832" u="1"/>
        <n v="5201" u="1"/>
        <n v="8261" u="1"/>
        <n v="10278" u="1"/>
        <n v="14312" u="1"/>
        <n v="893" u="1"/>
        <n v="4941" u="1"/>
        <n v="9758" u="1"/>
        <n v="3380" u="1"/>
        <n v="4681" u="1"/>
        <n v="9238" u="1"/>
        <n v="11255" u="1"/>
        <n v="3250" u="1"/>
        <n v="8718" u="1"/>
        <n v="10735" u="1"/>
        <n v="14769" u="1"/>
        <n v="3120" u="1"/>
        <n v="6178" u="1"/>
        <n v="8198" u="1"/>
        <n v="10215" u="1"/>
        <n v="2990" u="1"/>
        <n v="5918" u="1"/>
        <n v="9695" u="1"/>
        <n v="11712" u="1"/>
        <n v="2860" u="1"/>
        <n v="5658" u="1"/>
        <n v="9175" u="1"/>
        <n v="11192" u="1"/>
        <n v="5398" u="1"/>
        <n v="10672" u="1"/>
        <n v="10152" u="1"/>
        <n v="12169" u="1"/>
        <n v="633" u="1"/>
        <n v="6895" u="1"/>
        <n v="9632" u="1"/>
        <n v="11649" u="1"/>
        <n v="6635" u="1"/>
        <n v="11129" u="1"/>
        <n v="568" u="1"/>
        <n v="2210" u="1"/>
        <n v="6375" u="1"/>
        <n v="10609" u="1"/>
        <n v="12626" u="1"/>
        <n v="2080" u="1"/>
        <n v="6115" u="1"/>
        <n v="10089" u="1"/>
        <n v="12106" u="1"/>
        <n v="1999" u="1"/>
        <n v="3967" u="1"/>
        <n v="5855" u="1"/>
        <n v="11586" u="1"/>
        <n v="13603" u="1"/>
        <n v="1934" u="1"/>
        <n v="3837" u="1"/>
        <n v="11066" u="1"/>
        <n v="13083" u="1"/>
        <n v="1869" u="1"/>
        <n v="3707" u="1"/>
        <n v="7352" u="1"/>
        <n v="10546" u="1"/>
        <n v="12563" u="1"/>
        <n v="3577" u="1"/>
        <n v="7092" u="1"/>
        <n v="12043" u="1"/>
        <n v="14060" u="1"/>
        <n v="3447" u="1"/>
        <n v="6832" u="1"/>
        <n v="11523" u="1"/>
        <n v="13540" u="1"/>
        <n v="4555" u="1"/>
        <n v="6572" u="1"/>
        <n v="13020" u="1"/>
        <n v="410" u="1"/>
        <n v="4295" u="1"/>
        <n v="12500" u="1"/>
        <n v="14517" u="1"/>
        <n v="1544" u="1"/>
        <n v="8069" u="1"/>
        <n v="11980" u="1"/>
        <n v="13997" u="1"/>
        <n v="1479" u="1"/>
        <n v="7809" u="1"/>
        <n v="13477" u="1"/>
        <n v="1414" u="1"/>
        <n v="2797" u="1"/>
        <n v="7549" u="1"/>
        <n v="12957" u="1"/>
        <n v="14974" u="1"/>
        <n v="1349" u="1"/>
        <n v="2667" u="1"/>
        <n v="7289" u="1"/>
        <n v="8403" u="1"/>
        <n v="12437" u="1"/>
        <n v="14454" u="1"/>
        <n v="1284" u="1"/>
        <n v="2537" u="1"/>
        <n v="5012" u="1"/>
        <n v="7029" u="1"/>
        <n v="13934" u="1"/>
        <n v="2407" u="1"/>
        <n v="4752" u="1"/>
        <n v="13414" u="1"/>
        <n v="76" u="1"/>
        <n v="2277" u="1"/>
        <n v="4492" u="1"/>
        <n v="8860" u="1"/>
        <n v="12894" u="1"/>
        <n v="14911" u="1"/>
        <n v="280" u="1"/>
        <n v="4232" u="1"/>
        <n v="8340" u="1"/>
        <n v="14391" u="1"/>
        <n v="4034" u="1"/>
        <n v="8006" u="1"/>
        <n v="9837" u="1"/>
        <n v="13871" u="1"/>
        <n v="5729" u="1"/>
        <n v="7746" u="1"/>
        <n v="9317" u="1"/>
        <n v="959" u="1"/>
        <n v="5469" u="1"/>
        <n v="8797" u="1"/>
        <n v="14848" u="1"/>
        <n v="5209" u="1"/>
        <n v="8277" u="1"/>
        <n v="10294" u="1"/>
        <n v="14328" u="1"/>
        <n v="894" u="1"/>
        <n v="4949" u="1"/>
        <n v="9774" u="1"/>
        <n v="3384" u="1"/>
        <n v="4689" u="1"/>
        <n v="9254" u="1"/>
        <n v="3254" u="1"/>
        <n v="8734" u="1"/>
        <n v="10751" u="1"/>
        <n v="14785" u="1"/>
        <n v="203" u="1"/>
        <n v="3124" u="1"/>
        <n v="6186" u="1"/>
        <n v="8214" u="1"/>
        <n v="10231" u="1"/>
        <n v="2994" u="1"/>
        <n v="5926" u="1"/>
        <n v="9711" u="1"/>
        <n v="2864" u="1"/>
        <n v="5666" u="1"/>
        <n v="9191" u="1"/>
        <n v="11208" u="1"/>
        <n v="5406" u="1"/>
        <n v="8671" u="1"/>
        <n v="10688" u="1"/>
        <n v="5146" u="1"/>
        <n v="10168" u="1"/>
        <n v="12185" u="1"/>
        <n v="634" u="1"/>
        <n v="6903" u="1"/>
        <n v="9648" u="1"/>
        <n v="11665" u="1"/>
        <n v="6643" u="1"/>
        <n v="11145" u="1"/>
        <n v="569" u="1"/>
        <n v="2214" u="1"/>
        <n v="6383" u="1"/>
        <n v="10625" u="1"/>
        <n v="12642" u="1"/>
        <n v="2084" u="1"/>
        <n v="6123" u="1"/>
        <n v="10105" u="1"/>
        <n v="12122" u="1"/>
        <n v="2001" u="1"/>
        <n v="3971" u="1"/>
        <n v="5863" u="1"/>
        <n v="11602" u="1"/>
        <n v="1936" u="1"/>
        <n v="3841" u="1"/>
        <n v="11082" u="1"/>
        <n v="13099" u="1"/>
        <n v="1871" u="1"/>
        <n v="3711" u="1"/>
        <n v="7360" u="1"/>
        <n v="10562" u="1"/>
        <n v="12579" u="1"/>
        <n v="3581" u="1"/>
        <n v="7100" u="1"/>
        <n v="12059" u="1"/>
        <n v="443" u="1"/>
        <n v="3451" u="1"/>
        <n v="6840" u="1"/>
        <n v="11539" u="1"/>
        <n v="13556" u="1"/>
        <n v="6580" u="1"/>
        <n v="11019" u="1"/>
        <n v="13036" u="1"/>
        <n v="4303" u="1"/>
        <n v="6320" u="1"/>
        <n v="12516" u="1"/>
        <n v="14533" u="1"/>
        <n v="8077" u="1"/>
        <n v="11996" u="1"/>
        <n v="14013" u="1"/>
        <n v="378" u="1"/>
        <n v="1481" u="1"/>
        <n v="7817" u="1"/>
        <n v="13493" u="1"/>
        <n v="1416" u="1"/>
        <n v="2801" u="1"/>
        <n v="7557" u="1"/>
        <n v="12973" u="1"/>
        <n v="14990" u="1"/>
        <n v="1351" u="1"/>
        <n v="2671" u="1"/>
        <n v="7297" u="1"/>
        <n v="8419" u="1"/>
        <n v="12453" u="1"/>
        <n v="14470" u="1"/>
        <n v="1286" u="1"/>
        <n v="2541" u="1"/>
        <n v="5020" u="1"/>
        <n v="7037" u="1"/>
        <n v="13950" u="1"/>
        <n v="1221" u="1"/>
        <n v="2411" u="1"/>
        <n v="4760" u="1"/>
        <n v="13430" u="1"/>
        <n v="2281" u="1"/>
        <n v="4500" u="1"/>
        <n v="8876" u="1"/>
        <n v="12910" u="1"/>
        <n v="14927" u="1"/>
        <n v="4240" u="1"/>
        <n v="8356" u="1"/>
        <n v="14407" u="1"/>
        <n v="4038" u="1"/>
        <n v="8014" u="1"/>
        <n v="13887" u="1"/>
        <n v="252" u="1"/>
        <n v="7754" u="1"/>
        <n v="9333" u="1"/>
        <n v="13367" u="1"/>
        <n v="960" u="1"/>
        <n v="5477" u="1"/>
        <n v="7494" u="1"/>
        <n v="8813" u="1"/>
        <n v="14864" u="1"/>
        <n v="5217" u="1"/>
        <n v="8293" u="1"/>
        <n v="10310" u="1"/>
        <n v="14344" u="1"/>
        <n v="895" u="1"/>
        <n v="4957" u="1"/>
        <n v="9790" u="1"/>
        <n v="3388" u="1"/>
        <n v="4697" u="1"/>
        <n v="9270" u="1"/>
        <n v="830" u="1"/>
        <n v="3258" u="1"/>
        <n v="8750" u="1"/>
        <n v="10767" u="1"/>
        <n v="14801" u="1"/>
        <n v="3128" u="1"/>
        <n v="6194" u="1"/>
        <n v="8230" u="1"/>
        <n v="10247" u="1"/>
        <n v="2998" u="1"/>
        <n v="5934" u="1"/>
        <n v="9727" u="1"/>
        <n v="187" u="1"/>
        <n v="2868" u="1"/>
        <n v="5674" u="1"/>
        <n v="9207" u="1"/>
        <n v="11224" u="1"/>
        <n v="5414" u="1"/>
        <n v="8687" u="1"/>
        <n v="10704" u="1"/>
        <n v="5154" u="1"/>
        <n v="10184" u="1"/>
        <n v="635" u="1"/>
        <n v="9664" u="1"/>
        <n v="11681" u="1"/>
        <n v="6651" u="1"/>
        <n v="9144" u="1"/>
        <n v="11161" u="1"/>
        <n v="570" u="1"/>
        <n v="6391" u="1"/>
        <n v="10641" u="1"/>
        <n v="12658" u="1"/>
        <n v="2088" u="1"/>
        <n v="6131" u="1"/>
        <n v="10121" u="1"/>
        <n v="12138" u="1"/>
        <n v="2003" u="1"/>
        <n v="3975" u="1"/>
        <n v="5871" u="1"/>
        <n v="11618" u="1"/>
        <n v="125" u="1"/>
        <n v="1938" u="1"/>
        <n v="3845" u="1"/>
        <n v="11098" u="1"/>
        <n v="13115" u="1"/>
        <n v="1873" u="1"/>
        <n v="3715" u="1"/>
        <n v="7368" u="1"/>
        <n v="10578" u="1"/>
        <n v="12595" u="1"/>
        <n v="1808" u="1"/>
        <n v="3585" u="1"/>
        <n v="7108" u="1"/>
        <n v="12075" u="1"/>
        <n v="3455" u="1"/>
        <n v="6848" u="1"/>
        <n v="11555" u="1"/>
        <n v="13572" u="1"/>
        <n v="6588" u="1"/>
        <n v="11035" u="1"/>
        <n v="13052" u="1"/>
        <n v="411" u="1"/>
        <n v="4311" u="1"/>
        <n v="6328" u="1"/>
        <n v="12532" u="1"/>
        <n v="12012" u="1"/>
        <n v="14029" u="1"/>
        <n v="1483" u="1"/>
        <n v="7825" u="1"/>
        <n v="11492" u="1"/>
        <n v="13509" u="1"/>
        <n v="1418" u="1"/>
        <n v="7565" u="1"/>
        <n v="12989" u="1"/>
        <n v="15006" u="1"/>
        <n v="1353" u="1"/>
        <n v="2675" u="1"/>
        <n v="7305" u="1"/>
        <n v="8435" u="1"/>
        <n v="12469" u="1"/>
        <n v="14486" u="1"/>
        <n v="1288" u="1"/>
        <n v="2545" u="1"/>
        <n v="5028" u="1"/>
        <n v="7045" u="1"/>
        <n v="13966" u="1"/>
        <n v="1223" u="1"/>
        <n v="2415" u="1"/>
        <n v="4768" u="1"/>
        <n v="13446" u="1"/>
        <n v="2285" u="1"/>
        <n v="4508" u="1"/>
        <n v="8892" u="1"/>
        <n v="12926" u="1"/>
        <n v="14943" u="1"/>
        <n v="281" u="1"/>
        <n v="2155" u="1"/>
        <n v="4248" u="1"/>
        <n v="8372" u="1"/>
        <n v="14423" u="1"/>
        <n v="4042" u="1"/>
        <n v="8022" u="1"/>
        <n v="13903" u="1"/>
        <n v="7762" u="1"/>
        <n v="9349" u="1"/>
        <n v="13383" u="1"/>
        <n v="961" u="1"/>
        <n v="5485" u="1"/>
        <n v="7502" u="1"/>
        <n v="8829" u="1"/>
        <n v="14880" u="1"/>
        <n v="236" u="1"/>
        <n v="5225" u="1"/>
        <n v="8309" u="1"/>
        <n v="14360" u="1"/>
        <n v="896" u="1"/>
        <n v="4965" u="1"/>
        <n v="9806" u="1"/>
        <n v="13840" u="1"/>
        <n v="4705" u="1"/>
        <n v="9286" u="1"/>
        <n v="831" u="1"/>
        <n v="3262" u="1"/>
        <n v="4445" u="1"/>
        <n v="8766" u="1"/>
        <n v="10783" u="1"/>
        <n v="14817" u="1"/>
        <n v="3132" u="1"/>
        <n v="6202" u="1"/>
        <n v="8246" u="1"/>
        <n v="10263" u="1"/>
        <n v="3002" u="1"/>
        <n v="5942" u="1"/>
        <n v="7959" u="1"/>
        <n v="9743" u="1"/>
        <n v="2872" u="1"/>
        <n v="5682" u="1"/>
        <n v="9223" u="1"/>
        <n v="11240" u="1"/>
        <n v="2742" u="1"/>
        <n v="5422" u="1"/>
        <n v="8703" u="1"/>
        <n v="10720" u="1"/>
        <n v="171" u="1"/>
        <n v="5162" u="1"/>
        <n v="10200" u="1"/>
        <n v="636" u="1"/>
        <n v="9680" u="1"/>
        <n v="11697" u="1"/>
        <n v="6659" u="1"/>
        <n v="9160" u="1"/>
        <n v="11177" u="1"/>
        <n v="571" u="1"/>
        <n v="6399" u="1"/>
        <n v="10657" u="1"/>
        <n v="2092" u="1"/>
        <n v="6139" u="1"/>
        <n v="10137" u="1"/>
        <n v="12154" u="1"/>
        <n v="2005" u="1"/>
        <n v="5879" u="1"/>
        <n v="9617" u="1"/>
        <n v="11634" u="1"/>
        <n v="1940" u="1"/>
        <n v="3849" u="1"/>
        <n v="5619" u="1"/>
        <n v="11114" u="1"/>
        <n v="13131" u="1"/>
        <n v="1875" u="1"/>
        <n v="3719" u="1"/>
        <n v="7376" u="1"/>
        <n v="10594" u="1"/>
        <n v="12611" u="1"/>
        <n v="117" u="1"/>
        <n v="1810" u="1"/>
        <n v="3589" u="1"/>
        <n v="7116" u="1"/>
        <n v="10074" u="1"/>
        <n v="12091" u="1"/>
        <n v="3459" u="1"/>
        <n v="6856" u="1"/>
        <n v="11571" u="1"/>
        <n v="13588" u="1"/>
        <n v="3329" u="1"/>
        <n v="6596" u="1"/>
        <n v="11051" u="1"/>
        <n v="13068" u="1"/>
        <n v="4319" u="1"/>
        <n v="6336" u="1"/>
        <n v="12548" u="1"/>
        <n v="12028" u="1"/>
        <n v="14045" u="1"/>
        <n v="379" u="1"/>
        <n v="1485" u="1"/>
        <n v="7833" u="1"/>
        <n v="11508" u="1"/>
        <n v="13525" u="1"/>
        <n v="1420" u="1"/>
        <n v="7573" u="1"/>
        <n v="13005" u="1"/>
        <n v="1355" u="1"/>
        <n v="2679" u="1"/>
        <n v="7313" u="1"/>
        <n v="12485" u="1"/>
        <n v="14502" u="1"/>
        <n v="1290" u="1"/>
        <n v="2549" u="1"/>
        <n v="7053" u="1"/>
        <n v="11965" u="1"/>
        <n v="13982" u="1"/>
        <n v="1225" u="1"/>
        <n v="2419" u="1"/>
        <n v="4776" u="1"/>
        <n v="6793" u="1"/>
        <n v="13462" u="1"/>
        <n v="2289" u="1"/>
        <n v="4516" u="1"/>
        <n v="8908" u="1"/>
        <n v="12942" u="1"/>
        <n v="14959" u="1"/>
        <n v="2159" u="1"/>
        <n v="4256" u="1"/>
        <n v="8388" u="1"/>
        <n v="12422" u="1"/>
        <n v="14439" u="1"/>
        <n v="4046" u="1"/>
        <n v="8030" u="1"/>
        <n v="13919" u="1"/>
        <n v="3916" u="1"/>
        <n v="7770" u="1"/>
        <n v="9365" u="1"/>
        <n v="13399" u="1"/>
        <n v="5493" u="1"/>
        <n v="7510" u="1"/>
        <n v="8845" u="1"/>
        <n v="14896" u="1"/>
        <n v="5233" u="1"/>
        <n v="8325" u="1"/>
        <n v="14376" u="1"/>
        <n v="897" u="1"/>
        <n v="4973" u="1"/>
        <n v="9822" u="1"/>
        <n v="13856" u="1"/>
        <n v="4713" u="1"/>
        <n v="9302" u="1"/>
        <n v="832" u="1"/>
        <n v="3266" u="1"/>
        <n v="4453" u="1"/>
        <n v="8782" u="1"/>
        <n v="14833" u="1"/>
        <n v="3136" u="1"/>
        <n v="8262" u="1"/>
        <n v="10279" u="1"/>
        <n v="14313" u="1"/>
        <n v="3006" u="1"/>
        <n v="5950" u="1"/>
        <n v="7967" u="1"/>
        <n v="9759" u="1"/>
        <n v="2876" u="1"/>
        <n v="5690" u="1"/>
        <n v="9239" u="1"/>
        <n v="11256" u="1"/>
        <n v="2746" u="1"/>
        <n v="5430" u="1"/>
        <n v="8719" u="1"/>
        <n v="10736" u="1"/>
        <n v="14770" u="1"/>
        <n v="5170" u="1"/>
        <n v="8199" u="1"/>
        <n v="10216" u="1"/>
        <n v="637" u="1"/>
        <n v="4910" u="1"/>
        <n v="9696" u="1"/>
        <n v="11713" u="1"/>
        <n v="6667" u="1"/>
        <n v="9176" u="1"/>
        <n v="11193" u="1"/>
        <n v="572" u="1"/>
        <n v="6407" u="1"/>
        <n v="10673" u="1"/>
        <n v="2096" u="1"/>
        <n v="6147" u="1"/>
        <n v="10153" u="1"/>
        <n v="12170" u="1"/>
        <n v="2007" u="1"/>
        <n v="5887" u="1"/>
        <n v="9633" u="1"/>
        <n v="11650" u="1"/>
        <n v="1942" u="1"/>
        <n v="3853" u="1"/>
        <n v="5627" u="1"/>
        <n v="11130" u="1"/>
        <n v="1877" u="1"/>
        <n v="3723" u="1"/>
        <n v="10610" u="1"/>
        <n v="12627" u="1"/>
        <n v="1812" u="1"/>
        <n v="3593" u="1"/>
        <n v="7124" u="1"/>
        <n v="10090" u="1"/>
        <n v="12107" u="1"/>
        <n v="3463" u="1"/>
        <n v="6864" u="1"/>
        <n v="11587" u="1"/>
        <n v="109" u="1"/>
        <n v="3333" u="1"/>
        <n v="6604" u="1"/>
        <n v="11067" u="1"/>
        <n v="13084" u="1"/>
        <n v="412" u="1"/>
        <n v="6344" u="1"/>
        <n v="10547" u="1"/>
        <n v="12564" u="1"/>
        <n v="6084" u="1"/>
        <n v="12044" u="1"/>
        <n v="14061" u="1"/>
        <n v="7841" u="1"/>
        <n v="11524" u="1"/>
        <n v="13541" u="1"/>
        <n v="1422" u="1"/>
        <n v="7581" u="1"/>
        <n v="13021" u="1"/>
        <n v="1357" u="1"/>
        <n v="2683" u="1"/>
        <n v="7321" u="1"/>
        <n v="12501" u="1"/>
        <n v="14518" u="1"/>
        <n v="1292" u="1"/>
        <n v="2553" u="1"/>
        <n v="7061" u="1"/>
        <n v="11981" u="1"/>
        <n v="13998" u="1"/>
        <n v="1227" u="1"/>
        <n v="2423" u="1"/>
        <n v="4784" u="1"/>
        <n v="6801" u="1"/>
        <n v="13478" u="1"/>
        <n v="2293" u="1"/>
        <n v="4524" u="1"/>
        <n v="12958" u="1"/>
        <n v="14975" u="1"/>
        <n v="282" u="1"/>
        <n v="2163" u="1"/>
        <n v="4264" u="1"/>
        <n v="8404" u="1"/>
        <n v="12438" u="1"/>
        <n v="14455" u="1"/>
        <n v="4050" u="1"/>
        <n v="8038" u="1"/>
        <n v="13935" u="1"/>
        <n v="3920" u="1"/>
        <n v="7778" u="1"/>
        <n v="13415" u="1"/>
        <n v="7518" u="1"/>
        <n v="8861" u="1"/>
        <n v="12895" u="1"/>
        <n v="14912" u="1"/>
        <n v="5241" u="1"/>
        <n v="7258" u="1"/>
        <n v="8341" u="1"/>
        <n v="14392" u="1"/>
        <n v="898" u="1"/>
        <n v="4981" u="1"/>
        <n v="9838" u="1"/>
        <n v="13872" u="1"/>
        <n v="4721" u="1"/>
        <n v="9318" u="1"/>
        <n v="833" u="1"/>
        <n v="3270" u="1"/>
        <n v="4461" u="1"/>
        <n v="8798" u="1"/>
        <n v="14849" u="1"/>
        <n v="3140" u="1"/>
        <n v="8278" u="1"/>
        <n v="10295" u="1"/>
        <n v="14329" u="1"/>
        <n v="3010" u="1"/>
        <n v="5958" u="1"/>
        <n v="7975" u="1"/>
        <n v="9775" u="1"/>
        <n v="2880" u="1"/>
        <n v="5698" u="1"/>
        <n v="9255" u="1"/>
        <n v="2750" u="1"/>
        <n v="5438" u="1"/>
        <n v="8735" u="1"/>
        <n v="10752" u="1"/>
        <n v="14786" u="1"/>
        <n v="5178" u="1"/>
        <n v="8215" u="1"/>
        <n v="10232" u="1"/>
        <n v="638" u="1"/>
        <n v="4918" u="1"/>
        <n v="9712" u="1"/>
        <n v="9192" u="1"/>
        <n v="11209" u="1"/>
        <n v="573" u="1"/>
        <n v="6415" u="1"/>
        <n v="8672" u="1"/>
        <n v="10689" u="1"/>
        <n v="6155" u="1"/>
        <n v="10169" u="1"/>
        <n v="12186" u="1"/>
        <n v="510" u="1"/>
        <n v="2009" u="1"/>
        <n v="5895" u="1"/>
        <n v="9649" u="1"/>
        <n v="11666" u="1"/>
        <n v="1944" u="1"/>
        <n v="3857" u="1"/>
        <n v="5635" u="1"/>
        <n v="11146" u="1"/>
        <n v="1879" u="1"/>
        <n v="3727" u="1"/>
        <n v="10626" u="1"/>
        <n v="12643" u="1"/>
        <n v="1814" u="1"/>
        <n v="3597" u="1"/>
        <n v="7132" u="1"/>
        <n v="10106" u="1"/>
        <n v="12123" u="1"/>
        <n v="3467" u="1"/>
        <n v="6872" u="1"/>
        <n v="11603" u="1"/>
        <n v="3337" u="1"/>
        <n v="6612" u="1"/>
        <n v="11083" u="1"/>
        <n v="13100" u="1"/>
        <n v="6352" u="1"/>
        <n v="10563" u="1"/>
        <n v="12580" u="1"/>
        <n v="6092" u="1"/>
        <n v="12060" u="1"/>
        <n v="380" u="1"/>
        <n v="11540" u="1"/>
        <n v="13557" u="1"/>
        <n v="1424" u="1"/>
        <n v="7589" u="1"/>
        <n v="11020" u="1"/>
        <n v="13037" u="1"/>
        <n v="1359" u="1"/>
        <n v="7329" u="1"/>
        <n v="12517" u="1"/>
        <n v="14534" u="1"/>
        <n v="1294" u="1"/>
        <n v="2557" u="1"/>
        <n v="7069" u="1"/>
        <n v="11997" u="1"/>
        <n v="14014" u="1"/>
        <n v="1229" u="1"/>
        <n v="2427" u="1"/>
        <n v="4792" u="1"/>
        <n v="6809" u="1"/>
        <n v="13494" u="1"/>
        <n v="1164" u="1"/>
        <n v="2297" u="1"/>
        <n v="4532" u="1"/>
        <n v="12974" u="1"/>
        <n v="14991" u="1"/>
        <n v="2167" u="1"/>
        <n v="4272" u="1"/>
        <n v="8420" u="1"/>
        <n v="12454" u="1"/>
        <n v="14471" u="1"/>
        <n v="4054" u="1"/>
        <n v="8046" u="1"/>
        <n v="13951" u="1"/>
        <n v="253" u="1"/>
        <n v="3924" u="1"/>
        <n v="7786" u="1"/>
        <n v="13431" u="1"/>
        <n v="7526" u="1"/>
        <n v="8877" u="1"/>
        <n v="12911" u="1"/>
        <n v="14928" u="1"/>
        <n v="5249" u="1"/>
        <n v="7266" u="1"/>
        <n v="8357" u="1"/>
        <n v="14408" u="1"/>
        <n v="899" u="1"/>
        <n v="4989" u="1"/>
        <n v="13888" u="1"/>
        <n v="4729" u="1"/>
        <n v="9334" u="1"/>
        <n v="13368" u="1"/>
        <n v="834" u="1"/>
        <n v="4469" u="1"/>
        <n v="8814" u="1"/>
        <n v="14865" u="1"/>
        <n v="3144" u="1"/>
        <n v="4209" u="1"/>
        <n v="8294" u="1"/>
        <n v="10311" u="1"/>
        <n v="14345" u="1"/>
        <n v="3014" u="1"/>
        <n v="5966" u="1"/>
        <n v="7983" u="1"/>
        <n v="9791" u="1"/>
        <n v="188" u="1"/>
        <n v="2884" u="1"/>
        <n v="5706" u="1"/>
        <n v="9271" u="1"/>
        <n v="2754" u="1"/>
        <n v="5446" u="1"/>
        <n v="8751" u="1"/>
        <n v="10768" u="1"/>
        <n v="14802" u="1"/>
        <n v="2624" u="1"/>
        <n v="5186" u="1"/>
        <n v="8231" u="1"/>
        <n v="10248" u="1"/>
        <n v="4926" u="1"/>
        <n v="9728" u="1"/>
        <n v="9208" u="1"/>
        <n v="11225" u="1"/>
        <n v="574" u="1"/>
        <n v="6423" u="1"/>
        <n v="8688" u="1"/>
        <n v="10705" u="1"/>
        <n v="6163" u="1"/>
        <n v="10185" u="1"/>
        <n v="2011" u="1"/>
        <n v="5903" u="1"/>
        <n v="9665" u="1"/>
        <n v="11682" u="1"/>
        <n v="1946" u="1"/>
        <n v="5643" u="1"/>
        <n v="9145" u="1"/>
        <n v="11162" u="1"/>
        <n v="1881" u="1"/>
        <n v="3731" u="1"/>
        <n v="5383" u="1"/>
        <n v="10642" u="1"/>
        <n v="12659" u="1"/>
        <n v="1816" u="1"/>
        <n v="3601" u="1"/>
        <n v="7140" u="1"/>
        <n v="10122" u="1"/>
        <n v="12139" u="1"/>
        <n v="1751" u="1"/>
        <n v="3471" u="1"/>
        <n v="6880" u="1"/>
        <n v="11619" u="1"/>
        <n v="3341" u="1"/>
        <n v="6620" u="1"/>
        <n v="11099" u="1"/>
        <n v="13116" u="1"/>
        <n v="413" u="1"/>
        <n v="3211" u="1"/>
        <n v="6360" u="1"/>
        <n v="10579" u="1"/>
        <n v="12596" u="1"/>
        <n v="6100" u="1"/>
        <n v="12076" u="1"/>
        <n v="11556" u="1"/>
        <n v="13573" u="1"/>
        <n v="1426" u="1"/>
        <n v="7597" u="1"/>
        <n v="11036" u="1"/>
        <n v="13053" u="1"/>
        <n v="348" u="1"/>
        <n v="1361" u="1"/>
        <n v="7337" u="1"/>
        <n v="12533" u="1"/>
        <n v="1296" u="1"/>
        <n v="2561" u="1"/>
        <n v="7077" u="1"/>
        <n v="12013" u="1"/>
        <n v="14030" u="1"/>
        <n v="1231" u="1"/>
        <n v="2431" u="1"/>
        <n v="6817" u="1"/>
        <n v="11493" u="1"/>
        <n v="13510" u="1"/>
        <n v="1166" u="1"/>
        <n v="2301" u="1"/>
        <n v="4540" u="1"/>
        <n v="6557" u="1"/>
        <n v="12990" u="1"/>
        <n v="15007" u="1"/>
        <n v="2171" u="1"/>
        <n v="4280" u="1"/>
        <n v="8436" u="1"/>
        <n v="12470" u="1"/>
        <n v="14487" u="1"/>
        <n v="4058" u="1"/>
        <n v="8054" u="1"/>
        <n v="13967" u="1"/>
        <n v="3928" u="1"/>
        <n v="7794" u="1"/>
        <n v="13447" u="1"/>
        <n v="3798" u="1"/>
        <n v="7534" u="1"/>
        <n v="8893" u="1"/>
        <n v="12927" u="1"/>
        <n v="14944" u="1"/>
        <n v="237" u="1"/>
        <n v="5257" u="1"/>
        <n v="7274" u="1"/>
        <n v="8373" u="1"/>
        <n v="14424" u="1"/>
        <n v="900" u="1"/>
        <n v="4997" u="1"/>
        <n v="13904" u="1"/>
        <n v="4737" u="1"/>
        <n v="9350" u="1"/>
        <n v="13384" u="1"/>
        <n v="835" u="1"/>
        <n v="4477" u="1"/>
        <n v="8830" u="1"/>
        <n v="14881" u="1"/>
        <n v="3148" u="1"/>
        <n v="4217" u="1"/>
        <n v="8310" u="1"/>
        <n v="14361" u="1"/>
        <n v="3018" u="1"/>
        <n v="7991" u="1"/>
        <n v="9807" u="1"/>
        <n v="13841" u="1"/>
        <n v="2888" u="1"/>
        <n v="5714" u="1"/>
        <n v="7731" u="1"/>
        <n v="9287" u="1"/>
        <n v="2758" u="1"/>
        <n v="5454" u="1"/>
        <n v="8767" u="1"/>
        <n v="10784" u="1"/>
        <n v="14818" u="1"/>
        <n v="172" u="1"/>
        <n v="2628" u="1"/>
        <n v="5194" u="1"/>
        <n v="8247" u="1"/>
        <n v="10264" u="1"/>
        <n v="14298" u="1"/>
        <n v="4934" u="1"/>
        <n v="9744" u="1"/>
        <n v="4674" u="1"/>
        <n v="9224" u="1"/>
        <n v="11241" u="1"/>
        <n v="575" u="1"/>
        <n v="6431" u="1"/>
        <n v="8704" u="1"/>
        <n v="10721" u="1"/>
        <n v="6171" u="1"/>
        <n v="10201" u="1"/>
        <n v="511" u="1"/>
        <n v="2013" u="1"/>
        <n v="5911" u="1"/>
        <n v="9681" u="1"/>
        <n v="11698" u="1"/>
        <n v="1948" u="1"/>
        <n v="5651" u="1"/>
        <n v="9161" u="1"/>
        <n v="11178" u="1"/>
        <n v="1883" u="1"/>
        <n v="3735" u="1"/>
        <n v="5391" u="1"/>
        <n v="10658" u="1"/>
        <n v="1818" u="1"/>
        <n v="3605" u="1"/>
        <n v="10138" u="1"/>
        <n v="12155" u="1"/>
        <n v="1753" u="1"/>
        <n v="3475" u="1"/>
        <n v="6888" u="1"/>
        <n v="9618" u="1"/>
        <n v="11635" u="1"/>
        <n v="3345" u="1"/>
        <n v="6628" u="1"/>
        <n v="11115" u="1"/>
        <n v="13132" u="1"/>
        <n v="3215" u="1"/>
        <n v="6368" u="1"/>
        <n v="10595" u="1"/>
        <n v="12612" u="1"/>
        <n v="6108" u="1"/>
        <n v="10075" u="1"/>
        <n v="12092" u="1"/>
        <n v="381" u="1"/>
        <n v="5848" u="1"/>
        <n v="11572" u="1"/>
        <n v="13589" u="1"/>
        <n v="7605" u="1"/>
        <n v="11052" u="1"/>
        <n v="13069" u="1"/>
        <n v="1363" u="1"/>
        <n v="7345" u="1"/>
        <n v="12549" u="1"/>
        <n v="1298" u="1"/>
        <n v="2565" u="1"/>
        <n v="7085" u="1"/>
        <n v="12029" u="1"/>
        <n v="14046" u="1"/>
        <n v="1233" u="1"/>
        <n v="2435" u="1"/>
        <n v="6825" u="1"/>
        <n v="11509" u="1"/>
        <n v="13526" u="1"/>
        <n v="1168" u="1"/>
        <n v="2305" u="1"/>
        <n v="4548" u="1"/>
        <n v="6565" u="1"/>
        <n v="13006" u="1"/>
        <n v="2175" u="1"/>
        <n v="4288" u="1"/>
        <n v="12486" u="1"/>
        <n v="14503" u="1"/>
        <n v="4062" u="1"/>
        <n v="8062" u="1"/>
        <n v="11966" u="1"/>
        <n v="13983" u="1"/>
        <n v="3932" u="1"/>
        <n v="7802" u="1"/>
        <n v="13463" u="1"/>
        <n v="3802" u="1"/>
        <n v="7542" u="1"/>
        <n v="8909" u="1"/>
        <n v="12943" u="1"/>
        <n v="14960" u="1"/>
        <n v="7282" u="1"/>
        <n v="8389" u="1"/>
        <n v="12423" u="1"/>
        <n v="14440" u="1"/>
        <n v="901" u="1"/>
        <n v="5005" u="1"/>
        <n v="7022" u="1"/>
        <n v="13920" u="1"/>
        <n v="4745" u="1"/>
        <n v="9366" u="1"/>
        <n v="13400" u="1"/>
        <n v="836" u="1"/>
        <n v="4485" u="1"/>
        <n v="8846" u="1"/>
        <n v="14897" u="1"/>
        <n v="3152" u="1"/>
        <n v="4225" u="1"/>
        <n v="8326" u="1"/>
        <n v="14377" u="1"/>
        <n v="771" u="1"/>
        <n v="3022" u="1"/>
        <n v="7999" u="1"/>
        <n v="9823" u="1"/>
        <n v="13857" u="1"/>
        <n v="2892" u="1"/>
        <n v="5722" u="1"/>
        <n v="7739" u="1"/>
        <n v="9303" u="1"/>
        <n v="2762" u="1"/>
        <n v="5462" u="1"/>
        <n v="8783" u="1"/>
        <n v="14834" u="1"/>
        <n v="2632" u="1"/>
        <n v="5202" u="1"/>
        <n v="8263" u="1"/>
        <n v="10280" u="1"/>
        <n v="14314" u="1"/>
        <n v="4942" u="1"/>
        <n v="9760" u="1"/>
        <n v="156" u="1"/>
        <n v="4682" u="1"/>
        <n v="9240" u="1"/>
        <n v="576" u="1"/>
        <n v="8720" u="1"/>
        <n v="10737" u="1"/>
        <n v="14771" u="1"/>
        <n v="6179" u="1"/>
        <n v="8200" u="1"/>
        <n v="10217" u="1"/>
        <n v="5919" u="1"/>
        <n v="9697" u="1"/>
        <n v="11714" u="1"/>
        <n v="1950" u="1"/>
        <n v="5659" u="1"/>
        <n v="9177" u="1"/>
        <n v="11194" u="1"/>
        <n v="1885" u="1"/>
        <n v="3739" u="1"/>
        <n v="5399" u="1"/>
        <n v="10674" u="1"/>
        <n v="1820" u="1"/>
        <n v="3609" u="1"/>
        <n v="10154" u="1"/>
        <n v="12171" u="1"/>
        <n v="1755" u="1"/>
        <n v="3479" u="1"/>
        <n v="6896" u="1"/>
        <n v="9634" u="1"/>
        <n v="11651" u="1"/>
        <n v="3349" u="1"/>
        <n v="6636" u="1"/>
        <n v="11131" u="1"/>
        <n v="414" u="1"/>
        <n v="3219" u="1"/>
        <n v="6376" u="1"/>
        <n v="10611" u="1"/>
        <n v="12628" u="1"/>
        <n v="6116" u="1"/>
        <n v="10091" u="1"/>
        <n v="12108" u="1"/>
        <n v="5856" u="1"/>
        <n v="11588" u="1"/>
        <n v="11068" u="1"/>
        <n v="13085" u="1"/>
        <n v="349" u="1"/>
        <n v="1365" u="1"/>
        <n v="7353" u="1"/>
        <n v="10548" u="1"/>
        <n v="12565" u="1"/>
        <n v="1300" u="1"/>
        <n v="7093" u="1"/>
        <n v="12045" u="1"/>
        <n v="14062" u="1"/>
        <n v="1235" u="1"/>
        <n v="2439" u="1"/>
        <n v="6833" u="1"/>
        <n v="11525" u="1"/>
        <n v="13542" u="1"/>
        <n v="77" u="1"/>
        <n v="1170" u="1"/>
        <n v="2309" u="1"/>
        <n v="4556" u="1"/>
        <n v="6573" u="1"/>
        <n v="13022" u="1"/>
        <n v="1105" u="1"/>
        <n v="2179" u="1"/>
        <n v="4296" u="1"/>
        <n v="12502" u="1"/>
        <n v="14519" u="1"/>
        <n v="2049" u="1"/>
        <n v="4066" u="1"/>
        <n v="8070" u="1"/>
        <n v="11982" u="1"/>
        <n v="13999" u="1"/>
        <n v="3936" u="1"/>
        <n v="7810" u="1"/>
        <n v="13479" u="1"/>
        <n v="3806" u="1"/>
        <n v="7550" u="1"/>
        <n v="12959" u="1"/>
        <n v="14976" u="1"/>
        <n v="7290" u="1"/>
        <n v="8405" u="1"/>
        <n v="12439" u="1"/>
        <n v="14456" u="1"/>
        <n v="902" u="1"/>
        <n v="5013" u="1"/>
        <n v="7030" u="1"/>
        <n v="13936" u="1"/>
        <n v="4753" u="1"/>
        <n v="13416" u="1"/>
        <n v="837" u="1"/>
        <n v="4493" u="1"/>
        <n v="8862" u="1"/>
        <n v="12896" u="1"/>
        <n v="14913" u="1"/>
        <n v="4233" u="1"/>
        <n v="8342" u="1"/>
        <n v="14393" u="1"/>
        <n v="772" u="1"/>
        <n v="3026" u="1"/>
        <n v="8007" u="1"/>
        <n v="9839" u="1"/>
        <n v="13873" u="1"/>
        <n v="2896" u="1"/>
        <n v="5730" u="1"/>
        <n v="7747" u="1"/>
        <n v="9319" u="1"/>
        <n v="2766" u="1"/>
        <n v="5470" u="1"/>
        <n v="8799" u="1"/>
        <n v="14850" u="1"/>
        <n v="2636" u="1"/>
        <n v="5210" u="1"/>
        <n v="8279" u="1"/>
        <n v="10296" u="1"/>
        <n v="14330" u="1"/>
        <n v="4950" u="1"/>
        <n v="9776" u="1"/>
        <n v="4690" u="1"/>
        <n v="9256" u="1"/>
        <n v="577" u="1"/>
        <n v="8736" u="1"/>
        <n v="10753" u="1"/>
        <n v="14787" u="1"/>
        <n v="6187" u="1"/>
        <n v="8216" u="1"/>
        <n v="10233" u="1"/>
        <n v="512" u="1"/>
        <n v="5927" u="1"/>
        <n v="9713" u="1"/>
        <n v="1952" u="1"/>
        <n v="5667" u="1"/>
        <n v="9193" u="1"/>
        <n v="11210" u="1"/>
        <n v="1887" u="1"/>
        <n v="5407" u="1"/>
        <n v="8673" u="1"/>
        <n v="10690" u="1"/>
        <n v="1822" u="1"/>
        <n v="3613" u="1"/>
        <n v="5147" u="1"/>
        <n v="10170" u="1"/>
        <n v="12187" u="1"/>
        <n v="1757" u="1"/>
        <n v="3483" u="1"/>
        <n v="6904" u="1"/>
        <n v="9650" u="1"/>
        <n v="11667" u="1"/>
        <n v="1692" u="1"/>
        <n v="3353" u="1"/>
        <n v="6644" u="1"/>
        <n v="11147" u="1"/>
        <n v="3223" u="1"/>
        <n v="6384" u="1"/>
        <n v="10627" u="1"/>
        <n v="12644" u="1"/>
        <n v="6124" u="1"/>
        <n v="10107" u="1"/>
        <n v="12124" u="1"/>
        <n v="382" u="1"/>
        <n v="5864" u="1"/>
        <n v="11604" u="1"/>
        <n v="11084" u="1"/>
        <n v="13101" u="1"/>
        <n v="1367" u="1"/>
        <n v="7361" u="1"/>
        <n v="10564" u="1"/>
        <n v="12581" u="1"/>
        <n v="1302" u="1"/>
        <n v="7101" u="1"/>
        <n v="12061" u="1"/>
        <n v="1237" u="1"/>
        <n v="2443" u="1"/>
        <n v="6841" u="1"/>
        <n v="11541" u="1"/>
        <n v="13558" u="1"/>
        <n v="1172" u="1"/>
        <n v="2313" u="1"/>
        <n v="6581" u="1"/>
        <n v="11021" u="1"/>
        <n v="13038" u="1"/>
        <n v="1107" u="1"/>
        <n v="2183" u="1"/>
        <n v="4304" u="1"/>
        <n v="6321" u="1"/>
        <n v="12518" u="1"/>
        <n v="14535" u="1"/>
        <n v="2053" u="1"/>
        <n v="4070" u="1"/>
        <n v="8078" u="1"/>
        <n v="11998" u="1"/>
        <n v="14015" u="1"/>
        <n v="254" u="1"/>
        <n v="3940" u="1"/>
        <n v="7818" u="1"/>
        <n v="13495" u="1"/>
        <n v="3810" u="1"/>
        <n v="7558" u="1"/>
        <n v="12975" u="1"/>
        <n v="14992" u="1"/>
        <n v="7298" u="1"/>
        <n v="8421" u="1"/>
        <n v="12455" u="1"/>
        <n v="14472" u="1"/>
        <n v="903" u="1"/>
        <n v="5021" u="1"/>
        <n v="7038" u="1"/>
        <n v="13952" u="1"/>
        <n v="4761" u="1"/>
        <n v="13432" u="1"/>
        <n v="838" u="1"/>
        <n v="4501" u="1"/>
        <n v="8878" u="1"/>
        <n v="12912" u="1"/>
        <n v="14929" u="1"/>
        <n v="4241" u="1"/>
        <n v="8358" u="1"/>
        <n v="14409" u="1"/>
        <n v="773" u="1"/>
        <n v="3030" u="1"/>
        <n v="8015" u="1"/>
        <n v="13889" u="1"/>
        <n v="2900" u="1"/>
        <n v="7755" u="1"/>
        <n v="9335" u="1"/>
        <n v="13369" u="1"/>
        <n v="2770" u="1"/>
        <n v="5478" u="1"/>
        <n v="7495" u="1"/>
        <n v="8815" u="1"/>
        <n v="14866" u="1"/>
        <n v="2640" u="1"/>
        <n v="5218" u="1"/>
        <n v="8295" u="1"/>
        <n v="10312" u="1"/>
        <n v="14346" u="1"/>
        <n v="2510" u="1"/>
        <n v="4958" u="1"/>
        <n v="9792" u="1"/>
        <n v="4698" u="1"/>
        <n v="9272" u="1"/>
        <n v="578" u="1"/>
        <n v="4438" u="1"/>
        <n v="8752" u="1"/>
        <n v="10769" u="1"/>
        <n v="14803" u="1"/>
        <n v="6195" u="1"/>
        <n v="8232" u="1"/>
        <n v="10249" u="1"/>
        <n v="513" u="1"/>
        <n v="5935" u="1"/>
        <n v="9729" u="1"/>
        <n v="1954" u="1"/>
        <n v="5675" u="1"/>
        <n v="9209" u="1"/>
        <n v="11226" u="1"/>
        <n v="480" u="1"/>
        <n v="1889" u="1"/>
        <n v="5415" u="1"/>
        <n v="8689" u="1"/>
        <n v="10706" u="1"/>
        <n v="1824" u="1"/>
        <n v="3617" u="1"/>
        <n v="5155" u="1"/>
        <n v="10186" u="1"/>
        <n v="1759" u="1"/>
        <n v="3487" u="1"/>
        <n v="9666" u="1"/>
        <n v="11683" u="1"/>
        <n v="1694" u="1"/>
        <n v="3357" u="1"/>
        <n v="6652" u="1"/>
        <n v="9146" u="1"/>
        <n v="11163" u="1"/>
        <n v="3227" u="1"/>
        <n v="6392" u="1"/>
        <n v="10643" u="1"/>
        <n v="12660" u="1"/>
        <n v="3097" u="1"/>
        <n v="6132" u="1"/>
        <n v="10123" u="1"/>
        <n v="12140" u="1"/>
        <n v="5872" u="1"/>
        <n v="11620" u="1"/>
        <n v="5612" u="1"/>
        <n v="11100" u="1"/>
        <n v="13117" u="1"/>
        <n v="350" u="1"/>
        <n v="7369" u="1"/>
        <n v="10580" u="1"/>
        <n v="12597" u="1"/>
        <n v="1304" u="1"/>
        <n v="7109" u="1"/>
        <n v="12077" u="1"/>
        <n v="1239" u="1"/>
        <n v="2447" u="1"/>
        <n v="6849" u="1"/>
        <n v="11557" u="1"/>
        <n v="13574" u="1"/>
        <n v="1174" u="1"/>
        <n v="2317" u="1"/>
        <n v="6589" u="1"/>
        <n v="11037" u="1"/>
        <n v="13054" u="1"/>
        <n v="1109" u="1"/>
        <n v="2187" u="1"/>
        <n v="4312" u="1"/>
        <n v="6329" u="1"/>
        <n v="12534" u="1"/>
        <n v="2057" u="1"/>
        <n v="4074" u="1"/>
        <n v="12014" u="1"/>
        <n v="14031" u="1"/>
        <n v="3944" u="1"/>
        <n v="7826" u="1"/>
        <n v="11494" u="1"/>
        <n v="13511" u="1"/>
        <n v="3814" u="1"/>
        <n v="7566" u="1"/>
        <n v="12991" u="1"/>
        <n v="15008" u="1"/>
        <n v="238" u="1"/>
        <n v="3684" u="1"/>
        <n v="7306" u="1"/>
        <n v="8437" u="1"/>
        <n v="12471" u="1"/>
        <n v="14488" u="1"/>
        <n v="5029" u="1"/>
        <n v="7046" u="1"/>
        <n v="11951" u="1"/>
        <n v="13968" u="1"/>
        <n v="4769" u="1"/>
        <n v="6786" u="1"/>
        <n v="13448" u="1"/>
        <n v="839" u="1"/>
        <n v="4509" u="1"/>
        <n v="8894" u="1"/>
        <n v="12928" u="1"/>
        <n v="14945" u="1"/>
        <n v="4249" u="1"/>
        <n v="8374" u="1"/>
        <n v="14425" u="1"/>
        <n v="774" u="1"/>
        <n v="3034" u="1"/>
        <n v="8023" u="1"/>
        <n v="13905" u="1"/>
        <n v="2904" u="1"/>
        <n v="7763" u="1"/>
        <n v="9351" u="1"/>
        <n v="13385" u="1"/>
        <n v="2774" u="1"/>
        <n v="5486" u="1"/>
        <n v="7503" u="1"/>
        <n v="8831" u="1"/>
        <n v="14882" u="1"/>
        <n v="173" u="1"/>
        <n v="2644" u="1"/>
        <n v="5226" u="1"/>
        <n v="8311" u="1"/>
        <n v="14362" u="1"/>
        <n v="2514" u="1"/>
        <n v="4966" u="1"/>
        <n v="9808" u="1"/>
        <n v="13842" u="1"/>
        <n v="4706" u="1"/>
        <n v="9288" u="1"/>
        <n v="579" u="1"/>
        <n v="4446" u="1"/>
        <n v="8768" u="1"/>
        <n v="10785" u="1"/>
        <n v="14819" u="1"/>
        <n v="6203" u="1"/>
        <n v="8248" u="1"/>
        <n v="10265" u="1"/>
        <n v="14299" u="1"/>
        <n v="514" u="1"/>
        <n v="5943" u="1"/>
        <n v="7960" u="1"/>
        <n v="9745" u="1"/>
        <n v="5683" u="1"/>
        <n v="9225" u="1"/>
        <n v="11242" u="1"/>
        <n v="1891" u="1"/>
        <n v="5423" u="1"/>
        <n v="8705" u="1"/>
        <n v="10722" u="1"/>
        <n v="1826" u="1"/>
        <n v="3621" u="1"/>
        <n v="5163" u="1"/>
        <n v="10202" u="1"/>
        <n v="1761" u="1"/>
        <n v="3491" u="1"/>
        <n v="9682" u="1"/>
        <n v="11699" u="1"/>
        <n v="1696" u="1"/>
        <n v="3361" u="1"/>
        <n v="6660" u="1"/>
        <n v="9162" u="1"/>
        <n v="11179" u="1"/>
        <n v="3231" u="1"/>
        <n v="6400" u="1"/>
        <n v="10659" u="1"/>
        <n v="3101" u="1"/>
        <n v="6140" u="1"/>
        <n v="10139" u="1"/>
        <n v="12156" u="1"/>
        <n v="383" u="1"/>
        <n v="5880" u="1"/>
        <n v="9619" u="1"/>
        <n v="11636" u="1"/>
        <n v="5620" u="1"/>
        <n v="11116" u="1"/>
        <n v="13133" u="1"/>
        <n v="10596" u="1"/>
        <n v="12613" u="1"/>
        <n v="1306" u="1"/>
        <n v="7117" u="1"/>
        <n v="10076" u="1"/>
        <n v="12093" u="1"/>
        <n v="1241" u="1"/>
        <n v="6857" u="1"/>
        <n v="11573" u="1"/>
        <n v="13590" u="1"/>
        <n v="1176" u="1"/>
        <n v="2321" u="1"/>
        <n v="6597" u="1"/>
        <n v="11053" u="1"/>
        <n v="13070" u="1"/>
        <n v="1111" u="1"/>
        <n v="2191" u="1"/>
        <n v="4320" u="1"/>
        <n v="6337" u="1"/>
        <n v="12550" u="1"/>
        <n v="1046" u="1"/>
        <n v="2061" u="1"/>
        <n v="4078" u="1"/>
        <n v="12030" u="1"/>
        <n v="14047" u="1"/>
        <n v="3948" u="1"/>
        <n v="7834" u="1"/>
        <n v="11510" u="1"/>
        <n v="13527" u="1"/>
        <n v="3818" u="1"/>
        <n v="7574" u="1"/>
        <n v="13007" u="1"/>
        <n v="3688" u="1"/>
        <n v="7314" u="1"/>
        <n v="12487" u="1"/>
        <n v="14504" u="1"/>
        <n v="7054" u="1"/>
        <n v="11967" u="1"/>
        <n v="13984" u="1"/>
        <n v="222" u="1"/>
        <n v="4777" u="1"/>
        <n v="6794" u="1"/>
        <n v="13464" u="1"/>
        <n v="840" u="1"/>
        <n v="4517" u="1"/>
        <n v="12944" u="1"/>
        <n v="14961" u="1"/>
        <n v="4257" u="1"/>
        <n v="8390" u="1"/>
        <n v="12424" u="1"/>
        <n v="14441" u="1"/>
        <n v="775" u="1"/>
        <n v="8031" u="1"/>
        <n v="13921" u="1"/>
        <n v="2908" u="1"/>
        <n v="7771" u="1"/>
        <n v="9367" u="1"/>
        <n v="13401" u="1"/>
        <n v="2778" u="1"/>
        <n v="5494" u="1"/>
        <n v="7511" u="1"/>
        <n v="8847" u="1"/>
        <n v="14898" u="1"/>
        <n v="2648" u="1"/>
        <n v="5234" u="1"/>
        <n v="8327" u="1"/>
        <n v="14378" u="1"/>
        <n v="2518" u="1"/>
        <n v="4974" u="1"/>
        <n v="9824" u="1"/>
        <n v="13858" u="1"/>
        <n v="157" u="1"/>
        <n v="4714" u="1"/>
        <n v="9304" u="1"/>
        <n v="580" u="1"/>
        <n v="4454" u="1"/>
        <n v="8784" u="1"/>
        <n v="14835" u="1"/>
        <n v="8264" u="1"/>
        <n v="10281" u="1"/>
        <n v="14315" u="1"/>
        <n v="515" u="1"/>
        <n v="5951" u="1"/>
        <n v="7968" u="1"/>
        <n v="9761" u="1"/>
        <n v="5691" u="1"/>
        <n v="9241" u="1"/>
        <n v="481" u="1"/>
        <n v="1893" u="1"/>
        <n v="5431" u="1"/>
        <n v="8721" u="1"/>
        <n v="10738" u="1"/>
        <n v="14772" u="1"/>
        <n v="1828" u="1"/>
        <n v="5171" u="1"/>
        <n v="8201" u="1"/>
        <n v="10218" u="1"/>
        <n v="1763" u="1"/>
        <n v="3495" u="1"/>
        <n v="4911" u="1"/>
        <n v="9698" u="1"/>
        <n v="11715" u="1"/>
        <n v="110" u="1"/>
        <n v="1698" u="1"/>
        <n v="3365" u="1"/>
        <n v="6668" u="1"/>
        <n v="9178" u="1"/>
        <n v="11195" u="1"/>
        <n v="1633" u="1"/>
        <n v="3235" u="1"/>
        <n v="6408" u="1"/>
        <n v="10675" u="1"/>
        <n v="3105" u="1"/>
        <n v="6148" u="1"/>
        <n v="10155" u="1"/>
        <n v="12172" u="1"/>
        <n v="5888" u="1"/>
        <n v="9635" u="1"/>
        <n v="11652" u="1"/>
        <n v="5628" u="1"/>
        <n v="11132" u="1"/>
        <n v="351" u="1"/>
        <n v="10612" u="1"/>
        <n v="12629" u="1"/>
        <n v="1308" u="1"/>
        <n v="7125" u="1"/>
        <n v="10092" u="1"/>
        <n v="12109" u="1"/>
        <n v="1243" u="1"/>
        <n v="6865" u="1"/>
        <n v="11589" u="1"/>
        <n v="1178" u="1"/>
        <n v="2325" u="1"/>
        <n v="6605" u="1"/>
        <n v="11069" u="1"/>
        <n v="13086" u="1"/>
        <n v="1113" u="1"/>
        <n v="2195" u="1"/>
        <n v="6345" u="1"/>
        <n v="10549" u="1"/>
        <n v="12566" u="1"/>
        <n v="1048" u="1"/>
        <n v="2065" u="1"/>
        <n v="4082" u="1"/>
        <n v="6085" u="1"/>
        <n v="12046" u="1"/>
        <n v="14063" u="1"/>
        <n v="3952" u="1"/>
        <n v="7842" u="1"/>
        <n v="11526" u="1"/>
        <n v="13543" u="1"/>
        <n v="3822" u="1"/>
        <n v="7582" u="1"/>
        <n v="13023" u="1"/>
        <n v="3692" u="1"/>
        <n v="7322" u="1"/>
        <n v="12503" u="1"/>
        <n v="14520" u="1"/>
        <n v="7062" u="1"/>
        <n v="11983" u="1"/>
        <n v="14000" u="1"/>
        <n v="4785" u="1"/>
        <n v="6802" u="1"/>
        <n v="13480" u="1"/>
        <n v="841" u="1"/>
        <n v="4525" u="1"/>
        <n v="12960" u="1"/>
        <n v="14977" u="1"/>
        <n v="4265" u="1"/>
        <n v="8406" u="1"/>
        <n v="12440" u="1"/>
        <n v="14457" u="1"/>
        <n v="776" u="1"/>
        <n v="8039" u="1"/>
        <n v="13937" u="1"/>
        <n v="2912" u="1"/>
        <n v="7779" u="1"/>
        <n v="13417" u="1"/>
        <n v="2782" u="1"/>
        <n v="7519" u="1"/>
        <n v="8863" u="1"/>
        <n v="12897" u="1"/>
        <n v="14914" u="1"/>
        <n v="2652" u="1"/>
        <n v="5242" u="1"/>
        <n v="7259" u="1"/>
        <n v="8343" u="1"/>
        <n v="14394" u="1"/>
        <n v="2522" u="1"/>
        <n v="4982" u="1"/>
        <n v="9840" u="1"/>
        <n v="13874" u="1"/>
        <n v="2392" u="1"/>
        <n v="4722" u="1"/>
        <n v="9320" u="1"/>
        <n v="4462" u="1"/>
        <n v="8800" u="1"/>
        <n v="14851" u="1"/>
        <n v="141" u="1"/>
        <n v="8280" u="1"/>
        <n v="10297" u="1"/>
        <n v="14331" u="1"/>
        <n v="516" u="1"/>
        <n v="5959" u="1"/>
        <n v="7976" u="1"/>
        <n v="9777" u="1"/>
        <n v="5699" u="1"/>
        <n v="9257" u="1"/>
        <n v="1895" u="1"/>
        <n v="5439" u="1"/>
        <n v="8737" u="1"/>
        <n v="10754" u="1"/>
        <n v="14788" u="1"/>
        <n v="1830" u="1"/>
        <n v="5179" u="1"/>
        <n v="8217" u="1"/>
        <n v="10234" u="1"/>
        <n v="1765" u="1"/>
        <n v="3499" u="1"/>
        <n v="4919" u="1"/>
        <n v="9714" u="1"/>
        <n v="1700" u="1"/>
        <n v="3369" u="1"/>
        <n v="9194" u="1"/>
        <n v="11211" u="1"/>
        <n v="1635" u="1"/>
        <n v="3239" u="1"/>
        <n v="6416" u="1"/>
        <n v="8674" u="1"/>
        <n v="10691" u="1"/>
        <n v="102" u="1"/>
        <n v="3109" u="1"/>
        <n v="6156" u="1"/>
        <n v="10171" u="1"/>
        <n v="12188" u="1"/>
        <n v="384" u="1"/>
        <n v="2979" u="1"/>
        <n v="5896" u="1"/>
        <n v="9651" u="1"/>
        <n v="11668" u="1"/>
        <n v="5636" u="1"/>
        <n v="11148" u="1"/>
        <n v="10628" u="1"/>
        <n v="12645" u="1"/>
        <n v="1310" u="1"/>
        <n v="7133" u="1"/>
        <n v="10108" u="1"/>
        <n v="12125" u="1"/>
        <n v="319" u="1"/>
        <n v="1245" u="1"/>
        <n v="6873" u="1"/>
        <n v="11605" u="1"/>
        <n v="1180" u="1"/>
        <n v="2329" u="1"/>
        <n v="6613" u="1"/>
        <n v="11085" u="1"/>
        <n v="13102" u="1"/>
        <n v="1115" u="1"/>
        <n v="2199" u="1"/>
        <n v="6353" u="1"/>
        <n v="10565" u="1"/>
        <n v="12582" u="1"/>
        <n v="1050" u="1"/>
        <n v="2069" u="1"/>
        <n v="4086" u="1"/>
        <n v="6093" u="1"/>
        <n v="12062" u="1"/>
        <n v="3956" u="1"/>
        <n v="11542" u="1"/>
        <n v="13559" u="1"/>
        <n v="3826" u="1"/>
        <n v="7590" u="1"/>
        <n v="11022" u="1"/>
        <n v="13039" u="1"/>
        <n v="3696" u="1"/>
        <n v="7330" u="1"/>
        <n v="12519" u="1"/>
        <n v="14536" u="1"/>
        <n v="3566" u="1"/>
        <n v="7070" u="1"/>
        <n v="11999" u="1"/>
        <n v="14016" u="1"/>
        <n v="4793" u="1"/>
        <n v="6810" u="1"/>
        <n v="13496" u="1"/>
        <n v="842" u="1"/>
        <n v="4533" u="1"/>
        <n v="12976" u="1"/>
        <n v="14993" u="1"/>
        <n v="4273" u="1"/>
        <n v="8422" u="1"/>
        <n v="12456" u="1"/>
        <n v="14473" u="1"/>
        <n v="777" u="1"/>
        <n v="8047" u="1"/>
        <n v="13953" u="1"/>
        <n v="2916" u="1"/>
        <n v="7787" u="1"/>
        <n v="13433" u="1"/>
        <n v="712" u="1"/>
        <n v="2786" u="1"/>
        <n v="7527" u="1"/>
        <n v="8879" u="1"/>
        <n v="12913" u="1"/>
        <n v="14930" u="1"/>
        <n v="2656" u="1"/>
        <n v="5250" u="1"/>
        <n v="7267" u="1"/>
        <n v="8359" u="1"/>
        <n v="14410" u="1"/>
        <n v="2526" u="1"/>
        <n v="4990" u="1"/>
        <n v="13890" u="1"/>
        <n v="2396" u="1"/>
        <n v="4730" u="1"/>
        <n v="9336" u="1"/>
        <n v="13370" u="1"/>
      </sharedItems>
    </cacheField>
    <cacheField name="POSLABEL" numFmtId="0" sqlType="12">
      <sharedItems containsBlank="1" count="80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7-27-20:00"/>
        <s v="2018-07-27-21:00"/>
        <s v="2018-07-27-22:00"/>
        <s v="9999-99-99-99:00"/>
        <s v="9999-99-99-99:01"/>
        <s v="9999-99-99-99:02"/>
        <s v="2018-07-27-23:00"/>
        <m u="1"/>
        <s v="2016-01-31-19:00" u="1"/>
        <s v="2016-03-31-19:00" u="1"/>
        <s v="2016-05-31-19:00" u="1"/>
        <s v="2016-07-31-19:00" u="1"/>
        <s v="2016-08-31-19:00" u="1"/>
        <s v="2016-10-31-19:00" u="1"/>
        <s v="2017-02-21-19:00" u="1"/>
        <s v="2017-03-21-19:00" u="1"/>
        <s v="2017-04-21-19:00" u="1"/>
        <s v="2017-05-21-19:00" u="1"/>
        <s v="2017-06-21-19:00" u="1"/>
        <s v="2017-07-21-19:00" u="1"/>
        <s v="2017-08-21-19:00" u="1"/>
        <s v="2017-09-21-19:00" u="1"/>
        <s v="2017-11-21-19:00" u="1"/>
        <s v="2017-12-21-19:00" u="1"/>
        <s v="2018-01-11-19:00" u="1"/>
        <s v="2018-01-31-18:00" u="1"/>
        <s v="2018-02-11-19:00" u="1"/>
        <s v="2018-03-11-19:00" u="1"/>
        <s v="2018-04-11-19:00" u="1"/>
        <s v="2018-05-11-19:00" u="1"/>
        <s v="2018-07-31-18:00" u="1"/>
        <s v="2016-03-30-19:00" u="1"/>
        <s v="2016-05-30-19:00" u="1"/>
        <s v="2016-06-30-19:00" u="1"/>
        <s v="2016-08-30-19:00" u="1"/>
        <s v="2016-09-30-19:00" u="1"/>
        <s v="2016-10-30-19:00" u="1"/>
        <s v="2016-11-30-19:00" u="1"/>
        <s v="2016-12-30-19:00" u="1"/>
        <s v="2017-01-20-19:00" u="1"/>
        <s v="2017-02-20-19:00" u="1"/>
        <s v="2017-03-20-19:00" u="1"/>
        <s v="2017-04-20-19:00" u="1"/>
        <s v="2017-06-20-19:00" u="1"/>
        <s v="2017-07-20-19:00" u="1"/>
        <s v="2017-08-20-19:00" u="1"/>
        <s v="2017-09-20-19:00" u="1"/>
        <s v="2017-10-20-19:00" u="1"/>
        <s v="2017-11-20-19:00" u="1"/>
        <s v="2017-12-20-19:00" u="1"/>
        <s v="2019-09-12-19:00" u="1"/>
        <s v="2018-01-10-19:00" u="1"/>
        <s v="2018-01-30-18:00" u="1"/>
        <s v="2018-03-30-18:00" u="1"/>
        <s v="2018-04-10-19:00" u="1"/>
        <s v="2018-04-30-18:00" u="1"/>
        <s v="2018-05-10-19:00" u="1"/>
        <s v="2018-07-30-18:00" u="1"/>
        <s v="2018-08-10-19:00" u="1"/>
        <s v="2018-08-30-18:00" u="1"/>
        <s v="2017-01-31-19:00" u="1"/>
        <s v="2017-03-31-19:00" u="1"/>
        <s v="2017-05-31-19:00" u="1"/>
        <s v="2017-07-31-19:00" u="1"/>
        <s v="2017-08-31-19:00" u="1"/>
        <s v="2017-10-31-19:00" u="1"/>
        <s v="2018-01-21-19:00" u="1"/>
        <s v="2018-02-21-19:00" u="1"/>
        <s v="2018-03-21-19:00" u="1"/>
        <s v="2018-05-21-19:00" u="1"/>
        <s v="2018-08-21-19:00" u="1"/>
        <s v="2019-09-11-19:00" u="1"/>
        <s v="2017-01-30-19:00" u="1"/>
        <s v="2017-03-30-19:00" u="1"/>
        <s v="2017-04-30-19:00" u="1"/>
        <s v="2017-05-30-19:00" u="1"/>
        <s v="2017-06-30-19:00" u="1"/>
        <s v="2017-07-30-19:00" u="1"/>
        <s v="2017-08-30-19:00" u="1"/>
        <s v="2017-10-30-19:00" u="1"/>
        <s v="2017-11-30-19:00" u="1"/>
        <s v="2018-02-20-19:00" u="1"/>
        <s v="2018-03-20-19:00" u="1"/>
        <s v="2018-04-20-19:00" u="1"/>
        <s v="2018-05-20-19:00" u="1"/>
        <s v="2018-07-20-19:00" u="1"/>
        <s v="2018-08-20-19:00" u="1"/>
        <s v="2019-08-30-18:00" u="1"/>
        <s v="2018-01-31-19:00" u="1"/>
        <s v="2018-07-31-19:00" u="1"/>
        <s v="2018-01-30-19:00" u="1"/>
        <s v="2018-03-30-19:00" u="1"/>
        <s v="2018-04-30-19:00" u="1"/>
        <s v="2018-07-30-19:00" u="1"/>
        <s v="2018-08-30-19:00" u="1"/>
        <s v="2016-02-09-00:00" u="1"/>
        <s v="2016-03-09-00:00" u="1"/>
        <s v="2016-05-09-00:00" u="1"/>
        <s v="2016-06-09-00:00" u="1"/>
        <s v="2016-08-09-00:00" u="1"/>
        <s v="2016-09-09-00:00" u="1"/>
        <s v="2016-11-09-00:00" u="1"/>
        <s v="2016-12-09-00:00" u="1"/>
        <s v="2019-08-30-19:00" u="1"/>
        <s v="2016-01-08-00:00" u="1"/>
        <s v="2016-02-08-00:00" u="1"/>
        <s v="2016-03-08-00:00" u="1"/>
        <s v="2016-04-08-00:00" u="1"/>
        <s v="2016-06-08-00:00" u="1"/>
        <s v="2016-07-08-00:00" u="1"/>
        <s v="2016-08-08-00:00" u="1"/>
        <s v="2016-09-08-00:00" u="1"/>
        <s v="2016-11-08-00:00" u="1"/>
        <s v="2016-12-08-00:00" u="1"/>
        <s v="2016-01-19-00:00" u="1"/>
        <s v="2016-02-19-00:00" u="1"/>
        <s v="2016-04-19-00:00" u="1"/>
        <s v="2016-05-19-00:00" u="1"/>
        <s v="2016-07-19-00:00" u="1"/>
        <s v="2016-08-19-00:00" u="1"/>
        <s v="2016-09-19-00:00" u="1"/>
        <s v="2017-01-09-00:00" u="1"/>
        <s v="2017-02-09-00:00" u="1"/>
        <s v="2017-03-09-00:00" u="1"/>
        <s v="2017-05-09-00:00" u="1"/>
        <s v="2017-06-09-00:00" u="1"/>
        <s v="2017-08-09-00:00" u="1"/>
        <s v="2017-10-09-00:00" u="1"/>
        <s v="2017-11-09-00:00" u="1"/>
        <s v="2016-01-07-00:00" u="1"/>
        <s v="2016-03-07-00:00" u="1"/>
        <s v="2016-04-07-00:00" u="1"/>
        <s v="2016-06-07-00:00" u="1"/>
        <s v="2016-07-07-00:00" u="1"/>
        <s v="2016-09-07-00:00" u="1"/>
        <s v="2016-10-07-00:00" u="1"/>
        <s v="2016-11-07-00:00" u="1"/>
        <s v="2016-12-07-00:00" u="1"/>
        <s v="2014-05-26-00:00" u="1"/>
        <s v="2014-06-06-01:00" u="1"/>
        <s v="2014-06-26-00:00" u="1"/>
        <s v="2014-08-06-01:00" u="1"/>
        <s v="2014-08-26-00:00" u="1"/>
        <s v="2014-09-26-00:00" u="1"/>
        <s v="2016-01-18-00:00" u="1"/>
        <s v="2016-02-18-00:00" u="1"/>
        <s v="2016-03-18-00:00" u="1"/>
        <s v="2016-04-18-00:00" u="1"/>
        <s v="2016-05-18-00:00" u="1"/>
        <s v="2016-07-18-00:00" u="1"/>
        <s v="2016-08-18-00:00" u="1"/>
        <s v="2016-10-18-00:00" u="1"/>
        <s v="2016-11-18-00:00" u="1"/>
        <s v="2017-02-08-00:00" u="1"/>
        <s v="2017-03-08-00:00" u="1"/>
        <s v="2017-05-08-00:00" u="1"/>
        <s v="2017-06-08-00:00" u="1"/>
        <s v="2017-08-08-00:00" u="1"/>
        <s v="2017-09-08-00:00" u="1"/>
        <s v="2017-11-08-00:00" u="1"/>
        <s v="2017-12-08-00:00" u="1"/>
        <s v="2017-01-19-00:00" u="1"/>
        <s v="2017-04-19-00:00" u="1"/>
        <s v="2017-05-19-00:00" u="1"/>
        <s v="2017-06-19-00:00" u="1"/>
        <s v="2017-07-19-00:00" u="1"/>
        <s v="2017-09-19-00:00" u="1"/>
        <s v="2016-02-17-00:00" u="1"/>
        <s v="2016-03-17-00:00" u="1"/>
        <s v="2016-05-17-00:00" u="1"/>
        <s v="2016-06-17-00:00" u="1"/>
        <s v="2016-08-17-00:00" u="1"/>
        <s v="2016-10-17-00:00" u="1"/>
        <s v="2016-11-17-00:00" u="1"/>
        <s v="2018-01-09-00:00" u="1"/>
        <s v="2018-02-09-00:00" u="1"/>
        <s v="2018-03-09-00:00" u="1"/>
        <s v="2018-04-09-00:00" u="1"/>
        <s v="2018-05-09-00:00" u="1"/>
        <s v="2018-08-09-00:00" u="1"/>
        <s v="2017-02-07-00:00" u="1"/>
        <s v="2017-03-07-00:00" u="1"/>
        <s v="2017-04-07-00:00" u="1"/>
        <s v="2017-06-07-00:00" u="1"/>
        <s v="2017-07-07-00:00" u="1"/>
        <s v="2017-08-07-00:00" u="1"/>
        <s v="2017-09-07-00:00" u="1"/>
        <s v="2017-11-07-00:00" u="1"/>
        <s v="2017-12-07-00:00" u="1"/>
        <s v="2016-01-08-01:00" u="1"/>
        <s v="2016-01-28-00:00" u="1"/>
        <s v="2016-02-08-01: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5-01-06-01:00" u="1"/>
        <s v="2015-01-26-00:00" u="1"/>
        <s v="2015-02-06-01:00" u="1"/>
        <s v="2015-02-26-00:00" u="1"/>
        <s v="2015-03-06-01:00" u="1"/>
        <s v="2015-03-26-00:00" u="1"/>
        <s v="2015-04-06-01:00" u="1"/>
        <s v="2015-05-06-01:00" u="1"/>
        <s v="2015-05-26-00:00" u="1"/>
        <s v="2015-06-26-00:00" u="1"/>
        <s v="2015-07-06-01:00" u="1"/>
        <s v="2015-08-06-01:00" u="1"/>
        <s v="2015-08-26-00:00" u="1"/>
        <s v="2017-01-18-00:00" u="1"/>
        <s v="2017-04-18-00:00" u="1"/>
        <s v="2017-05-18-00:00" u="1"/>
        <s v="2017-07-18-00:00" u="1"/>
        <s v="2017-08-18-00:00" u="1"/>
        <s v="2017-09-18-00:00" u="1"/>
        <s v="2017-10-18-00:00" u="1"/>
        <s v="2017-12-18-00:00" u="1"/>
        <s v="2016-11-16-00:00" u="1"/>
        <s v="2016-12-16-00:00" u="1"/>
        <s v="2018-01-08-00:00" u="1"/>
        <s v="2018-02-08-00:00" u="1"/>
        <s v="2018-03-08-00:00" u="1"/>
        <s v="2018-05-08-00:00" u="1"/>
        <s v="2018-08-08-00: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8-01-19-00:00" u="1"/>
        <s v="2018-02-19-00:00" u="1"/>
        <s v="2018-03-19-00:00" u="1"/>
        <s v="2018-04-19-00:00" u="1"/>
        <s v="2017-01-17-00:00" u="1"/>
        <s v="2017-02-17-00:00" u="1"/>
        <s v="2017-03-17-00:00" u="1"/>
        <s v="2017-04-17-00:00" u="1"/>
        <s v="2017-05-17-00:00" u="1"/>
        <s v="2017-07-17-00:00" u="1"/>
        <s v="2017-08-17-00:00" u="1"/>
        <s v="2017-10-17-00:00" u="1"/>
        <s v="2017-11-17-00:00" u="1"/>
        <s v="2018-02-07-00:00" u="1"/>
        <s v="2018-03-07-00:00" u="1"/>
        <s v="2018-05-07-00:00" u="1"/>
        <s v="2018-08-07-00:00" u="1"/>
        <s v="2016-02-03-00:00" u="1"/>
        <s v="2016-03-03-00:00" u="1"/>
        <s v="2016-05-03-00:00" u="1"/>
        <s v="2016-06-03-00:00" u="1"/>
        <s v="2016-08-03-00:00" u="1"/>
        <s v="2016-10-03-00:00" u="1"/>
        <s v="2016-11-03-00:00" u="1"/>
        <s v="2016-01-18-01:00" u="1"/>
        <s v="2016-02-18-01:00" u="1"/>
        <s v="2016-03-18-01:00" u="1"/>
        <s v="2016-04-18-01:00" u="1"/>
        <s v="2016-05-18-01:00" u="1"/>
        <s v="2016-07-18-01:00" u="1"/>
        <s v="2016-08-18-01:00" u="1"/>
        <s v="2017-02-08-01:00" u="1"/>
        <s v="2017-02-28-00:00" u="1"/>
        <s v="2017-03-08-01:00" u="1"/>
        <s v="2017-03-28-00:00" u="1"/>
        <s v="2017-04-28-00:00" u="1"/>
        <s v="2017-05-08-01:00" u="1"/>
        <s v="2017-06-08-01:00" u="1"/>
        <s v="2017-06-28-00:00" u="1"/>
        <s v="2017-07-28-00:00" u="1"/>
        <s v="2017-08-08-01:00" u="1"/>
        <s v="2017-08-28-00:00" u="1"/>
        <s v="2017-09-08-01:00" u="1"/>
        <s v="2017-09-28-00:00" u="1"/>
        <s v="2017-11-08-01:00" u="1"/>
        <s v="2017-11-28-00:00" u="1"/>
        <s v="2017-12-08-01:00" u="1"/>
        <s v="2017-12-28-0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6-12-26-00:00" u="1"/>
        <s v="2018-01-18-00:00" u="1"/>
        <s v="2018-04-18-00:00" u="1"/>
        <s v="2018-05-18-00:00" u="1"/>
        <s v="2018-07-18-00:00" u="1"/>
        <s v="2017-10-16-00:00" u="1"/>
        <s v="2017-11-16-00:00" u="1"/>
        <s v="2016-02-02-00:00" u="1"/>
        <s v="2016-03-02-00:00" u="1"/>
        <s v="2016-05-02-00:00" u="1"/>
        <s v="2016-06-02-00:00" u="1"/>
        <s v="2016-08-02-00:00" u="1"/>
        <s v="2016-09-02-00:00" u="1"/>
        <s v="2016-11-02-00:00" u="1"/>
        <s v="2016-12-02-00:00" u="1"/>
        <s v="E2018-07-30-09:00" u="1"/>
        <s v="2016-02-17-01:00" u="1"/>
        <s v="2016-03-17-01:00" u="1"/>
        <s v="2016-05-17-01:00" u="1"/>
        <s v="2016-06-17-01:00" u="1"/>
        <s v="2016-08-17-01:00" u="1"/>
        <s v="2016-10-17-01:00" u="1"/>
        <s v="2016-11-17-01:00" u="1"/>
        <s v="2017-01-27-00:00" u="1"/>
        <s v="2017-02-07-01:00" u="1"/>
        <s v="2017-02-27-00:00" u="1"/>
        <s v="2017-03-07-01:00" u="1"/>
        <s v="2017-03-27-00:00" u="1"/>
        <s v="2017-04-07-01:00" u="1"/>
        <s v="2017-04-27-00:00" u="1"/>
        <s v="2017-06-07-01:00" u="1"/>
        <s v="2017-06-27-00:00" u="1"/>
        <s v="2017-07-07-01:00" u="1"/>
        <s v="2017-07-27-00:00" u="1"/>
        <s v="2017-08-07-01:00" u="1"/>
        <s v="2017-09-07-01:00" u="1"/>
        <s v="2017-09-27-00:00" u="1"/>
        <s v="2017-10-27-00:00" u="1"/>
        <s v="2017-11-07-01:00" u="1"/>
        <s v="2017-11-27-00:00" u="1"/>
        <s v="2017-12-07-01:00" u="1"/>
        <s v="2017-12-27-00:00" u="1"/>
        <s v="2016-02-09-10:00" u="1"/>
        <s v="2016-03-09-10:00" u="1"/>
        <s v="2016-05-09-10:00" u="1"/>
        <s v="2016-06-09-10:00" u="1"/>
        <s v="2016-08-09-10:00" u="1"/>
        <s v="2016-09-09-10:00" u="1"/>
        <s v="2018-01-17-00:00" u="1"/>
        <s v="2018-04-17-00:00" u="1"/>
        <s v="2018-05-17-00:00" u="1"/>
        <s v="2018-08-17-00:00" u="1"/>
        <s v="2016-01-13-00:00" u="1"/>
        <s v="2016-04-13-00:00" u="1"/>
        <s v="2016-05-13-00:00" u="1"/>
        <s v="2016-06-13-00:00" u="1"/>
        <s v="2016-07-13-00:00" u="1"/>
        <s v="2016-09-13-00:00" u="1"/>
        <s v="2016-10-13-00:00" u="1"/>
        <s v="2016-12-13-00:00" u="1"/>
        <s v="2017-01-03-00:00" u="1"/>
        <s v="2017-02-03-00:00" u="1"/>
        <s v="2017-03-03-00:00" u="1"/>
        <s v="2017-04-03-00:00" u="1"/>
        <s v="2017-05-03-00:00" u="1"/>
        <s v="2017-07-03-00:00" u="1"/>
        <s v="2017-08-03-00:00" u="1"/>
        <s v="2017-10-03-00:00" u="1"/>
        <s v="2017-11-03-00:00" u="1"/>
        <s v="2016-11-01-00:00" u="1"/>
        <s v="2016-12-01-00:00" u="1"/>
        <s v="2016-01-08-02:00" u="1"/>
        <s v="2016-01-28-01:00" u="1"/>
        <s v="2016-02-08-02:00" u="1"/>
        <s v="2016-03-08-02:00" u="1"/>
        <s v="2016-03-28-01:00" u="1"/>
        <s v="2016-04-08-02:00" u="1"/>
        <s v="2016-04-28-01:00" u="1"/>
        <s v="2016-06-08-02:00" u="1"/>
        <s v="2016-06-28-01:00" u="1"/>
        <s v="2016-07-08-02:00" u="1"/>
        <s v="2016-07-28-01:00" u="1"/>
        <s v="2016-08-08-02:00" u="1"/>
        <s v="2016-09-08-02:00" u="1"/>
        <s v="2016-09-28-01:00" u="1"/>
        <s v="2017-01-18-01:00" u="1"/>
        <s v="2017-04-18-01:00" u="1"/>
        <s v="2017-05-18-01:00" u="1"/>
        <s v="2017-07-18-01:00" u="1"/>
        <s v="2017-08-18-01:00" u="1"/>
        <s v="2017-09-18-01:00" u="1"/>
        <s v="2016-02-16-01:00" u="1"/>
        <s v="2016-03-16-01:00" u="1"/>
        <s v="2016-05-16-01:00" u="1"/>
        <s v="2016-06-16-01:00" u="1"/>
        <s v="2016-08-16-01:00" u="1"/>
        <s v="2016-09-16-01:00" u="1"/>
        <s v="2016-11-16-01:00" u="1"/>
        <s v="2016-12-16-01:00" u="1"/>
        <s v="2018-01-08-01:00" u="1"/>
        <s v="2018-02-08-01:00" u="1"/>
        <s v="2018-02-28-00:00" u="1"/>
        <s v="2018-03-08-01:00" u="1"/>
        <s v="2018-03-28-00:00" u="1"/>
        <s v="2018-05-08-01:00" u="1"/>
        <s v="2018-05-28-00:00" u="1"/>
        <s v="2018-08-08-01:00" u="1"/>
        <s v="2018-08-28-00:00" u="1"/>
        <s v="2017-01-06-01:00" u="1"/>
        <s v="2017-01-26-00:00" u="1"/>
        <s v="2017-02-06-01:00" u="1"/>
        <s v="2017-03-06-01:00" u="1"/>
        <s v="2017-04-06-01:00" u="1"/>
        <s v="2017-04-26-00:00" u="1"/>
        <s v="2017-05-26-00:00" u="1"/>
        <s v="2017-06-06-01:00" u="1"/>
        <s v="2017-06-26-00:00" u="1"/>
        <s v="2017-07-06-01:00" u="1"/>
        <s v="2017-07-26-00:00" u="1"/>
        <s v="2017-09-06-01:00" u="1"/>
        <s v="2017-09-26-00:00" u="1"/>
        <s v="2017-10-06-01:00" u="1"/>
        <s v="2017-10-26-00:00" u="1"/>
        <s v="2017-11-06-01:00" u="1"/>
        <s v="2017-12-06-01:00" u="1"/>
        <s v="2017-12-26-00:00" u="1"/>
        <s v="2016-01-08-10:00" u="1"/>
        <s v="2016-02-08-10:00" u="1"/>
        <s v="2016-03-08-10:00" u="1"/>
        <s v="2016-04-08-10:00" u="1"/>
        <s v="2016-06-08-10:00" u="1"/>
        <s v="2016-07-08-10:00" u="1"/>
        <s v="2016-08-08-10:00" u="1"/>
        <s v="2016-09-08-10:00" u="1"/>
        <s v="2016-11-08-10:00" u="1"/>
        <s v="2016-12-08-10:00" u="1"/>
        <s v="2015-12-22-00:00" u="1"/>
        <s v="2014-10-20-00:00" u="1"/>
        <s v="2014-11-20-00:00" u="1"/>
        <s v="2016-01-12-00:00" u="1"/>
        <s v="2016-02-12-00:00" u="1"/>
        <s v="2016-04-12-00:00" u="1"/>
        <s v="2016-05-12-00:00" u="1"/>
        <s v="2016-07-12-00:00" u="1"/>
        <s v="2016-08-12-00:00" u="1"/>
        <s v="2016-09-12-00:00" u="1"/>
        <s v="2016-10-12-00:00" u="1"/>
        <s v="2016-12-12-00:00" u="1"/>
        <s v="2017-02-02-00:00" u="1"/>
        <s v="2017-03-02-00:00" u="1"/>
        <s v="2017-05-02-00:00" u="1"/>
        <s v="2017-06-02-00:00" u="1"/>
        <s v="2017-08-02-00:00" u="1"/>
        <s v="2017-10-02-00:00" u="1"/>
        <s v="2017-11-02-00:00" u="1"/>
        <s v="2016-01-07-02:00" u="1"/>
        <s v="2016-01-27-01: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7-01-17-01:00" u="1"/>
        <s v="2017-02-17-01:00" u="1"/>
        <s v="2017-03-17-01:00" u="1"/>
        <s v="2017-04-17-01:00" u="1"/>
        <s v="2017-05-17-01:00" u="1"/>
        <s v="2017-07-17-01:00" u="1"/>
        <s v="2017-08-17-01:00" u="1"/>
        <s v="2017-10-17-01:00" u="1"/>
        <s v="2017-11-17-01:00" u="1"/>
        <s v="2016-01-19-10:00" u="1"/>
        <s v="2016-02-19-10:00" u="1"/>
        <s v="2016-04-19-10:00" u="1"/>
        <s v="2016-05-19-10:00" u="1"/>
        <s v="2016-07-19-10:00" u="1"/>
        <s v="2016-08-19-10:00" u="1"/>
        <s v="2016-09-19-10:00" u="1"/>
        <s v="2018-02-07-01:00" u="1"/>
        <s v="2018-02-27-00:00" u="1"/>
        <s v="2018-03-07-01:00" u="1"/>
        <s v="2018-03-27-00:00" u="1"/>
        <s v="2018-04-27-00:00" u="1"/>
        <s v="2018-05-07-01:00" u="1"/>
        <s v="2018-08-07-01:00" u="1"/>
        <s v="2018-08-27-00:00" u="1"/>
        <s v="2017-01-09-10:00" u="1"/>
        <s v="2017-02-09-10:00" u="1"/>
        <s v="2017-03-09-10:00" u="1"/>
        <s v="2017-05-09-10:00" u="1"/>
        <s v="2017-06-09-10:00" u="1"/>
        <s v="2017-08-09-10:00" u="1"/>
        <s v="2016-01-07-10:00" u="1"/>
        <s v="2016-02-03-01:00" u="1"/>
        <s v="2016-02-23-00:00" u="1"/>
        <s v="2016-03-03-01:00" u="1"/>
        <s v="2016-03-07-10:00" u="1"/>
        <s v="2016-03-23-00:00" u="1"/>
        <s v="2016-04-07-10:00" u="1"/>
        <s v="2016-05-03-01:00" u="1"/>
        <s v="2016-05-23-00:00" u="1"/>
        <s v="2016-06-03-01:00" u="1"/>
        <s v="2016-06-07-10:00" u="1"/>
        <s v="2016-06-23-00:00" u="1"/>
        <s v="2016-07-07-10:00" u="1"/>
        <s v="2016-08-03-01:00" u="1"/>
        <s v="2016-08-23-00:00" u="1"/>
        <s v="2016-09-07-10:00" u="1"/>
        <s v="2016-09-23-00:00" u="1"/>
        <s v="2016-10-07-10:00" u="1"/>
        <s v="2016-11-07-10:00" u="1"/>
        <s v="2016-12-07-10:00" u="1"/>
        <s v="2017-01-13-00:00" u="1"/>
        <s v="2017-02-13-00:00" u="1"/>
        <s v="2017-03-13-00:00" u="1"/>
        <s v="2017-04-13-00:00" u="1"/>
        <s v="2017-06-13-00:00" u="1"/>
        <s v="2017-07-13-00:00" u="1"/>
        <s v="2017-09-13-00:00" u="1"/>
        <s v="2017-10-13-00:00" u="1"/>
        <s v="2017-11-13-00:00" u="1"/>
        <s v="2017-12-13-00:00" u="1"/>
        <s v="2016-01-11-00:00" u="1"/>
        <s v="2016-02-11-00:00" u="1"/>
        <s v="2016-03-11-00:00" u="1"/>
        <s v="2016-04-11-00:00" u="1"/>
        <s v="2016-05-11-00:00" u="1"/>
        <s v="2016-07-11-00:00" u="1"/>
        <s v="2016-08-11-00:00" u="1"/>
        <s v="2016-10-11-00:00" u="1"/>
        <s v="2016-11-11-00:00" u="1"/>
        <s v="2018-01-03-00:00" u="1"/>
        <s v="2018-04-03-00:00" u="1"/>
        <s v="2018-05-03-00:00" u="1"/>
        <s v="2018-08-03-00:00" u="1"/>
        <s v="2017-11-01-00:00" u="1"/>
        <s v="2017-12-01-00:00" u="1"/>
        <s v="2017-02-08-02:00" u="1"/>
        <s v="2017-02-28-01:00" u="1"/>
        <s v="2017-03-08-02:00" u="1"/>
        <s v="2017-03-28-01:00" u="1"/>
        <s v="2017-04-28-01:00" u="1"/>
        <s v="2017-05-08-02:00" u="1"/>
        <s v="2017-06-08-02:00" u="1"/>
        <s v="2017-06-28-01:00" u="1"/>
        <s v="2017-07-28-01:00" u="1"/>
        <s v="2017-08-08-02:00" u="1"/>
        <s v="2017-08-28-01:00" u="1"/>
        <s v="2017-09-08-02:00" u="1"/>
        <s v="2017-09-28-01: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6-12-26-01:00" u="1"/>
        <s v="2018-01-18-01:00" u="1"/>
        <s v="2018-04-18-01:00" u="1"/>
        <s v="2018-05-18-01:00" u="1"/>
        <s v="2018-07-18-01:00" u="1"/>
        <s v="2017-01-16-01:00" u="1"/>
        <s v="2017-02-16-01:00" u="1"/>
        <s v="2017-03-16-01:00" u="1"/>
        <s v="2017-05-16-01:00" u="1"/>
        <s v="2017-06-16-01:00" u="1"/>
        <s v="2017-08-16-01:00" u="1"/>
        <s v="2017-10-16-01:00" u="1"/>
        <s v="2017-11-16-01:00" u="1"/>
        <s v="2016-01-18-10:00" u="1"/>
        <s v="2016-02-18-10:00" u="1"/>
        <s v="2016-03-18-10:00" u="1"/>
        <s v="2016-04-18-10:00" u="1"/>
        <s v="2016-05-18-10:00" u="1"/>
        <s v="2016-07-18-10:00" u="1"/>
        <s v="2016-08-18-10:00" u="1"/>
        <s v="2016-10-18-10:00" u="1"/>
        <s v="2016-11-18-10:00" u="1"/>
        <s v="2018-01-26-00:00" u="1"/>
        <s v="2018-02-06-01:00" u="1"/>
        <s v="2018-02-26-00:00" u="1"/>
        <s v="2018-03-06-01:00" u="1"/>
        <s v="2018-03-26-00:00" u="1"/>
        <s v="2018-04-06-01:00" u="1"/>
        <s v="2018-04-26-00:00" u="1"/>
        <s v="2018-08-06-01:00" u="1"/>
        <s v="2017-02-08-10:00" u="1"/>
        <s v="2017-03-08-10:00" u="1"/>
        <s v="2017-05-08-10:00" u="1"/>
        <s v="2017-06-08-10:00" u="1"/>
        <s v="2017-08-08-10:00" u="1"/>
        <s v="2017-09-08-10:00" u="1"/>
        <s v="2017-11-08-10:00" u="1"/>
        <s v="2017-12-08-10:00" u="1"/>
        <s v="2016-01-22-00:00" u="1"/>
        <s v="2016-02-02-01:00" u="1"/>
        <s v="2016-02-22-0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7-01-12-00:00" u="1"/>
        <s v="2017-04-12-00:00" u="1"/>
        <s v="2017-05-12-00:00" u="1"/>
        <s v="2017-06-12-00:00" u="1"/>
        <s v="2017-07-12-00:00" u="1"/>
        <s v="2017-09-12-00:00" u="1"/>
        <s v="2017-10-12-00:00" u="1"/>
        <s v="2017-12-12-00:00" u="1"/>
        <s v="2018-01-02-00:00" u="1"/>
        <s v="2018-02-02-00:00" u="1"/>
        <s v="2018-03-02-00:00" u="1"/>
        <s v="2018-04-02-00:00" u="1"/>
        <s v="2018-05-02-00:00" u="1"/>
        <s v="2018-08-02-00:00" u="1"/>
        <s v="2016-02-17-02:00" u="1"/>
        <s v="2016-03-17-02:00" u="1"/>
        <s v="2016-05-17-02:00" u="1"/>
        <s v="2016-06-17-02:00" u="1"/>
        <s v="2016-08-17-02:00" u="1"/>
        <s v="2016-10-17-02:00" u="1"/>
        <s v="2016-11-17-02:00" u="1"/>
        <s v="2017-01-27-01:00" u="1"/>
        <s v="2017-02-07-02:00" u="1"/>
        <s v="2017-02-27-01:00" u="1"/>
        <s v="2017-03-07-02:00" u="1"/>
        <s v="2017-03-27-01:00" u="1"/>
        <s v="2017-04-07-02:00" u="1"/>
        <s v="2017-04-27-01:00" u="1"/>
        <s v="2017-06-07-02:00" u="1"/>
        <s v="2017-06-27-01:00" u="1"/>
        <s v="2017-07-07-02:00" u="1"/>
        <s v="2017-07-27-01:00" u="1"/>
        <s v="2017-08-07-02:00" u="1"/>
        <s v="2017-09-07-02:00" u="1"/>
        <s v="2017-09-27-01:00" u="1"/>
        <s v="2017-10-27-01:00" u="1"/>
        <s v="2017-11-07-02:00" u="1"/>
        <s v="2017-11-27-01:00" u="1"/>
        <s v="2017-12-07-02:00" u="1"/>
        <s v="2017-12-27-01:00" u="1"/>
        <s v="2016-10-05-02:00" u="1"/>
        <s v="2016-10-25-01:00" u="1"/>
        <s v="2016-11-25-01:00" u="1"/>
        <s v="2016-12-05-02:00" u="1"/>
        <s v="2018-01-17-01:00" u="1"/>
        <s v="2018-04-17-01:00" u="1"/>
        <s v="2018-05-17-01:00" u="1"/>
        <s v="2018-08-17-01:00" u="1"/>
        <s v="2017-01-19-10:00" u="1"/>
        <s v="2017-04-19-10:00" u="1"/>
        <s v="2017-05-19-10:00" u="1"/>
        <s v="2017-06-19-10:00" u="1"/>
        <s v="2017-07-19-10:00" u="1"/>
        <s v="2017-09-19-10:00" u="1"/>
        <s v="2016-02-17-10:00" u="1"/>
        <s v="2016-03-17-10:00" u="1"/>
        <s v="2016-05-17-10:00" u="1"/>
        <s v="2016-06-17-10:00" u="1"/>
        <s v="2016-08-17-10:00" u="1"/>
        <s v="2016-10-17-10:00" u="1"/>
        <s v="2016-11-17-10:00" u="1"/>
        <s v="2018-01-09-10:00" u="1"/>
        <s v="2018-02-09-10:00" u="1"/>
        <s v="2018-03-09-10:00" u="1"/>
        <s v="2018-04-09-10:00" u="1"/>
        <s v="2018-05-09-10:00" u="1"/>
        <s v="2018-08-09-10:00" u="1"/>
        <s v="2015-12-31-00:00" u="1"/>
        <s v="2017-01-03-01:00" u="1"/>
        <s v="2017-01-23-00:00" u="1"/>
        <s v="2017-02-03-01:00" u="1"/>
        <s v="2017-02-07-10:00" u="1"/>
        <s v="2017-02-23-00:00" u="1"/>
        <s v="2017-03-03-01:00" u="1"/>
        <s v="2017-03-07-10:00" u="1"/>
        <s v="2017-03-23-00:00" u="1"/>
        <s v="2017-04-03-01:00" u="1"/>
        <s v="2017-04-07-10:00" u="1"/>
        <s v="2017-05-03-01:00" u="1"/>
        <s v="2017-05-23-00:00" u="1"/>
        <s v="2017-06-07-10:00" u="1"/>
        <s v="2017-06-23-00:00" u="1"/>
        <s v="2017-07-03-01:00" u="1"/>
        <s v="2017-07-07-10:00" u="1"/>
        <s v="2017-08-03-01:00" u="1"/>
        <s v="2017-08-07-10:00" u="1"/>
        <s v="2017-08-23-00:00" u="1"/>
        <s v="2017-09-07-10:00" u="1"/>
        <s v="2017-11-07-10:00" u="1"/>
        <s v="2017-12-07-10: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8-02-13-00:00" u="1"/>
        <s v="2018-03-13-00:00" u="1"/>
        <s v="2018-04-13-00:00" u="1"/>
        <s v="2018-08-13-00:00" u="1"/>
        <s v="2017-01-11-00:00" u="1"/>
        <s v="2017-04-11-00:00" u="1"/>
        <s v="2017-05-11-00:00" u="1"/>
        <s v="2017-07-11-00:00" u="1"/>
        <s v="2017-08-11-00:00" u="1"/>
        <s v="2017-09-11-00:00" u="1"/>
        <s v="2017-10-11-00:00" u="1"/>
        <s v="2017-12-11-00:00" u="1"/>
        <s v="2019-09-03-00:00" u="1"/>
        <s v="9999-99-99-99:99" u="1"/>
        <s v="2014-10-24-02:00" u="1"/>
        <s v="2014-11-04-03:00" u="1"/>
        <s v="2014-11-24-02:00" u="1"/>
        <s v="2014-12-04-03:00" u="1"/>
        <s v="2014-12-24-02:00" u="1"/>
        <s v="2016-02-16-02:00" u="1"/>
        <s v="2016-03-16-02:00" u="1"/>
        <s v="2016-05-16-02:00" u="1"/>
        <s v="2016-06-16-02:00" u="1"/>
        <s v="2016-08-16-02:00" u="1"/>
        <s v="2016-09-16-02:00" u="1"/>
        <s v="2016-11-16-02:00" u="1"/>
        <s v="2016-12-16-02:00" u="1"/>
        <s v="2017-01-06-02:00" u="1"/>
        <s v="2017-01-26-01:00" u="1"/>
        <s v="2017-02-06-02:00" u="1"/>
        <s v="2017-03-06-02:00" u="1"/>
        <s v="2017-04-06-02:00" u="1"/>
        <s v="2017-04-26-01:00" u="1"/>
        <s v="2017-05-26-01:00" u="1"/>
        <s v="2017-06-06-02:00" u="1"/>
        <s v="2017-06-26-01:00" u="1"/>
        <s v="2017-07-06-02:00" u="1"/>
        <s v="2017-07-26-01:00" u="1"/>
        <s v="2017-09-06-02:00" u="1"/>
        <s v="2017-09-26-01:00" u="1"/>
        <s v="2017-10-06-02:00" u="1"/>
        <s v="2017-10-26-01:00" u="1"/>
        <s v="2017-11-06-02:00" u="1"/>
        <s v="2017-12-06-02:00" u="1"/>
        <s v="2017-12-26-01:00" u="1"/>
        <s v="2016-01-08-11:00" u="1"/>
        <s v="2016-01-28-10:00" u="1"/>
        <s v="2016-02-08-11:00" u="1"/>
        <s v="2016-03-08-11:00" u="1"/>
        <s v="2016-03-28-10:00" u="1"/>
        <s v="2016-04-08-11:00" u="1"/>
        <s v="2016-04-28-10:00" u="1"/>
        <s v="2016-06-08-11:00" u="1"/>
        <s v="2016-06-28-10:00" u="1"/>
        <s v="2016-07-08-11:00" u="1"/>
        <s v="2016-07-28-10:00" u="1"/>
        <s v="2016-08-08-11:00" u="1"/>
        <s v="2016-09-08-11:00" u="1"/>
        <s v="2016-09-28-10:00" u="1"/>
        <s v="2016-10-28-10:00" u="1"/>
        <s v="2016-11-08-11:00" u="1"/>
        <s v="2016-11-28-10:00" u="1"/>
        <s v="2016-12-08-11:00" u="1"/>
        <s v="2016-12-28-10:00" u="1"/>
        <s v="2018-01-16-01:00" u="1"/>
        <s v="2018-02-16-01:00" u="1"/>
        <s v="2018-03-16-01:00" u="1"/>
        <s v="2018-04-16-01:00" u="1"/>
        <s v="2018-05-16-01:00" u="1"/>
        <s v="2018-08-16-01:00" u="1"/>
        <s v="2017-01-18-10:00" u="1"/>
        <s v="2017-04-18-10:00" u="1"/>
        <s v="2017-05-18-10:00" u="1"/>
        <s v="2017-07-18-10:00" u="1"/>
        <s v="2017-08-18-10:00" u="1"/>
        <s v="2017-09-18-10:00" u="1"/>
        <s v="2017-10-18-10:00" u="1"/>
        <s v="2017-12-18-10:00" u="1"/>
        <s v="2016-01-12-01:00" u="1"/>
        <s v="2016-02-12-01:00" u="1"/>
        <s v="2016-04-12-01:00" u="1"/>
        <s v="2016-05-12-01:00" u="1"/>
        <s v="2016-07-12-01:00" u="1"/>
        <s v="2016-08-12-01:00" u="1"/>
        <s v="2016-09-12-01:00" u="1"/>
        <s v="2016-10-12-01:00" u="1"/>
        <s v="2016-11-16-10:00" u="1"/>
        <s v="2016-12-12-01:00" u="1"/>
        <s v="2016-12-16-10:00" u="1"/>
        <s v="2018-01-08-10:00" u="1"/>
        <s v="2018-02-08-10:00" u="1"/>
        <s v="2018-03-08-10:00" u="1"/>
        <s v="2018-05-08-10:00" u="1"/>
        <s v="2015-12-30-00:00" u="1"/>
        <s v="2017-02-02-01:00" u="1"/>
        <s v="2017-02-22-00:00" u="1"/>
        <s v="2017-03-02-01:00" u="1"/>
        <s v="2017-03-22-00:00" u="1"/>
        <s v="2017-05-02-01:00" u="1"/>
        <s v="2017-05-22-00:00" u="1"/>
        <s v="2017-06-02-01:00" u="1"/>
        <s v="2017-06-22-00:00" u="1"/>
        <s v="2017-08-02-01:00" u="1"/>
        <s v="2017-08-22-00:00" u="1"/>
        <s v="2017-09-22-00:00" u="1"/>
        <s v="2017-10-02-01:00" u="1"/>
        <s v="2017-11-02-01:00" u="1"/>
        <s v="2017-11-22-00:00" u="1"/>
        <s v="2017-12-22-00:00" u="1"/>
        <s v="2016-10-20-00:00" u="1"/>
        <s v="2016-12-20-00:00" u="1"/>
        <s v="2018-01-12-00:00" u="1"/>
        <s v="2018-02-12-00:00" u="1"/>
        <s v="2018-03-12-00:00" u="1"/>
        <s v="2018-04-12-00:00" u="1"/>
        <s v="2015-12-29-03:00" u="1"/>
        <s v="2016-01-07-03:00" u="1"/>
        <s v="2016-01-27-02:00" u="1"/>
        <s v="2016-03-07-03:00" u="1"/>
        <s v="2016-04-07-03:00" u="1"/>
        <s v="2016-04-27-02:00" u="1"/>
        <s v="2016-05-27-02:00" u="1"/>
        <s v="2016-06-07-03:00" u="1"/>
        <s v="2016-06-27-02:00" u="1"/>
        <s v="2016-07-07-03:00" u="1"/>
        <s v="2016-07-27-02:00" u="1"/>
        <s v="2016-09-07-03:00" u="1"/>
        <s v="2016-09-27-02:00" u="1"/>
        <s v="2017-01-17-02:00" u="1"/>
        <s v="2017-02-17-02:00" u="1"/>
        <s v="2017-03-17-02:00" u="1"/>
        <s v="2017-04-17-02:00" u="1"/>
        <s v="2017-05-17-02:00" u="1"/>
        <s v="2017-07-17-02:00" u="1"/>
        <s v="2017-08-17-02:00" u="1"/>
        <s v="2017-10-17-02:00" u="1"/>
        <s v="2017-11-17-02:00" u="1"/>
        <s v="2016-01-15-02:00" u="1"/>
        <s v="2016-02-15-02:00" u="1"/>
        <s v="2016-03-15-02:00" u="1"/>
        <s v="2016-04-15-02:00" u="1"/>
        <s v="2016-06-15-02:00" u="1"/>
        <s v="2016-07-15-02:00" u="1"/>
        <s v="2016-08-15-02:00" u="1"/>
        <s v="2016-09-15-02:00" u="1"/>
        <s v="2016-11-15-02:00" u="1"/>
        <s v="2016-12-15-02:00" u="1"/>
        <s v="2018-02-07-02:00" u="1"/>
        <s v="2018-02-27-01:00" u="1"/>
        <s v="2018-03-07-02:00" u="1"/>
        <s v="2018-03-27-01:00" u="1"/>
        <s v="2018-04-27-01:00" u="1"/>
        <s v="2018-05-07-02:00" u="1"/>
        <s v="2017-10-05-02:00" u="1"/>
        <s v="2017-10-25-01:00" u="1"/>
        <s v="2017-12-05-02: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8-01-19-10:00" u="1"/>
        <s v="2018-02-19-10:00" u="1"/>
        <s v="2018-03-19-10:00" u="1"/>
        <s v="2018-04-19-10:00" u="1"/>
        <s v="2017-01-17-10:00" u="1"/>
        <s v="2017-02-17-10:00" u="1"/>
        <s v="2017-03-17-10:00" u="1"/>
        <s v="2017-04-17-10:00" u="1"/>
        <s v="2017-05-17-10:00" u="1"/>
        <s v="2017-07-17-10:00" u="1"/>
        <s v="2017-08-17-10:00" u="1"/>
        <s v="2017-10-17-10:00" u="1"/>
        <s v="2017-11-17-10:00" u="1"/>
        <s v="2016-01-11-01:00" u="1"/>
        <s v="2016-02-11-01:00" u="1"/>
        <s v="2016-03-11-01:00" u="1"/>
        <s v="2016-03-31-00:00" u="1"/>
        <s v="2016-04-11-01:00" u="1"/>
        <s v="2016-05-11-01:00" u="1"/>
        <s v="2016-05-31-00:00" u="1"/>
        <s v="2016-07-11-01:00" u="1"/>
        <s v="2016-08-11-01:00" u="1"/>
        <s v="2016-08-31-00:00" u="1"/>
        <s v="2016-10-11-01:00" u="1"/>
        <s v="2016-10-31-00:00" u="1"/>
        <s v="2016-11-11-01:00" u="1"/>
        <s v="2018-01-03-01:00" u="1"/>
        <s v="2018-01-23-00:00" u="1"/>
        <s v="2018-02-07-10:00" u="1"/>
        <s v="2018-02-23-00:00" u="1"/>
        <s v="2018-03-07-10:00" u="1"/>
        <s v="2018-03-23-00:00" u="1"/>
        <s v="2018-04-03-01:00" u="1"/>
        <s v="2018-04-23-00:00" u="1"/>
        <s v="2018-05-03-01:00" u="1"/>
        <s v="2018-05-07-10:00" u="1"/>
        <s v="2018-05-23-00:00" u="1"/>
        <s v="2017-02-01-01:00" u="1"/>
        <s v="2017-02-21-00:00" u="1"/>
        <s v="2017-03-01-01:00" u="1"/>
        <s v="2017-03-21-00:00" u="1"/>
        <s v="2017-04-21-00:00" u="1"/>
        <s v="2017-05-01-01:00" u="1"/>
        <s v="2017-06-01-01:00" u="1"/>
        <s v="2017-06-21-00:00" u="1"/>
        <s v="2017-07-21-00:00" u="1"/>
        <s v="2017-08-01-01:00" u="1"/>
        <s v="2017-08-21-00:00" u="1"/>
        <s v="2017-09-01-01:00" u="1"/>
        <s v="2017-09-21-00:00" u="1"/>
        <s v="2017-11-01-01:00" u="1"/>
        <s v="2017-11-21-00:00" u="1"/>
        <s v="2017-12-01-01:00" u="1"/>
        <s v="2017-12-21-00:00" u="1"/>
        <s v="2016-02-03-10:00" u="1"/>
        <s v="2016-03-03-10:00" u="1"/>
        <s v="2016-05-03-10:00" u="1"/>
        <s v="2016-06-03-10:00" u="1"/>
        <s v="2016-08-03-10:00" u="1"/>
        <s v="2016-10-03-10:00" u="1"/>
        <s v="2016-11-03-10:00" u="1"/>
        <s v="2018-01-11-00:00" u="1"/>
        <s v="2018-04-11-00:00" u="1"/>
        <s v="2018-05-11-00: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7-01-16-02:00" u="1"/>
        <s v="2017-02-16-02:00" u="1"/>
        <s v="2017-03-16-02:00" u="1"/>
        <s v="2017-05-16-02:00" u="1"/>
        <s v="2017-06-16-02:00" u="1"/>
        <s v="2017-08-16-02:00" u="1"/>
        <s v="2017-10-16-02:00" u="1"/>
        <s v="2017-11-16-02:00" u="1"/>
        <s v="2016-01-18-11:00" u="1"/>
        <s v="2016-02-18-11:00" u="1"/>
        <s v="2016-03-18-11:00" u="1"/>
        <s v="2016-04-18-11:00" u="1"/>
        <s v="2016-05-18-11:00" u="1"/>
        <s v="2016-07-18-11:00" u="1"/>
        <s v="2016-08-18-11:00" u="1"/>
        <s v="2018-01-26-01:00" u="1"/>
        <s v="2018-02-06-02:00" u="1"/>
        <s v="2018-02-26-01:00" u="1"/>
        <s v="2018-03-06-02:00" u="1"/>
        <s v="2018-03-26-01:00" u="1"/>
        <s v="2018-04-06-02:00" u="1"/>
        <s v="2018-04-26-01:00" u="1"/>
        <s v="2017-02-08-11:00" u="1"/>
        <s v="2017-02-28-10:00" u="1"/>
        <s v="2017-03-08-11:00" u="1"/>
        <s v="2017-03-28-10:00" u="1"/>
        <s v="2017-04-28-10:00" u="1"/>
        <s v="2017-05-08-11:00" u="1"/>
        <s v="2017-06-08-11:00" u="1"/>
        <s v="2017-06-28-10:00" u="1"/>
        <s v="2017-07-28-10:00" u="1"/>
        <s v="2017-08-08-11:00" u="1"/>
        <s v="2017-08-28-10:00" u="1"/>
        <s v="2017-09-08-11:00" u="1"/>
        <s v="2017-09-28-10:00" u="1"/>
        <s v="2017-11-08-11:00" u="1"/>
        <s v="2017-11-28-10:00" u="1"/>
        <s v="2017-12-08-11:00" u="1"/>
        <s v="2017-12-28-10:00" u="1"/>
        <s v="2016-01-06-11:00" u="1"/>
        <s v="2016-01-22-01:00" u="1"/>
        <s v="2016-01-26-10:00" u="1"/>
        <s v="2016-02-02-02:00" u="1"/>
        <s v="2016-02-22-01:00" u="1"/>
        <s v="2016-02-26-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6-12-26-10:00" u="1"/>
        <s v="2018-01-18-10:00" u="1"/>
        <s v="2018-04-18-10:00" u="1"/>
        <s v="2018-05-18-10:00" u="1"/>
        <s v="2017-01-12-01:00" u="1"/>
        <s v="2017-04-12-01:00" u="1"/>
        <s v="2017-05-12-01:00" u="1"/>
        <s v="2017-06-12-01:00" u="1"/>
        <s v="2017-07-12-01:00" u="1"/>
        <s v="2017-09-12-01:00" u="1"/>
        <s v="2017-10-12-01:00" u="1"/>
        <s v="2017-10-16-10:00" u="1"/>
        <s v="2017-11-16-10:00" u="1"/>
        <s v="2017-12-12-01:00" u="1"/>
        <s v="2016-10-10-01:00" u="1"/>
        <s v="2016-11-10-01:00" u="1"/>
        <s v="2016-11-30-00:00" u="1"/>
        <s v="2016-12-30-00:00" u="1"/>
        <s v="2018-01-22-00:00" u="1"/>
        <s v="2018-02-02-01:00" u="1"/>
        <s v="2018-02-22-00:00" u="1"/>
        <s v="2018-03-02-01:00" u="1"/>
        <s v="2018-03-22-00:00" u="1"/>
        <s v="2018-04-02-01:00" u="1"/>
        <s v="2018-05-02-01:00" u="1"/>
        <s v="2018-05-22-00:00" u="1"/>
        <s v="2017-10-20-00:00" u="1"/>
        <s v="2017-11-20-00:00" u="1"/>
        <s v="2017-12-20-00:00" u="1"/>
        <s v="2016-02-02-10:00" u="1"/>
        <s v="2016-03-02-10:00" u="1"/>
        <s v="2016-05-02-10:00" u="1"/>
        <s v="2016-06-02-10:00" u="1"/>
        <s v="2016-08-02-10:00" u="1"/>
        <s v="2016-09-02-10:00" u="1"/>
        <s v="2016-11-02-10:00" u="1"/>
        <s v="2016-12-02-10:00" u="1"/>
        <s v="2016-11-09-04:00" u="1"/>
        <s v="2016-11-29-03:00" u="1"/>
        <s v="2016-12-09-04:00" u="1"/>
        <s v="2016-12-29-03:00" u="1"/>
        <s v="2017-01-27-02:00" u="1"/>
        <s v="2017-02-07-03:00" u="1"/>
        <s v="2017-02-27-02:00" u="1"/>
        <s v="2017-03-07-03:00" u="1"/>
        <s v="2017-03-27-02:00" u="1"/>
        <s v="2017-04-07-03:00" u="1"/>
        <s v="2017-04-27-02:00" u="1"/>
        <s v="2017-06-07-03:00" u="1"/>
        <s v="2017-06-27-02:00" u="1"/>
        <s v="2017-07-07-03:00" u="1"/>
        <s v="2017-07-27-02:00" u="1"/>
        <s v="2017-08-07-03:00" u="1"/>
        <s v="2017-09-07-03:00" u="1"/>
        <s v="2017-09-27-02: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8-01-17-02:00" u="1"/>
        <s v="2018-04-17-02:00" u="1"/>
        <s v="2018-05-17-02:00" u="1"/>
        <s v="2017-02-15-02:00" u="1"/>
        <s v="2017-03-15-02:00" u="1"/>
        <s v="2017-05-15-02:00" u="1"/>
        <s v="2017-06-15-02:00" u="1"/>
        <s v="2017-08-15-02:00" u="1"/>
        <s v="2017-09-15-02:00" u="1"/>
        <s v="2017-11-15-02:00" u="1"/>
        <s v="2017-12-15-02:00" u="1"/>
        <s v="2016-02-17-11:00" u="1"/>
        <s v="2016-03-17-11:00" u="1"/>
        <s v="2016-05-17-11:00" u="1"/>
        <s v="2016-06-17-11:00" u="1"/>
        <s v="2016-08-17-11:00" u="1"/>
        <s v="2016-10-17-11:00" u="1"/>
        <s v="2016-11-17-11:00" u="1"/>
        <s v="2018-07-25-01:00" u="1"/>
        <s v="2015-12-31-01:00" u="1"/>
        <s v="2017-01-27-10:00" u="1"/>
        <s v="2017-02-07-11:00" u="1"/>
        <s v="2017-02-27-10:00" u="1"/>
        <s v="2017-03-07-11:00" u="1"/>
        <s v="2017-03-27-10:00" u="1"/>
        <s v="2017-04-07-11:00" u="1"/>
        <s v="2017-04-27-10:00" u="1"/>
        <s v="2017-06-07-11:00" u="1"/>
        <s v="2017-06-27-10:00" u="1"/>
        <s v="2017-07-07-11:00" u="1"/>
        <s v="2017-07-27-10:00" u="1"/>
        <s v="2017-08-07-11:00" u="1"/>
        <s v="2017-09-07-11:00" u="1"/>
        <s v="2017-09-27-10:00" u="1"/>
        <s v="2017-10-27-10:00" u="1"/>
        <s v="2017-11-07-11:00" u="1"/>
        <s v="2017-11-27-10:00" u="1"/>
        <s v="2017-12-07-11:00" u="1"/>
        <s v="2017-12-27-10:00" u="1"/>
        <s v="2016-01-21-01:00" u="1"/>
        <s v="2016-02-01-02:00" u="1"/>
        <s v="2016-02-09-20:00" u="1"/>
        <s v="2016-03-01-02:00" u="1"/>
        <s v="2016-03-09-20:00" u="1"/>
        <s v="2016-03-21-01:00" u="1"/>
        <s v="2016-04-01-02:00" u="1"/>
        <s v="2016-04-21-01:00" u="1"/>
        <s v="2016-05-09-20:00" u="1"/>
        <s v="2016-06-01-02:00" u="1"/>
        <s v="2016-06-09-20:00" u="1"/>
        <s v="2016-06-21-01:00" u="1"/>
        <s v="2016-07-01-02:00" u="1"/>
        <s v="2016-07-21-01:00" u="1"/>
        <s v="2016-08-01-02:00" u="1"/>
        <s v="2016-08-09-20:00" u="1"/>
        <s v="2016-09-01-02:00" u="1"/>
        <s v="2016-09-09-20:00" u="1"/>
        <s v="2016-09-21-01:00" u="1"/>
        <s v="2016-10-21-01:00" u="1"/>
        <s v="2016-11-01-02:00" u="1"/>
        <s v="2016-11-21-01:00" u="1"/>
        <s v="2016-12-01-02:00" u="1"/>
        <s v="2016-12-21-01:00" u="1"/>
        <s v="2018-01-17-10:00" u="1"/>
        <s v="2018-04-17-10:00" u="1"/>
        <s v="2018-05-17-10:00" u="1"/>
        <s v="2017-01-11-01:00" u="1"/>
        <s v="2017-01-31-00:00" u="1"/>
        <s v="2017-03-31-00:00" u="1"/>
        <s v="2017-04-11-01:00" u="1"/>
        <s v="2017-05-11-01:00" u="1"/>
        <s v="2017-05-31-00:00" u="1"/>
        <s v="2017-07-11-01:00" u="1"/>
        <s v="2017-07-31-00:00" u="1"/>
        <s v="2017-08-11-01:00" u="1"/>
        <s v="2017-08-31-00:00" u="1"/>
        <s v="2017-09-11-01:00" u="1"/>
        <s v="2017-10-11-01:00" u="1"/>
        <s v="2017-10-31-00:00" u="1"/>
        <s v="2017-12-11-01:00" u="1"/>
        <s v="2016-01-13-10:00" u="1"/>
        <s v="2016-04-13-10:00" u="1"/>
        <s v="2016-05-13-10:00" u="1"/>
        <s v="2016-06-13-10:00" u="1"/>
        <s v="2016-07-13-10:00" u="1"/>
        <s v="2016-09-13-10:00" u="1"/>
        <s v="2016-10-13-10:00" u="1"/>
        <s v="2016-12-13-10:00" u="1"/>
        <s v="2018-02-01-01:00" u="1"/>
        <s v="2018-02-21-00:00" u="1"/>
        <s v="2018-03-01-01:00" u="1"/>
        <s v="2018-03-21-00:00" u="1"/>
        <s v="2018-05-01-01:00" u="1"/>
        <s v="2018-05-21-00:00" u="1"/>
        <s v="E018-07-30-01:00" u="1"/>
        <s v="2017-01-03-10:00" u="1"/>
        <s v="2017-02-03-10:00" u="1"/>
        <s v="2017-03-03-10:00" u="1"/>
        <s v="2017-04-03-10:00" u="1"/>
        <s v="2017-05-03-10:00" u="1"/>
        <s v="2017-07-03-10:00" u="1"/>
        <s v="2017-08-03-10:00" u="1"/>
        <s v="2017-10-03-10:00" u="1"/>
        <s v="2017-11-03-10:00" u="1"/>
        <s v="2016-11-01-10:00" u="1"/>
        <s v="2016-12-01-10:00" u="1"/>
        <s v="2016-02-16-03:00" u="1"/>
        <s v="2016-03-16-03:00" u="1"/>
        <s v="2016-05-16-03:00" u="1"/>
        <s v="2016-06-16-03:00" u="1"/>
        <s v="2016-08-16-03:00" u="1"/>
        <s v="2016-09-16-03:00" u="1"/>
        <s v="2016-11-16-03:00" u="1"/>
        <s v="2016-12-16-03:00" u="1"/>
        <s v="2017-01-06-03:00" u="1"/>
        <s v="2017-01-26-02:00" u="1"/>
        <s v="2017-02-06-03:00" u="1"/>
        <s v="2017-03-06-03:00" u="1"/>
        <s v="2017-04-06-03:00" u="1"/>
        <s v="2017-04-26-02:00" u="1"/>
        <s v="2017-05-26-02:00" u="1"/>
        <s v="2017-06-06-03:00" u="1"/>
        <s v="2017-06-26-02:00" u="1"/>
        <s v="2017-07-06-03:00" u="1"/>
        <s v="2017-07-26-02:00" u="1"/>
        <s v="2017-09-06-03:00" u="1"/>
        <s v="2017-09-26-02:00" u="1"/>
        <s v="2017-10-06-03:00" u="1"/>
        <s v="2017-10-26-02:00" u="1"/>
        <s v="2017-11-06-03:00" u="1"/>
        <s v="2017-12-06-03:00" u="1"/>
        <s v="2016-10-04-03:00" u="1"/>
        <s v="2016-10-24-02:00" u="1"/>
        <s v="2016-11-04-03:00" u="1"/>
        <s v="2016-11-24-02:00" u="1"/>
        <s v="2018-01-16-02:00" u="1"/>
        <s v="2018-02-16-02:00" u="1"/>
        <s v="2018-03-16-02:00" u="1"/>
        <s v="2018-04-16-02:00" u="1"/>
        <s v="2018-05-16-02:00" u="1"/>
        <s v="2017-01-18-11:00" u="1"/>
        <s v="2017-04-18-11:00" u="1"/>
        <s v="2017-05-18-11:00" u="1"/>
        <s v="2017-07-18-11:00" u="1"/>
        <s v="2017-08-18-11:00" u="1"/>
        <s v="2017-09-18-11:00" u="1"/>
        <s v="2016-01-12-02:00" u="1"/>
        <s v="2016-02-12-02:00" u="1"/>
        <s v="2016-02-16-11:00" u="1"/>
        <s v="2016-03-16-11:00" u="1"/>
        <s v="2016-04-12-02:00" u="1"/>
        <s v="2016-05-12-02:00" u="1"/>
        <s v="2016-05-16-11:00" u="1"/>
        <s v="2016-06-16-11:00" u="1"/>
        <s v="2016-07-12-02:00" u="1"/>
        <s v="2016-08-12-02:00" u="1"/>
        <s v="2016-08-16-11:00" u="1"/>
        <s v="2016-09-12-02:00" u="1"/>
        <s v="2016-09-16-11:00" u="1"/>
        <s v="2016-11-16-11:00" u="1"/>
        <s v="2016-12-16-11:00" u="1"/>
        <s v="2018-01-08-11:00" u="1"/>
        <s v="2018-02-08-11:00" u="1"/>
        <s v="2018-02-28-10:00" u="1"/>
        <s v="2018-03-08-11:00" u="1"/>
        <s v="2018-03-28-10:00" u="1"/>
        <s v="2018-05-08-11:00" u="1"/>
        <s v="2018-05-28-10:00" u="1"/>
        <s v="2015-12-30-01: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7-08-22-01:00" u="1"/>
        <s v="2017-09-06-11:00" u="1"/>
        <s v="2017-09-22-01:00" u="1"/>
        <s v="2017-09-26-10:00" u="1"/>
        <s v="2017-10-06-11:00" u="1"/>
        <s v="2017-10-26-10:00" u="1"/>
        <s v="2017-11-06-11:00" u="1"/>
        <s v="2017-12-06-11:00" u="1"/>
        <s v="2017-12-26-10:00" u="1"/>
        <s v="2016-01-08-20:00" u="1"/>
        <s v="2016-01-20-01:00" u="1"/>
        <s v="2016-02-08-20:00" u="1"/>
        <s v="2016-03-08-20:00" u="1"/>
        <s v="2016-04-08-20:00" u="1"/>
        <s v="2016-04-20-01:00" u="1"/>
        <s v="2016-05-20-01:00" u="1"/>
        <s v="2016-06-08-20:00" u="1"/>
        <s v="2016-06-20-01:00" u="1"/>
        <s v="2016-07-08-20:00" u="1"/>
        <s v="2016-07-20-01:00" u="1"/>
        <s v="2016-08-08-20:00" u="1"/>
        <s v="2016-09-08-20:00" u="1"/>
        <s v="2016-09-20-01:00" u="1"/>
        <s v="2016-10-20-01:00" u="1"/>
        <s v="2016-11-08-20:00" u="1"/>
        <s v="2016-12-08-20:00" u="1"/>
        <s v="2016-12-20-01:00" u="1"/>
        <s v="2018-01-12-01:00" u="1"/>
        <s v="2018-02-12-01:00" u="1"/>
        <s v="2018-03-12-01:00" u="1"/>
        <s v="2018-04-12-01:00" u="1"/>
        <s v="2017-10-10-01:00" u="1"/>
        <s v="2017-10-30-00:00" u="1"/>
        <s v="2017-11-10-01:00" u="1"/>
        <s v="2017-11-30-00:00" u="1"/>
        <s v="2016-01-12-10:00" u="1"/>
        <s v="2016-02-12-10:00" u="1"/>
        <s v="2016-04-12-10:00" u="1"/>
        <s v="2016-05-12-10:00" u="1"/>
        <s v="2016-07-12-10:00" u="1"/>
        <s v="2016-08-12-10:00" u="1"/>
        <s v="2016-09-12-10:00" u="1"/>
        <s v="2016-10-12-10:00" u="1"/>
        <s v="2016-12-12-10:00" u="1"/>
        <s v="2017-01-02-10:00" u="1"/>
        <s v="2017-02-02-10:00" u="1"/>
        <s v="2017-03-02-10:00" u="1"/>
        <s v="2017-05-02-10:00" u="1"/>
        <s v="2017-06-02-10:00" u="1"/>
        <s v="2017-08-02-10:00" u="1"/>
        <s v="2017-10-02-10:00" u="1"/>
        <s v="2017-11-02-10:00" u="1"/>
        <s v="2015-12-29-04:00" u="1"/>
        <s v="2016-01-19-04:00" u="1"/>
        <s v="2016-02-19-04:00" u="1"/>
        <s v="2016-04-19-04:00" u="1"/>
        <s v="2016-05-19-04:00" u="1"/>
        <s v="2016-07-19-04:00" u="1"/>
        <s v="2016-08-19-04:00" u="1"/>
        <s v="2016-09-19-04:00" u="1"/>
        <s v="2016-10-19-04:00" u="1"/>
        <s v="2016-12-19-04:00" u="1"/>
        <s v="2017-10-09-04:00" u="1"/>
        <s v="2017-11-09-04:00" u="1"/>
        <s v="2017-11-29-03:00" u="1"/>
        <s v="2017-12-29-03:00" u="1"/>
        <s v="2016-01-15-03:00" u="1"/>
        <s v="2016-02-15-03:00" u="1"/>
        <s v="2016-03-15-03:00" u="1"/>
        <s v="2016-04-15-03:00" u="1"/>
        <s v="2016-06-15-03:00" u="1"/>
        <s v="2016-07-15-03:00" u="1"/>
        <s v="2016-08-15-03:00" u="1"/>
        <s v="2016-09-15-03:00" u="1"/>
        <s v="2016-11-15-03:00" u="1"/>
        <s v="2016-12-15-03:00" u="1"/>
        <s v="2018-02-07-03:00" u="1"/>
        <s v="2018-02-27-02:00" u="1"/>
        <s v="2018-03-07-03:00" u="1"/>
        <s v="2018-03-27-02:00" u="1"/>
        <s v="2018-04-27-02:00" u="1"/>
        <s v="2018-05-07-03:00" u="1"/>
        <s v="2017-01-05-03:00" u="1"/>
        <s v="2017-01-25-02:00" u="1"/>
        <s v="2017-04-05-03:00" u="1"/>
        <s v="2017-04-25-02:00" u="1"/>
        <s v="2017-05-05-03:00" u="1"/>
        <s v="2017-05-25-02:00" u="1"/>
        <s v="2017-06-05-03:00" u="1"/>
        <s v="2017-07-05-03:00" u="1"/>
        <s v="2017-07-25-02:00" u="1"/>
        <s v="2017-08-25-02:00" u="1"/>
        <s v="2017-09-05-03:00" u="1"/>
        <s v="2017-09-25-02:00" u="1"/>
        <s v="2017-10-05-03:00" u="1"/>
        <s v="2017-10-25-02:00" u="1"/>
        <s v="2017-12-05-03:00" u="1"/>
        <s v="2016-01-07-12:00" u="1"/>
        <s v="2016-01-27-11: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8-01-15-02:00" u="1"/>
        <s v="2018-02-15-02:00" u="1"/>
        <s v="2018-03-15-02:00" u="1"/>
        <s v="2018-05-15-02:00" u="1"/>
        <s v="2017-01-17-11:00" u="1"/>
        <s v="2017-02-17-11:00" u="1"/>
        <s v="2017-03-17-11:00" u="1"/>
        <s v="2017-04-17-11:00" u="1"/>
        <s v="2017-05-17-11:00" u="1"/>
        <s v="2017-07-17-11:00" u="1"/>
        <s v="2017-08-17-11:00" u="1"/>
        <s v="2017-10-17-11:00" u="1"/>
        <s v="2017-11-17-11:00" u="1"/>
        <s v="2016-01-11-02:00" u="1"/>
        <s v="2016-01-19-20:00" u="1"/>
        <s v="2016-02-11-02:00" u="1"/>
        <s v="2016-02-19-20:00" u="1"/>
        <s v="2016-03-11-02:00" u="1"/>
        <s v="2016-03-31-01:00" u="1"/>
        <s v="2016-04-11-02:00" u="1"/>
        <s v="2016-04-19-20:00" u="1"/>
        <s v="2016-05-11-02:00" u="1"/>
        <s v="2016-05-19-20:00" u="1"/>
        <s v="2016-05-31-01:00" u="1"/>
        <s v="2016-07-11-02:00" u="1"/>
        <s v="2016-07-19-20:00" u="1"/>
        <s v="2016-08-11-02:00" u="1"/>
        <s v="2016-08-19-20:00" u="1"/>
        <s v="2016-08-31-01:00" u="1"/>
        <s v="2016-09-19-20:00" u="1"/>
        <s v="2016-10-11-02:00" u="1"/>
        <s v="2016-10-31-01:00" u="1"/>
        <s v="2016-11-11-02:00" u="1"/>
        <s v="2018-02-07-11:00" u="1"/>
        <s v="2018-02-27-10:00" u="1"/>
        <s v="2018-03-07-11:00" u="1"/>
        <s v="2018-03-27-10:00" u="1"/>
        <s v="2018-04-27-10:00" u="1"/>
        <s v="2018-05-07-11:00" u="1"/>
        <s v="2017-01-09-20:00" u="1"/>
        <s v="2017-02-01-02:00" u="1"/>
        <s v="2017-02-09-20:00" u="1"/>
        <s v="2017-02-21-01:00" u="1"/>
        <s v="2017-03-01-02:00" u="1"/>
        <s v="2017-03-09-20:00" u="1"/>
        <s v="2017-03-21-01:00" u="1"/>
        <s v="2017-04-21-01:00" u="1"/>
        <s v="2017-05-01-02:00" u="1"/>
        <s v="2017-05-09-20:00" u="1"/>
        <s v="2017-06-01-02:00" u="1"/>
        <s v="2017-06-09-20:00" u="1"/>
        <s v="2017-06-21-01:00" u="1"/>
        <s v="2017-07-21-01:00" u="1"/>
        <s v="2017-08-01-02:00" u="1"/>
        <s v="2017-08-09-20:00" u="1"/>
        <s v="2017-08-21-01:00" u="1"/>
        <s v="2017-09-01-02:00" u="1"/>
        <s v="2017-09-21-01:00" u="1"/>
        <s v="2017-11-01-02:00" u="1"/>
        <s v="2017-11-21-01:00" u="1"/>
        <s v="2017-12-01-02:00" u="1"/>
        <s v="2017-12-21-01:00" u="1"/>
        <s v="2016-01-07-20:00" u="1"/>
        <s v="2016-02-03-11:00" u="1"/>
        <s v="2016-02-23-10:00" u="1"/>
        <s v="2016-03-03-11:00" u="1"/>
        <s v="2016-03-07-20:00" u="1"/>
        <s v="2016-03-23-10:00" u="1"/>
        <s v="2016-04-07-20:00" u="1"/>
        <s v="2016-05-03-11:00" u="1"/>
        <s v="2016-05-23-10:00" u="1"/>
        <s v="2016-06-03-11:00" u="1"/>
        <s v="2016-06-07-20:00" u="1"/>
        <s v="2016-06-23-10:00" u="1"/>
        <s v="2016-07-07-20:00" u="1"/>
        <s v="2016-08-03-11:00" u="1"/>
        <s v="2016-08-23-10:00" u="1"/>
        <s v="2016-09-07-20:00" u="1"/>
        <s v="2016-09-23-10:00" u="1"/>
        <s v="2016-10-07-20:00" u="1"/>
        <s v="2016-11-07-20:00" u="1"/>
        <s v="2016-12-07-20:00" u="1"/>
        <s v="2018-01-11-01:00" u="1"/>
        <s v="2018-01-31-00:00" u="1"/>
        <s v="2018-04-11-01:00" u="1"/>
        <s v="2018-05-11-01:00" u="1"/>
        <s v="2018-07-31-00:00" u="1"/>
        <s v="2017-01-13-10:00" u="1"/>
        <s v="2017-02-13-10:00" u="1"/>
        <s v="2017-03-13-10:00" u="1"/>
        <s v="2017-04-13-10:00" u="1"/>
        <s v="2017-06-13-10:00" u="1"/>
        <s v="2017-07-13-10:00" u="1"/>
        <s v="2017-09-13-10:00" u="1"/>
        <s v="2017-10-13-10:00" u="1"/>
        <s v="2017-11-13-10:00" u="1"/>
        <s v="2017-12-13-10:00" u="1"/>
        <s v="2016-01-11-10:00" u="1"/>
        <s v="2016-02-11-10:00" u="1"/>
        <s v="2016-03-11-10:00" u="1"/>
        <s v="2016-04-11-10:00" u="1"/>
        <s v="2016-05-11-10:00" u="1"/>
        <s v="2016-07-11-10:00" u="1"/>
        <s v="2016-08-11-10:00" u="1"/>
        <s v="2016-10-11-10:00" u="1"/>
        <s v="2016-11-11-10:00" u="1"/>
        <s v="2018-01-03-10:00" u="1"/>
        <s v="2018-04-03-10:00" u="1"/>
        <s v="2018-05-03-10:00" u="1"/>
        <s v="2017-11-01-10:00" u="1"/>
        <s v="2017-12-01-10:00" u="1"/>
        <s v="2016-01-06-04:00" u="1"/>
        <s v="2016-01-26-03:00" u="1"/>
        <s v="2016-02-26-03:00" u="1"/>
        <s v="2016-04-06-04:00" u="1"/>
        <s v="2016-04-26-03:00" u="1"/>
        <s v="2016-05-06-04:00" u="1"/>
        <s v="2016-05-26-03:00" u="1"/>
        <s v="2016-06-06-04:00" u="1"/>
        <s v="2016-07-06-04:00" u="1"/>
        <s v="2016-07-26-03:00" u="1"/>
        <s v="2016-08-26-03:00" u="1"/>
        <s v="2016-09-06-04:00" u="1"/>
        <s v="2016-09-26-03:00" u="1"/>
        <s v="2016-10-06-04:00" u="1"/>
        <s v="2016-10-26-03:00" u="1"/>
        <s v="2016-12-06-04:00" u="1"/>
        <s v="2017-01-16-03:00" u="1"/>
        <s v="2017-02-16-03:00" u="1"/>
        <s v="2017-03-16-03:00" u="1"/>
        <s v="2017-05-16-03:00" u="1"/>
        <s v="2017-06-16-03:00" u="1"/>
        <s v="2017-08-16-03:00" u="1"/>
        <s v="2017-10-16-03:00" u="1"/>
        <s v="2017-11-16-03:00" u="1"/>
        <s v="2016-10-14-03:00" u="1"/>
        <s v="2016-11-14-03:00" u="1"/>
        <s v="2016-12-14-03:00" u="1"/>
        <s v="2018-01-26-02:00" u="1"/>
        <s v="2018-02-06-03:00" u="1"/>
        <s v="2018-02-26-02:00" u="1"/>
        <s v="2018-03-06-03:00" u="1"/>
        <s v="2018-03-26-02:00" u="1"/>
        <s v="2018-04-06-03:00" u="1"/>
        <s v="2018-04-26-02:00" u="1"/>
        <s v="2017-10-04-03:00" u="1"/>
        <s v="2017-10-24-02:00" u="1"/>
        <s v="2017-11-24-02:00" u="1"/>
        <s v="2017-12-04-03: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6-12-26-11:00" u="1"/>
        <s v="2018-01-18-11:00" u="1"/>
        <s v="2018-04-18-11:00" u="1"/>
        <s v="2018-05-18-11:00" u="1"/>
        <s v="2015-12-28-20:00" u="1"/>
        <s v="2017-01-12-02:00" u="1"/>
        <s v="2017-01-16-11:00" u="1"/>
        <s v="2017-02-16-11:00" u="1"/>
        <s v="2017-03-16-11:00" u="1"/>
        <s v="2017-04-12-02:00" u="1"/>
        <s v="2017-05-12-02:00" u="1"/>
        <s v="2017-05-16-11:00" u="1"/>
        <s v="2017-06-12-02:00" u="1"/>
        <s v="2017-06-16-11:00" u="1"/>
        <s v="2017-07-12-02:00" u="1"/>
        <s v="2017-08-16-11:00" u="1"/>
        <s v="2017-09-12-02:00" u="1"/>
        <s v="2017-10-16-11:00" u="1"/>
        <s v="2017-11-16-11:00" u="1"/>
        <s v="2016-01-18-20:00" u="1"/>
        <s v="2016-02-10-02:00" u="1"/>
        <s v="2016-02-18-20:00" u="1"/>
        <s v="2016-03-10-02:00" u="1"/>
        <s v="2016-03-18-20:00" u="1"/>
        <s v="2016-03-30-01:00" u="1"/>
        <s v="2016-04-18-20:00" u="1"/>
        <s v="2016-05-10-02:00" u="1"/>
        <s v="2016-05-18-20:00" u="1"/>
        <s v="2016-05-30-01:00" u="1"/>
        <s v="2016-06-10-02:00" u="1"/>
        <s v="2016-06-30-01:00" u="1"/>
        <s v="2016-07-18-20:00" u="1"/>
        <s v="2016-08-10-02:00" u="1"/>
        <s v="2016-08-18-20:00" u="1"/>
        <s v="2016-08-30-01:00" u="1"/>
        <s v="2016-09-30-01:00" u="1"/>
        <s v="2016-10-10-02:00" u="1"/>
        <s v="2016-10-18-20:00" u="1"/>
        <s v="2016-11-10-02:00" u="1"/>
        <s v="2016-11-18-20:00" u="1"/>
        <s v="2016-11-30-01:00" u="1"/>
        <s v="2016-12-30-01:00" u="1"/>
        <s v="2018-01-22-01:00" u="1"/>
        <s v="2018-01-26-10:00" u="1"/>
        <s v="2018-02-02-02:00" u="1"/>
        <s v="2018-02-06-11:00" u="1"/>
        <s v="2018-02-22-01:00" u="1"/>
        <s v="2018-02-26-10:00" u="1"/>
        <s v="2018-03-02-02:00" u="1"/>
        <s v="2018-03-06-11:00" u="1"/>
        <s v="2018-03-22-01:00" u="1"/>
        <s v="2018-03-26-10:00" u="1"/>
        <s v="2018-04-02-02:00" u="1"/>
        <s v="2018-04-06-11:00" u="1"/>
        <s v="2018-04-26-10:00" u="1"/>
        <s v="2018-05-02-02:00" u="1"/>
        <s v="2018-05-22-01:00" u="1"/>
        <s v="2017-01-20-01:00" u="1"/>
        <s v="2017-02-08-20:00" u="1"/>
        <s v="2017-02-20-01:00" u="1"/>
        <s v="2017-03-08-20:00" u="1"/>
        <s v="2017-03-20-01:00" u="1"/>
        <s v="2017-04-20-01:00" u="1"/>
        <s v="2017-05-08-20:00" u="1"/>
        <s v="2017-06-08-20:00" u="1"/>
        <s v="2017-06-20-01:00" u="1"/>
        <s v="2017-07-20-01:00" u="1"/>
        <s v="2017-08-08-20:00" u="1"/>
        <s v="2017-09-08-20:00" u="1"/>
        <s v="2017-09-20-01:00" u="1"/>
        <s v="2017-10-20-01:00" u="1"/>
        <s v="2017-11-08-20:00" u="1"/>
        <s v="2017-11-20-01:00" u="1"/>
        <s v="2017-12-08-20:00" u="1"/>
        <s v="2017-12-20-01:00" u="1"/>
        <s v="2016-01-22-10:00" u="1"/>
        <s v="2016-02-02-11:00" u="1"/>
        <s v="2016-02-22-10:00" u="1"/>
        <s v="2016-03-02-11:00" u="1"/>
        <s v="2016-03-22-10:00" u="1"/>
        <s v="2016-04-22-10:00" u="1"/>
        <s v="2016-05-02-11:00" u="1"/>
        <s v="2016-06-02-11:00" u="1"/>
        <s v="2016-06-22-10:00" u="1"/>
        <s v="2016-07-22-10:00" u="1"/>
        <s v="2016-08-02-11:00" u="1"/>
        <s v="2016-08-22-10:00" u="1"/>
        <s v="2016-09-02-11:00" u="1"/>
        <s v="2016-09-22-10:00" u="1"/>
        <s v="2016-11-02-11:00" u="1"/>
        <s v="2016-11-22-10:00" u="1"/>
        <s v="2016-12-02-11:00" u="1"/>
        <s v="2016-12-22-10:00" u="1"/>
        <s v="2018-07-30-00:00" u="1"/>
        <s v="2017-01-12-10:00" u="1"/>
        <s v="2017-04-12-10:00" u="1"/>
        <s v="2017-05-12-10:00" u="1"/>
        <s v="2017-06-12-10:00" u="1"/>
        <s v="2017-07-12-10:00" u="1"/>
        <s v="2017-09-12-10:00" u="1"/>
        <s v="2017-10-12-10:00" u="1"/>
        <s v="2017-12-12-10:00" u="1"/>
        <s v="2018-01-02-10:00" u="1"/>
        <s v="2018-02-02-10:00" u="1"/>
        <s v="2018-03-02-10:00" u="1"/>
        <s v="2018-04-02-10:00" u="1"/>
        <s v="2018-05-02-1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7-09-19-04:00" u="1"/>
        <s v="2017-10-19-04:00" u="1"/>
        <s v="2017-12-19-04: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7-02-15-03:00" u="1"/>
        <s v="2017-03-15-03:00" u="1"/>
        <s v="2017-05-15-03:00" u="1"/>
        <s v="2017-06-15-03:00" u="1"/>
        <s v="2017-08-15-03:00" u="1"/>
        <s v="2017-09-15-03:00" u="1"/>
        <s v="2017-11-15-03:00" u="1"/>
        <s v="2017-12-15-03:00" u="1"/>
        <s v="2016-02-17-12:00" u="1"/>
        <s v="2016-03-17-12:00" u="1"/>
        <s v="2016-05-17-12:00" u="1"/>
        <s v="2016-06-17-12:00" u="1"/>
        <s v="2016-08-17-12:00" u="1"/>
        <s v="2016-10-17-12:00" u="1"/>
        <s v="2016-11-17-12:00" u="1"/>
        <s v="2018-01-05-03:00" u="1"/>
        <s v="2018-01-25-02:00" u="1"/>
        <s v="2018-02-05-03:00" u="1"/>
        <s v="2018-03-05-03:00" u="1"/>
        <s v="2018-04-05-03:00" u="1"/>
        <s v="2018-04-25-02:00" u="1"/>
        <s v="2018-05-25-02:00" u="1"/>
        <s v="2017-01-27-11:00" u="1"/>
        <s v="2017-02-07-12:00" u="1"/>
        <s v="2017-02-27-11:00" u="1"/>
        <s v="2017-03-07-12:00" u="1"/>
        <s v="2017-03-27-11:00" u="1"/>
        <s v="2017-04-07-12:00" u="1"/>
        <s v="2017-04-27-11:00" u="1"/>
        <s v="2017-06-07-12:00" u="1"/>
        <s v="2017-06-27-11:00" u="1"/>
        <s v="2017-07-07-12:00" u="1"/>
        <s v="2017-07-27-11:00" u="1"/>
        <s v="2017-08-07-12:00" u="1"/>
        <s v="2017-09-07-12:00" u="1"/>
        <s v="2017-09-27-11:00" u="1"/>
        <s v="2017-10-27-11:00" u="1"/>
        <s v="2017-11-07-12:00" u="1"/>
        <s v="2017-11-27-11:00" u="1"/>
        <s v="2017-12-07-12:00" u="1"/>
        <s v="2017-12-27-11:00" u="1"/>
        <s v="2016-01-21-02:00" u="1"/>
        <s v="2016-02-01-03:00" u="1"/>
        <s v="2016-03-01-03:00" u="1"/>
        <s v="2016-03-21-02:00" u="1"/>
        <s v="2016-04-01-03:00" u="1"/>
        <s v="2016-04-21-02:00" u="1"/>
        <s v="2016-06-01-03:00" u="1"/>
        <s v="2016-06-21-02:00" u="1"/>
        <s v="2016-07-01-03:00" u="1"/>
        <s v="2016-07-21-02:00" u="1"/>
        <s v="2016-08-01-03:00" u="1"/>
        <s v="2016-09-01-03:00" u="1"/>
        <s v="2016-09-21-02:00" u="1"/>
        <s v="2016-10-05-12:00" u="1"/>
        <s v="2016-10-21-02:00" u="1"/>
        <s v="2016-10-25-11:00" u="1"/>
        <s v="2016-11-01-03:00" u="1"/>
        <s v="2016-11-21-02:00" u="1"/>
        <s v="2016-11-25-11:00" u="1"/>
        <s v="2016-12-01-03:00" u="1"/>
        <s v="2016-12-05-12:00" u="1"/>
        <s v="2016-12-21-02:00" u="1"/>
        <s v="2018-01-17-11:00" u="1"/>
        <s v="2018-04-17-11:00" u="1"/>
        <s v="2018-05-17-11:00" u="1"/>
        <s v="2017-01-11-02:00" u="1"/>
        <s v="2017-01-19-20:00" u="1"/>
        <s v="2017-01-31-01:00" u="1"/>
        <s v="2017-03-31-01:00" u="1"/>
        <s v="2017-04-11-02:00" u="1"/>
        <s v="2017-04-19-20:00" u="1"/>
        <s v="2017-05-11-02:00" u="1"/>
        <s v="2017-05-19-20:00" u="1"/>
        <s v="2017-05-31-01:00" u="1"/>
        <s v="2017-06-19-20:00" u="1"/>
        <s v="2017-07-11-02:00" u="1"/>
        <s v="2017-07-19-20:00" u="1"/>
        <s v="2017-07-31-01:00" u="1"/>
        <s v="2017-08-11-02:00" u="1"/>
        <s v="2017-08-31-01:00" u="1"/>
        <s v="2017-09-11-02:00" u="1"/>
        <s v="2017-09-19-20:00" u="1"/>
        <s v="2017-10-11-02:00" u="1"/>
        <s v="2017-10-31-01:00" u="1"/>
        <s v="2017-12-11-02:00" u="1"/>
        <s v="2016-02-17-20:00" u="1"/>
        <s v="2016-03-17-20:00" u="1"/>
        <s v="2016-05-17-20:00" u="1"/>
        <s v="2016-06-17-20:00" u="1"/>
        <s v="2016-08-17-20:00" u="1"/>
        <s v="2016-10-17-20:00" u="1"/>
        <s v="2016-11-17-20:00" u="1"/>
        <s v="2018-01-09-20:00" u="1"/>
        <s v="2018-02-01-02:00" u="1"/>
        <s v="2018-02-09-20:00" u="1"/>
        <s v="2018-02-21-01:00" u="1"/>
        <s v="2018-03-01-02:00" u="1"/>
        <s v="2018-03-09-20:00" u="1"/>
        <s v="2018-03-21-01:00" u="1"/>
        <s v="2018-04-09-20:00" u="1"/>
        <s v="2018-05-01-02:00" u="1"/>
        <s v="2018-05-09-20:00" u="1"/>
        <s v="2018-05-21-01:00" u="1"/>
        <s v="2015-12-31-10:00" u="1"/>
        <s v="2017-01-03-11:00" u="1"/>
        <s v="2017-01-23-10:00" u="1"/>
        <s v="2017-02-03-11:00" u="1"/>
        <s v="2017-02-07-20:00" u="1"/>
        <s v="2017-02-23-10:00" u="1"/>
        <s v="2017-03-03-11:00" u="1"/>
        <s v="2017-03-07-20:00" u="1"/>
        <s v="2017-03-23-10:00" u="1"/>
        <s v="2017-04-03-11:00" u="1"/>
        <s v="2017-04-07-20:00" u="1"/>
        <s v="2017-05-03-11:00" u="1"/>
        <s v="2017-05-23-10:00" u="1"/>
        <s v="2017-06-07-20:00" u="1"/>
        <s v="2017-06-23-10:00" u="1"/>
        <s v="2017-07-03-11:00" u="1"/>
        <s v="2017-07-07-20:00" u="1"/>
        <s v="2017-08-03-11:00" u="1"/>
        <s v="2017-08-07-20:00" u="1"/>
        <s v="2017-08-23-10:00" u="1"/>
        <s v="2017-09-07-20:00" u="1"/>
        <s v="2017-11-07-20:00" u="1"/>
        <s v="2017-12-07-2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8-02-13-10:00" u="1"/>
        <s v="2018-03-13-10:00" u="1"/>
        <s v="2018-04-13-10:00" u="1"/>
        <s v="2017-01-11-10:00" u="1"/>
        <s v="2017-04-11-10:00" u="1"/>
        <s v="2017-05-11-10:00" u="1"/>
        <s v="2017-07-11-10:00" u="1"/>
        <s v="2017-08-11-10:00" u="1"/>
        <s v="2017-09-11-10:00" u="1"/>
        <s v="2017-10-11-10:00" u="1"/>
        <s v="2017-12-11-10:00" u="1"/>
        <s v="2016-10-28-04:00" u="1"/>
        <s v="2016-11-08-05:00" u="1"/>
        <s v="2016-11-28-04:00" u="1"/>
        <s v="2016-12-08-05:00" u="1"/>
        <s v="2016-12-28-04:00" u="1"/>
        <s v="2016-02-16-04:00" u="1"/>
        <s v="2016-03-16-04:00" u="1"/>
        <s v="2016-05-16-04:00" u="1"/>
        <s v="2016-06-16-04:00" u="1"/>
        <s v="2016-08-16-04:00" u="1"/>
        <s v="2016-09-16-04:00" u="1"/>
        <s v="2017-01-06-04:00" u="1"/>
        <s v="2017-01-26-03:00" u="1"/>
        <s v="2017-02-06-04:00" u="1"/>
        <s v="2017-03-06-04:00" u="1"/>
        <s v="2017-04-06-04:00" u="1"/>
        <s v="2017-04-26-03:00" u="1"/>
        <s v="2017-05-26-03:00" u="1"/>
        <s v="2017-06-06-04:00" u="1"/>
        <s v="2017-06-26-03:00" u="1"/>
        <s v="2017-07-06-04:00" u="1"/>
        <s v="2017-07-26-03:00" u="1"/>
        <s v="2017-09-06-04:00" u="1"/>
        <s v="2017-09-26-0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8-01-16-03:00" u="1"/>
        <s v="2018-02-16-03:00" u="1"/>
        <s v="2018-03-16-03:00" u="1"/>
        <s v="2018-04-16-03:00" u="1"/>
        <s v="2018-05-16-03:00" u="1"/>
        <s v="2017-11-14-03:00" u="1"/>
        <s v="2017-12-14-03:00" u="1"/>
        <s v="2016-02-16-12:00" u="1"/>
        <s v="2016-03-16-12:00" u="1"/>
        <s v="2016-05-16-12:00" u="1"/>
        <s v="2016-06-16-12:00" u="1"/>
        <s v="2016-08-16-12:00" u="1"/>
        <s v="2016-09-16-12:00" u="1"/>
        <s v="2016-11-16-12:00" u="1"/>
        <s v="2016-12-16-12:00" u="1"/>
        <s v="2015-12-30-02:00" u="1"/>
        <s v="2017-01-06-12:00" u="1"/>
        <s v="2017-01-26-11:00" u="1"/>
        <s v="2017-02-06-12:00" u="1"/>
        <s v="2017-03-06-12:00" u="1"/>
        <s v="2017-04-06-12:00" u="1"/>
        <s v="2017-04-26-11:00" u="1"/>
        <s v="2017-05-26-11:00" u="1"/>
        <s v="2017-06-06-12:00" u="1"/>
        <s v="2017-06-26-11:00" u="1"/>
        <s v="2017-07-06-12:00" u="1"/>
        <s v="2017-07-26-11:00" u="1"/>
        <s v="2017-09-06-12:00" u="1"/>
        <s v="2017-09-26-11:00" u="1"/>
        <s v="2017-10-06-12:00" u="1"/>
        <s v="2017-10-26-11:00" u="1"/>
        <s v="2017-11-06-12:00" u="1"/>
        <s v="2017-12-06-12:00" u="1"/>
        <s v="2017-12-26-11:00" u="1"/>
        <s v="2016-01-08-21:00" u="1"/>
        <s v="2016-01-20-02:00" u="1"/>
        <s v="2016-01-28-20:00" u="1"/>
        <s v="2016-02-08-21:00" u="1"/>
        <s v="2016-03-08-21:00" u="1"/>
        <s v="2016-03-28-20:00" u="1"/>
        <s v="2016-04-08-21:00" u="1"/>
        <s v="2016-04-20-02:00" u="1"/>
        <s v="2016-04-28-20:00" u="1"/>
        <s v="2016-05-20-02:00" u="1"/>
        <s v="2016-06-08-21:00" u="1"/>
        <s v="2016-06-20-02:00" u="1"/>
        <s v="2016-06-28-20:00" u="1"/>
        <s v="2016-07-08-21:00" u="1"/>
        <s v="2016-07-20-02:00" u="1"/>
        <s v="2016-07-28-20:00" u="1"/>
        <s v="2016-08-08-21:00" u="1"/>
        <s v="2016-09-08-21:00" u="1"/>
        <s v="2016-09-20-02:00" u="1"/>
        <s v="2016-09-28-20:00" u="1"/>
        <s v="2016-10-20-02:00" u="1"/>
        <s v="2016-10-28-20:00" u="1"/>
        <s v="2016-11-08-21:00" u="1"/>
        <s v="2016-11-28-20:00" u="1"/>
        <s v="2016-12-08-21:00" u="1"/>
        <s v="2016-12-20-02:00" u="1"/>
        <s v="2016-12-28-20:00" u="1"/>
        <s v="2018-01-12-02:00" u="1"/>
        <s v="2018-01-16-11:00" u="1"/>
        <s v="2018-02-12-02:00" u="1"/>
        <s v="2018-02-16-11:00" u="1"/>
        <s v="2018-03-12-02:00" u="1"/>
        <s v="2018-03-16-11:00" u="1"/>
        <s v="2018-04-12-02:00" u="1"/>
        <s v="2018-04-16-11:00" u="1"/>
        <s v="2018-05-16-11:00" u="1"/>
        <s v="2017-01-10-02:00" u="1"/>
        <s v="2017-01-18-20:00" u="1"/>
        <s v="2017-01-30-01:00" u="1"/>
        <s v="2017-02-10-02:00" u="1"/>
        <s v="2017-03-10-02:00" u="1"/>
        <s v="2017-03-30-01:00" u="1"/>
        <s v="2017-04-10-02:00" u="1"/>
        <s v="2017-04-18-20:00" u="1"/>
        <s v="2017-05-10-02:00" u="1"/>
        <s v="2017-05-18-20:00" u="1"/>
        <s v="2017-05-30-01:00" u="1"/>
        <s v="2017-06-30-01:00" u="1"/>
        <s v="2017-07-10-02:00" u="1"/>
        <s v="2017-07-18-20:00" u="1"/>
        <s v="2017-08-10-02:00" u="1"/>
        <s v="2017-08-18-20:00" u="1"/>
        <s v="2017-08-30-01:00" u="1"/>
        <s v="2017-09-18-20:00" u="1"/>
        <s v="2017-10-10-02:00" u="1"/>
        <s v="2017-10-18-20:00" u="1"/>
        <s v="2017-10-30-01:00" u="1"/>
        <s v="2017-11-10-02:00" u="1"/>
        <s v="2017-11-30-01:00" u="1"/>
        <s v="2017-12-18-20:00" u="1"/>
        <s v="2016-01-12-11:00" u="1"/>
        <s v="2016-02-12-11:00" u="1"/>
        <s v="2016-04-12-11:00" u="1"/>
        <s v="2016-05-12-11:00" u="1"/>
        <s v="2016-07-12-11:00" u="1"/>
        <s v="2016-08-12-11:00" u="1"/>
        <s v="2016-09-12-11:00" u="1"/>
        <s v="2016-10-12-11:00" u="1"/>
        <s v="2016-11-16-20:00" u="1"/>
        <s v="2016-12-12-11:00" u="1"/>
        <s v="2016-12-16-20:00" u="1"/>
        <s v="2018-01-08-20:00" u="1"/>
        <s v="2018-02-08-20:00" u="1"/>
        <s v="2018-02-20-01:00" u="1"/>
        <s v="2018-03-08-20:00" u="1"/>
        <s v="2018-03-20-01:00" u="1"/>
        <s v="2018-04-20-01:00" u="1"/>
        <s v="2018-05-08-20:00" u="1"/>
        <s v="2015-12-30-10:00" u="1"/>
        <s v="2017-01-02-11:00" u="1"/>
        <s v="2017-02-02-11:00" u="1"/>
        <s v="2017-02-22-10:00" u="1"/>
        <s v="2017-03-02-11:00" u="1"/>
        <s v="2017-03-22-10:00" u="1"/>
        <s v="2017-05-02-11:00" u="1"/>
        <s v="2017-05-22-10:00" u="1"/>
        <s v="2017-06-02-11:00" u="1"/>
        <s v="2017-06-22-10:00" u="1"/>
        <s v="2017-08-02-11:00" u="1"/>
        <s v="2017-08-22-10:00" u="1"/>
        <s v="2017-09-22-10:00" u="1"/>
        <s v="2017-10-02-11:00" u="1"/>
        <s v="2017-11-02-11:00" u="1"/>
        <s v="2017-11-22-10:00" u="1"/>
        <s v="2017-12-22-10:00" u="1"/>
        <s v="2016-10-20-10:00" u="1"/>
        <s v="2016-12-20-10:00" u="1"/>
        <s v="2018-01-12-10:00" u="1"/>
        <s v="2018-02-12-10:00" u="1"/>
        <s v="2018-03-12-10:00" u="1"/>
        <s v="2018-04-12-10:00" u="1"/>
        <s v="2015-12-29-05: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10-09-05:00" u="1"/>
        <s v="2017-11-09-05:00" u="1"/>
        <s v="2017-11-29-04:00" u="1"/>
        <s v="2017-12-29-04:00" u="1"/>
        <s v="2018-01-19-04:00" u="1"/>
        <s v="2018-02-19-04:00" u="1"/>
        <s v="2018-03-19-04:00" u="1"/>
        <s v="2018-04-19-04:00" u="1"/>
        <s v="2015-12-29-13:00" u="1"/>
        <s v="2016-01-15-04:00" u="1"/>
        <s v="2016-02-15-04:00" u="1"/>
        <s v="2016-03-15-04:00" u="1"/>
        <s v="2016-04-15-04:00" u="1"/>
        <s v="2016-06-15-04:00" u="1"/>
        <s v="2016-07-15-04:00" u="1"/>
        <s v="2016-08-15-04:00" u="1"/>
        <s v="2016-09-15-04:00" u="1"/>
        <s v="2016-11-15-04:00" u="1"/>
        <s v="2016-12-15-04:00" u="1"/>
        <s v="2017-01-05-04:00" u="1"/>
        <s v="2017-01-25-03:00" u="1"/>
        <s v="2017-04-05-04:00" u="1"/>
        <s v="2017-04-25-03:00" u="1"/>
        <s v="2017-05-05-04:00" u="1"/>
        <s v="2017-05-25-03:00" u="1"/>
        <s v="2017-06-05-04:00" u="1"/>
        <s v="2017-07-05-04:00" u="1"/>
        <s v="2017-07-25-03:00" u="1"/>
        <s v="2017-08-25-03:00" u="1"/>
        <s v="2017-09-05-04:00" u="1"/>
        <s v="2017-09-25-03:00" u="1"/>
        <s v="2017-10-05-04:00" u="1"/>
        <s v="2017-10-25-03:00" u="1"/>
        <s v="2017-12-05-04:00" u="1"/>
        <s v="2016-01-07-13:00" u="1"/>
        <s v="2016-01-27-12:00" u="1"/>
        <s v="2016-03-07-13:00" u="1"/>
        <s v="2016-04-07-13:00" u="1"/>
        <s v="2016-04-27-12:00" u="1"/>
        <s v="2016-05-27-12:00" u="1"/>
        <s v="2016-06-07-13:00" u="1"/>
        <s v="2016-06-27-12:00" u="1"/>
        <s v="2016-07-07-13:00" u="1"/>
        <s v="2016-07-27-12:00" u="1"/>
        <s v="2016-09-07-13:00" u="1"/>
        <s v="2016-09-27-12:00" u="1"/>
        <s v="2018-01-15-03:00" u="1"/>
        <s v="2018-02-15-03:00" u="1"/>
        <s v="2018-03-15-03:00" u="1"/>
        <s v="2018-05-15-03:00" u="1"/>
        <s v="2017-01-17-12:00" u="1"/>
        <s v="2017-02-17-12:00" u="1"/>
        <s v="2017-03-17-12:00" u="1"/>
        <s v="2017-04-17-12:00" u="1"/>
        <s v="2017-05-17-12:00" u="1"/>
        <s v="2017-07-17-12:00" u="1"/>
        <s v="2017-08-17-12:00" u="1"/>
        <s v="2017-10-17-12:00" u="1"/>
        <s v="2017-11-17-12:00" u="1"/>
        <s v="2016-01-11-03:00" u="1"/>
        <s v="2016-01-15-12:00" u="1"/>
        <s v="2016-02-11-03:00" u="1"/>
        <s v="2016-02-15-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8-02-07-12:00" u="1"/>
        <s v="2018-02-27-11:00" u="1"/>
        <s v="2018-03-07-12:00" u="1"/>
        <s v="2018-03-27-11:00" u="1"/>
        <s v="2018-04-27-11:00" u="1"/>
        <s v="2018-05-07-12:00" u="1"/>
        <s v="2017-02-01-03:00" u="1"/>
        <s v="2017-02-21-02:00" u="1"/>
        <s v="2017-03-01-03:00" u="1"/>
        <s v="2017-03-21-02:00" u="1"/>
        <s v="2017-04-21-02:00" u="1"/>
        <s v="2017-05-01-03:00" u="1"/>
        <s v="2017-06-01-03:00" u="1"/>
        <s v="2017-06-21-02:00" u="1"/>
        <s v="2017-07-21-02:00" u="1"/>
        <s v="2017-08-01-03:00" u="1"/>
        <s v="2017-08-21-02:00" u="1"/>
        <s v="2017-09-01-03:00" u="1"/>
        <s v="2017-09-21-02:00" u="1"/>
        <s v="2017-10-05-12:00" u="1"/>
        <s v="2017-10-25-11:00" u="1"/>
        <s v="2017-11-01-03:00" u="1"/>
        <s v="2017-11-21-02:00" u="1"/>
        <s v="2017-12-01-03:00" u="1"/>
        <s v="2017-12-05-12:00" u="1"/>
        <s v="2017-12-21-02:00" u="1"/>
        <s v="2016-01-07-21:00" u="1"/>
        <s v="2016-01-27-20:00" u="1"/>
        <s v="2016-03-07-21:00" u="1"/>
        <s v="2016-04-07-21:00" u="1"/>
        <s v="2016-04-27-20:00" u="1"/>
        <s v="2016-05-27-20:00" u="1"/>
        <s v="2016-06-07-21:00" u="1"/>
        <s v="2016-06-27-20:00" u="1"/>
        <s v="2016-07-07-21:00" u="1"/>
        <s v="2016-07-27-20:00" u="1"/>
        <s v="2016-09-07-21:00" u="1"/>
        <s v="2016-09-27-20:00" u="1"/>
        <s v="2016-10-07-21:00" u="1"/>
        <s v="2016-10-27-20:00" u="1"/>
        <s v="2016-11-07-21:00" u="1"/>
        <s v="2016-12-07-21:00" u="1"/>
        <s v="2016-12-27-20:00" u="1"/>
        <s v="2018-01-11-02:00" u="1"/>
        <s v="2018-01-19-20:00" u="1"/>
        <s v="2018-01-31-01:00" u="1"/>
        <s v="2018-02-19-20:00" u="1"/>
        <s v="2018-03-19-20:00" u="1"/>
        <s v="2018-04-11-02:00" u="1"/>
        <s v="2018-04-19-20:00" u="1"/>
        <s v="2018-05-11-02:00" u="1"/>
        <s v="2017-01-17-20:00" u="1"/>
        <s v="2017-02-17-20:00" u="1"/>
        <s v="2017-03-17-20:00" u="1"/>
        <s v="2017-04-17-20:00" u="1"/>
        <s v="2017-05-17-20:00" u="1"/>
        <s v="2017-07-17-20:00" u="1"/>
        <s v="2017-08-17-20:00" u="1"/>
        <s v="2017-10-17-20:00" u="1"/>
        <s v="2017-11-17-20:00" u="1"/>
        <s v="2016-01-11-11:00" u="1"/>
        <s v="2016-02-11-11:00" u="1"/>
        <s v="2016-03-11-11:00" u="1"/>
        <s v="2016-03-31-10:00" u="1"/>
        <s v="2016-04-11-11:00" u="1"/>
        <s v="2016-05-11-11:00" u="1"/>
        <s v="2016-05-31-10:00" u="1"/>
        <s v="2016-07-11-11:00" u="1"/>
        <s v="2016-08-11-11:00" u="1"/>
        <s v="2016-08-31-10:00" u="1"/>
        <s v="2016-10-11-11:00" u="1"/>
        <s v="2016-10-31-10:00" u="1"/>
        <s v="2016-11-11-11:00" u="1"/>
        <s v="2018-01-03-11:00" u="1"/>
        <s v="2018-01-23-10:00" u="1"/>
        <s v="2018-02-07-20:00" u="1"/>
        <s v="2018-02-23-10:00" u="1"/>
        <s v="2018-03-07-20:00" u="1"/>
        <s v="2018-03-23-10:00" u="1"/>
        <s v="2018-04-03-11:00" u="1"/>
        <s v="2018-04-23-10:00" u="1"/>
        <s v="2018-05-03-11:00" u="1"/>
        <s v="2018-05-07-20:00" u="1"/>
        <s v="2018-05-23-10:00" u="1"/>
        <s v="2017-02-01-11:00" u="1"/>
        <s v="2017-02-21-10:00" u="1"/>
        <s v="2017-03-01-11:00" u="1"/>
        <s v="2017-03-21-10:00" u="1"/>
        <s v="2017-04-21-10:00" u="1"/>
        <s v="2017-05-01-11:00" u="1"/>
        <s v="2017-06-01-11:00" u="1"/>
        <s v="2017-06-21-10:00" u="1"/>
        <s v="2017-07-21-10:00" u="1"/>
        <s v="2017-08-01-11:00" u="1"/>
        <s v="2017-08-21-10:00" u="1"/>
        <s v="2017-09-01-11:00" u="1"/>
        <s v="2017-09-21-10:00" u="1"/>
        <s v="2017-11-01-11:00" u="1"/>
        <s v="2017-11-21-10:00" u="1"/>
        <s v="2017-12-01-11:00" u="1"/>
        <s v="2017-12-21-10:00" u="1"/>
        <s v="2016-02-03-20:00" u="1"/>
        <s v="2016-03-03-20:00" u="1"/>
        <s v="2016-05-03-20:00" u="1"/>
        <s v="2016-06-03-20:00" u="1"/>
        <s v="2016-08-03-20:00" u="1"/>
        <s v="2016-10-03-20:00" u="1"/>
        <s v="2016-11-03-20:00" u="1"/>
        <s v="2018-01-11-10:00" u="1"/>
        <s v="2018-04-11-10:00" u="1"/>
        <s v="2018-05-11-10:00" u="1"/>
        <s v="2016-10-18-05:00" u="1"/>
        <s v="2016-11-18-05:00" u="1"/>
        <s v="2017-11-08-05:00" u="1"/>
        <s v="2017-11-28-04:00" u="1"/>
        <s v="2017-12-08-05:00" u="1"/>
        <s v="2017-12-28-04:00" u="1"/>
        <s v="2017-01-16-04:00" u="1"/>
        <s v="2017-02-16-04:00" u="1"/>
        <s v="2017-03-16-04:00" u="1"/>
        <s v="2017-05-16-04:00" u="1"/>
        <s v="2017-06-16-04:00" u="1"/>
        <s v="2017-08-16-04:00" u="1"/>
        <s v="2016-01-14-04:00" u="1"/>
        <s v="2016-03-14-04:00" u="1"/>
        <s v="2016-04-14-04:00" u="1"/>
        <s v="2016-06-14-04:00" u="1"/>
        <s v="2016-07-14-04:00" u="1"/>
        <s v="2016-09-14-04:00" u="1"/>
        <s v="2016-10-14-04:00" u="1"/>
        <s v="2016-11-14-04:00" u="1"/>
        <s v="2016-12-14-04:00" u="1"/>
        <s v="2018-01-26-03:00" u="1"/>
        <s v="2018-02-06-04:00" u="1"/>
        <s v="2018-02-26-03:00" u="1"/>
        <s v="2018-03-06-04:00" u="1"/>
        <s v="2018-03-26-03:00" u="1"/>
        <s v="2018-04-06-04:00" u="1"/>
        <s v="2018-04-26-03:00" u="1"/>
        <s v="2017-01-04-04:00" u="1"/>
        <s v="2017-01-24-03:00" u="1"/>
        <s v="2017-02-24-03:00" u="1"/>
        <s v="2017-03-24-03:00" u="1"/>
        <s v="2017-04-04-04:00" u="1"/>
        <s v="2017-04-24-03:00" u="1"/>
        <s v="2017-05-04-04:00" u="1"/>
        <s v="2017-05-24-03:00" u="1"/>
        <s v="2017-07-04-04:00" u="1"/>
        <s v="2017-07-24-03:00" u="1"/>
        <s v="2017-08-04-04:00" u="1"/>
        <s v="2017-08-24-03:00" u="1"/>
        <s v="2017-09-04-04:00" u="1"/>
        <s v="2017-10-04-04:00" u="1"/>
        <s v="2017-10-24-03:00" u="1"/>
        <s v="2017-11-24-03:00" u="1"/>
        <s v="2017-12-04-04:00" u="1"/>
        <s v="2016-01-06-13:00" u="1"/>
        <s v="2016-01-26-12:00" u="1"/>
        <s v="2016-02-26-12:00" u="1"/>
        <s v="2016-04-06-13:00" u="1"/>
        <s v="2016-04-26-12:00" u="1"/>
        <s v="2016-05-06-13:00" u="1"/>
        <s v="2016-05-26-12:00" u="1"/>
        <s v="2016-06-06-13:00" u="1"/>
        <s v="2016-07-06-13:00" u="1"/>
        <s v="2016-07-26-12:00" u="1"/>
        <s v="2016-08-26-12:00" u="1"/>
        <s v="2016-09-06-13:00" u="1"/>
        <s v="2016-09-26-12:00" u="1"/>
        <s v="2016-10-06-13:00" u="1"/>
        <s v="2016-10-26-12:00" u="1"/>
        <s v="2016-12-06-13:00" u="1"/>
        <s v="2016-12-26-12:00" u="1"/>
        <s v="2017-01-16-12:00" u="1"/>
        <s v="2017-02-16-12:00" u="1"/>
        <s v="2017-03-16-12:00" u="1"/>
        <s v="2017-05-16-12:00" u="1"/>
        <s v="2017-06-16-12:00" u="1"/>
        <s v="2017-08-16-12:00" u="1"/>
        <s v="2017-10-16-12:00" u="1"/>
        <s v="2017-11-16-12:00" u="1"/>
        <s v="2016-01-18-21:00" u="1"/>
        <s v="2016-02-10-03:00" u="1"/>
        <s v="2016-02-18-21:00" u="1"/>
        <s v="2016-03-10-03:00" u="1"/>
        <s v="2016-03-18-21:00" u="1"/>
        <s v="2016-03-30-02:00" u="1"/>
        <s v="2016-04-18-21:00" u="1"/>
        <s v="2016-05-10-03:00" u="1"/>
        <s v="2016-05-18-21:00" u="1"/>
        <s v="2016-05-30-02:00" u="1"/>
        <s v="2016-06-10-03:00" u="1"/>
        <s v="2016-06-30-02:00" u="1"/>
        <s v="2016-07-18-21:00" u="1"/>
        <s v="2016-08-10-03:00" u="1"/>
        <s v="2016-08-18-21:00" u="1"/>
        <s v="2016-08-30-02:00" u="1"/>
        <s v="2016-09-30-02:00" u="1"/>
        <s v="2016-10-10-03:00" u="1"/>
        <s v="2016-11-10-03:00" u="1"/>
        <s v="2016-11-30-02:00" u="1"/>
        <s v="2016-12-30-02:00" u="1"/>
        <s v="2018-01-26-11:00" u="1"/>
        <s v="2018-02-06-12:00" u="1"/>
        <s v="2018-02-26-11:00" u="1"/>
        <s v="2018-03-06-12:00" u="1"/>
        <s v="2018-03-26-11:00" u="1"/>
        <s v="2018-04-06-12:00" u="1"/>
        <s v="2018-04-26-11:00" u="1"/>
        <s v="2017-01-20-02:00" u="1"/>
        <s v="2017-02-08-21:00" u="1"/>
        <s v="2017-02-20-02:00" u="1"/>
        <s v="2017-02-28-20:00" u="1"/>
        <s v="2017-03-08-21:00" u="1"/>
        <s v="2017-03-20-02:00" u="1"/>
        <s v="2017-03-28-20:00" u="1"/>
        <s v="2017-04-20-02:00" u="1"/>
        <s v="2017-04-28-20:00" u="1"/>
        <s v="2017-05-08-21:00" u="1"/>
        <s v="2017-06-08-21:00" u="1"/>
        <s v="2017-06-20-02:00" u="1"/>
        <s v="2017-06-28-20:00" u="1"/>
        <s v="2017-07-20-02:00" u="1"/>
        <s v="2017-07-28-20:00" u="1"/>
        <s v="2017-08-08-21:00" u="1"/>
        <s v="2017-08-28-20:00" u="1"/>
        <s v="2017-09-08-21:00" u="1"/>
        <s v="2017-09-20-02:00" u="1"/>
        <s v="2017-09-28-20:00" u="1"/>
        <s v="2017-10-20-02:00" u="1"/>
        <s v="2017-11-08-21:00" u="1"/>
        <s v="2017-11-20-02:00" u="1"/>
        <s v="2017-11-28-20:00" u="1"/>
        <s v="2017-12-08-21:00" u="1"/>
        <s v="2017-12-20-02:00" u="1"/>
        <s v="2017-12-28-20:00" u="1"/>
        <s v="2016-01-06-21:00" u="1"/>
        <s v="2016-01-22-11:00" u="1"/>
        <s v="2016-01-26-20:00" u="1"/>
        <s v="2016-02-02-12:00" u="1"/>
        <s v="2016-02-22-11:00" u="1"/>
        <s v="2016-02-26-20:00" u="1"/>
        <s v="2016-03-02-12:00" u="1"/>
        <s v="2016-03-22-11:00" u="1"/>
        <s v="2016-04-06-21:00" u="1"/>
        <s v="2016-04-22-11:00" u="1"/>
        <s v="2016-04-26-20:00" u="1"/>
        <s v="2016-05-02-12:00" u="1"/>
        <s v="2016-05-06-21:00" u="1"/>
        <s v="2016-05-26-20:00" u="1"/>
        <s v="2016-06-02-12:00" u="1"/>
        <s v="2016-06-06-21:00" u="1"/>
        <s v="2016-06-22-11:00" u="1"/>
        <s v="2016-07-06-21:00" u="1"/>
        <s v="2016-07-22-11:00" u="1"/>
        <s v="2016-07-26-20:00" u="1"/>
        <s v="2016-08-02-12:00" u="1"/>
        <s v="2016-08-22-11:00" u="1"/>
        <s v="2016-08-26-20:00" u="1"/>
        <s v="2016-09-02-12:00" u="1"/>
        <s v="2016-09-06-21:00" u="1"/>
        <s v="2016-09-22-11:00" u="1"/>
        <s v="2016-09-26-20:00" u="1"/>
        <s v="2016-10-06-21:00" u="1"/>
        <s v="2016-10-26-20:00" u="1"/>
        <s v="2016-12-06-21:00" u="1"/>
        <s v="2016-12-26-20:00" u="1"/>
        <s v="2018-01-10-02:00" u="1"/>
        <s v="2018-01-18-20:00" u="1"/>
        <s v="2018-01-30-01:00" u="1"/>
        <s v="2018-03-30-01:00" u="1"/>
        <s v="2018-04-10-02:00" u="1"/>
        <s v="2018-04-18-20:00" u="1"/>
        <s v="2018-04-30-01:00" u="1"/>
        <s v="2018-05-10-02:00" u="1"/>
        <s v="2018-05-18-20:00" u="1"/>
        <s v="2018-07-30-01:00" u="1"/>
        <s v="2017-01-12-11:00" u="1"/>
        <s v="2017-04-12-11:00" u="1"/>
        <s v="2017-05-12-11:00" u="1"/>
        <s v="2017-06-12-11:00" u="1"/>
        <s v="2017-07-12-11:00" u="1"/>
        <s v="2017-09-12-11:00" u="1"/>
        <s v="2017-10-12-11:00" u="1"/>
        <s v="2017-10-16-20:00" u="1"/>
        <s v="2017-11-16-20:00" u="1"/>
        <s v="2017-12-12-11:00" u="1"/>
        <s v="2016-10-10-11:00" u="1"/>
        <s v="2016-11-10-11:00" u="1"/>
        <s v="2016-11-30-10:00" u="1"/>
        <s v="2016-12-30-10:00" u="1"/>
        <s v="2018-01-02-11:00" u="1"/>
        <s v="2018-01-22-10:00" u="1"/>
        <s v="2018-02-02-11:00" u="1"/>
        <s v="2018-02-22-10:00" u="1"/>
        <s v="2018-03-02-11:00" u="1"/>
        <s v="2018-03-22-10:00" u="1"/>
        <s v="2018-04-02-11:00" u="1"/>
        <s v="2018-05-02-11:00" u="1"/>
        <s v="2018-05-22-10:00" u="1"/>
        <s v="2017-10-20-10:00" u="1"/>
        <s v="2017-11-20-10:00" u="1"/>
        <s v="2017-12-20-10:00" u="1"/>
        <s v="2016-02-02-20:00" u="1"/>
        <s v="2016-03-02-20:00" u="1"/>
        <s v="2016-05-02-20:00" u="1"/>
        <s v="2016-06-02-20:00" u="1"/>
        <s v="2016-08-02-20:00" u="1"/>
        <s v="2016-09-02-20:00" u="1"/>
        <s v="2016-11-02-20:00" u="1"/>
        <s v="2016-12-0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7-09-19-05:00" u="1"/>
        <s v="2017-10-19-05:00" u="1"/>
        <s v="2017-12-19-05:00" u="1"/>
        <s v="2018-01-09-05:00" u="1"/>
        <s v="2018-01-29-04:00" u="1"/>
        <s v="2018-02-09-05:00" u="1"/>
        <s v="2018-03-09-05:00" u="1"/>
        <s v="2018-03-29-04:00" u="1"/>
        <s v="2018-04-09-05:00" u="1"/>
        <s v="2018-05-09-05:00" u="1"/>
        <s v="2018-05-29-04: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7-02-15-04:00" u="1"/>
        <s v="2017-03-15-04:00" u="1"/>
        <s v="2017-05-15-04:00" u="1"/>
        <s v="2017-06-15-04:00" u="1"/>
        <s v="2017-08-15-04:00" u="1"/>
        <s v="2017-09-15-04:00" u="1"/>
        <s v="2017-11-15-04:00" u="1"/>
        <s v="2017-12-15-04:00" u="1"/>
        <s v="2016-10-13-04:00" u="1"/>
        <s v="2016-12-13-04:00" u="1"/>
        <s v="2018-01-05-04:00" u="1"/>
        <s v="2018-01-25-03:00" u="1"/>
        <s v="2018-02-05-04:00" u="1"/>
        <s v="2018-03-05-04:00" u="1"/>
        <s v="2018-04-05-04:00" u="1"/>
        <s v="2018-04-25-03:00" u="1"/>
        <s v="2018-05-25-03:00" u="1"/>
        <s v="2017-01-27-12:00" u="1"/>
        <s v="2017-02-07-13:00" u="1"/>
        <s v="2017-02-27-12:00" u="1"/>
        <s v="2017-03-07-13:00" u="1"/>
        <s v="2017-03-27-12:00" u="1"/>
        <s v="2017-04-07-13:00" u="1"/>
        <s v="2017-04-27-12:00" u="1"/>
        <s v="2017-06-07-13:00" u="1"/>
        <s v="2017-06-27-12:00" u="1"/>
        <s v="2017-07-07-13:00" u="1"/>
        <s v="2017-07-27-12:00" u="1"/>
        <s v="2017-08-07-13:00" u="1"/>
        <s v="2017-09-07-13:00" u="1"/>
        <s v="2017-09-27-12: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1-17-12:00" u="1"/>
        <s v="2018-04-17-12:00" u="1"/>
        <s v="2018-05-17-12:00" u="1"/>
        <s v="2017-01-11-03:00" u="1"/>
        <s v="2017-01-31-02:00" u="1"/>
        <s v="2017-02-15-12:00" u="1"/>
        <s v="2017-03-15-12:00" u="1"/>
        <s v="2017-03-31-02:00" u="1"/>
        <s v="2017-04-11-03:00" u="1"/>
        <s v="2017-05-11-03:00" u="1"/>
        <s v="2017-05-15-12:00" u="1"/>
        <s v="2017-05-31-02:00" u="1"/>
        <s v="2017-06-15-12:00" u="1"/>
        <s v="2017-07-11-03:00" u="1"/>
        <s v="2017-07-31-02:00" u="1"/>
        <s v="2017-08-11-03:00" u="1"/>
        <s v="2017-08-15-12:00" u="1"/>
        <s v="2017-08-31-02:00" u="1"/>
        <s v="2017-09-11-03:00" u="1"/>
        <s v="2017-09-15-12:00" u="1"/>
        <s v="2017-11-15-12:00" u="1"/>
        <s v="2017-12-15-12:00" u="1"/>
        <s v="2016-02-17-21:00" u="1"/>
        <s v="2016-03-17-21:00" u="1"/>
        <s v="2016-05-17-21:00" u="1"/>
        <s v="2016-06-17-21:00" u="1"/>
        <s v="2016-08-17-21:00" u="1"/>
        <s v="2016-10-17-21:00" u="1"/>
        <s v="2016-11-17-21:00" u="1"/>
        <s v="2018-02-01-03:00" u="1"/>
        <s v="2018-02-21-02:00" u="1"/>
        <s v="2018-03-01-03:00" u="1"/>
        <s v="2018-03-21-02:00" u="1"/>
        <s v="2018-05-01-03:00" u="1"/>
        <s v="2018-05-21-02:00" u="1"/>
        <s v="2015-12-31-11:00" u="1"/>
        <s v="2017-01-27-20:00" u="1"/>
        <s v="2017-02-07-21:00" u="1"/>
        <s v="2017-02-27-20:00" u="1"/>
        <s v="2017-03-07-21:00" u="1"/>
        <s v="2017-03-27-20:00" u="1"/>
        <s v="2017-04-07-21:00" u="1"/>
        <s v="2017-04-27-20:00" u="1"/>
        <s v="2017-06-07-21:00" u="1"/>
        <s v="2017-06-27-20:00" u="1"/>
        <s v="2017-07-07-21:00" u="1"/>
        <s v="2017-07-27-20:00" u="1"/>
        <s v="2017-08-07-21:00" u="1"/>
        <s v="2017-09-07-21:00" u="1"/>
        <s v="2017-09-27-20:00" u="1"/>
        <s v="2017-10-27-20:00" u="1"/>
        <s v="2017-11-07-21:00" u="1"/>
        <s v="2017-11-27-20:00" u="1"/>
        <s v="2017-12-07-21:00" u="1"/>
        <s v="2017-12-27-20: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1-17-20:00" u="1"/>
        <s v="2018-04-17-20:00" u="1"/>
        <s v="2018-05-17-20:00" u="1"/>
        <s v="2017-01-11-11:00" u="1"/>
        <s v="2017-01-31-10:00" u="1"/>
        <s v="2017-03-31-10:00" u="1"/>
        <s v="2017-04-11-11:00" u="1"/>
        <s v="2017-05-11-11:00" u="1"/>
        <s v="2017-05-31-10:00" u="1"/>
        <s v="2017-07-11-11:00" u="1"/>
        <s v="2017-07-31-10:00" u="1"/>
        <s v="2017-08-11-11:00" u="1"/>
        <s v="2017-08-31-10:00" u="1"/>
        <s v="2017-09-11-11:00" u="1"/>
        <s v="2017-10-11-11:00" u="1"/>
        <s v="2017-10-31-10:00" u="1"/>
        <s v="2017-12-11-11:00" u="1"/>
        <s v="2016-01-13-20:00" u="1"/>
        <s v="2016-04-13-20:00" u="1"/>
        <s v="2016-05-13-20:00" u="1"/>
        <s v="2016-06-13-20:00" u="1"/>
        <s v="2016-07-13-20:00" u="1"/>
        <s v="2016-09-13-20:00" u="1"/>
        <s v="2016-10-13-20:00" u="1"/>
        <s v="2016-12-13-20:00" u="1"/>
        <s v="2018-02-01-11:00" u="1"/>
        <s v="2018-02-21-10:00" u="1"/>
        <s v="2018-03-01-11:00" u="1"/>
        <s v="2018-03-21-10:00" u="1"/>
        <s v="2018-05-01-11:00" u="1"/>
        <s v="2018-05-21-10:00" u="1"/>
        <s v="2017-01-03-20:00" u="1"/>
        <s v="2017-02-03-20:00" u="1"/>
        <s v="2017-03-03-20:00" u="1"/>
        <s v="2017-04-03-20:00" u="1"/>
        <s v="2017-05-03-20:00" u="1"/>
        <s v="2017-07-03-20:00" u="1"/>
        <s v="2017-08-03-20:00" u="1"/>
        <s v="2017-10-03-20:00" u="1"/>
        <s v="2017-11-03-20: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10-18-05:00" u="1"/>
        <s v="2017-12-18-05: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8-01-16-04:00" u="1"/>
        <s v="2018-02-16-04:00" u="1"/>
        <s v="2018-03-16-04:00" u="1"/>
        <s v="2018-04-16-04:00" u="1"/>
        <s v="2018-05-16-04:00" u="1"/>
        <s v="2017-02-14-04:00" u="1"/>
        <s v="2017-03-14-04:00" u="1"/>
        <s v="2017-04-14-04:00" u="1"/>
        <s v="2017-06-14-04:00" u="1"/>
        <s v="2017-07-14-04:00" u="1"/>
        <s v="2017-08-14-04:00" u="1"/>
        <s v="2017-09-14-04:00" u="1"/>
        <s v="2017-11-14-04:00" u="1"/>
        <s v="2017-12-14-04:00" u="1"/>
        <s v="2016-02-16-13:00" u="1"/>
        <s v="2016-03-16-13:00" u="1"/>
        <s v="2016-05-16-13:00" u="1"/>
        <s v="2016-06-16-13:00" u="1"/>
        <s v="2016-08-16-13:00" u="1"/>
        <s v="2016-09-16-13:00" u="1"/>
        <s v="2016-11-16-13:00" u="1"/>
        <s v="2016-12-16-13:00" u="1"/>
        <s v="2018-01-04-04:00" u="1"/>
        <s v="2018-01-24-03:00" u="1"/>
        <s v="2018-04-04-04:00" u="1"/>
        <s v="2018-04-24-03:00" u="1"/>
        <s v="2018-05-04-04:00" u="1"/>
        <s v="2018-05-24-03:00" u="1"/>
        <s v="2018-07-24-03:00" u="1"/>
        <s v="2015-12-30-03:00" u="1"/>
        <s v="2017-01-06-13:00" u="1"/>
        <s v="2017-01-26-12:00" u="1"/>
        <s v="2017-02-06-13:00" u="1"/>
        <s v="2017-03-06-13:00" u="1"/>
        <s v="2017-04-06-13:00" u="1"/>
        <s v="2017-04-26-12:00" u="1"/>
        <s v="2017-05-26-12:00" u="1"/>
        <s v="2017-06-06-13:00" u="1"/>
        <s v="2017-06-26-12:00" u="1"/>
        <s v="2017-07-06-13:00" u="1"/>
        <s v="2017-07-26-12:00" u="1"/>
        <s v="2017-09-06-13:00" u="1"/>
        <s v="2017-09-26-12:00" u="1"/>
        <s v="2017-10-06-13:00" u="1"/>
        <s v="2017-10-26-12:00" u="1"/>
        <s v="2017-11-06-13:00" u="1"/>
        <s v="2017-12-06-13:00" u="1"/>
        <s v="2017-12-26-12:00" u="1"/>
        <s v="2016-01-20-03:00" u="1"/>
        <s v="2016-04-20-03:00" u="1"/>
        <s v="2016-05-20-03:00" u="1"/>
        <s v="2016-06-20-03:00" u="1"/>
        <s v="2016-07-20-03:00" u="1"/>
        <s v="2016-09-20-03:00" u="1"/>
        <s v="2016-10-04-13:00" u="1"/>
        <s v="2016-10-20-03:00" u="1"/>
        <s v="2016-10-24-12:00" u="1"/>
        <s v="2016-11-04-13:00" u="1"/>
        <s v="2016-11-24-12:00" u="1"/>
        <s v="2016-12-20-03:00" u="1"/>
        <s v="2018-01-16-12:00" u="1"/>
        <s v="2018-02-16-12:00" u="1"/>
        <s v="2018-03-16-12:00" u="1"/>
        <s v="2018-04-16-12:00" u="1"/>
        <s v="2018-05-16-12:00" u="1"/>
        <s v="2017-01-10-03:00" u="1"/>
        <s v="2017-01-18-21:00" u="1"/>
        <s v="2017-01-30-02:00" u="1"/>
        <s v="2017-02-10-03:00" u="1"/>
        <s v="2017-03-10-03:00" u="1"/>
        <s v="2017-03-30-02:00" u="1"/>
        <s v="2017-04-10-03:00" u="1"/>
        <s v="2017-04-18-21:00" u="1"/>
        <s v="2017-05-10-03:00" u="1"/>
        <s v="2017-05-18-21:00" u="1"/>
        <s v="2017-05-30-02:00" u="1"/>
        <s v="2017-06-30-02:00" u="1"/>
        <s v="2017-07-10-03:00" u="1"/>
        <s v="2017-07-18-21:00" u="1"/>
        <s v="2017-08-10-03:00" u="1"/>
        <s v="2017-08-18-21:00" u="1"/>
        <s v="2017-08-30-02:00" u="1"/>
        <s v="2017-09-18-21:00" u="1"/>
        <s v="2017-10-10-03:00" u="1"/>
        <s v="2017-10-30-02:00" u="1"/>
        <s v="2017-11-10-03:00" u="1"/>
        <s v="2017-11-30-02:00" u="1"/>
        <s v="2016-01-12-12:00" u="1"/>
        <s v="2016-02-12-12:00" u="1"/>
        <s v="2016-02-16-21:00" u="1"/>
        <s v="2016-03-16-21:00" u="1"/>
        <s v="2016-04-12-12:00" u="1"/>
        <s v="2016-05-12-12:00" u="1"/>
        <s v="2016-05-16-21:00" u="1"/>
        <s v="2016-06-16-21:00" u="1"/>
        <s v="2016-07-12-12:00" u="1"/>
        <s v="2016-08-12-12:00" u="1"/>
        <s v="2016-08-16-21:00" u="1"/>
        <s v="2016-09-12-12:00" u="1"/>
        <s v="2016-09-16-21:00" u="1"/>
        <s v="2016-11-16-21:00" u="1"/>
        <s v="2016-12-16-21:00" u="1"/>
        <s v="2018-01-08-21:00" u="1"/>
        <s v="2018-02-08-21:00" u="1"/>
        <s v="2018-02-20-02:00" u="1"/>
        <s v="2018-02-28-20:00" u="1"/>
        <s v="2018-03-08-21:00" u="1"/>
        <s v="2018-03-20-02:00" u="1"/>
        <s v="2018-03-28-20:00" u="1"/>
        <s v="2018-04-20-02:00" u="1"/>
        <s v="2018-05-08-21:00" u="1"/>
        <s v="2018-05-28-20:00" u="1"/>
        <s v="2015-12-30-11:00" u="1"/>
        <s v="2017-01-02-12:00" u="1"/>
        <s v="2017-01-06-21:00" u="1"/>
        <s v="2017-01-26-20:00" u="1"/>
        <s v="2017-02-02-12:00" u="1"/>
        <s v="2017-02-06-21:00" u="1"/>
        <s v="2017-02-22-11:00" u="1"/>
        <s v="2017-03-02-12:00" u="1"/>
        <s v="2017-03-06-21:00" u="1"/>
        <s v="2017-03-22-11:00" u="1"/>
        <s v="2017-04-06-21:00" u="1"/>
        <s v="2017-04-26-20:00" u="1"/>
        <s v="2017-05-02-12:00" u="1"/>
        <s v="2017-05-22-11:00" u="1"/>
        <s v="2017-05-26-20:00" u="1"/>
        <s v="2017-06-02-12:00" u="1"/>
        <s v="2017-06-06-21:00" u="1"/>
        <s v="2017-06-22-11:00" u="1"/>
        <s v="2017-06-26-20:00" u="1"/>
        <s v="2017-07-06-21:00" u="1"/>
        <s v="2017-07-26-20:00" u="1"/>
        <s v="2017-08-02-12:00" u="1"/>
        <s v="2017-08-22-11:00" u="1"/>
        <s v="2017-09-06-21:00" u="1"/>
        <s v="2017-09-22-11:00" u="1"/>
        <s v="2017-09-26-20:00" u="1"/>
        <s v="2017-10-06-21:00" u="1"/>
        <s v="2017-10-26-20:00" u="1"/>
        <s v="2017-11-06-21:00" u="1"/>
        <s v="2017-12-06-21:00" u="1"/>
        <s v="2017-12-26-20:00" u="1"/>
        <s v="2016-01-20-11:00" u="1"/>
        <s v="2016-04-20-11:00" u="1"/>
        <s v="2016-05-20-11:00" u="1"/>
        <s v="2016-06-20-11:00" u="1"/>
        <s v="2016-07-20-11:00" u="1"/>
        <s v="2016-09-20-11:00" u="1"/>
        <s v="2016-10-20-11:00" u="1"/>
        <s v="2016-12-20-11:00" u="1"/>
        <s v="2018-01-12-11:00" u="1"/>
        <s v="2018-02-12-11:00" u="1"/>
        <s v="2018-03-12-11:00" u="1"/>
        <s v="2018-04-12-11:00" u="1"/>
        <s v="2017-10-10-11:00" u="1"/>
        <s v="2017-10-30-10:00" u="1"/>
        <s v="2017-11-10-11:00" u="1"/>
        <s v="2017-11-30-10:00" u="1"/>
        <s v="2015-12-29-06:00" u="1"/>
        <s v="2016-01-12-20:00" u="1"/>
        <s v="2016-02-12-20:00" u="1"/>
        <s v="2016-04-12-20:00" u="1"/>
        <s v="2016-05-12-20:00" u="1"/>
        <s v="2016-07-12-20:00" u="1"/>
        <s v="2016-08-12-20:00" u="1"/>
        <s v="2016-09-12-20:00" u="1"/>
        <s v="2016-10-12-20:00" u="1"/>
        <s v="2016-12-12-20:00" u="1"/>
        <s v="2016-01-19-06:00" u="1"/>
        <s v="2016-02-19-06:00" u="1"/>
        <s v="2016-04-19-06:00" u="1"/>
        <s v="2016-05-19-06:00" u="1"/>
        <s v="2016-07-19-06:00" u="1"/>
        <s v="2016-08-19-06:00" u="1"/>
        <s v="2016-09-19-06:00" u="1"/>
        <s v="2016-10-19-06:00" u="1"/>
        <s v="2016-12-19-06:00" u="1"/>
        <s v="2017-01-02-20:00" u="1"/>
        <s v="2017-02-02-20:00" u="1"/>
        <s v="2017-03-02-20:00" u="1"/>
        <s v="2017-05-02-20:00" u="1"/>
        <s v="2017-06-02-20:00" u="1"/>
        <s v="2017-08-02-20:00" u="1"/>
        <s v="2017-10-02-20:00" u="1"/>
        <s v="2017-11-02-20:00" u="1"/>
        <s v="2017-01-09-06:00" u="1"/>
        <s v="2017-02-09-06:00" u="1"/>
        <s v="2017-03-09-06:00" u="1"/>
        <s v="2017-03-29-05:00" u="1"/>
        <s v="2017-05-09-06:00" u="1"/>
        <s v="2017-05-29-05:00" u="1"/>
        <s v="2017-06-09-06:00" u="1"/>
        <s v="2017-06-29-05:00" u="1"/>
        <s v="2017-08-09-06:00" u="1"/>
        <s v="2017-08-29-05:00" u="1"/>
        <s v="2017-09-29-05:00" u="1"/>
        <s v="2017-10-09-06:00" u="1"/>
        <s v="2017-11-09-06:00" u="1"/>
        <s v="2017-11-29-05:00" u="1"/>
        <s v="2017-12-29-05:00" u="1"/>
        <s v="2018-01-19-05:00" u="1"/>
        <s v="2018-02-19-05:00" u="1"/>
        <s v="2018-03-19-05:00" u="1"/>
        <s v="2018-04-19-05:00" u="1"/>
        <s v="2015-12-29-14:00" u="1"/>
        <s v="2016-01-15-05:00" u="1"/>
        <s v="2016-01-19-14:00" u="1"/>
        <s v="2016-02-15-05:00" u="1"/>
        <s v="2016-02-19-14:00" u="1"/>
        <s v="2016-03-15-05:00" u="1"/>
        <s v="2016-04-15-05:00" u="1"/>
        <s v="2016-04-19-14:00" u="1"/>
        <s v="2016-05-19-14:00" u="1"/>
        <s v="2016-06-15-05:00" u="1"/>
        <s v="2016-07-15-05:00" u="1"/>
        <s v="2016-07-19-14:00" u="1"/>
        <s v="2016-08-15-05:00" u="1"/>
        <s v="2016-08-19-14:00" u="1"/>
        <s v="2016-09-15-05:00" u="1"/>
        <s v="2016-09-19-14:00" u="1"/>
        <s v="2016-10-19-14:00" u="1"/>
        <s v="2016-12-19-14:00" u="1"/>
        <s v="2017-01-05-05:00" u="1"/>
        <s v="2017-01-25-04:00" u="1"/>
        <s v="2017-04-05-05:00" u="1"/>
        <s v="2017-04-25-04:00" u="1"/>
        <s v="2017-05-05-05:00" u="1"/>
        <s v="2017-05-25-04:00" u="1"/>
        <s v="2017-06-05-05:00" u="1"/>
        <s v="2017-07-05-05:00" u="1"/>
        <s v="2017-07-25-04:00" u="1"/>
        <s v="2017-08-25-04:00" u="1"/>
        <s v="2017-09-05-05:00" u="1"/>
        <s v="2017-09-25-04:00" u="1"/>
        <s v="2017-10-05-05:00" u="1"/>
        <s v="2017-10-09-14:00" u="1"/>
        <s v="2017-10-25-04:00" u="1"/>
        <s v="2017-11-09-14:00" u="1"/>
        <s v="2017-11-29-13:00" u="1"/>
        <s v="2017-12-05-05:00" u="1"/>
        <s v="2017-12-29-13: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8-01-15-04:00" u="1"/>
        <s v="2018-02-15-04:00" u="1"/>
        <s v="2018-03-15-04:00" u="1"/>
        <s v="2018-05-15-04:00" u="1"/>
        <s v="2017-10-13-04:00" u="1"/>
        <s v="2017-11-13-04:00" u="1"/>
        <s v="2017-12-13-04:00" u="1"/>
        <s v="2016-01-15-13:00" u="1"/>
        <s v="2016-02-15-13:00" u="1"/>
        <s v="2016-03-15-13:00" u="1"/>
        <s v="2016-04-15-13:00" u="1"/>
        <s v="2016-06-15-13:00" u="1"/>
        <s v="2016-07-15-13:00" u="1"/>
        <s v="2016-08-15-13:00" u="1"/>
        <s v="2016-09-15-13:00" u="1"/>
        <s v="2016-11-15-13:00" u="1"/>
        <s v="2016-12-15-13:00" u="1"/>
        <s v="2018-02-07-13:00" u="1"/>
        <s v="2018-02-27-12:00" u="1"/>
        <s v="2018-03-07-13:00" u="1"/>
        <s v="2018-03-27-12:00" u="1"/>
        <s v="2018-04-27-12:00" u="1"/>
        <s v="2018-05-07-13:00" u="1"/>
        <s v="2017-01-05-13:00" u="1"/>
        <s v="2017-01-25-12:00" u="1"/>
        <s v="2017-04-05-13:00" u="1"/>
        <s v="2017-04-25-12:00" u="1"/>
        <s v="2017-05-05-13:00" u="1"/>
        <s v="2017-05-25-12:00" u="1"/>
        <s v="2017-06-05-13:00" u="1"/>
        <s v="2017-07-05-13:00" u="1"/>
        <s v="2017-07-25-12:00" u="1"/>
        <s v="2017-08-25-12:00" u="1"/>
        <s v="2017-09-05-13:00" u="1"/>
        <s v="2017-09-25-12:00" u="1"/>
        <s v="2017-10-05-13:00" u="1"/>
        <s v="2017-10-25-12:00" u="1"/>
        <s v="2017-12-05-13:00" u="1"/>
        <s v="2016-01-07-22:00" u="1"/>
        <s v="2016-01-27-21:00" u="1"/>
        <s v="2016-03-07-22:00" u="1"/>
        <s v="2016-04-07-22:00" u="1"/>
        <s v="2016-04-27-21:00" u="1"/>
        <s v="2016-05-27-21:00" u="1"/>
        <s v="2016-06-07-22:00" u="1"/>
        <s v="2016-06-27-21:00" u="1"/>
        <s v="2016-07-07-22:00" u="1"/>
        <s v="2016-07-27-21:00" u="1"/>
        <s v="2016-09-07-22:00" u="1"/>
        <s v="2016-09-27-21:00" u="1"/>
        <s v="2016-10-07-22:00" u="1"/>
        <s v="2016-10-27-21:00" u="1"/>
        <s v="2016-11-07-22:00" u="1"/>
        <s v="2016-12-07-22:00" u="1"/>
        <s v="2016-12-27-21:00" u="1"/>
        <s v="2018-01-11-03:00" u="1"/>
        <s v="2018-01-15-12:00" u="1"/>
        <s v="2018-01-31-02:00" u="1"/>
        <s v="2018-02-15-12:00" u="1"/>
        <s v="2018-03-15-12:00" u="1"/>
        <s v="2018-04-11-03:00" u="1"/>
        <s v="2018-05-11-03:00" u="1"/>
        <s v="2018-05-15-12:00" u="1"/>
        <s v="2017-01-17-21:00" u="1"/>
        <s v="2017-02-17-21:00" u="1"/>
        <s v="2017-03-17-21:00" u="1"/>
        <s v="2017-04-17-21:00" u="1"/>
        <s v="2017-05-17-21:00" u="1"/>
        <s v="2017-07-17-21:00" u="1"/>
        <s v="2017-08-17-21:00" u="1"/>
        <s v="2017-10-17-21:00" u="1"/>
        <s v="2017-11-17-21:00" u="1"/>
        <s v="2016-01-11-12:00" u="1"/>
        <s v="2016-02-11-12:00" u="1"/>
        <s v="2016-03-11-12:00" u="1"/>
        <s v="2016-03-31-11:00" u="1"/>
        <s v="2016-04-11-12:00" u="1"/>
        <s v="2016-05-11-12:00" u="1"/>
        <s v="2016-05-31-11:00" u="1"/>
        <s v="2016-07-11-12:00" u="1"/>
        <s v="2016-08-11-12:00" u="1"/>
        <s v="2016-08-31-11:00" u="1"/>
        <s v="2016-10-11-12:00" u="1"/>
        <s v="2016-10-31-11:00" u="1"/>
        <s v="2016-11-11-12:00" u="1"/>
        <s v="2018-02-07-21:00" u="1"/>
        <s v="2018-02-27-20:00" u="1"/>
        <s v="2018-03-07-21:00" u="1"/>
        <s v="2018-03-27-20:00" u="1"/>
        <s v="2018-04-27-20:00" u="1"/>
        <s v="2018-05-07-21:00" u="1"/>
        <s v="2017-02-01-12:00" u="1"/>
        <s v="2017-02-21-11:00" u="1"/>
        <s v="2017-03-01-12:00" u="1"/>
        <s v="2017-03-21-11:00" u="1"/>
        <s v="2017-04-21-11:00" u="1"/>
        <s v="2017-05-01-12:00" u="1"/>
        <s v="2017-06-01-12:00" u="1"/>
        <s v="2017-06-21-11:00" u="1"/>
        <s v="2017-07-21-11:00" u="1"/>
        <s v="2017-08-01-12:00" u="1"/>
        <s v="2017-08-21-11:00" u="1"/>
        <s v="2017-09-01-12:00" u="1"/>
        <s v="2017-09-21-11:00" u="1"/>
        <s v="2017-11-01-12:00" u="1"/>
        <s v="2017-11-21-11:00" u="1"/>
        <s v="2017-12-01-12:00" u="1"/>
        <s v="2017-12-21-11:00" u="1"/>
        <s v="2016-02-03-21:00" u="1"/>
        <s v="2016-02-23-20:00" u="1"/>
        <s v="2016-03-03-21:00" u="1"/>
        <s v="2016-03-23-20:00" u="1"/>
        <s v="2016-05-03-21:00" u="1"/>
        <s v="2016-05-23-20:00" u="1"/>
        <s v="2016-06-03-21:00" u="1"/>
        <s v="2016-06-23-20:00" u="1"/>
        <s v="2016-08-03-21:00" u="1"/>
        <s v="2016-08-23-20:00" u="1"/>
        <s v="2016-09-23-20:00" u="1"/>
        <s v="2018-01-11-11:00" u="1"/>
        <s v="2018-01-31-10:00" u="1"/>
        <s v="2018-04-11-11:00" u="1"/>
        <s v="2018-05-11-11:00" u="1"/>
        <s v="2017-01-13-20:00" u="1"/>
        <s v="2017-02-13-20:00" u="1"/>
        <s v="2017-03-13-20:00" u="1"/>
        <s v="2017-04-13-20:00" u="1"/>
        <s v="2017-06-13-20:00" u="1"/>
        <s v="2017-07-13-20:00" u="1"/>
        <s v="2017-09-13-20:00" u="1"/>
        <s v="2017-10-13-20:00" u="1"/>
        <s v="2017-11-13-20:00" u="1"/>
        <s v="2017-12-13-20:00" u="1"/>
        <s v="2016-01-11-20:00" u="1"/>
        <s v="2016-02-11-20:00" u="1"/>
        <s v="2016-03-11-20:00" u="1"/>
        <s v="2016-04-11-20:00" u="1"/>
        <s v="2016-05-11-20:00" u="1"/>
        <s v="2016-07-11-20:00" u="1"/>
        <s v="2016-08-11-20:00" u="1"/>
        <s v="2016-10-11-20:00" u="1"/>
        <s v="2016-11-11-20:00" u="1"/>
        <s v="2018-01-03-20:00" u="1"/>
        <s v="2018-04-03-20:00" u="1"/>
        <s v="2018-05-03-20:00" u="1"/>
        <s v="2016-01-18-06:00" u="1"/>
        <s v="2016-02-18-06:00" u="1"/>
        <s v="2016-03-18-06:00" u="1"/>
        <s v="2016-04-18-06:00" u="1"/>
        <s v="2016-05-18-06:00" u="1"/>
        <s v="2016-07-18-06:00" u="1"/>
        <s v="2016-08-18-06:00" u="1"/>
        <s v="2016-10-18-06:00" u="1"/>
        <s v="2016-11-18-06:00" u="1"/>
        <s v="2017-11-01-20:00" u="1"/>
        <s v="2017-12-01-20: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6-01-14-05:00" u="1"/>
        <s v="2016-03-14-05:00" u="1"/>
        <s v="2016-04-14-05:00" u="1"/>
        <s v="2016-06-14-05:00" u="1"/>
        <s v="2016-07-14-05:00" u="1"/>
        <s v="2016-09-14-05:00" u="1"/>
        <s v="2016-10-14-05:00" u="1"/>
        <s v="2016-11-14-05:00" u="1"/>
        <s v="2016-12-14-05:00" u="1"/>
        <s v="2017-01-04-05:00" u="1"/>
        <s v="2017-01-24-04:00" u="1"/>
        <s v="2017-02-24-04:00" u="1"/>
        <s v="2017-03-24-04:00" u="1"/>
        <s v="2017-04-04-05:00" u="1"/>
        <s v="2017-04-24-04:00" u="1"/>
        <s v="2017-05-04-05:00" u="1"/>
        <s v="2017-05-24-04:00" u="1"/>
        <s v="2017-07-04-05:00" u="1"/>
        <s v="2017-07-24-04:00" u="1"/>
        <s v="2017-08-04-05:00" u="1"/>
        <s v="2017-08-24-04:00" u="1"/>
        <s v="2017-09-04-05:00" u="1"/>
        <s v="2017-10-04-05:00" u="1"/>
        <s v="2017-10-24-04:00" u="1"/>
        <s v="2017-11-24-04:00" u="1"/>
        <s v="2017-12-04-05:00" u="1"/>
        <s v="2016-01-06-14:00" u="1"/>
        <s v="2016-01-26-13:00" u="1"/>
        <s v="2016-02-26-13:00" u="1"/>
        <s v="2016-04-06-14:00" u="1"/>
        <s v="2016-04-26-13:00" u="1"/>
        <s v="2016-05-06-14:00" u="1"/>
        <s v="2016-05-26-13:00" u="1"/>
        <s v="2016-06-06-14:00" u="1"/>
        <s v="2016-07-06-14:00" u="1"/>
        <s v="2016-07-26-13:00" u="1"/>
        <s v="2016-08-26-13:00" u="1"/>
        <s v="2016-09-06-14:00" u="1"/>
        <s v="2016-09-26-13:00" u="1"/>
        <s v="2018-02-14-04:00" u="1"/>
        <s v="2018-03-14-04:00" u="1"/>
        <s v="2018-05-14-04:00" u="1"/>
        <s v="2017-01-16-13:00" u="1"/>
        <s v="2017-02-16-13:00" u="1"/>
        <s v="2017-03-16-13:00" u="1"/>
        <s v="2017-05-16-13:00" u="1"/>
        <s v="2017-06-16-13:00" u="1"/>
        <s v="2017-08-16-13:00" u="1"/>
        <s v="2017-10-16-13:00" u="1"/>
        <s v="2017-11-16-13:00" u="1"/>
        <s v="2016-02-10-04:00" u="1"/>
        <s v="2016-03-10-04:00" u="1"/>
        <s v="2016-03-30-03:00" u="1"/>
        <s v="2016-05-10-04:00" u="1"/>
        <s v="2016-05-30-03:00" u="1"/>
        <s v="2016-06-10-04:00" u="1"/>
        <s v="2016-06-30-03:00" u="1"/>
        <s v="2016-08-10-04:00" u="1"/>
        <s v="2016-08-30-03:00" u="1"/>
        <s v="2016-09-30-03:00" u="1"/>
        <s v="2016-10-10-04:00" u="1"/>
        <s v="2016-10-14-13:00" u="1"/>
        <s v="2016-11-10-04:00" u="1"/>
        <s v="2016-11-14-13:00" u="1"/>
        <s v="2016-11-30-03:00" u="1"/>
        <s v="2016-12-14-13:00" u="1"/>
        <s v="2016-12-30-03:00" u="1"/>
        <s v="2018-01-26-12:00" u="1"/>
        <s v="2018-02-06-13:00" u="1"/>
        <s v="2018-02-26-12:00" u="1"/>
        <s v="2018-03-06-13:00" u="1"/>
        <s v="2018-03-26-12:00" u="1"/>
        <s v="2018-04-06-13:00" u="1"/>
        <s v="2018-04-26-12:00" u="1"/>
        <s v="2017-01-20-03:00" u="1"/>
        <s v="2017-02-20-03:00" u="1"/>
        <s v="2017-03-20-03:00" u="1"/>
        <s v="2017-04-20-03:00" u="1"/>
        <s v="2017-06-20-03:00" u="1"/>
        <s v="2017-07-20-03:00" u="1"/>
        <s v="2017-09-20-03:00" u="1"/>
        <s v="2017-10-04-13:00" u="1"/>
        <s v="2017-10-20-03:00" u="1"/>
        <s v="2017-10-24-12:00" u="1"/>
        <s v="2017-11-20-03:00" u="1"/>
        <s v="2017-11-24-12:00" u="1"/>
        <s v="2017-12-04-13:00" u="1"/>
        <s v="2017-12-20-03:00" u="1"/>
        <s v="2016-01-06-22:00" u="1"/>
        <s v="2016-01-26-21:00" u="1"/>
        <s v="2016-02-26-21:00" u="1"/>
        <s v="2016-04-06-22:00" u="1"/>
        <s v="2016-04-26-21:00" u="1"/>
        <s v="2016-05-06-22:00" u="1"/>
        <s v="2016-05-26-21:00" u="1"/>
        <s v="2016-06-06-22:00" u="1"/>
        <s v="2016-07-06-22:00" u="1"/>
        <s v="2016-07-26-21:00" u="1"/>
        <s v="2016-08-26-21:00" u="1"/>
        <s v="2016-09-06-22:00" u="1"/>
        <s v="2016-09-26-21:00" u="1"/>
        <s v="2016-10-06-22:00" u="1"/>
        <s v="2016-10-26-21:00" u="1"/>
        <s v="2016-12-06-22:00" u="1"/>
        <s v="2016-12-26-21:00" u="1"/>
        <s v="2018-01-10-03:00" u="1"/>
        <s v="2018-01-18-21:00" u="1"/>
        <s v="2018-01-30-02:00" u="1"/>
        <s v="2018-03-30-02:00" u="1"/>
        <s v="2018-04-10-03:00" u="1"/>
        <s v="2018-04-18-21:00" u="1"/>
        <s v="2018-04-30-02:00" u="1"/>
        <s v="2018-05-10-03:00" u="1"/>
        <s v="2018-05-18-21:00" u="1"/>
        <s v="2018-07-30-02:00" u="1"/>
        <s v="2017-01-12-12:00" u="1"/>
        <s v="2017-01-16-21:00" u="1"/>
        <s v="2017-02-16-21:00" u="1"/>
        <s v="2017-03-16-21:00" u="1"/>
        <s v="2017-04-12-12:00" u="1"/>
        <s v="2017-05-12-12:00" u="1"/>
        <s v="2017-05-16-21:00" u="1"/>
        <s v="2017-06-12-12:00" u="1"/>
        <s v="2017-06-16-21:00" u="1"/>
        <s v="2017-07-12-12:00" u="1"/>
        <s v="2017-08-16-21:00" u="1"/>
        <s v="2017-09-12-12:00" u="1"/>
        <s v="2017-10-16-21:00" u="1"/>
        <s v="2017-11-16-21:00" u="1"/>
        <s v="2016-02-10-12:00" u="1"/>
        <s v="2016-03-10-12:00" u="1"/>
        <s v="2016-03-30-11:00" u="1"/>
        <s v="2016-05-10-12:00" u="1"/>
        <s v="2016-05-30-11:00" u="1"/>
        <s v="2016-06-10-12:00" u="1"/>
        <s v="2016-06-30-11:00" u="1"/>
        <s v="2016-08-10-12:00" u="1"/>
        <s v="2016-08-30-11:00" u="1"/>
        <s v="2016-09-30-11:00" u="1"/>
        <s v="2016-10-10-12:00" u="1"/>
        <s v="2016-11-10-12:00" u="1"/>
        <s v="2016-11-30-11:00" u="1"/>
        <s v="2016-12-30-11:00" u="1"/>
        <s v="2018-01-02-12:00" u="1"/>
        <s v="2018-01-22-11:00" u="1"/>
        <s v="2018-01-26-20:00" u="1"/>
        <s v="2018-02-02-12:00" u="1"/>
        <s v="2018-02-06-21:00" u="1"/>
        <s v="2018-02-22-11:00" u="1"/>
        <s v="2018-02-26-20:00" u="1"/>
        <s v="2018-03-02-12:00" u="1"/>
        <s v="2018-03-06-21:00" u="1"/>
        <s v="2018-03-22-11:00" u="1"/>
        <s v="2018-03-26-20:00" u="1"/>
        <s v="2018-04-02-12:00" u="1"/>
        <s v="2018-04-06-21:00" u="1"/>
        <s v="2018-04-26-20:00" u="1"/>
        <s v="2018-05-02-12:00" u="1"/>
        <s v="2018-05-22-11:00" u="1"/>
        <s v="2017-01-20-11:00" u="1"/>
        <s v="2017-02-20-11:00" u="1"/>
        <s v="2017-03-20-11:00" u="1"/>
        <s v="2017-04-20-11:00" u="1"/>
        <s v="2017-06-20-11:00" u="1"/>
        <s v="2017-07-20-11:00" u="1"/>
        <s v="2017-09-20-11:00" u="1"/>
        <s v="2017-10-20-11:00" u="1"/>
        <s v="2017-11-20-11:00" u="1"/>
        <s v="2017-12-20-11:00" u="1"/>
        <s v="2016-01-22-20:00" u="1"/>
        <s v="2016-02-02-21:00" u="1"/>
        <s v="2016-02-22-20:00" u="1"/>
        <s v="2016-03-02-21:00" u="1"/>
        <s v="2016-03-22-20:00" u="1"/>
        <s v="2016-04-22-20:00" u="1"/>
        <s v="2016-05-02-21:00" u="1"/>
        <s v="2016-06-02-21:00" u="1"/>
        <s v="2016-06-22-20:00" u="1"/>
        <s v="2016-07-22-20:00" u="1"/>
        <s v="2016-08-02-21:00" u="1"/>
        <s v="2016-08-22-20:00" u="1"/>
        <s v="2016-09-02-21:00" u="1"/>
        <s v="2016-09-22-20:00" u="1"/>
        <s v="2016-11-02-21:00" u="1"/>
        <s v="2016-11-22-20:00" u="1"/>
        <s v="2016-12-02-21:00" u="1"/>
        <s v="2016-12-22-20: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4-12-20:00" u="1"/>
        <s v="2017-05-12-20:00" u="1"/>
        <s v="2017-06-12-20:00" u="1"/>
        <s v="2017-07-12-20:00" u="1"/>
        <s v="2017-09-12-20:00" u="1"/>
        <s v="2017-10-12-20:00" u="1"/>
        <s v="2017-12-12-20:00" u="1"/>
        <s v="2017-01-19-06:00" u="1"/>
        <s v="2017-04-19-06:00" u="1"/>
        <s v="2017-05-19-06:00" u="1"/>
        <s v="2017-06-19-06:00" u="1"/>
        <s v="2017-07-19-06:00" u="1"/>
        <s v="2017-09-19-06:00" u="1"/>
        <s v="2017-10-19-06:00" u="1"/>
        <s v="2017-12-19-06:00" u="1"/>
        <s v="2018-01-02-20:00" u="1"/>
        <s v="2018-02-02-20:00" u="1"/>
        <s v="2018-03-02-20:00" u="1"/>
        <s v="2018-04-02-20:00" u="1"/>
        <s v="2018-05-02-20:00" u="1"/>
        <s v="2016-10-17-06:00" u="1"/>
        <s v="2016-11-17-06:00" u="1"/>
        <s v="2018-01-09-06:00" u="1"/>
        <s v="2018-01-29-05:00" u="1"/>
        <s v="2018-02-09-06:00" u="1"/>
        <s v="2018-03-09-06:00" u="1"/>
        <s v="2018-03-29-05:00" u="1"/>
        <s v="2018-04-09-06:00" u="1"/>
        <s v="2018-05-09-06:00" u="1"/>
        <s v="2018-05-29-05: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7-01-19-14:00" u="1"/>
        <s v="2017-02-15-05:00" u="1"/>
        <s v="2017-03-15-05:00" u="1"/>
        <s v="2017-04-19-14:00" u="1"/>
        <s v="2017-05-15-05:00" u="1"/>
        <s v="2017-05-19-14:00" u="1"/>
        <s v="2017-06-15-05:00" u="1"/>
        <s v="2017-06-19-14:00" u="1"/>
        <s v="2017-07-19-14:00" u="1"/>
        <s v="2017-08-15-05:00" u="1"/>
        <s v="2017-09-15-05:00" u="1"/>
        <s v="2017-09-19-14:00" u="1"/>
        <s v="2017-10-19-14:00" u="1"/>
        <s v="2017-12-19-14:00" u="1"/>
        <s v="2016-01-13-05:00" u="1"/>
        <s v="2016-04-13-05:00" u="1"/>
        <s v="2016-05-13-05:00" u="1"/>
        <s v="2016-06-13-05:00" u="1"/>
        <s v="2016-07-13-05:00" u="1"/>
        <s v="2016-09-13-05:00" u="1"/>
        <s v="2016-10-13-05:00" u="1"/>
        <s v="2016-12-13-05:00" u="1"/>
        <s v="2018-01-05-05:00" u="1"/>
        <s v="2018-01-25-04:00" u="1"/>
        <s v="2018-02-05-05:00" u="1"/>
        <s v="2018-03-05-05:00" u="1"/>
        <s v="2018-04-05-05:00" u="1"/>
        <s v="2018-04-25-04:00" u="1"/>
        <s v="2018-05-25-04:00" u="1"/>
        <s v="2017-01-03-05:00" u="1"/>
        <s v="2017-01-23-04:00" u="1"/>
        <s v="2017-02-03-05:00" u="1"/>
        <s v="2017-02-23-04:00" u="1"/>
        <s v="2017-03-03-05:00" u="1"/>
        <s v="2017-03-23-04:00" u="1"/>
        <s v="2017-04-03-05:00" u="1"/>
        <s v="2017-05-03-05:00" u="1"/>
        <s v="2017-05-23-04:00" u="1"/>
        <s v="2017-06-23-04:00" u="1"/>
        <s v="2017-07-03-05:00" u="1"/>
        <s v="2017-08-03-05:00" u="1"/>
        <s v="2017-08-23-04:00" u="1"/>
        <s v="2017-10-03-05:00" u="1"/>
        <s v="2017-10-23-04:00" u="1"/>
        <s v="2017-11-03-05:00" u="1"/>
        <s v="2017-11-23-04: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7-02-15-13:00" u="1"/>
        <s v="2017-03-15-13:00" u="1"/>
        <s v="2017-05-15-13:00" u="1"/>
        <s v="2017-06-15-13:00" u="1"/>
        <s v="2017-08-15-13:00" u="1"/>
        <s v="2017-09-15-13:00" u="1"/>
        <s v="2017-11-15-13:00" u="1"/>
        <s v="2017-12-15-13:00" u="1"/>
        <s v="2016-02-17-22:00" u="1"/>
        <s v="2016-03-17-22:00" u="1"/>
        <s v="2016-05-17-22:00" u="1"/>
        <s v="2016-06-17-22:00" u="1"/>
        <s v="2016-08-17-22:00" u="1"/>
        <s v="2016-10-17-22:00" u="1"/>
        <s v="2016-11-17-22:00" u="1"/>
        <s v="2018-01-05-13:00" u="1"/>
        <s v="2018-01-25-12:00" u="1"/>
        <s v="2018-02-05-13:00" u="1"/>
        <s v="2018-03-05-13:00" u="1"/>
        <s v="2018-04-05-13:00" u="1"/>
        <s v="2018-04-25-12:00" u="1"/>
        <s v="2018-05-25-12:00" u="1"/>
        <s v="2017-01-27-21:00" u="1"/>
        <s v="2017-02-07-22:00" u="1"/>
        <s v="2017-02-27-21:00" u="1"/>
        <s v="2017-03-07-22:00" u="1"/>
        <s v="2017-03-27-21:00" u="1"/>
        <s v="2017-04-07-22:00" u="1"/>
        <s v="2017-04-27-21:00" u="1"/>
        <s v="2017-06-07-22:00" u="1"/>
        <s v="2017-06-27-21:00" u="1"/>
        <s v="2017-07-07-22:00" u="1"/>
        <s v="2017-07-27-21:00" u="1"/>
        <s v="2017-08-07-22:00" u="1"/>
        <s v="2017-09-07-22:00" u="1"/>
        <s v="2017-09-27-21:00" u="1"/>
        <s v="2017-10-27-21:00" u="1"/>
        <s v="2017-11-07-22:00" u="1"/>
        <s v="2017-11-27-21:00" u="1"/>
        <s v="2017-12-07-22:00" u="1"/>
        <s v="2017-12-27-21:00" u="1"/>
        <s v="2016-01-21-12:00" u="1"/>
        <s v="2016-02-01-13:00" u="1"/>
        <s v="2016-03-01-13:00" u="1"/>
        <s v="2016-03-21-12:00" u="1"/>
        <s v="2016-04-01-13:00" u="1"/>
        <s v="2016-04-21-12:00" u="1"/>
        <s v="2016-06-01-13:00" u="1"/>
        <s v="2016-06-21-12:00" u="1"/>
        <s v="2016-07-01-13:00" u="1"/>
        <s v="2016-07-21-12:00" u="1"/>
        <s v="2016-08-01-13:00" u="1"/>
        <s v="2016-09-01-13:00" u="1"/>
        <s v="2016-09-21-12:00" u="1"/>
        <s v="2016-10-05-22:00" u="1"/>
        <s v="2016-10-21-12:00" u="1"/>
        <s v="2016-10-25-21:00" u="1"/>
        <s v="2016-11-01-13:00" u="1"/>
        <s v="2016-11-21-12:00" u="1"/>
        <s v="2016-11-25-21:00" u="1"/>
        <s v="2016-12-01-13:00" u="1"/>
        <s v="2016-12-05-22:00" u="1"/>
        <s v="2016-12-21-12:00" u="1"/>
        <s v="2018-01-17-21:00" u="1"/>
        <s v="2018-04-17-21:00" u="1"/>
        <s v="2018-05-17-21:00" u="1"/>
        <s v="2017-01-11-12:00" u="1"/>
        <s v="2017-01-31-11:00" u="1"/>
        <s v="2017-03-31-11:00" u="1"/>
        <s v="2017-04-11-12:00" u="1"/>
        <s v="2017-05-11-12:00" u="1"/>
        <s v="2017-05-31-11:00" u="1"/>
        <s v="2017-07-11-12:00" u="1"/>
        <s v="2017-07-31-11:00" u="1"/>
        <s v="2017-08-11-12:00" u="1"/>
        <s v="2017-08-31-11:00" u="1"/>
        <s v="2017-09-11-12:00" u="1"/>
        <s v="2017-10-11-12:00" u="1"/>
        <s v="2017-10-31-11:00" u="1"/>
        <s v="2017-12-11-12:00" u="1"/>
        <s v="2018-02-01-12:00" u="1"/>
        <s v="2018-02-21-11:00" u="1"/>
        <s v="2018-03-01-12:00" u="1"/>
        <s v="2018-03-21-11:00" u="1"/>
        <s v="2018-05-01-12:00" u="1"/>
        <s v="2018-05-21-11:00" u="1"/>
        <s v="2017-01-03-21:00" u="1"/>
        <s v="2017-01-23-20:00" u="1"/>
        <s v="2017-02-03-21:00" u="1"/>
        <s v="2017-02-23-20:00" u="1"/>
        <s v="2017-03-03-21:00" u="1"/>
        <s v="2017-03-23-20:00" u="1"/>
        <s v="2017-04-03-21:00" u="1"/>
        <s v="2017-05-03-21:00" u="1"/>
        <s v="2017-05-23-20:00" u="1"/>
        <s v="2017-06-23-20:00" u="1"/>
        <s v="2017-07-03-21:00" u="1"/>
        <s v="2017-08-03-21:00" u="1"/>
        <s v="2017-08-23-20:00" u="1"/>
        <s v="2016-01-21-20:00" u="1"/>
        <s v="2016-02-01-21:00" u="1"/>
        <s v="2016-03-01-21:00" u="1"/>
        <s v="2016-03-21-20:00" u="1"/>
        <s v="2016-04-01-21:00" u="1"/>
        <s v="2016-04-21-20:00" u="1"/>
        <s v="2016-06-01-21:00" u="1"/>
        <s v="2016-06-21-20:00" u="1"/>
        <s v="2016-07-01-21:00" u="1"/>
        <s v="2016-07-21-20:00" u="1"/>
        <s v="2016-08-01-21:00" u="1"/>
        <s v="2016-09-01-21:00" u="1"/>
        <s v="2016-09-21-20:00" u="1"/>
        <s v="2016-10-21-20:00" u="1"/>
        <s v="2016-11-01-21:00" u="1"/>
        <s v="2016-11-21-20:00" u="1"/>
        <s v="2016-12-01-21:00" u="1"/>
        <s v="2016-12-21-20:00" u="1"/>
        <s v="2018-02-13-20:00" u="1"/>
        <s v="2018-03-13-20:00" u="1"/>
        <s v="2018-04-13-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7-11-20:00" u="1"/>
        <s v="2017-08-11-20:00" u="1"/>
        <s v="2017-09-11-20:00" u="1"/>
        <s v="2017-10-11-20:00" u="1"/>
        <s v="2017-12-11-20:00" u="1"/>
        <s v="2017-01-18-06:00" u="1"/>
        <s v="2017-04-18-06:00" u="1"/>
        <s v="2017-05-18-06:00" u="1"/>
        <s v="2017-07-18-06:00" u="1"/>
        <s v="2017-08-18-06:00" u="1"/>
        <s v="2017-09-18-06:00" u="1"/>
        <s v="2017-10-18-06:00" u="1"/>
        <s v="2017-12-18-06:00" u="1"/>
        <s v="2018-01-08-06:00" u="1"/>
        <s v="2018-02-08-06:00" u="1"/>
        <s v="2018-02-28-05:00" u="1"/>
        <s v="2018-03-08-06:00" u="1"/>
        <s v="2018-03-28-05:00" u="1"/>
        <s v="2018-05-08-06:00" u="1"/>
        <s v="2018-05-28-05:00" u="1"/>
        <s v="2016-01-04-06:00" u="1"/>
        <s v="2016-02-04-06:00" u="1"/>
        <s v="2016-02-24-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7-02-14-05:00" u="1"/>
        <s v="2017-03-14-05:00" u="1"/>
        <s v="2017-04-14-05:00" u="1"/>
        <s v="2017-06-14-05:00" u="1"/>
        <s v="2017-07-14-05:00" u="1"/>
        <s v="2017-08-14-05:00" u="1"/>
        <s v="2017-09-14-05:00" u="1"/>
        <s v="2017-11-14-05:00" u="1"/>
        <s v="2017-12-14-05:00" u="1"/>
        <s v="2016-02-16-14:00" u="1"/>
        <s v="2016-03-16-14:00" u="1"/>
        <s v="2016-05-16-14:00" u="1"/>
        <s v="2016-06-16-14:00" u="1"/>
        <s v="2016-08-16-14:00" u="1"/>
        <s v="2016-09-16-14:00" u="1"/>
        <s v="2018-01-04-05:00" u="1"/>
        <s v="2018-01-24-04:00" u="1"/>
        <s v="2018-04-04-05:00" u="1"/>
        <s v="2018-04-24-04:00" u="1"/>
        <s v="2018-05-04-05:00" u="1"/>
        <s v="2018-05-24-04:00" u="1"/>
        <s v="2018-07-24-04:00" u="1"/>
        <s v="2017-01-06-14:00" u="1"/>
        <s v="2017-01-26-13:00" u="1"/>
        <s v="2017-02-06-14:00" u="1"/>
        <s v="2017-03-06-14:00" u="1"/>
        <s v="2017-04-06-14:00" u="1"/>
        <s v="2017-04-26-13:00" u="1"/>
        <s v="2017-05-26-13:00" u="1"/>
        <s v="2017-06-06-14:00" u="1"/>
        <s v="2017-06-26-13:00" u="1"/>
        <s v="2017-07-06-14:00" u="1"/>
        <s v="2017-07-26-13:00" u="1"/>
        <s v="2017-09-06-14:00" u="1"/>
        <s v="2017-09-26-13:00" u="1"/>
        <s v="2016-01-04-14:00" u="1"/>
        <s v="2016-01-20-04:00" u="1"/>
        <s v="2016-02-04-14:00" u="1"/>
        <s v="2016-02-24-13:00" u="1"/>
        <s v="2016-03-04-14:00" u="1"/>
        <s v="2016-03-24-13:00" u="1"/>
        <s v="2016-04-04-14:00" u="1"/>
        <s v="2016-04-20-04:00" u="1"/>
        <s v="2016-05-04-14:00" u="1"/>
        <s v="2016-05-20-04:00" u="1"/>
        <s v="2016-05-24-13:00" u="1"/>
        <s v="2016-06-20-04:00" u="1"/>
        <s v="2016-06-24-13:00" u="1"/>
        <s v="2016-07-04-14:00" u="1"/>
        <s v="2016-07-20-04:00" u="1"/>
        <s v="2016-08-04-14:00" u="1"/>
        <s v="2016-08-24-13:00" u="1"/>
        <s v="2016-09-20-04:00" u="1"/>
        <s v="2016-10-04-14:00" u="1"/>
        <s v="2016-10-24-13:00" u="1"/>
        <s v="2016-11-04-14:00" u="1"/>
        <s v="2016-11-24-13:00" u="1"/>
        <s v="2018-01-16-13:00" u="1"/>
        <s v="2018-02-16-13:00" u="1"/>
        <s v="2018-03-16-13:00" u="1"/>
        <s v="2018-04-16-13:00" u="1"/>
        <s v="2018-05-16-13:00" u="1"/>
        <s v="2017-01-10-04:00" u="1"/>
        <s v="2017-01-30-03:00" u="1"/>
        <s v="2017-02-10-04:00" u="1"/>
        <s v="2017-03-10-04:00" u="1"/>
        <s v="2017-03-30-03:00" u="1"/>
        <s v="2017-04-10-04:00" u="1"/>
        <s v="2017-05-10-04:00" u="1"/>
        <s v="2017-05-30-03:00" u="1"/>
        <s v="2017-06-30-03:00" u="1"/>
        <s v="2017-07-10-04:00" u="1"/>
        <s v="2017-08-10-04:00" u="1"/>
        <s v="2017-08-30-03:00" u="1"/>
        <s v="2017-10-10-04:00" u="1"/>
        <s v="2017-10-30-03:00" u="1"/>
        <s v="2017-11-10-04:00" u="1"/>
        <s v="2017-11-14-13:00" u="1"/>
        <s v="2017-11-30-03:00" u="1"/>
        <s v="2017-12-14-13:00" u="1"/>
        <s v="2016-02-16-22:00" u="1"/>
        <s v="2016-03-16-22:00" u="1"/>
        <s v="2016-05-16-22:00" u="1"/>
        <s v="2016-06-16-22:00" u="1"/>
        <s v="2016-08-16-22:00" u="1"/>
        <s v="2016-09-16-22:00" u="1"/>
        <s v="2016-11-16-22:00" u="1"/>
        <s v="2016-12-16-22:00" u="1"/>
        <s v="2018-02-20-03:00" u="1"/>
        <s v="2018-03-20-03:00" u="1"/>
        <s v="2018-04-20-03:00" u="1"/>
        <s v="2015-12-30-12:00" u="1"/>
        <s v="2017-01-06-22:00" u="1"/>
        <s v="2017-01-26-21:00" u="1"/>
        <s v="2017-02-06-22:00" u="1"/>
        <s v="2017-03-06-22:00" u="1"/>
        <s v="2017-04-06-22:00" u="1"/>
        <s v="2017-04-26-21:00" u="1"/>
        <s v="2017-05-26-21:00" u="1"/>
        <s v="2017-06-06-22:00" u="1"/>
        <s v="2017-06-26-21:00" u="1"/>
        <s v="2017-07-06-22:00" u="1"/>
        <s v="2017-07-26-21:00" u="1"/>
        <s v="2017-09-06-22:00" u="1"/>
        <s v="2017-09-26-21:00" u="1"/>
        <s v="2017-10-06-22:00" u="1"/>
        <s v="2017-10-26-21:00" u="1"/>
        <s v="2017-11-06-22:00" u="1"/>
        <s v="2017-12-06-22:00" u="1"/>
        <s v="2017-12-26-21:00" u="1"/>
        <s v="2016-01-20-12:00" u="1"/>
        <s v="2016-04-20-12:00" u="1"/>
        <s v="2016-05-20-12:00" u="1"/>
        <s v="2016-06-20-12:00" u="1"/>
        <s v="2016-07-20-12:00" u="1"/>
        <s v="2016-09-20-12:00" u="1"/>
        <s v="2016-10-20-12:00" u="1"/>
        <s v="2016-12-20-12:00" u="1"/>
        <s v="2018-01-12-12:00" u="1"/>
        <s v="2018-01-16-21:00" u="1"/>
        <s v="2018-02-12-12:00" u="1"/>
        <s v="2018-02-16-21:00" u="1"/>
        <s v="2018-03-12-12:00" u="1"/>
        <s v="2018-03-16-21:00" u="1"/>
        <s v="2018-04-12-12:00" u="1"/>
        <s v="2018-04-16-21:00" u="1"/>
        <s v="2018-05-16-21:00" u="1"/>
        <s v="2017-01-10-12:00" u="1"/>
        <s v="2017-01-30-11:00" u="1"/>
        <s v="2017-02-10-12:00" u="1"/>
        <s v="2017-03-10-12:00" u="1"/>
        <s v="2017-03-30-11:00" u="1"/>
        <s v="2017-04-10-12:00" u="1"/>
        <s v="2017-05-10-12:00" u="1"/>
        <s v="2017-05-30-11:00" u="1"/>
        <s v="2017-06-30-11:00" u="1"/>
        <s v="2017-07-10-12:00" u="1"/>
        <s v="2017-08-10-12:00" u="1"/>
        <s v="2017-08-30-11:00" u="1"/>
        <s v="2017-10-10-12:00" u="1"/>
        <s v="2017-10-30-11:00" u="1"/>
        <s v="2017-11-10-12:00" u="1"/>
        <s v="2017-11-30-11:00" u="1"/>
        <s v="2016-01-12-21:00" u="1"/>
        <s v="2016-02-12-21:00" u="1"/>
        <s v="2016-04-12-21:00" u="1"/>
        <s v="2016-05-12-21:00" u="1"/>
        <s v="2016-07-12-21:00" u="1"/>
        <s v="2016-08-12-21:00" u="1"/>
        <s v="2016-09-12-21:00" u="1"/>
        <s v="2016-10-12-21:00" u="1"/>
        <s v="2016-12-12-21:00" u="1"/>
        <s v="2018-02-20-11:00" u="1"/>
        <s v="2018-03-20-11:00" u="1"/>
        <s v="2018-04-20-11:00" u="1"/>
        <s v="2016-01-19-07:00" u="1"/>
        <s v="2016-02-19-07:00" u="1"/>
        <s v="2016-04-19-07:00" u="1"/>
        <s v="2016-05-19-07:00" u="1"/>
        <s v="2016-07-19-07:00" u="1"/>
        <s v="2016-08-19-07:00" u="1"/>
        <s v="2016-09-19-07:00" u="1"/>
        <s v="2015-12-30-20:00" u="1"/>
        <s v="2017-01-02-21:00" u="1"/>
        <s v="2017-02-02-21:00" u="1"/>
        <s v="2017-02-22-20:00" u="1"/>
        <s v="2017-03-02-21:00" u="1"/>
        <s v="2017-03-22-20:00" u="1"/>
        <s v="2017-05-02-21:00" u="1"/>
        <s v="2017-05-22-20:00" u="1"/>
        <s v="2017-06-02-21:00" u="1"/>
        <s v="2017-06-22-20:00" u="1"/>
        <s v="2017-08-02-21:00" u="1"/>
        <s v="2017-08-22-20:00" u="1"/>
        <s v="2017-09-22-20:00" u="1"/>
        <s v="2017-10-02-21:00" u="1"/>
        <s v="2017-11-02-21:00" u="1"/>
        <s v="2017-11-22-20:00" u="1"/>
        <s v="2017-12-22-20:00" u="1"/>
        <s v="2017-01-09-07:00" u="1"/>
        <s v="2017-02-09-07:00" u="1"/>
        <s v="2017-03-09-07:00" u="1"/>
        <s v="2017-03-29-06:00" u="1"/>
        <s v="2017-05-09-07:00" u="1"/>
        <s v="2017-05-29-06:00" u="1"/>
        <s v="2017-06-09-07:00" u="1"/>
        <s v="2017-06-29-06:00" u="1"/>
        <s v="2017-08-09-07:00" u="1"/>
        <s v="2017-08-29-06:00" u="1"/>
        <s v="2017-09-29-06:00" u="1"/>
        <s v="2017-10-09-07:00" u="1"/>
        <s v="2017-11-09-07:00" u="1"/>
        <s v="2017-11-29-06:00" u="1"/>
        <s v="2017-12-29-06:00" u="1"/>
        <s v="2016-10-20-20:00" u="1"/>
        <s v="2016-12-20-20:00" u="1"/>
        <s v="2018-01-12-20:00" u="1"/>
        <s v="2018-02-12-20:00" u="1"/>
        <s v="2018-03-12-20:00" u="1"/>
        <s v="2018-04-12-20:00" u="1"/>
        <s v="2016-01-07-07:00" u="1"/>
        <s v="2016-01-27-06:00" u="1"/>
        <s v="2016-03-07-07:00" u="1"/>
        <s v="2016-04-07-07:00" u="1"/>
        <s v="2016-04-27-06:00" u="1"/>
        <s v="2016-05-27-06:00" u="1"/>
        <s v="2016-06-07-07:00" u="1"/>
        <s v="2016-06-27-06:00" u="1"/>
        <s v="2016-07-07-07:00" u="1"/>
        <s v="2016-07-27-06:00" u="1"/>
        <s v="2016-09-07-07:00" u="1"/>
        <s v="2016-09-27-06:00" u="1"/>
        <s v="2016-10-07-07:00" u="1"/>
        <s v="2016-10-27-06:00" u="1"/>
        <s v="2016-11-07-07:00" u="1"/>
        <s v="2016-12-07-07:00" u="1"/>
        <s v="2016-12-27-06:00" u="1"/>
        <s v="2018-01-19-06:00" u="1"/>
        <s v="2018-02-19-06:00" u="1"/>
        <s v="2018-03-19-06:00" u="1"/>
        <s v="2018-04-19-06:00" u="1"/>
        <s v="2015-12-29-15:00" u="1"/>
        <s v="2017-10-17-06:00" u="1"/>
        <s v="2017-11-17-06:00" u="1"/>
        <s v="2016-01-19-15:00" u="1"/>
        <s v="2016-02-19-15:00" u="1"/>
        <s v="2016-04-19-15:00" u="1"/>
        <s v="2016-05-19-15:00" u="1"/>
        <s v="2016-07-19-15:00" u="1"/>
        <s v="2016-08-19-15:00" u="1"/>
        <s v="2016-09-19-15:00" u="1"/>
        <s v="2016-10-19-15:00" u="1"/>
        <s v="2016-12-19-15:00" u="1"/>
        <s v="2017-01-09-15:00" u="1"/>
        <s v="2017-02-09-15:00" u="1"/>
        <s v="2017-03-09-15:00" u="1"/>
        <s v="2017-03-29-14:00" u="1"/>
        <s v="2017-05-09-15:00" u="1"/>
        <s v="2017-05-29-14:00" u="1"/>
        <s v="2017-06-09-15:00" u="1"/>
        <s v="2017-06-29-14:00" u="1"/>
        <s v="2017-08-09-15:00" u="1"/>
        <s v="2017-08-29-14:00" u="1"/>
        <s v="2017-09-29-14:00" u="1"/>
        <s v="2017-10-09-15:00" u="1"/>
        <s v="2017-11-09-15:00" u="1"/>
        <s v="2017-11-29-14:00" u="1"/>
        <s v="2017-12-29-14: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8-01-15-05:00" u="1"/>
        <s v="2018-01-19-14:00" u="1"/>
        <s v="2018-02-15-05:00" u="1"/>
        <s v="2018-02-19-14:00" u="1"/>
        <s v="2018-03-15-05:00" u="1"/>
        <s v="2018-03-19-14:00" u="1"/>
        <s v="2018-04-19-14:00" u="1"/>
        <s v="2018-05-15-05:00" u="1"/>
        <s v="2015-12-29-23:00" u="1"/>
        <s v="2017-01-13-05:00" u="1"/>
        <s v="2017-02-13-05:00" u="1"/>
        <s v="2017-03-13-05:00" u="1"/>
        <s v="2017-04-13-05:00" u="1"/>
        <s v="2017-06-13-05:00" u="1"/>
        <s v="2017-07-13-05:00" u="1"/>
        <s v="2017-09-13-05:00" u="1"/>
        <s v="2017-10-13-05:00" u="1"/>
        <s v="2017-11-13-05:00" u="1"/>
        <s v="2017-12-13-05:00" u="1"/>
        <s v="2016-01-15-14:00" u="1"/>
        <s v="2016-02-15-14:00" u="1"/>
        <s v="2016-03-15-14:00" u="1"/>
        <s v="2016-04-15-14:00" u="1"/>
        <s v="2016-06-15-14:00" u="1"/>
        <s v="2016-07-15-14:00" u="1"/>
        <s v="2016-08-15-14:00" u="1"/>
        <s v="2016-09-15-14:00" u="1"/>
        <s v="2016-11-15-14:00" u="1"/>
        <s v="2016-12-15-14:00" u="1"/>
        <s v="2018-01-03-05:00" u="1"/>
        <s v="2018-01-23-04:00" u="1"/>
        <s v="2018-02-23-04:00" u="1"/>
        <s v="2018-03-23-04:00" u="1"/>
        <s v="2018-04-03-05:00" u="1"/>
        <s v="2018-04-23-04:00" u="1"/>
        <s v="2018-05-03-05:00" u="1"/>
        <s v="2018-05-23-04:00" u="1"/>
        <s v="2017-01-05-14:00" u="1"/>
        <s v="2017-01-25-13:00" u="1"/>
        <s v="2017-04-05-14:00" u="1"/>
        <s v="2017-04-25-13:00" u="1"/>
        <s v="2017-05-05-14:00" u="1"/>
        <s v="2017-05-25-13:00" u="1"/>
        <s v="2017-06-05-14:00" u="1"/>
        <s v="2017-07-05-14:00" u="1"/>
        <s v="2017-07-25-13:00" u="1"/>
        <s v="2017-08-25-13:00" u="1"/>
        <s v="2017-09-05-14:00" u="1"/>
        <s v="2017-09-25-13:00" u="1"/>
        <s v="2017-10-05-14:00" u="1"/>
        <s v="2017-10-25-13:00" u="1"/>
        <s v="2017-12-05-14:00" u="1"/>
        <s v="2016-01-07-23:00" u="1"/>
        <s v="2016-01-27-22:00" u="1"/>
        <s v="2016-03-07-23:00" u="1"/>
        <s v="2016-04-07-23:00" u="1"/>
        <s v="2016-04-27-22:00" u="1"/>
        <s v="2016-05-27-22:00" u="1"/>
        <s v="2016-06-07-23:00" u="1"/>
        <s v="2016-06-27-22:00" u="1"/>
        <s v="2016-07-07-23:00" u="1"/>
        <s v="2016-07-27-22:00" u="1"/>
        <s v="2016-09-07-23:00" u="1"/>
        <s v="2016-09-27-22:00" u="1"/>
        <s v="2018-01-15-13:00" u="1"/>
        <s v="2018-02-15-13:00" u="1"/>
        <s v="2018-03-15-13:00" u="1"/>
        <s v="2018-05-15-13:00" u="1"/>
        <s v="2017-01-17-22:00" u="1"/>
        <s v="2017-02-17-22:00" u="1"/>
        <s v="2017-03-17-22:00" u="1"/>
        <s v="2017-04-17-22:00" u="1"/>
        <s v="2017-05-17-22:00" u="1"/>
        <s v="2017-07-17-22:00" u="1"/>
        <s v="2017-08-17-22:00" u="1"/>
        <s v="2017-10-17-22:00" u="1"/>
        <s v="2017-11-17-22:00" u="1"/>
        <s v="2016-01-11-13:00" u="1"/>
        <s v="2016-01-15-22:00" u="1"/>
        <s v="2016-02-11-13:00" u="1"/>
        <s v="2016-02-15-22:00" u="1"/>
        <s v="2016-03-11-13:00" u="1"/>
        <s v="2016-03-15-22:00" u="1"/>
        <s v="2016-03-31-12:00" u="1"/>
        <s v="2016-04-11-13:00" u="1"/>
        <s v="2016-04-15-22:00" u="1"/>
        <s v="2016-05-11-13:00" u="1"/>
        <s v="2016-05-31-12:00" u="1"/>
        <s v="2016-06-15-22:00" u="1"/>
        <s v="2016-07-11-13:00" u="1"/>
        <s v="2016-07-15-22:00" u="1"/>
        <s v="2016-08-11-13:00" u="1"/>
        <s v="2016-08-15-22:00" u="1"/>
        <s v="2016-08-31-12:00" u="1"/>
        <s v="2016-09-15-22:00" u="1"/>
        <s v="2016-11-15-22:00" u="1"/>
        <s v="2016-12-15-22:00" u="1"/>
        <s v="2018-02-07-22:00" u="1"/>
        <s v="2018-02-27-21:00" u="1"/>
        <s v="2018-03-07-22:00" u="1"/>
        <s v="2018-03-27-21:00" u="1"/>
        <s v="2018-04-27-21:00" u="1"/>
        <s v="2018-05-07-22:00" u="1"/>
        <s v="2017-02-01-13:00" u="1"/>
        <s v="2017-02-21-12:00" u="1"/>
        <s v="2017-03-01-13:00" u="1"/>
        <s v="2017-03-21-12:00" u="1"/>
        <s v="2017-04-21-12:00" u="1"/>
        <s v="2017-05-01-13:00" u="1"/>
        <s v="2017-06-01-13:00" u="1"/>
        <s v="2017-06-21-12:00" u="1"/>
        <s v="2017-07-21-12:00" u="1"/>
        <s v="2017-08-01-13:00" u="1"/>
        <s v="2017-08-21-12:00" u="1"/>
        <s v="2017-09-01-13:00" u="1"/>
        <s v="2017-09-21-12:00" u="1"/>
        <s v="2017-10-05-22:00" u="1"/>
        <s v="2017-10-25-21:00" u="1"/>
        <s v="2017-11-01-13:00" u="1"/>
        <s v="2017-11-21-12:00" u="1"/>
        <s v="2017-12-01-13:00" u="1"/>
        <s v="2017-12-05-22:00" u="1"/>
        <s v="2017-12-21-12:00" u="1"/>
        <s v="2018-01-11-12:00" u="1"/>
        <s v="2018-01-31-11:00" u="1"/>
        <s v="2018-04-11-12:00" u="1"/>
        <s v="2018-05-11-12:00" u="1"/>
        <s v="2016-01-11-21:00" u="1"/>
        <s v="2016-02-11-21:00" u="1"/>
        <s v="2016-03-11-21:00" u="1"/>
        <s v="2016-03-31-20:00" u="1"/>
        <s v="2016-04-11-21:00" u="1"/>
        <s v="2016-05-11-21:00" u="1"/>
        <s v="2016-05-31-20:00" u="1"/>
        <s v="2016-07-11-21:00" u="1"/>
        <s v="2016-08-11-21:00" u="1"/>
        <s v="2016-08-31-20:00" u="1"/>
        <s v="2016-10-11-21:00" u="1"/>
        <s v="2016-10-31-20:00" u="1"/>
        <s v="2016-11-11-21:00" u="1"/>
        <s v="2018-01-03-21:00" u="1"/>
        <s v="2018-01-23-20:00" u="1"/>
        <s v="2018-02-23-20:00" u="1"/>
        <s v="2018-03-23-20:00" u="1"/>
        <s v="2018-04-03-21:00" u="1"/>
        <s v="2018-04-23-20:00" u="1"/>
        <s v="2018-05-03-21:00" u="1"/>
        <s v="2018-05-23-20:00" u="1"/>
        <s v="2018-07-23-20:00" u="1"/>
        <s v="2016-01-18-07:00" u="1"/>
        <s v="2016-02-18-07:00" u="1"/>
        <s v="2016-03-18-07:00" u="1"/>
        <s v="2016-04-18-07:00" u="1"/>
        <s v="2016-05-18-07:00" u="1"/>
        <s v="2016-07-18-07:00" u="1"/>
        <s v="2016-08-18-07:00" u="1"/>
        <s v="2016-10-18-07:00" u="1"/>
        <s v="2016-11-18-07:00" u="1"/>
        <s v="2017-02-01-21:00" u="1"/>
        <s v="2017-02-21-20:00" u="1"/>
        <s v="2017-03-01-21:00" u="1"/>
        <s v="2017-03-21-20:00" u="1"/>
        <s v="2017-04-21-20:00" u="1"/>
        <s v="2017-05-01-21:00" u="1"/>
        <s v="2017-06-01-21:00" u="1"/>
        <s v="2017-06-21-20:00" u="1"/>
        <s v="2017-07-21-20:00" u="1"/>
        <s v="2017-08-01-21:00" u="1"/>
        <s v="2017-08-21-20:00" u="1"/>
        <s v="2017-09-01-21:00" u="1"/>
        <s v="2017-09-21-20:00" u="1"/>
        <s v="2017-11-01-21:00" u="1"/>
        <s v="2017-11-21-20:00" u="1"/>
        <s v="2017-12-01-21:00" u="1"/>
        <s v="2017-12-21-20:00" u="1"/>
        <s v="2017-02-08-07:00" u="1"/>
        <s v="2017-02-28-06:00" u="1"/>
        <s v="2017-03-08-07:00" u="1"/>
        <s v="2017-03-28-06:00" u="1"/>
        <s v="2017-04-28-06:00" u="1"/>
        <s v="2017-05-08-07:00" u="1"/>
        <s v="2017-06-08-07:00" u="1"/>
        <s v="2017-06-28-06:00" u="1"/>
        <s v="2017-07-28-06:00" u="1"/>
        <s v="2017-08-08-07:00" u="1"/>
        <s v="2017-08-28-06:00" u="1"/>
        <s v="2017-09-08-07:00" u="1"/>
        <s v="2017-09-28-06:00" u="1"/>
        <s v="2017-11-08-07:00" u="1"/>
        <s v="2017-11-28-06:00" u="1"/>
        <s v="2017-12-08-07:00" u="1"/>
        <s v="2017-12-28-06:00" u="1"/>
        <s v="2018-01-11-20:00" u="1"/>
        <s v="2018-04-11-20:00" u="1"/>
        <s v="2018-05-11-20:00" u="1"/>
        <s v="2018-01-18-06:00" u="1"/>
        <s v="2018-04-18-06:00" u="1"/>
        <s v="2018-05-18-06:00" u="1"/>
        <s v="2016-01-14-06:00" u="1"/>
        <s v="2016-03-14-06:00" u="1"/>
        <s v="2016-04-14-06:00" u="1"/>
        <s v="2016-06-14-06:00" u="1"/>
        <s v="2016-07-14-06:00" u="1"/>
        <s v="2016-09-14-06:00" u="1"/>
        <s v="2016-10-14-06:00" u="1"/>
        <s v="2016-10-18-15:00" u="1"/>
        <s v="2016-11-14-06:00" u="1"/>
        <s v="2016-11-18-15:00" u="1"/>
        <s v="2016-12-14-06:00" u="1"/>
        <s v="2017-01-04-06:00" u="1"/>
        <s v="2017-01-24-05:00" u="1"/>
        <s v="2017-02-24-05:00" u="1"/>
        <s v="2017-03-24-05:00" u="1"/>
        <s v="2017-04-04-06:00" u="1"/>
        <s v="2017-04-24-05:00" u="1"/>
        <s v="2017-05-04-06:00" u="1"/>
        <s v="2017-05-24-05:00" u="1"/>
        <s v="2017-07-04-06:00" u="1"/>
        <s v="2017-07-24-05:00" u="1"/>
        <s v="2017-08-04-06:00" u="1"/>
        <s v="2017-08-24-05:00" u="1"/>
        <s v="2017-09-04-06:00" u="1"/>
        <s v="2017-10-04-06:00" u="1"/>
        <s v="2017-10-24-05:00" u="1"/>
        <s v="2017-11-08-15:00" u="1"/>
        <s v="2017-11-24-05:00" u="1"/>
        <s v="2017-11-28-14:00" u="1"/>
        <s v="2017-12-04-06:00" u="1"/>
        <s v="2017-12-08-15:00" u="1"/>
        <s v="2017-12-28-14:00" u="1"/>
        <s v="2016-11-02-06:00" u="1"/>
        <s v="2016-11-22-05:00" u="1"/>
        <s v="2016-12-02-06:00" u="1"/>
        <s v="2016-12-22-05:00" u="1"/>
        <s v="2018-02-14-05:00" u="1"/>
        <s v="2018-03-14-05:00" u="1"/>
        <s v="2018-05-14-05:00" u="1"/>
        <s v="2017-01-16-14:00" u="1"/>
        <s v="2017-02-16-14:00" u="1"/>
        <s v="2017-03-16-14:00" u="1"/>
        <s v="2017-05-16-14:00" u="1"/>
        <s v="2017-06-16-14:00" u="1"/>
        <s v="2017-08-16-14:00" u="1"/>
        <s v="2016-01-14-14:00" u="1"/>
        <s v="2016-03-14-14:00" u="1"/>
        <s v="2016-04-14-14:00" u="1"/>
        <s v="2016-06-14-14:00" u="1"/>
        <s v="2016-07-14-14:00" u="1"/>
        <s v="2016-09-14-14:00" u="1"/>
        <s v="2016-10-14-14:00" u="1"/>
        <s v="2016-11-14-14:00" u="1"/>
        <s v="2016-12-14-14:00" u="1"/>
        <s v="2018-01-26-13:00" u="1"/>
        <s v="2018-02-06-14:00" u="1"/>
        <s v="2018-02-26-13:00" u="1"/>
        <s v="2018-03-06-14:00" u="1"/>
        <s v="2018-03-26-13:00" u="1"/>
        <s v="2018-04-06-14:00" u="1"/>
        <s v="2018-04-26-13:00" u="1"/>
        <s v="2017-01-04-14:00" u="1"/>
        <s v="2017-01-20-04:00" u="1"/>
        <s v="2017-01-24-13:00" u="1"/>
        <s v="2017-02-20-04:00" u="1"/>
        <s v="2017-02-24-13:00" u="1"/>
        <s v="2017-03-20-04:00" u="1"/>
        <s v="2017-03-24-13:00" u="1"/>
        <s v="2017-04-04-14:00" u="1"/>
        <s v="2017-04-20-04:00" u="1"/>
        <s v="2017-04-24-13:00" u="1"/>
        <s v="2017-05-04-14:00" u="1"/>
        <s v="2017-05-24-13:00" u="1"/>
        <s v="2017-06-20-04:00" u="1"/>
        <s v="2017-07-04-14:00" u="1"/>
        <s v="2017-07-20-04:00" u="1"/>
        <s v="2017-07-24-13:00" u="1"/>
        <s v="2017-08-04-14:00" u="1"/>
        <s v="2017-08-24-13:00" u="1"/>
        <s v="2017-09-04-14:00" u="1"/>
        <s v="2017-09-20-04:00" u="1"/>
        <s v="2017-10-04-14:00" u="1"/>
        <s v="2017-10-24-13:00" u="1"/>
        <s v="2017-11-24-13:00" u="1"/>
        <s v="2017-12-04-14:00" u="1"/>
        <s v="2016-01-06-23:00" u="1"/>
        <s v="2016-01-26-22:00" u="1"/>
        <s v="2016-02-26-22:00" u="1"/>
        <s v="2016-04-06-23:00" u="1"/>
        <s v="2016-04-26-22:00" u="1"/>
        <s v="2016-05-06-23:00" u="1"/>
        <s v="2016-05-26-22:00" u="1"/>
        <s v="2016-06-06-23:00" u="1"/>
        <s v="2016-07-06-23:00" u="1"/>
        <s v="2016-07-26-22:00" u="1"/>
        <s v="2016-08-26-22:00" u="1"/>
        <s v="2016-09-06-23:00" u="1"/>
        <s v="2016-09-26-22:00" u="1"/>
        <s v="2016-10-06-23:00" u="1"/>
        <s v="2016-10-26-22:00" u="1"/>
        <s v="2016-12-06-23:00" u="1"/>
        <s v="2016-12-26-22:00" u="1"/>
        <s v="2018-01-10-04:00" u="1"/>
        <s v="2018-01-30-03:00" u="1"/>
        <s v="2018-03-30-03:00" u="1"/>
        <s v="2018-04-10-04:00" u="1"/>
        <s v="2018-04-30-03:00" u="1"/>
        <s v="2018-05-10-04:00" u="1"/>
        <s v="2018-07-30-03:00" u="1"/>
        <s v="2017-01-16-22:00" u="1"/>
        <s v="2017-02-16-22:00" u="1"/>
        <s v="2017-03-16-22:00" u="1"/>
        <s v="2017-05-16-22:00" u="1"/>
        <s v="2017-06-16-22:00" u="1"/>
        <s v="2017-08-16-22:00" u="1"/>
        <s v="2017-10-16-22:00" u="1"/>
        <s v="2017-11-16-22:00" u="1"/>
        <s v="2016-02-10-13:00" u="1"/>
        <s v="2016-03-10-13:00" u="1"/>
        <s v="2016-03-30-12:00" u="1"/>
        <s v="2016-05-10-13:00" u="1"/>
        <s v="2016-05-30-12:00" u="1"/>
        <s v="2016-06-10-13:00" u="1"/>
        <s v="2016-06-30-12:00" u="1"/>
        <s v="2016-08-10-13:00" u="1"/>
        <s v="2016-08-30-12:00" u="1"/>
        <s v="2016-09-30-12:00" u="1"/>
        <s v="2016-10-10-13:00" u="1"/>
        <s v="2016-11-10-13:00" u="1"/>
        <s v="2016-11-30-12:00" u="1"/>
        <s v="2016-12-30-12:00" u="1"/>
        <s v="2018-01-26-21:00" u="1"/>
        <s v="2018-02-06-22:00" u="1"/>
        <s v="2018-02-26-21:00" u="1"/>
        <s v="2018-03-06-22:00" u="1"/>
        <s v="2018-03-26-21:00" u="1"/>
        <s v="2018-04-06-22:00" u="1"/>
        <s v="2018-04-26-21:00" u="1"/>
        <s v="2017-01-20-12:00" u="1"/>
        <s v="2017-02-20-12:00" u="1"/>
        <s v="2017-03-20-12:00" u="1"/>
        <s v="2017-04-20-12:00" u="1"/>
        <s v="2017-06-20-12:00" u="1"/>
        <s v="2017-07-20-12:00" u="1"/>
        <s v="2017-09-20-12:00" u="1"/>
        <s v="2017-10-20-12:00" u="1"/>
        <s v="2017-11-20-12:00" u="1"/>
        <s v="2017-12-20-12:00" u="1"/>
        <s v="2016-01-22-21:00" u="1"/>
        <s v="2016-02-02-22:00" u="1"/>
        <s v="2016-02-22-21:00" u="1"/>
        <s v="2016-03-02-22:00" u="1"/>
        <s v="2016-03-22-21:00" u="1"/>
        <s v="2016-04-22-21:00" u="1"/>
        <s v="2016-05-02-22:00" u="1"/>
        <s v="2016-06-02-22:00" u="1"/>
        <s v="2016-06-22-21:00" u="1"/>
        <s v="2016-07-22-21:00" u="1"/>
        <s v="2016-08-02-22:00" u="1"/>
        <s v="2016-08-22-21:00" u="1"/>
        <s v="2016-09-02-22:00" u="1"/>
        <s v="2016-09-22-21:00" u="1"/>
        <s v="2018-01-10-12:00" u="1"/>
        <s v="2018-01-30-11:00" u="1"/>
        <s v="2018-03-30-11:00" u="1"/>
        <s v="2018-04-10-12:00" u="1"/>
        <s v="2018-04-30-11:00" u="1"/>
        <s v="2018-05-10-12:00" u="1"/>
        <s v="2018-07-30-11:00" u="1"/>
        <s v="2016-01-29-07:00" u="1"/>
        <s v="2016-02-09-08:00" u="1"/>
        <s v="2016-02-29-07:00" u="1"/>
        <s v="2016-03-09-08:00" u="1"/>
        <s v="2016-03-29-07:00" u="1"/>
        <s v="2016-04-29-07:00" u="1"/>
        <s v="2016-05-09-08:00" u="1"/>
        <s v="2016-06-09-08:00" u="1"/>
        <s v="2016-06-29-07:00" u="1"/>
        <s v="2016-07-29-07:00" u="1"/>
        <s v="2016-08-09-08:00" u="1"/>
        <s v="2016-08-29-07:00" u="1"/>
        <s v="2016-09-09-08:00" u="1"/>
        <s v="2016-09-29-07:00" u="1"/>
        <s v="2017-01-12-21:00" u="1"/>
        <s v="2017-04-12-21:00" u="1"/>
        <s v="2017-05-12-21:00" u="1"/>
        <s v="2017-06-12-21:00" u="1"/>
        <s v="2017-07-12-21:00" u="1"/>
        <s v="2017-09-12-21:00" u="1"/>
        <s v="2017-10-12-21:00" u="1"/>
        <s v="2017-12-12-21:00" u="1"/>
        <s v="2017-01-19-07:00" u="1"/>
        <s v="2017-04-19-07:00" u="1"/>
        <s v="2017-05-19-07:00" u="1"/>
        <s v="2017-06-19-07:00" u="1"/>
        <s v="2017-07-19-07:00" u="1"/>
        <s v="2017-09-19-07:00" u="1"/>
        <s v="2016-10-10-21:00" u="1"/>
        <s v="2016-11-10-21:00" u="1"/>
        <s v="2016-11-30-20:00" u="1"/>
        <s v="2016-12-30-20:00" u="1"/>
        <s v="2018-01-02-21:00" u="1"/>
        <s v="2018-01-22-20:00" u="1"/>
        <s v="2018-02-02-21:00" u="1"/>
        <s v="2018-02-22-20:00" u="1"/>
        <s v="2018-03-02-21:00" u="1"/>
        <s v="2018-03-22-20:00" u="1"/>
        <s v="2018-04-02-21:00" u="1"/>
        <s v="2018-05-02-21:00" u="1"/>
        <s v="2018-05-22-20:00" u="1"/>
        <s v="2016-02-17-07:00" u="1"/>
        <s v="2016-03-17-07:00" u="1"/>
        <s v="2016-05-17-07:00" u="1"/>
        <s v="2016-06-17-07:00" u="1"/>
        <s v="2016-08-17-07:00" u="1"/>
        <s v="2016-10-17-07:00" u="1"/>
        <s v="2016-11-17-07:00" u="1"/>
        <s v="2018-01-09-07:00" u="1"/>
        <s v="2018-01-29-06:00" u="1"/>
        <s v="2018-02-09-07:00" u="1"/>
        <s v="2018-03-09-07:00" u="1"/>
        <s v="2018-03-29-06:00" u="1"/>
        <s v="2018-04-09-07:00" u="1"/>
        <s v="2018-05-09-07:00" u="1"/>
        <s v="2018-05-29-06:00" u="1"/>
        <s v="2017-10-20-20:00" u="1"/>
        <s v="2017-11-20-20:00" u="1"/>
        <s v="2017-12-20-20:00" u="1"/>
        <s v="2017-01-27-06:00" u="1"/>
        <s v="2017-02-07-07:00" u="1"/>
        <s v="2017-02-27-06:00" u="1"/>
        <s v="2017-03-07-07:00" u="1"/>
        <s v="2017-03-27-06:00" u="1"/>
        <s v="2017-04-07-07:00" u="1"/>
        <s v="2017-04-27-06:00" u="1"/>
        <s v="2017-06-07-07:00" u="1"/>
        <s v="2017-06-27-06:00" u="1"/>
        <s v="2017-07-07-07:00" u="1"/>
        <s v="2017-07-27-06:00" u="1"/>
        <s v="2017-08-07-07:00" u="1"/>
        <s v="2017-09-07-07:00" u="1"/>
        <s v="2017-09-27-06:00" u="1"/>
        <s v="2017-10-27-06:00" u="1"/>
        <s v="2017-11-07-07:00" u="1"/>
        <s v="2017-11-27-06:00" u="1"/>
        <s v="2017-12-07-07:00" u="1"/>
        <s v="2017-12-27-06:00" u="1"/>
        <s v="2016-01-29-15:00" u="1"/>
        <s v="2016-02-09-16:00" u="1"/>
        <s v="2016-02-29-15:00" u="1"/>
        <s v="2016-03-09-16:00" u="1"/>
        <s v="2016-03-29-15:00" u="1"/>
        <s v="2016-04-29-15:00" u="1"/>
        <s v="2016-05-09-16:00" u="1"/>
        <s v="2016-06-09-16:00" u="1"/>
        <s v="2016-06-29-15:00" u="1"/>
        <s v="2016-07-29-15:00" u="1"/>
        <s v="2016-08-09-16:00" u="1"/>
        <s v="2016-08-29-15:00" u="1"/>
        <s v="2016-09-09-16:00" u="1"/>
        <s v="2016-09-29-15:00" u="1"/>
        <s v="2016-11-09-16:00" u="1"/>
        <s v="2016-11-29-15:00" u="1"/>
        <s v="2016-12-09-16:00" u="1"/>
        <s v="2016-12-29-15:00" u="1"/>
        <s v="2017-01-19-15:00" u="1"/>
        <s v="2017-04-19-15:00" u="1"/>
        <s v="2017-05-19-15:00" u="1"/>
        <s v="2017-06-19-15:00" u="1"/>
        <s v="2017-07-19-15:00" u="1"/>
        <s v="2017-09-19-15:00" u="1"/>
        <s v="2017-10-19-15:00" u="1"/>
        <s v="2017-12-19-15:00" u="1"/>
        <s v="2016-01-13-06:00" u="1"/>
        <s v="2016-04-13-06:00" u="1"/>
        <s v="2016-05-13-06:00" u="1"/>
        <s v="2016-06-13-06:00" u="1"/>
        <s v="2016-07-13-06:00" u="1"/>
        <s v="2016-09-13-06:00" u="1"/>
        <s v="2016-10-13-06:00" u="1"/>
        <s v="2016-12-13-06:00" u="1"/>
        <s v="2018-01-09-15:00" u="1"/>
        <s v="2018-01-29-14:00" u="1"/>
        <s v="2018-02-09-15:00" u="1"/>
        <s v="2018-03-09-15:00" u="1"/>
        <s v="2018-03-29-14:00" u="1"/>
        <s v="2018-04-09-15:00" u="1"/>
        <s v="2018-05-09-15:00" u="1"/>
        <s v="2018-05-29-14:00" u="1"/>
        <s v="2017-01-03-06:00" u="1"/>
        <s v="2017-01-23-05:00" u="1"/>
        <s v="2017-02-03-06:00" u="1"/>
        <s v="2017-02-23-05:00" u="1"/>
        <s v="2017-03-03-06:00" u="1"/>
        <s v="2017-03-23-05:00" u="1"/>
        <s v="2017-04-03-06:00" u="1"/>
        <s v="2017-05-03-06:00" u="1"/>
        <s v="2017-05-23-05:00" u="1"/>
        <s v="2017-06-23-05:00" u="1"/>
        <s v="2017-07-03-06:00" u="1"/>
        <s v="2017-08-03-06:00" u="1"/>
        <s v="2017-08-23-05:00" u="1"/>
        <s v="2017-10-03-06:00" u="1"/>
        <s v="2017-10-23-05:00" u="1"/>
        <s v="2017-11-03-06:00" u="1"/>
        <s v="2017-11-23-05:00" u="1"/>
        <s v="2016-01-05-15:00" u="1"/>
        <s v="2016-01-25-14:00" u="1"/>
        <s v="2016-02-05-15:00" u="1"/>
        <s v="2016-02-25-14:00" u="1"/>
        <s v="2016-03-25-14:00" u="1"/>
        <s v="2016-04-05-15:00" u="1"/>
        <s v="2016-04-25-14:00" u="1"/>
        <s v="2016-05-05-15:00" u="1"/>
        <s v="2016-05-25-14:00" u="1"/>
        <s v="2016-07-05-15:00" u="1"/>
        <s v="2016-07-25-14:00" u="1"/>
        <s v="2016-08-05-15:00" u="1"/>
        <s v="2016-08-25-14:00" u="1"/>
        <s v="2016-09-05-15:00" u="1"/>
        <s v="2016-10-05-15:00" u="1"/>
        <s v="2016-10-25-14:00" u="1"/>
        <s v="2016-11-25-14:00" u="1"/>
        <s v="2016-11-29-23:00" u="1"/>
        <s v="2016-12-05-15:00" u="1"/>
        <s v="2016-12-29-23:00" u="1"/>
        <s v="2018-02-13-05:00" u="1"/>
        <s v="2018-03-13-05:00" u="1"/>
        <s v="2018-04-13-05:00" u="1"/>
        <s v="2017-02-15-14:00" u="1"/>
        <s v="2017-03-15-14:00" u="1"/>
        <s v="2017-05-15-14:00" u="1"/>
        <s v="2017-06-15-14:00" u="1"/>
        <s v="2017-08-15-14:00" u="1"/>
        <s v="2017-09-15-14:00" u="1"/>
        <s v="2017-11-15-14:00" u="1"/>
        <s v="2017-12-15-14:00" u="1"/>
        <s v="2016-10-13-14:00" u="1"/>
        <s v="2016-12-13-14:00" u="1"/>
        <s v="2018-01-05-14:00" u="1"/>
        <s v="2018-01-25-13:00" u="1"/>
        <s v="2018-02-05-14:00" u="1"/>
        <s v="2018-03-05-14:00" u="1"/>
        <s v="2018-04-05-14:00" u="1"/>
        <s v="2018-04-25-13:00" u="1"/>
        <s v="2018-05-25-13:00" u="1"/>
        <s v="2017-01-27-22:00" u="1"/>
        <s v="2017-02-07-23:00" u="1"/>
        <s v="2017-02-27-22:00" u="1"/>
        <s v="2017-03-07-23:00" u="1"/>
        <s v="2017-03-27-22:00" u="1"/>
        <s v="2017-04-07-23:00" u="1"/>
        <s v="2017-04-27-22:00" u="1"/>
        <s v="2017-06-07-23:00" u="1"/>
        <s v="2017-06-27-22:00" u="1"/>
        <s v="2017-07-07-23:00" u="1"/>
        <s v="2017-07-27-22:00" u="1"/>
        <s v="2017-08-07-23:00" u="1"/>
        <s v="2017-09-07-23:00" u="1"/>
        <s v="2017-09-27-22:00" u="1"/>
        <s v="2016-01-05-23:00" u="1"/>
        <s v="2016-01-25-22:00" u="1"/>
        <s v="2016-02-05-23:00" u="1"/>
        <s v="2016-02-25-22:00" u="1"/>
        <s v="2016-03-25-22:00" u="1"/>
        <s v="2016-04-05-23:00" u="1"/>
        <s v="2016-04-25-22:00" u="1"/>
        <s v="2016-05-05-23:00" u="1"/>
        <s v="2016-05-25-22:00" u="1"/>
        <s v="2016-07-05-23:00" u="1"/>
        <s v="2016-07-25-22:00" u="1"/>
        <s v="2016-08-05-23:00" u="1"/>
        <s v="2016-08-25-22:00" u="1"/>
        <s v="2016-09-05-23:00" u="1"/>
        <s v="2016-10-05-23:00" u="1"/>
        <s v="2016-10-25-22:00" u="1"/>
        <s v="2016-11-25-22:00" u="1"/>
        <s v="2016-12-05-23:00" u="1"/>
        <s v="2018-01-17-22:00" u="1"/>
        <s v="2018-04-17-22:00" u="1"/>
        <s v="2018-05-17-22:00" u="1"/>
        <s v="2017-01-11-13:00" u="1"/>
        <s v="2017-01-31-12:00" u="1"/>
        <s v="2017-02-15-22:00" u="1"/>
        <s v="2017-03-15-22:00" u="1"/>
        <s v="2017-03-31-12:00" u="1"/>
        <s v="2017-04-11-13:00" u="1"/>
        <s v="2017-05-11-13:00" u="1"/>
        <s v="2017-05-15-22:00" u="1"/>
        <s v="2017-05-31-12:00" u="1"/>
        <s v="2017-06-15-22:00" u="1"/>
        <s v="2017-07-11-13:00" u="1"/>
        <s v="2017-07-31-12:00" u="1"/>
        <s v="2017-08-11-13:00" u="1"/>
        <s v="2017-08-15-22:00" u="1"/>
        <s v="2017-08-31-12:00" u="1"/>
        <s v="2017-09-11-13:00" u="1"/>
        <s v="2017-09-15-22:00" u="1"/>
        <s v="2017-11-15-22:00" u="1"/>
        <s v="2017-12-15-22:00" u="1"/>
        <s v="2018-02-01-13:00" u="1"/>
        <s v="2018-02-21-12:00" u="1"/>
        <s v="2018-03-01-13:00" u="1"/>
        <s v="2018-03-21-12:00" u="1"/>
        <s v="2018-05-01-13:00" u="1"/>
        <s v="2018-05-21-12:00" u="1"/>
        <s v="2016-01-21-21:00" u="1"/>
        <s v="2016-02-01-22:00" u="1"/>
        <s v="2016-03-01-22:00" u="1"/>
        <s v="2016-03-21-21:00" u="1"/>
        <s v="2016-04-01-22:00" u="1"/>
        <s v="2016-04-21-21:00" u="1"/>
        <s v="2016-06-01-22:00" u="1"/>
        <s v="2016-06-21-21:00" u="1"/>
        <s v="2016-07-01-22:00" u="1"/>
        <s v="2016-07-21-21:00" u="1"/>
        <s v="2016-08-01-22:00" u="1"/>
        <s v="2016-09-01-22:00" u="1"/>
        <s v="2016-09-21-21:00" u="1"/>
        <s v="2016-10-21-21:00" u="1"/>
        <s v="2016-11-01-22:00" u="1"/>
        <s v="2016-11-21-21:00" u="1"/>
        <s v="2016-12-01-22:00" u="1"/>
        <s v="2016-12-21-21:00" u="1"/>
        <s v="2016-01-08-08:00" u="1"/>
        <s v="2016-01-28-07:00" u="1"/>
        <s v="2016-02-08-08:00" u="1"/>
        <s v="2016-03-08-08:00" u="1"/>
        <s v="2016-03-28-07:00" u="1"/>
        <s v="2016-04-08-08:00" u="1"/>
        <s v="2016-04-28-07:00" u="1"/>
        <s v="2016-06-08-08:00" u="1"/>
        <s v="2016-06-28-07:00" u="1"/>
        <s v="2016-07-08-08:00" u="1"/>
        <s v="2016-07-28-07:00" u="1"/>
        <s v="2016-08-08-08:00" u="1"/>
        <s v="2016-09-08-08:00" u="1"/>
        <s v="2016-09-28-07:00" u="1"/>
        <s v="2016-10-28-07:00" u="1"/>
        <s v="2016-11-08-08:00" u="1"/>
        <s v="2016-11-28-07:00" u="1"/>
        <s v="2016-12-08-08:00" u="1"/>
        <s v="2016-12-28-07:00" u="1"/>
        <s v="2017-01-11-21:00" u="1"/>
        <s v="2017-01-31-20:00" u="1"/>
        <s v="2017-03-31-20:00" u="1"/>
        <s v="2017-04-11-21:00" u="1"/>
        <s v="2017-05-11-21:00" u="1"/>
        <s v="2017-05-31-20:00" u="1"/>
        <s v="2017-07-11-21:00" u="1"/>
        <s v="2017-07-31-20:00" u="1"/>
        <s v="2017-08-11-21:00" u="1"/>
        <s v="2017-08-31-20:00" u="1"/>
        <s v="2017-09-11-21:00" u="1"/>
        <s v="2017-10-11-21:00" u="1"/>
        <s v="2017-10-31-20:00" u="1"/>
        <s v="2017-12-11-21:00" u="1"/>
        <s v="2017-01-18-07:00" u="1"/>
        <s v="2017-04-18-07:00" u="1"/>
        <s v="2017-05-18-07:00" u="1"/>
        <s v="2017-07-18-07:00" u="1"/>
        <s v="2017-08-18-07:00" u="1"/>
        <s v="2017-09-18-07:00" u="1"/>
        <s v="2017-10-18-07:00" u="1"/>
        <s v="2017-12-18-07:00" u="1"/>
        <s v="2018-02-01-21:00" u="1"/>
        <s v="2018-02-21-20:00" u="1"/>
        <s v="2018-03-01-21:00" u="1"/>
        <s v="2018-03-21-20:00" u="1"/>
        <s v="2018-05-01-21:00" u="1"/>
        <s v="2018-05-21-20:00" u="1"/>
        <s v="2018-01-08-07:00" u="1"/>
        <s v="2018-02-08-07:00" u="1"/>
        <s v="2018-02-28-06:00" u="1"/>
        <s v="2018-03-08-07:00" u="1"/>
        <s v="2018-03-28-06:00" u="1"/>
        <s v="2018-05-08-07:00" u="1"/>
        <s v="2018-05-28-06:00" u="1"/>
        <s v="2016-01-04-07:00" u="1"/>
        <s v="2016-01-08-16:00" u="1"/>
        <s v="2016-01-28-15:00" u="1"/>
        <s v="2016-02-04-07:00" u="1"/>
        <s v="2016-02-08-16:00" u="1"/>
        <s v="2016-02-24-06:00" u="1"/>
        <s v="2016-03-04-07:00" u="1"/>
        <s v="2016-03-08-16:00" u="1"/>
        <s v="2016-03-24-06:00" u="1"/>
        <s v="2016-03-28-15:00" u="1"/>
        <s v="2016-04-04-07:00" u="1"/>
        <s v="2016-04-08-16:00" u="1"/>
        <s v="2016-04-28-15:00" u="1"/>
        <s v="2016-05-04-07:00" u="1"/>
        <s v="2016-05-24-06:00" u="1"/>
        <s v="2016-06-08-16:00" u="1"/>
        <s v="2016-06-24-06:00" u="1"/>
        <s v="2016-06-28-15:00" u="1"/>
        <s v="2016-07-04-07:00" u="1"/>
        <s v="2016-07-08-16:00" u="1"/>
        <s v="2016-07-28-15:00" u="1"/>
        <s v="2016-08-04-07:00" u="1"/>
        <s v="2016-08-08-16:00" u="1"/>
        <s v="2016-08-24-06:00" u="1"/>
        <s v="2016-09-08-16:00" u="1"/>
        <s v="2016-09-28-15:00" u="1"/>
        <s v="2016-10-28-15:00" u="1"/>
        <s v="2016-11-08-16:00" u="1"/>
        <s v="2016-11-28-15:00" u="1"/>
        <s v="2016-12-08-16:00" u="1"/>
        <s v="2016-12-28-15:00" u="1"/>
        <s v="2017-02-14-06:00" u="1"/>
        <s v="2017-03-14-06:00" u="1"/>
        <s v="2017-04-14-06:00" u="1"/>
        <s v="2017-06-14-06:00" u="1"/>
        <s v="2017-07-14-06:00" u="1"/>
        <s v="2017-08-14-06:00" u="1"/>
        <s v="2017-09-14-06:00" u="1"/>
        <s v="2017-10-18-15:00" u="1"/>
        <s v="2017-11-14-06:00" u="1"/>
        <s v="2017-12-14-06:00" u="1"/>
        <s v="2017-12-18-15:00" u="1"/>
        <s v="2016-01-12-06:00" u="1"/>
        <s v="2016-02-12-06:00" u="1"/>
        <s v="2016-04-12-06:00" u="1"/>
        <s v="2016-05-12-06:00" u="1"/>
        <s v="2016-07-12-06:00" u="1"/>
        <s v="2016-08-12-06:00" u="1"/>
        <s v="2016-09-12-06:00" u="1"/>
        <s v="2016-10-12-06:00" u="1"/>
        <s v="2016-12-12-06:00" u="1"/>
        <s v="2018-01-04-06:00" u="1"/>
        <s v="2018-01-24-05:00" u="1"/>
        <s v="2018-04-04-06:00" u="1"/>
        <s v="2018-04-24-05:00" u="1"/>
        <s v="2018-05-04-06:00" u="1"/>
        <s v="2018-05-24-05:00" u="1"/>
        <s v="2018-07-24-05:00" u="1"/>
        <s v="2017-10-02-06:00" u="1"/>
        <s v="2017-11-02-06:00" u="1"/>
        <s v="2017-11-22-05:00" u="1"/>
        <s v="2017-12-22-05:00" u="1"/>
        <s v="2016-01-04-15:00" u="1"/>
        <s v="2016-02-04-15:00" u="1"/>
        <s v="2016-02-24-14:00" u="1"/>
        <s v="2016-03-04-15:00" u="1"/>
        <s v="2016-03-24-14:00" u="1"/>
        <s v="2016-04-04-15:00" u="1"/>
        <s v="2016-05-04-15:00" u="1"/>
        <s v="2016-05-24-14:00" u="1"/>
        <s v="2016-06-24-14:00" u="1"/>
        <s v="2016-07-04-15:00" u="1"/>
        <s v="2016-08-04-15:00" u="1"/>
        <s v="2016-08-24-14:00" u="1"/>
        <s v="2016-10-04-15:00" u="1"/>
        <s v="2016-10-24-14:00" u="1"/>
        <s v="2016-11-04-15:00" u="1"/>
        <s v="2016-11-24-14:00" u="1"/>
        <s v="2018-01-16-14:00" u="1"/>
        <s v="2018-02-16-14:00" u="1"/>
        <s v="2018-03-16-14:00" u="1"/>
        <s v="2018-04-16-14:00" u="1"/>
        <s v="2018-05-16-14:00" u="1"/>
        <s v="2017-02-14-14:00" u="1"/>
        <s v="2017-03-14-14:00" u="1"/>
        <s v="2017-04-14-14:00" u="1"/>
        <s v="2017-06-14-14:00" u="1"/>
        <s v="2017-07-14-14:00" u="1"/>
        <s v="2017-08-14-14:00" u="1"/>
        <s v="2017-09-14-14:00" u="1"/>
        <s v="2017-11-14-14:00" u="1"/>
        <s v="2017-12-14-14:00" u="1"/>
        <s v="2016-02-16-23:00" u="1"/>
        <s v="2016-03-16-23:00" u="1"/>
        <s v="2016-05-16-23:00" u="1"/>
        <s v="2016-06-16-23:00" u="1"/>
        <s v="2016-08-16-23:00" u="1"/>
        <s v="2016-09-16-23:00" u="1"/>
        <s v="2016-11-16-23:00" u="1"/>
        <s v="2016-12-16-23:00" u="1"/>
        <s v="2018-01-04-14:00" u="1"/>
        <s v="2018-01-24-13:00" u="1"/>
        <s v="2018-02-20-04:00" u="1"/>
        <s v="2018-03-20-04:00" u="1"/>
        <s v="2018-04-04-14:00" u="1"/>
        <s v="2018-04-20-04:00" u="1"/>
        <s v="2018-04-24-13:00" u="1"/>
        <s v="2018-05-04-14:00" u="1"/>
        <s v="2018-05-24-13:00" u="1"/>
        <s v="2018-07-24-13:00" u="1"/>
        <s v="2015-12-30-13:00" u="1"/>
        <s v="2017-01-06-23:00" u="1"/>
        <s v="2017-01-26-22:00" u="1"/>
        <s v="2017-02-06-23:00" u="1"/>
        <s v="2017-03-06-23:00" u="1"/>
        <s v="2017-04-06-23:00" u="1"/>
        <s v="2017-04-26-22:00" u="1"/>
        <s v="2017-05-26-22:00" u="1"/>
        <s v="2017-06-06-23:00" u="1"/>
        <s v="2017-06-26-22:00" u="1"/>
        <s v="2017-07-06-23:00" u="1"/>
        <s v="2017-07-26-22:00" u="1"/>
        <s v="2017-09-06-23:00" u="1"/>
        <s v="2017-09-26-22:00" u="1"/>
        <s v="2017-10-06-23:00" u="1"/>
        <s v="2017-10-26-22:00" u="1"/>
        <s v="2017-11-06-23:00" u="1"/>
        <s v="2017-12-06-23:00" u="1"/>
        <s v="2017-12-26-22:00" u="1"/>
        <s v="2016-01-20-13:00" u="1"/>
        <s v="2016-04-20-13:00" u="1"/>
        <s v="2016-05-20-13:00" u="1"/>
        <s v="2016-06-20-13:00" u="1"/>
        <s v="2016-07-20-13:00" u="1"/>
        <s v="2016-09-20-13:00" u="1"/>
        <s v="2016-10-04-23:00" u="1"/>
        <s v="2016-10-20-13:00" u="1"/>
        <s v="2016-10-24-22:00" u="1"/>
        <s v="2016-11-24-22:00" u="1"/>
        <s v="2016-12-20-13:00" u="1"/>
        <s v="2018-01-16-22:00" u="1"/>
        <s v="2018-02-16-22:00" u="1"/>
        <s v="2018-03-16-22:00" u="1"/>
        <s v="2018-04-16-22:00" u="1"/>
        <s v="2018-05-16-22:00" u="1"/>
        <s v="2017-01-10-13:00" u="1"/>
        <s v="2017-01-30-12:00" u="1"/>
        <s v="2017-02-10-13:00" u="1"/>
        <s v="2017-03-10-13:00" u="1"/>
        <s v="2017-03-30-12:00" u="1"/>
        <s v="2017-04-10-13:00" u="1"/>
        <s v="2017-05-10-13:00" u="1"/>
        <s v="2017-05-30-12:00" u="1"/>
        <s v="2017-06-30-12:00" u="1"/>
        <s v="2017-07-10-13:00" u="1"/>
        <s v="2017-08-10-13:00" u="1"/>
        <s v="2017-08-30-12:00" u="1"/>
        <s v="2017-10-10-13:00" u="1"/>
        <s v="2017-10-30-12:00" u="1"/>
        <s v="2017-11-10-13:00" u="1"/>
        <s v="2017-11-30-12:00" u="1"/>
        <s v="2016-01-12-22:00" u="1"/>
        <s v="2016-02-12-22:00" u="1"/>
        <s v="2016-04-12-22:00" u="1"/>
        <s v="2016-05-12-22:00" u="1"/>
        <s v="2016-07-12-22:00" u="1"/>
        <s v="2016-08-12-22:00" u="1"/>
        <s v="2016-09-12-22:00" u="1"/>
        <s v="2018-02-20-12:00" u="1"/>
        <s v="2018-03-20-12:00" u="1"/>
        <s v="2018-04-20-12:00" u="1"/>
        <s v="2015-12-30-21:00" u="1"/>
        <s v="2017-01-02-22:00" u="1"/>
        <s v="2017-02-02-22:00" u="1"/>
        <s v="2017-02-22-21:00" u="1"/>
        <s v="2017-03-02-22:00" u="1"/>
        <s v="2017-03-22-21:00" u="1"/>
        <s v="2017-05-02-22:00" u="1"/>
        <s v="2017-05-22-21:00" u="1"/>
        <s v="2017-06-02-22:00" u="1"/>
        <s v="2017-06-22-21:00" u="1"/>
        <s v="2017-08-02-22:00" u="1"/>
        <s v="2017-08-22-21:00" u="1"/>
        <s v="2017-09-22-21:00" u="1"/>
        <s v="2017-01-09-08:00" u="1"/>
        <s v="2017-02-09-08:00" u="1"/>
        <s v="2017-03-09-08:00" u="1"/>
        <s v="2017-03-29-07:00" u="1"/>
        <s v="2017-05-09-08:00" u="1"/>
        <s v="2017-05-29-07:00" u="1"/>
        <s v="2017-06-09-08:00" u="1"/>
        <s v="2017-06-29-07:00" u="1"/>
        <s v="2017-08-09-08:00" u="1"/>
        <s v="2017-08-29-07:00" u="1"/>
        <s v="2017-09-29-07:00" u="1"/>
        <s v="2016-01-20-21:00" u="1"/>
        <s v="2016-04-20-21:00" u="1"/>
        <s v="2016-05-20-21:00" u="1"/>
        <s v="2016-06-20-21:00" u="1"/>
        <s v="2016-07-20-21:00" u="1"/>
        <s v="2016-09-20-21:00" u="1"/>
        <s v="2016-10-20-21:00" u="1"/>
        <s v="2016-12-20-21:00" u="1"/>
        <s v="2018-01-12-21:00" u="1"/>
        <s v="2018-02-12-21:00" u="1"/>
        <s v="2018-03-12-21:00" u="1"/>
        <s v="2018-04-12-21:00" u="1"/>
        <s v="2016-01-07-08:00" u="1"/>
        <s v="2016-01-27-07: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8-01-19-07:00" u="1"/>
        <s v="2018-02-19-07:00" u="1"/>
        <s v="2018-03-19-07:00" u="1"/>
        <s v="2018-04-19-07:00" u="1"/>
        <s v="2017-10-10-21:00" u="1"/>
        <s v="2017-10-30-20:00" u="1"/>
        <s v="2017-11-10-21:00" u="1"/>
        <s v="2017-11-30-20:00" u="1"/>
        <s v="2015-12-29-16:00" u="1"/>
        <s v="2017-01-17-07:00" u="1"/>
        <s v="2017-02-17-07:00" u="1"/>
        <s v="2017-03-17-07:00" u="1"/>
        <s v="2017-04-17-07:00" u="1"/>
        <s v="2017-05-17-07:00" u="1"/>
        <s v="2017-07-17-07:00" u="1"/>
        <s v="2017-08-17-07:00" u="1"/>
        <s v="2017-10-17-07:00" u="1"/>
        <s v="2017-11-17-07:00" u="1"/>
        <s v="2016-01-19-16:00" u="1"/>
        <s v="2016-02-19-16:00" u="1"/>
        <s v="2016-04-19-16:00" u="1"/>
        <s v="2016-05-19-16:00" u="1"/>
        <s v="2016-07-19-16:00" u="1"/>
        <s v="2016-08-19-16:00" u="1"/>
        <s v="2016-09-19-16:00" u="1"/>
        <s v="2016-10-19-16:00" u="1"/>
        <s v="2016-12-19-16:00" u="1"/>
        <s v="2018-02-07-07:00" u="1"/>
        <s v="2018-02-27-06:00" u="1"/>
        <s v="2018-03-07-07:00" u="1"/>
        <s v="2018-03-27-06:00" u="1"/>
        <s v="2018-04-27-06:00" u="1"/>
        <s v="2018-05-07-07:00" u="1"/>
        <s v="2017-01-09-16:00" u="1"/>
        <s v="2017-02-09-16:00" u="1"/>
        <s v="2017-03-09-16:00" u="1"/>
        <s v="2017-03-29-15:00" u="1"/>
        <s v="2017-05-09-16:00" u="1"/>
        <s v="2017-05-29-15:00" u="1"/>
        <s v="2017-06-09-16:00" u="1"/>
        <s v="2017-06-29-15:00" u="1"/>
        <s v="2017-08-09-16:00" u="1"/>
        <s v="2017-08-29-15:00" u="1"/>
        <s v="2017-09-29-15:00" u="1"/>
        <s v="2017-10-09-16:00" u="1"/>
        <s v="2017-11-09-16:00" u="1"/>
        <s v="2017-11-29-15:00" u="1"/>
        <s v="2017-12-29-15:00" u="1"/>
        <s v="2016-02-03-07:00" u="1"/>
        <s v="2016-02-23-06:00" u="1"/>
        <s v="2016-03-03-07:00" u="1"/>
        <s v="2016-03-23-06:00" u="1"/>
        <s v="2016-05-03-07:00" u="1"/>
        <s v="2016-05-23-06:00" u="1"/>
        <s v="2016-06-03-07:00" u="1"/>
        <s v="2016-06-23-06:00" u="1"/>
        <s v="2016-08-03-07:00" u="1"/>
        <s v="2016-08-23-06:00" u="1"/>
        <s v="2016-09-23-06:00" u="1"/>
        <s v="2016-10-03-07:00" u="1"/>
        <s v="2016-11-03-07:00" u="1"/>
        <s v="2016-11-23-06:00" u="1"/>
        <s v="2016-12-23-06:00" u="1"/>
        <s v="2018-01-19-15:00" u="1"/>
        <s v="2018-02-19-15:00" u="1"/>
        <s v="2018-03-19-15:00" u="1"/>
        <s v="2018-04-19-15:00" u="1"/>
        <s v="2017-01-13-06:00" u="1"/>
        <s v="2017-02-13-06:00" u="1"/>
        <s v="2017-03-13-06:00" u="1"/>
        <s v="2017-04-13-06:00" u="1"/>
        <s v="2017-06-13-06:00" u="1"/>
        <s v="2017-07-13-06:00" u="1"/>
        <s v="2017-09-13-06:00" u="1"/>
        <s v="2017-10-13-06:00" u="1"/>
        <s v="2017-11-13-06:00" u="1"/>
        <s v="2017-12-13-06:00" u="1"/>
        <s v="2016-01-15-15:00" u="1"/>
        <s v="2016-02-15-15:00" u="1"/>
        <s v="2016-03-15-15:00" u="1"/>
        <s v="2016-04-15-15:00" u="1"/>
        <s v="2016-06-15-15:00" u="1"/>
        <s v="2016-07-15-15:00" u="1"/>
        <s v="2016-08-15-15:00" u="1"/>
        <s v="2016-09-15-15:00" u="1"/>
        <s v="2018-01-03-06:00" u="1"/>
        <s v="2018-01-23-05:00" u="1"/>
        <s v="2018-02-23-05:00" u="1"/>
        <s v="2018-03-23-05:00" u="1"/>
        <s v="2018-04-03-06:00" u="1"/>
        <s v="2018-04-23-05:00" u="1"/>
        <s v="2018-05-03-06:00" u="1"/>
        <s v="2018-05-23-05:00" u="1"/>
        <s v="2017-01-05-15:00" u="1"/>
        <s v="2017-01-25-14:00" u="1"/>
        <s v="2017-04-05-15:00" u="1"/>
        <s v="2017-04-25-14:00" u="1"/>
        <s v="2017-05-05-15:00" u="1"/>
        <s v="2017-05-25-14:00" u="1"/>
        <s v="2017-06-05-15:00" u="1"/>
        <s v="2017-07-05-15:00" u="1"/>
        <s v="2017-07-25-14:00" u="1"/>
        <s v="2017-08-25-14:00" u="1"/>
        <s v="2017-09-05-15:00" u="1"/>
        <s v="2017-09-25-14:00" u="1"/>
        <s v="2017-10-05-15:00" u="1"/>
        <s v="2017-10-25-14:00" u="1"/>
        <s v="2017-10-29-23:00" u="1"/>
        <s v="2017-11-29-23:00" u="1"/>
        <s v="2017-12-05-15:00" u="1"/>
        <s v="2017-12-29-23:00" u="1"/>
        <s v="2016-02-03-15:00" u="1"/>
        <s v="2016-02-23-14:00" u="1"/>
        <s v="2016-03-03-15:00" u="1"/>
        <s v="2016-03-23-14:00" u="1"/>
        <s v="2016-05-03-15:00" u="1"/>
        <s v="2016-05-23-14:00" u="1"/>
        <s v="2016-06-03-15:00" u="1"/>
        <s v="2016-06-23-14:00" u="1"/>
        <s v="2016-08-03-15:00" u="1"/>
        <s v="2016-08-23-14:00" u="1"/>
        <s v="2016-09-23-14:00" u="1"/>
        <s v="2016-10-03-15:00" u="1"/>
        <s v="2016-11-03-15:00" u="1"/>
        <s v="2016-11-23-14:00" u="1"/>
        <s v="2016-12-23-14:00" u="1"/>
        <s v="2018-01-15-14:00" u="1"/>
        <s v="2018-02-15-14:00" u="1"/>
        <s v="2018-03-15-14:00" u="1"/>
        <s v="2018-05-15-14:00" u="1"/>
        <s v="2017-10-13-14:00" u="1"/>
        <s v="2017-11-13-14:00" u="1"/>
        <s v="2017-12-13-14:00" u="1"/>
        <s v="2016-01-15-23:00" u="1"/>
        <s v="2016-02-15-23:00" u="1"/>
        <s v="2016-03-15-23:00" u="1"/>
        <s v="2016-04-15-23:00" u="1"/>
        <s v="2016-06-15-23:00" u="1"/>
        <s v="2016-07-15-23:00" u="1"/>
        <s v="2016-08-15-23:00" u="1"/>
        <s v="2016-09-15-23:00" u="1"/>
        <s v="2016-11-15-23:00" u="1"/>
        <s v="2016-12-15-23:00" u="1"/>
        <s v="2018-02-07-23:00" u="1"/>
        <s v="2018-02-27-22:00" u="1"/>
        <s v="2018-03-07-23:00" u="1"/>
        <s v="2018-03-27-22:00" u="1"/>
        <s v="2018-04-27-22:00" u="1"/>
        <s v="2018-05-07-23:00" u="1"/>
        <s v="2017-01-05-23:00" u="1"/>
        <s v="2017-01-25-22:00" u="1"/>
        <s v="2017-04-05-23:00" u="1"/>
        <s v="2017-04-25-22:00" u="1"/>
        <s v="2017-05-05-23:00" u="1"/>
        <s v="2017-05-25-22:00" u="1"/>
        <s v="2017-06-05-23:00" u="1"/>
        <s v="2017-07-05-23:00" u="1"/>
        <s v="2017-07-25-22:00" u="1"/>
        <s v="2017-08-25-22:00" u="1"/>
        <s v="2017-09-05-23:00" u="1"/>
        <s v="2017-09-25-22:00" u="1"/>
        <s v="2017-10-05-23:00" u="1"/>
        <s v="2017-10-25-22:00" u="1"/>
        <s v="2017-12-05-23:00" u="1"/>
        <s v="2018-01-11-13:00" u="1"/>
        <s v="2018-01-15-22:00" u="1"/>
        <s v="2018-01-31-12:00" u="1"/>
        <s v="2018-02-15-22:00" u="1"/>
        <s v="2018-03-15-22:00" u="1"/>
        <s v="2018-04-11-13:00" u="1"/>
        <s v="2018-05-11-13:00" u="1"/>
        <s v="2018-05-15-22:00" u="1"/>
        <s v="2016-01-11-22:00" u="1"/>
        <s v="2016-02-11-22:00" u="1"/>
        <s v="2016-03-11-22:00" u="1"/>
        <s v="2016-03-31-21:00" u="1"/>
        <s v="2016-04-11-22:00" u="1"/>
        <s v="2016-05-11-22:00" u="1"/>
        <s v="2016-05-31-21:00" u="1"/>
        <s v="2016-07-11-22:00" u="1"/>
        <s v="2016-08-11-22:00" u="1"/>
        <s v="2016-08-31-21:00" u="1"/>
        <s v="2016-10-11-22:00" u="1"/>
        <s v="2016-10-31-21:00" u="1"/>
        <s v="2016-11-11-22:00" u="1"/>
        <s v="2016-01-18-08:00" u="1"/>
        <s v="2016-02-18-08:00" u="1"/>
        <s v="2016-03-18-08:00" u="1"/>
        <s v="2016-04-18-08:00" u="1"/>
        <s v="2016-05-18-08:00" u="1"/>
        <s v="2016-07-18-08:00" u="1"/>
        <s v="2016-08-18-08:00" u="1"/>
        <s v="2016-10-18-08:00" u="1"/>
        <s v="2016-11-18-08:00" u="1"/>
        <s v="2017-02-01-22:00" u="1"/>
        <s v="2017-02-21-21:00" u="1"/>
        <s v="2017-03-01-22:00" u="1"/>
        <s v="2017-03-21-21:00" u="1"/>
        <s v="2017-04-21-21:00" u="1"/>
        <s v="2017-05-01-22:00" u="1"/>
        <s v="2017-06-01-22:00" u="1"/>
        <s v="2017-06-21-21:00" u="1"/>
        <s v="2017-07-21-21:00" u="1"/>
        <s v="2017-08-01-22:00" u="1"/>
        <s v="2017-08-21-21:00" u="1"/>
        <s v="2017-09-01-22:00" u="1"/>
        <s v="2017-09-21-21:00" u="1"/>
        <s v="2017-11-01-22:00" u="1"/>
        <s v="2017-11-21-21:00" u="1"/>
        <s v="2017-12-01-22:00" u="1"/>
        <s v="2017-12-21-21:00" u="1"/>
        <s v="2017-02-08-08:00" u="1"/>
        <s v="2017-02-28-07:00" u="1"/>
        <s v="2017-03-08-08:00" u="1"/>
        <s v="2017-03-28-07:00" u="1"/>
        <s v="2017-04-28-07:00" u="1"/>
        <s v="2017-05-08-08:00" u="1"/>
        <s v="2017-06-08-08:00" u="1"/>
        <s v="2017-06-28-07:00" u="1"/>
        <s v="2017-07-28-07:00" u="1"/>
        <s v="2017-08-08-08:00" u="1"/>
        <s v="2017-08-28-07:00" u="1"/>
        <s v="2017-09-08-08:00" u="1"/>
        <s v="2017-09-28-07:00" u="1"/>
        <s v="2017-11-08-08:00" u="1"/>
        <s v="2017-11-28-07:00" u="1"/>
        <s v="2017-12-08-08:00" u="1"/>
        <s v="2017-12-28-07:00" u="1"/>
        <s v="2018-01-11-21:00" u="1"/>
        <s v="2018-01-31-20:00" u="1"/>
        <s v="2018-04-11-21:00" u="1"/>
        <s v="2018-05-11-21:00" u="1"/>
        <s v="2016-10-06-08:00" u="1"/>
        <s v="2016-10-26-07:00" u="1"/>
        <s v="2016-12-06-08:00" u="1"/>
        <s v="2018-01-18-07:00" u="1"/>
        <s v="2018-04-18-07:00" u="1"/>
        <s v="2018-05-18-07:00" u="1"/>
        <s v="2016-01-18-16:00" u="1"/>
        <s v="2016-02-18-16:00" u="1"/>
        <s v="2016-03-18-16:00" u="1"/>
        <s v="2016-04-18-16:00" u="1"/>
        <s v="2016-05-18-16:00" u="1"/>
        <s v="2016-07-18-16:00" u="1"/>
        <s v="2016-08-18-16:00" u="1"/>
        <s v="2016-10-18-16:00" u="1"/>
        <s v="2016-11-18-16:00" u="1"/>
        <s v="2017-01-04-07:00" u="1"/>
        <s v="2017-01-24-06:00" u="1"/>
        <s v="2017-02-08-16:00" u="1"/>
        <s v="2017-02-24-06:00" u="1"/>
        <s v="2017-02-28-15:00" u="1"/>
        <s v="2017-03-08-16:00" u="1"/>
        <s v="2017-03-24-06:00" u="1"/>
        <s v="2017-03-28-15:00" u="1"/>
        <s v="2017-04-04-07:00" u="1"/>
        <s v="2017-04-24-06:00" u="1"/>
        <s v="2017-04-28-15:00" u="1"/>
        <s v="2017-05-04-07:00" u="1"/>
        <s v="2017-05-08-16:00" u="1"/>
        <s v="2017-05-24-06:00" u="1"/>
        <s v="2017-06-08-16:00" u="1"/>
        <s v="2017-06-28-15:00" u="1"/>
        <s v="2017-07-04-07:00" u="1"/>
        <s v="2017-07-24-06:00" u="1"/>
        <s v="2017-07-28-15:00" u="1"/>
        <s v="2017-08-04-07:00" u="1"/>
        <s v="2017-08-08-16:00" u="1"/>
        <s v="2017-08-24-06:00" u="1"/>
        <s v="2017-08-28-15:00" u="1"/>
        <s v="2017-09-04-07:00" u="1"/>
        <s v="2017-09-08-16:00" u="1"/>
        <s v="2017-09-28-15:00" u="1"/>
        <s v="2017-11-08-16:00" u="1"/>
        <s v="2017-11-28-15:00" u="1"/>
        <s v="2017-12-08-16:00" u="1"/>
        <s v="2017-12-28-15:00" u="1"/>
        <s v="2016-01-22-06:00" u="1"/>
        <s v="2016-02-02-07:00" u="1"/>
        <s v="2016-02-22-06:00" u="1"/>
        <s v="2016-03-02-07:00" u="1"/>
        <s v="2016-03-22-06:00" u="1"/>
        <s v="2016-04-22-06:00" u="1"/>
        <s v="2016-05-02-07:00" u="1"/>
        <s v="2016-06-02-07:00" u="1"/>
        <s v="2016-06-22-06:00" u="1"/>
        <s v="2016-07-22-06:00" u="1"/>
        <s v="2016-08-02-07:00" u="1"/>
        <s v="2016-08-22-06:00" u="1"/>
        <s v="2016-09-02-07:00" u="1"/>
        <s v="2016-09-22-06:00" u="1"/>
        <s v="2016-11-02-07:00" u="1"/>
        <s v="2016-11-22-06:00" u="1"/>
        <s v="2016-12-02-07:00" u="1"/>
        <s v="2016-12-22-06:00" u="1"/>
        <s v="2018-02-14-06:00" u="1"/>
        <s v="2018-03-14-06:00" u="1"/>
        <s v="2018-05-14-06:00" u="1"/>
        <s v="2017-01-12-06:00" u="1"/>
        <s v="2017-04-12-06:00" u="1"/>
        <s v="2017-05-12-06:00" u="1"/>
        <s v="2017-06-12-06:00" u="1"/>
        <s v="2017-07-12-06:00" u="1"/>
        <s v="2017-09-12-06:00" u="1"/>
        <s v="2017-10-12-06:00" u="1"/>
        <s v="2017-12-12-06:00" u="1"/>
        <s v="2016-01-14-15:00" u="1"/>
        <s v="2016-03-14-15:00" u="1"/>
        <s v="2016-04-14-15:00" u="1"/>
        <s v="2016-06-14-15:00" u="1"/>
        <s v="2016-07-14-15:00" u="1"/>
        <s v="2016-09-14-15:00" u="1"/>
        <s v="2016-10-14-15:00" u="1"/>
        <s v="2016-11-14-15:00" u="1"/>
        <s v="2016-12-14-15:00" u="1"/>
        <s v="2017-01-04-15:00" u="1"/>
        <s v="2017-01-24-14:00" u="1"/>
        <s v="2017-02-24-14:00" u="1"/>
        <s v="2017-03-24-14:00" u="1"/>
        <s v="2017-04-04-15:00" u="1"/>
        <s v="2017-04-24-14:00" u="1"/>
        <s v="2017-05-04-15:00" u="1"/>
        <s v="2017-05-24-14:00" u="1"/>
        <s v="2017-07-04-15:00" u="1"/>
        <s v="2017-07-24-14:00" u="1"/>
        <s v="2017-08-04-15:00" u="1"/>
        <s v="2017-08-24-14:00" u="1"/>
        <s v="2017-09-04-15:00" u="1"/>
        <s v="2017-10-04-15:00" u="1"/>
        <s v="2017-10-24-14:00" u="1"/>
        <s v="2017-11-24-14:00" u="1"/>
        <s v="2017-12-04-15:00" u="1"/>
        <s v="2016-01-26-23:00" u="1"/>
        <s v="2016-02-26-23:00" u="1"/>
        <s v="2016-04-26-23:00" u="1"/>
        <s v="2016-05-26-23:00" u="1"/>
        <s v="2016-07-26-23:00" u="1"/>
        <s v="2016-08-26-23:00" u="1"/>
        <s v="2016-09-26-23:00" u="1"/>
        <s v="2018-02-14-14:00" u="1"/>
        <s v="2018-03-14-14:00" u="1"/>
        <s v="2018-05-14-14:00" u="1"/>
        <s v="2017-01-16-23:00" u="1"/>
        <s v="2017-02-16-23:00" u="1"/>
        <s v="2017-03-16-23:00" u="1"/>
        <s v="2017-05-16-23:00" u="1"/>
        <s v="2017-06-16-23:00" u="1"/>
        <s v="2017-08-16-23:00" u="1"/>
        <s v="2017-10-16-23:00" u="1"/>
        <s v="2017-11-16-23:00" u="1"/>
        <s v="2016-02-10-14:00" u="1"/>
        <s v="2016-03-10-14:00" u="1"/>
        <s v="2016-03-30-13:00" u="1"/>
        <s v="2016-05-10-14:00" u="1"/>
        <s v="2016-05-30-13:00" u="1"/>
        <s v="2016-06-10-14:00" u="1"/>
        <s v="2016-06-30-13:00" u="1"/>
        <s v="2016-08-10-14:00" u="1"/>
        <s v="2016-08-30-13:00" u="1"/>
        <s v="2016-09-30-13:00" u="1"/>
        <s v="2016-10-10-14:00" u="1"/>
        <s v="2016-10-14-23:00" u="1"/>
        <s v="2016-11-10-14:00" u="1"/>
        <s v="2016-11-14-23:00" u="1"/>
        <s v="2016-11-30-13:00" u="1"/>
        <s v="2016-12-14-23:00" u="1"/>
        <s v="2016-12-30-13:00" u="1"/>
        <s v="2018-01-26-22:00" u="1"/>
        <s v="2018-02-06-23:00" u="1"/>
        <s v="2018-02-26-22:00" u="1"/>
        <s v="2018-03-06-23:00" u="1"/>
        <s v="2018-03-26-22:00" u="1"/>
        <s v="2018-04-06-23:00" u="1"/>
        <s v="2018-04-26-22:00" u="1"/>
        <s v="2017-01-20-13:00" u="1"/>
        <s v="2017-02-20-13:00" u="1"/>
        <s v="2017-03-20-13:00" u="1"/>
        <s v="2017-04-20-13:00" u="1"/>
        <s v="2017-06-20-13:00" u="1"/>
        <s v="2017-07-20-13:00" u="1"/>
        <s v="2017-09-20-13:00" u="1"/>
        <s v="2017-10-04-23:00" u="1"/>
        <s v="2017-10-20-13:00" u="1"/>
        <s v="2017-10-24-22:00" u="1"/>
        <s v="2017-11-20-13:00" u="1"/>
        <s v="2017-11-24-22:00" u="1"/>
        <s v="2017-12-04-23:00" u="1"/>
        <s v="2017-12-20-13:00" u="1"/>
        <s v="2018-01-10-13:00" u="1"/>
        <s v="2018-01-30-12:00" u="1"/>
        <s v="2018-03-30-12:00" u="1"/>
        <s v="2018-04-10-13:00" u="1"/>
        <s v="2018-04-30-12:00" u="1"/>
        <s v="2018-05-10-13:00" u="1"/>
        <s v="2018-07-30-12:00" u="1"/>
        <s v="2017-01-12-22:00" u="1"/>
        <s v="2017-04-12-22:00" u="1"/>
        <s v="2017-05-12-22:00" u="1"/>
        <s v="2017-06-12-22:00" u="1"/>
        <s v="2017-07-12-22:00" u="1"/>
        <s v="2017-09-12-22:00" u="1"/>
        <s v="2016-02-10-22:00" u="1"/>
        <s v="2016-03-10-22:00" u="1"/>
        <s v="2016-03-30-21:00" u="1"/>
        <s v="2016-05-10-22:00" u="1"/>
        <s v="2016-05-30-21:00" u="1"/>
        <s v="2016-06-10-22:00" u="1"/>
        <s v="2016-06-30-21:00" u="1"/>
        <s v="2016-08-10-22:00" u="1"/>
        <s v="2016-08-30-21:00" u="1"/>
        <s v="2016-09-30-21:00" u="1"/>
        <s v="2016-10-10-22:00" u="1"/>
        <s v="2016-11-10-22:00" u="1"/>
        <s v="2016-11-30-21:00" u="1"/>
        <s v="2016-12-30-21:00" u="1"/>
        <s v="2018-01-02-22:00" u="1"/>
        <s v="2018-01-22-21:00" u="1"/>
        <s v="2018-02-02-22:00" u="1"/>
        <s v="2018-02-22-21:00" u="1"/>
        <s v="2018-03-02-22:00" u="1"/>
        <s v="2018-03-22-21:00" u="1"/>
        <s v="2018-04-02-22:00" u="1"/>
        <s v="2018-05-02-22:00" u="1"/>
        <s v="2018-05-22-21:00" u="1"/>
        <s v="2016-02-17-08:00" u="1"/>
        <s v="2016-03-17-08:00" u="1"/>
        <s v="2016-05-17-08:00" u="1"/>
        <s v="2016-06-17-08:00" u="1"/>
        <s v="2016-08-17-08:00" u="1"/>
        <s v="2016-10-17-08:00" u="1"/>
        <s v="2016-11-17-08:00" u="1"/>
        <s v="2018-01-09-08:00" u="1"/>
        <s v="2018-01-29-07:00" u="1"/>
        <s v="2018-02-09-08:00" u="1"/>
        <s v="2018-03-09-08:00" u="1"/>
        <s v="2018-03-29-07:00" u="1"/>
        <s v="2018-04-09-08:00" u="1"/>
        <s v="2018-05-09-08:00" u="1"/>
        <s v="2018-05-29-07:00" u="1"/>
        <s v="2017-01-20-21:00" u="1"/>
        <s v="2017-02-20-21:00" u="1"/>
        <s v="2017-03-20-21:00" u="1"/>
        <s v="2017-04-20-21:00" u="1"/>
        <s v="2017-06-20-21:00" u="1"/>
        <s v="2017-07-20-21:00" u="1"/>
        <s v="2017-09-20-21:00" u="1"/>
        <s v="2017-10-20-21:00" u="1"/>
        <s v="2017-11-20-21:00" u="1"/>
        <s v="2017-12-20-21:00" u="1"/>
        <s v="2017-01-27-07:00" u="1"/>
        <s v="2017-02-07-08:00" u="1"/>
        <s v="2017-02-27-07:00" u="1"/>
        <s v="2017-03-07-08:00" u="1"/>
        <s v="2017-03-27-07:00" u="1"/>
        <s v="2017-04-07-08:00" u="1"/>
        <s v="2017-04-27-07:00" u="1"/>
        <s v="2017-06-07-08:00" u="1"/>
        <s v="2017-06-27-07:00" u="1"/>
        <s v="2017-07-07-08:00" u="1"/>
        <s v="2017-07-27-07:00" u="1"/>
        <s v="2017-08-07-08:00" u="1"/>
        <s v="2017-09-07-08:00" u="1"/>
        <s v="2017-09-27-07:00" u="1"/>
        <s v="2017-10-27-07:00" u="1"/>
        <s v="2017-11-07-08:00" u="1"/>
        <s v="2017-11-27-07:00" u="1"/>
        <s v="2017-12-07-08:00" u="1"/>
        <s v="2017-12-27-07:00" u="1"/>
        <s v="2016-01-29-16:00" u="1"/>
        <s v="2016-02-09-17:00" u="1"/>
        <s v="2016-02-29-16:00" u="1"/>
        <s v="2016-03-09-17:00" u="1"/>
        <s v="2016-03-29-16:00" u="1"/>
        <s v="2016-04-29-16:00" u="1"/>
        <s v="2016-05-09-17:00" u="1"/>
        <s v="2016-06-09-17:00" u="1"/>
        <s v="2016-06-29-16:00" u="1"/>
        <s v="2016-07-29-16:00" u="1"/>
        <s v="2016-08-09-17:00" u="1"/>
        <s v="2016-08-29-16:00" u="1"/>
        <s v="2016-09-09-17:00" u="1"/>
        <s v="2016-09-29-16:00" u="1"/>
        <s v="2016-11-09-17:00" u="1"/>
        <s v="2016-11-29-16:00" u="1"/>
        <s v="2016-12-09-17:00" u="1"/>
        <s v="2016-12-29-16:00" u="1"/>
        <s v="2018-01-17-07:00" u="1"/>
        <s v="2018-04-17-07:00" u="1"/>
        <s v="2018-05-17-07:00" u="1"/>
        <s v="2017-01-19-16:00" u="1"/>
        <s v="2017-04-19-16:00" u="1"/>
        <s v="2017-05-19-16:00" u="1"/>
        <s v="2017-06-19-16:00" u="1"/>
        <s v="2017-07-19-16:00" u="1"/>
        <s v="2017-09-19-16:00" u="1"/>
        <s v="2017-10-19-16:00" u="1"/>
        <s v="2017-12-19-16:00" u="1"/>
        <s v="2016-01-13-07:00" u="1"/>
        <s v="2016-04-13-07:00" u="1"/>
        <s v="2016-05-13-07:00" u="1"/>
        <s v="2016-06-13-07:00" u="1"/>
        <s v="2016-07-13-07:00" u="1"/>
        <s v="2016-09-13-07:00" u="1"/>
        <s v="2016-10-13-07:00" u="1"/>
        <s v="2016-10-17-16:00" u="1"/>
        <s v="2016-11-17-16:00" u="1"/>
        <s v="2016-12-13-07:00" u="1"/>
        <s v="2018-01-09-16:00" u="1"/>
        <s v="2018-01-29-15:00" u="1"/>
        <s v="2018-02-09-16:00" u="1"/>
        <s v="2018-03-09-16:00" u="1"/>
        <s v="2018-03-29-15:00" u="1"/>
        <s v="2018-04-09-16:00" u="1"/>
        <s v="2018-05-09-16:00" u="1"/>
        <s v="2018-05-29-15:00" u="1"/>
        <s v="2015-12-31-06:00" u="1"/>
        <s v="2017-01-03-07:00" u="1"/>
        <s v="2017-01-23-06:00" u="1"/>
        <s v="2017-02-03-07:00" u="1"/>
        <s v="2017-02-23-06:00" u="1"/>
        <s v="2017-03-03-07:00" u="1"/>
        <s v="2017-03-23-06:00" u="1"/>
        <s v="2017-04-03-07:00" u="1"/>
        <s v="2017-05-03-07:00" u="1"/>
        <s v="2017-05-23-06:00" u="1"/>
        <s v="2017-06-23-06:00" u="1"/>
        <s v="2017-07-03-07:00" u="1"/>
        <s v="2017-08-03-07:00" u="1"/>
        <s v="2017-08-23-06:00" u="1"/>
        <s v="2017-10-03-07:00" u="1"/>
        <s v="2017-10-23-06:00" u="1"/>
        <s v="2017-11-03-07:00" u="1"/>
        <s v="2017-11-23-06:00" u="1"/>
        <s v="2016-10-21-06:00" u="1"/>
        <s v="2016-11-01-07:00" u="1"/>
        <s v="2016-11-21-06:00" u="1"/>
        <s v="2016-12-01-07:00" u="1"/>
        <s v="2016-12-21-06:00" u="1"/>
        <s v="2018-02-13-06:00" u="1"/>
        <s v="2018-03-13-06:00" u="1"/>
        <s v="2018-04-13-06:00" u="1"/>
        <s v="2017-02-15-15:00" u="1"/>
        <s v="2017-03-15-15:00" u="1"/>
        <s v="2017-05-15-15:00" u="1"/>
        <s v="2017-06-15-15:00" u="1"/>
        <s v="2017-08-15-15:00" u="1"/>
        <s v="2017-09-15-15:00" u="1"/>
        <s v="2016-01-13-15:00" u="1"/>
        <s v="2016-04-13-15:00" u="1"/>
        <s v="2016-05-13-15:00" u="1"/>
        <s v="2016-06-13-15:00" u="1"/>
        <s v="2016-07-13-15:00" u="1"/>
        <s v="2016-09-13-15:00" u="1"/>
        <s v="2016-10-13-15:00" u="1"/>
        <s v="2016-12-13-15:00" u="1"/>
        <s v="2018-01-05-15:00" u="1"/>
        <s v="2018-01-25-14:00" u="1"/>
        <s v="2018-02-05-15:00" u="1"/>
        <s v="2018-03-05-15:00" u="1"/>
        <s v="2018-04-05-15:00" u="1"/>
        <s v="2018-04-25-14:00" u="1"/>
        <s v="2018-05-25-14:00" u="1"/>
        <s v="2017-01-03-15:00" u="1"/>
        <s v="2017-01-23-14:00" u="1"/>
        <s v="2017-02-03-15:00" u="1"/>
        <s v="2017-02-23-14:00" u="1"/>
        <s v="2017-03-03-15:00" u="1"/>
        <s v="2017-03-23-14:00" u="1"/>
        <s v="2017-04-03-15:00" u="1"/>
        <s v="2017-05-03-15:00" u="1"/>
        <s v="2017-05-23-14:00" u="1"/>
        <s v="2017-06-23-14:00" u="1"/>
        <s v="2017-07-03-15:00" u="1"/>
        <s v="2017-08-03-15:00" u="1"/>
        <s v="2017-08-23-14:00" u="1"/>
        <s v="2017-10-03-15:00" u="1"/>
        <s v="2017-10-23-14:00" u="1"/>
        <s v="2017-11-03-15:00" u="1"/>
        <s v="2017-11-23-14:00" u="1"/>
        <s v="2016-01-25-23:00" u="1"/>
        <s v="2016-02-25-23:00" u="1"/>
        <s v="2016-04-25-23:00" u="1"/>
        <s v="2016-05-25-23:00" u="1"/>
        <s v="2016-07-25-23:00" u="1"/>
        <s v="2016-08-25-23:00" u="1"/>
        <s v="2016-10-25-23:00" u="1"/>
        <s v="2016-11-25-23:00" u="1"/>
        <s v="2017-02-15-23:00" u="1"/>
        <s v="2017-03-15-23:00" u="1"/>
        <s v="2017-05-15-23:00" u="1"/>
        <s v="2017-06-15-23:00" u="1"/>
        <s v="2017-08-15-23:00" u="1"/>
        <s v="2017-09-15-23:00" u="1"/>
        <s v="2017-11-15-23:00" u="1"/>
        <s v="2017-12-15-23:00" u="1"/>
        <s v="2018-01-05-23:00" u="1"/>
        <s v="2018-01-25-22:00" u="1"/>
        <s v="2018-02-05-23:00" u="1"/>
        <s v="2018-03-05-23:00" u="1"/>
        <s v="2018-04-05-23:00" u="1"/>
        <s v="2018-04-25-22:00" u="1"/>
        <s v="2018-05-25-22:00" u="1"/>
        <s v="2016-01-21-22:00" u="1"/>
        <s v="2016-02-01-23:00" u="1"/>
        <s v="2016-03-01-23:00" u="1"/>
        <s v="2016-03-21-22:00" u="1"/>
        <s v="2016-04-01-23:00" u="1"/>
        <s v="2016-04-21-22:00" u="1"/>
        <s v="2016-06-01-23:00" u="1"/>
        <s v="2016-06-21-22:00" u="1"/>
        <s v="2016-07-01-23:00" u="1"/>
        <s v="2016-07-21-22:00" u="1"/>
        <s v="2016-08-01-23:00" u="1"/>
        <s v="2016-09-01-23:00" u="1"/>
        <s v="2016-09-21-22:00" u="1"/>
        <s v="2016-10-21-22:00" u="1"/>
        <s v="2016-11-01-23:00" u="1"/>
        <s v="2016-11-21-22:00" u="1"/>
        <s v="2016-12-01-23:00" u="1"/>
        <s v="2016-12-21-22:00" u="1"/>
        <s v="2016-01-08-09:00" u="1"/>
        <s v="2016-01-28-08:00" u="1"/>
        <s v="2016-02-08-09:00" u="1"/>
        <s v="2016-03-08-09:00" u="1"/>
        <s v="2016-03-28-08:00" u="1"/>
        <s v="2016-04-08-09:00" u="1"/>
        <s v="2016-04-28-08:00" u="1"/>
        <s v="2016-06-08-09:00" u="1"/>
        <s v="2016-06-28-08:00" u="1"/>
        <s v="2016-07-08-09:00" u="1"/>
        <s v="2016-07-28-08:00" u="1"/>
        <s v="2016-08-08-09:00" u="1"/>
        <s v="2016-09-08-09:00" u="1"/>
        <s v="2016-09-28-08:00" u="1"/>
        <s v="2017-01-11-22:00" u="1"/>
        <s v="2017-01-31-21:00" u="1"/>
        <s v="2017-03-31-21:00" u="1"/>
        <s v="2017-04-11-22:00" u="1"/>
        <s v="2017-05-11-22:00" u="1"/>
        <s v="2017-05-31-21:00" u="1"/>
        <s v="2017-07-11-22:00" u="1"/>
        <s v="2017-07-31-21:00" u="1"/>
        <s v="2017-08-11-22:00" u="1"/>
        <s v="2017-08-31-21:00" u="1"/>
        <s v="2017-09-11-22:00" u="1"/>
        <s v="2017-10-11-22:00" u="1"/>
        <s v="2017-10-31-21:00" u="1"/>
        <s v="2017-12-11-22:00" u="1"/>
        <s v="2017-01-18-08:00" u="1"/>
        <s v="2017-04-18-08:00" u="1"/>
        <s v="2017-05-18-08:00" u="1"/>
        <s v="2017-07-18-08:00" u="1"/>
        <s v="2017-08-18-08:00" u="1"/>
        <s v="2017-09-18-08:00" u="1"/>
        <s v="2017-10-18-08:00" u="1"/>
        <s v="2017-12-18-08:00" u="1"/>
        <s v="2018-02-01-22:00" u="1"/>
        <s v="2018-02-21-21:00" u="1"/>
        <s v="2018-03-01-22:00" u="1"/>
        <s v="2018-03-21-21:00" u="1"/>
        <s v="2018-05-01-22:00" u="1"/>
        <s v="2018-05-21-21:00" u="1"/>
        <s v="2016-02-16-08:00" u="1"/>
        <s v="2016-03-16-08:00" u="1"/>
        <s v="2016-05-16-08:00" u="1"/>
        <s v="2016-06-16-08:00" u="1"/>
        <s v="2016-08-16-08:00" u="1"/>
        <s v="2016-09-16-08:00" u="1"/>
        <s v="2016-11-16-08:00" u="1"/>
        <s v="2016-12-16-08:00" u="1"/>
        <s v="2018-01-08-08:00" u="1"/>
        <s v="2018-02-08-08:00" u="1"/>
        <s v="2018-02-28-07:00" u="1"/>
        <s v="2018-03-08-08:00" u="1"/>
        <s v="2018-03-28-07:00" u="1"/>
        <s v="2018-05-08-08:00" u="1"/>
        <s v="2018-05-28-07:00" u="1"/>
        <s v="2017-10-06-08:00" u="1"/>
        <s v="2017-10-26-07:00" u="1"/>
        <s v="2017-11-06-08:00" u="1"/>
        <s v="2017-12-06-08:00" u="1"/>
        <s v="2016-01-08-17:00" u="1"/>
        <s v="2016-01-28-16:00" u="1"/>
        <s v="2016-02-08-17:00" u="1"/>
        <s v="2016-03-08-17:00" u="1"/>
        <s v="2016-03-28-16:00" u="1"/>
        <s v="2016-04-08-17:00" u="1"/>
        <s v="2016-04-28-16:00" u="1"/>
        <s v="2016-06-08-17:00" u="1"/>
        <s v="2016-06-28-16:00" u="1"/>
        <s v="2016-07-08-17:00" u="1"/>
        <s v="2016-07-28-16:00" u="1"/>
        <s v="2016-08-08-17:00" u="1"/>
        <s v="2016-09-08-17:00" u="1"/>
        <s v="2016-09-28-16:00" u="1"/>
        <s v="2016-10-28-16:00" u="1"/>
        <s v="2016-11-08-17:00" u="1"/>
        <s v="2016-11-28-16:00" u="1"/>
        <s v="2016-12-08-17:00" u="1"/>
        <s v="2016-12-28-16:00" u="1"/>
        <s v="2017-01-18-16:00" u="1"/>
        <s v="2017-04-18-16:00" u="1"/>
        <s v="2017-05-18-16:00" u="1"/>
        <s v="2017-07-18-16:00" u="1"/>
        <s v="2017-08-18-16:00" u="1"/>
        <s v="2017-09-18-16:00" u="1"/>
        <s v="2017-10-18-16:00" u="1"/>
        <s v="2017-12-18-16:00" u="1"/>
        <s v="2016-01-12-07:00" u="1"/>
        <s v="2016-02-12-07:00" u="1"/>
        <s v="2016-04-12-07:00" u="1"/>
        <s v="2016-05-12-07:00" u="1"/>
        <s v="2016-07-12-07:00" u="1"/>
        <s v="2016-08-12-07:00" u="1"/>
        <s v="2016-09-12-07:00" u="1"/>
        <s v="2016-10-12-07:00" u="1"/>
        <s v="2016-12-12-07:00" u="1"/>
        <s v="2018-01-04-07:00" u="1"/>
        <s v="2018-01-08-16:00" u="1"/>
        <s v="2018-01-24-06:00" u="1"/>
        <s v="2018-02-08-16:00" u="1"/>
        <s v="2018-02-28-15:00" u="1"/>
        <s v="2018-03-08-16:00" u="1"/>
        <s v="2018-03-28-15:00" u="1"/>
        <s v="2018-04-04-07:00" u="1"/>
        <s v="2018-04-24-06:00" u="1"/>
        <s v="2018-05-04-07:00" u="1"/>
        <s v="2018-05-08-16:00" u="1"/>
        <s v="2018-05-24-06:00" u="1"/>
        <s v="2018-05-28-15:00" u="1"/>
        <s v="2018-07-24-06:00" u="1"/>
        <s v="2017-02-02-07:00" u="1"/>
        <s v="2017-02-22-06:00" u="1"/>
        <s v="2017-03-02-07:00" u="1"/>
        <s v="2017-03-22-06:00" u="1"/>
        <s v="2017-05-02-07:00" u="1"/>
        <s v="2017-05-22-06:00" u="1"/>
        <s v="2017-06-02-07:00" u="1"/>
        <s v="2017-06-22-06:00" u="1"/>
        <s v="2017-08-02-07:00" u="1"/>
        <s v="2017-08-22-06:00" u="1"/>
        <s v="2017-09-22-06:00" u="1"/>
        <s v="2017-10-02-07:00" u="1"/>
        <s v="2017-11-02-07:00" u="1"/>
        <s v="2017-11-22-06:00" u="1"/>
        <s v="2017-12-22-06:00" u="1"/>
        <s v="2016-01-04-16:00" u="1"/>
        <s v="2016-02-04-16:00" u="1"/>
        <s v="2016-02-24-15:00" u="1"/>
        <s v="2016-03-04-16:00" u="1"/>
        <s v="2016-03-24-15:00" u="1"/>
        <s v="2016-04-04-16:00" u="1"/>
        <s v="2016-05-04-16:00" u="1"/>
        <s v="2016-05-24-15:00" u="1"/>
        <s v="2016-06-24-15:00" u="1"/>
        <s v="2016-07-04-16:00" u="1"/>
        <s v="2016-08-04-16:00" u="1"/>
        <s v="2016-08-24-15:00" u="1"/>
        <s v="2016-10-04-16:00" u="1"/>
        <s v="2016-10-24-15:00" u="1"/>
        <s v="2016-11-04-16:00" u="1"/>
        <s v="2016-11-24-15:00" u="1"/>
        <s v="2018-01-12-06:00" u="1"/>
        <s v="2018-02-12-06:00" u="1"/>
        <s v="2018-03-12-06:00" u="1"/>
        <s v="2018-04-12-06:00" u="1"/>
        <s v="2017-02-14-15:00" u="1"/>
        <s v="2017-03-14-15:00" u="1"/>
        <s v="2017-04-14-15:00" u="1"/>
        <s v="2017-06-14-15:00" u="1"/>
        <s v="2017-07-14-15:00" u="1"/>
        <s v="2017-08-14-15:00" u="1"/>
        <s v="2017-09-14-15:00" u="1"/>
        <s v="2017-11-14-15:00" u="1"/>
        <s v="2017-12-14-15:00" u="1"/>
        <s v="2018-01-04-15:00" u="1"/>
        <s v="2018-01-24-14:00" u="1"/>
        <s v="2018-04-04-15:00" u="1"/>
        <s v="2018-04-24-14:00" u="1"/>
        <s v="2018-05-04-15:00" u="1"/>
        <s v="2018-05-24-14:00" u="1"/>
        <s v="2018-07-24-14:00" u="1"/>
        <s v="2017-01-26-23:00" u="1"/>
        <s v="2017-04-26-23:00" u="1"/>
        <s v="2017-05-26-23:00" u="1"/>
        <s v="2017-06-26-23:00" u="1"/>
        <s v="2017-07-26-23:00" u="1"/>
        <s v="2017-09-26-23:00" u="1"/>
        <s v="2016-01-20-14:00" u="1"/>
        <s v="2016-02-24-23:00" u="1"/>
        <s v="2016-03-24-23:00" u="1"/>
        <s v="2016-04-20-14:00" u="1"/>
        <s v="2016-05-20-14:00" u="1"/>
        <s v="2016-05-24-23:00" u="1"/>
        <s v="2016-06-20-14:00" u="1"/>
        <s v="2016-06-24-23:00" u="1"/>
        <s v="2016-07-20-14:00" u="1"/>
        <s v="2016-08-24-23:00" u="1"/>
        <s v="2016-09-20-14:00" u="1"/>
        <s v="2016-10-24-23:00" u="1"/>
        <s v="2016-11-24-23:00" u="1"/>
        <s v="2018-01-16-23:00" u="1"/>
        <s v="2018-02-16-23:00" u="1"/>
        <s v="2018-04-16-23:00" u="1"/>
        <s v="2018-05-16-23:00" u="1"/>
        <s v="2017-01-10-14:00" u="1"/>
        <s v="2017-01-30-13:00" u="1"/>
        <s v="2017-02-10-14:00" u="1"/>
        <s v="2017-03-10-14:00" u="1"/>
        <s v="2017-03-30-13:00" u="1"/>
        <s v="2017-04-10-14:00" u="1"/>
        <s v="2017-05-10-14:00" u="1"/>
        <s v="2017-05-30-13:00" u="1"/>
        <s v="2017-06-30-13:00" u="1"/>
        <s v="2017-07-10-14:00" u="1"/>
        <s v="2017-08-10-14:00" u="1"/>
        <s v="2017-08-30-13:00" u="1"/>
        <s v="2017-10-10-14:00" u="1"/>
        <s v="2017-10-30-13:00" u="1"/>
        <s v="2017-11-10-14:00" u="1"/>
        <s v="2017-11-14-23:00" u="1"/>
        <s v="2017-11-30-13:00" u="1"/>
        <s v="2017-12-14-23:00" u="1"/>
        <s v="2018-02-20-13:00" u="1"/>
        <s v="2018-03-20-13:00" u="1"/>
        <s v="2018-04-20-13:00" u="1"/>
        <s v="2015-12-30-22:00" u="1"/>
        <s v="2016-01-20-22:00" u="1"/>
        <s v="2016-04-20-22:00" u="1"/>
        <s v="2016-05-20-22:00" u="1"/>
        <s v="2016-06-20-22:00" u="1"/>
        <s v="2016-07-20-22:00" u="1"/>
        <s v="2016-09-20-22:00" u="1"/>
        <s v="2016-10-20-22:00" u="1"/>
        <s v="2016-12-20-22:00" u="1"/>
        <s v="2018-01-12-22:00" u="1"/>
        <s v="2018-02-12-22:00" u="1"/>
        <s v="2018-03-12-22:00" u="1"/>
        <s v="2018-04-12-22:00" u="1"/>
        <s v="2016-01-07-09:00" u="1"/>
        <s v="2016-01-27-08:00" u="1"/>
        <s v="2016-03-07-09:00" u="1"/>
        <s v="2016-04-07-09:00" u="1"/>
        <s v="2016-04-27-08:00" u="1"/>
        <s v="2016-05-27-08:00" u="1"/>
        <s v="2016-06-07-09:00" u="1"/>
        <s v="2016-06-27-08:00" u="1"/>
        <s v="2016-07-07-09:00" u="1"/>
        <s v="2016-07-27-08:00" u="1"/>
        <s v="2016-09-07-09:00" u="1"/>
        <s v="2016-09-27-08:00" u="1"/>
        <s v="2016-10-07-09:00" u="1"/>
        <s v="2016-10-27-08:00" u="1"/>
        <s v="2016-11-07-09:00" u="1"/>
        <s v="2016-12-07-09:00" u="1"/>
        <s v="2016-12-27-08:00" u="1"/>
        <s v="2017-01-10-22:00" u="1"/>
        <s v="2017-01-30-21:00" u="1"/>
        <s v="2017-02-10-22:00" u="1"/>
        <s v="2017-03-10-22:00" u="1"/>
        <s v="2017-03-30-21:00" u="1"/>
        <s v="2017-04-10-22:00" u="1"/>
        <s v="2017-05-10-22:00" u="1"/>
        <s v="2017-05-30-21:00" u="1"/>
        <s v="2017-06-30-21:00" u="1"/>
        <s v="2017-07-10-22:00" u="1"/>
        <s v="2017-08-10-22:00" u="1"/>
        <s v="2017-08-30-21:00" u="1"/>
        <s v="2017-10-10-22:00" u="1"/>
        <s v="2017-10-30-21:00" u="1"/>
        <s v="2017-11-10-22:00" u="1"/>
        <s v="2017-11-30-21:00" u="1"/>
        <s v="2017-01-17-08:00" u="1"/>
        <s v="2017-02-17-08:00" u="1"/>
        <s v="2017-03-17-08:00" u="1"/>
        <s v="2017-04-17-08:00" u="1"/>
        <s v="2017-05-17-08:00" u="1"/>
        <s v="2017-07-17-08:00" u="1"/>
        <s v="2017-08-17-08:00" u="1"/>
        <s v="2017-10-17-08:00" u="1"/>
        <s v="2017-11-17-08:00" u="1"/>
        <s v="2018-02-20-21:00" u="1"/>
        <s v="2018-03-20-21:00" u="1"/>
        <s v="2018-04-20-21:00" u="1"/>
        <s v="2016-01-19-17:00" u="1"/>
        <s v="2016-02-19-17:00" u="1"/>
        <s v="2016-04-19-17:00" u="1"/>
        <s v="2016-05-19-17:00" u="1"/>
        <s v="2016-07-19-17:00" u="1"/>
        <s v="2016-08-19-17:00" u="1"/>
        <s v="2016-09-19-17:00" u="1"/>
        <s v="2018-02-07-08:00" u="1"/>
        <s v="2018-02-27-07:00" u="1"/>
        <s v="2018-03-07-08:00" u="1"/>
        <s v="2018-03-27-07:00" u="1"/>
        <s v="2018-04-27-07:00" u="1"/>
        <s v="2018-05-07-08:00" u="1"/>
        <s v="2017-01-09-17:00" u="1"/>
        <s v="2017-02-09-17:00" u="1"/>
        <s v="2017-03-09-17:00" u="1"/>
        <s v="2017-03-29-16:00" u="1"/>
        <s v="2017-05-09-17:00" u="1"/>
        <s v="2017-05-29-16:00" u="1"/>
        <s v="2017-06-09-17:00" u="1"/>
        <s v="2017-06-29-16:00" u="1"/>
        <s v="2017-08-09-17:00" u="1"/>
        <s v="2017-08-29-16:00" u="1"/>
        <s v="2017-09-29-16:00" u="1"/>
        <s v="2017-10-09-17:00" u="1"/>
        <s v="2017-11-09-17:00" u="1"/>
        <s v="2017-11-29-16:00" u="1"/>
        <s v="2017-12-29-16:00" u="1"/>
        <s v="2016-01-07-17:00" u="1"/>
        <s v="2016-01-27-16:00" u="1"/>
        <s v="2016-02-03-08:00" u="1"/>
        <s v="2016-02-23-07:00" u="1"/>
        <s v="2016-03-03-08: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23-07:00" u="1"/>
        <s v="2016-09-07-17:00" u="1"/>
        <s v="2016-09-23-07:00" u="1"/>
        <s v="2016-09-27-16:00" u="1"/>
        <s v="2016-10-07-17:00" u="1"/>
        <s v="2016-10-27-16:00" u="1"/>
        <s v="2016-11-07-17:00" u="1"/>
        <s v="2016-12-07-17:00" u="1"/>
        <s v="2016-12-27-16:00" u="1"/>
        <s v="2018-01-19-16:00" u="1"/>
        <s v="2018-02-19-16:00" u="1"/>
        <s v="2018-03-19-16:00" u="1"/>
        <s v="2018-04-19-16:00" u="1"/>
        <s v="2017-01-13-07:00" u="1"/>
        <s v="2017-02-13-07:00" u="1"/>
        <s v="2017-03-13-07:00" u="1"/>
        <s v="2017-04-13-07:00" u="1"/>
        <s v="2017-06-13-07:00" u="1"/>
        <s v="2017-07-13-07:00" u="1"/>
        <s v="2017-09-13-07:00" u="1"/>
        <s v="2017-10-13-07:00" u="1"/>
        <s v="2017-10-17-16:00" u="1"/>
        <s v="2017-11-13-07:00" u="1"/>
        <s v="2017-11-17-16:00" u="1"/>
        <s v="2017-12-13-07:00" u="1"/>
        <s v="2016-10-11-07:00" u="1"/>
        <s v="2016-10-31-06:00" u="1"/>
        <s v="2016-11-11-07:00" u="1"/>
        <s v="2018-01-03-07:00" u="1"/>
        <s v="2018-01-23-06:00" u="1"/>
        <s v="2018-02-23-06:00" u="1"/>
        <s v="2018-03-23-06:00" u="1"/>
        <s v="2018-04-03-07:00" u="1"/>
        <s v="2018-04-23-06:00" u="1"/>
        <s v="2018-05-03-07:00" u="1"/>
        <s v="2018-05-23-06:00" u="1"/>
        <s v="2017-11-01-07:00" u="1"/>
        <s v="2017-11-21-06:00" u="1"/>
        <s v="2017-12-01-07:00" u="1"/>
        <s v="2017-12-21-06:00" u="1"/>
        <s v="2016-02-03-16:00" u="1"/>
        <s v="2016-02-23-15:00" u="1"/>
        <s v="2016-03-03-16:00" u="1"/>
        <s v="2016-03-23-15:00" u="1"/>
        <s v="2016-05-03-16:00" u="1"/>
        <s v="2016-05-23-15:00" u="1"/>
        <s v="2016-06-03-16:00" u="1"/>
        <s v="2016-06-23-15:00" u="1"/>
        <s v="2016-08-03-16:00" u="1"/>
        <s v="2016-08-23-15:00" u="1"/>
        <s v="2016-09-23-15:00" u="1"/>
        <s v="2016-10-03-16:00" u="1"/>
        <s v="2016-11-03-16:00" u="1"/>
        <s v="2016-11-23-15:00" u="1"/>
        <s v="2016-12-23-15:00" u="1"/>
        <s v="2018-01-15-15:00" u="1"/>
        <s v="2018-02-15-15:00" u="1"/>
        <s v="2018-03-15-15:00" u="1"/>
        <s v="2018-05-15-15:00" u="1"/>
        <s v="2017-01-13-15:00" u="1"/>
        <s v="2017-02-13-15:00" u="1"/>
        <s v="2017-03-13-15:00" u="1"/>
        <s v="2017-04-13-15:00" u="1"/>
        <s v="2017-06-13-15:00" u="1"/>
        <s v="2017-07-13-15:00" u="1"/>
        <s v="2017-09-13-15:00" u="1"/>
        <s v="2017-10-13-15:00" u="1"/>
        <s v="2017-11-13-15:00" u="1"/>
        <s v="2017-12-13-15:00" u="1"/>
        <s v="2018-01-03-15:00" u="1"/>
        <s v="2018-01-23-14:00" u="1"/>
        <s v="2018-02-23-14:00" u="1"/>
        <s v="2018-03-23-14:00" u="1"/>
        <s v="2018-04-03-15:00" u="1"/>
        <s v="2018-04-23-14:00" u="1"/>
        <s v="2018-05-03-15:00" u="1"/>
        <s v="2018-05-23-14:00" u="1"/>
        <s v="2017-01-25-23:00" u="1"/>
        <s v="2017-04-25-23:00" u="1"/>
        <s v="2017-05-25-23:00" u="1"/>
        <s v="2017-07-25-23:00" u="1"/>
        <s v="2017-08-25-23:00" u="1"/>
        <s v="2017-09-25-23:00" u="1"/>
        <s v="2017-10-25-23:00" u="1"/>
        <s v="2018-01-15-23:00" u="1"/>
        <s v="2018-02-15-23:00" u="1"/>
        <s v="2018-03-15-23:00" u="1"/>
        <s v="2018-05-15-23:00" u="1"/>
        <s v="2016-01-11-23:00" u="1"/>
        <s v="2016-02-11-23:00" u="1"/>
        <s v="2016-03-11-23:00" u="1"/>
        <s v="2016-03-31-22:00" u="1"/>
        <s v="2016-04-11-23:00" u="1"/>
        <s v="2016-05-11-23:00" u="1"/>
        <s v="2016-05-31-22:00" u="1"/>
        <s v="2016-07-11-23:00" u="1"/>
        <s v="2016-08-11-23:00" u="1"/>
        <s v="2016-08-31-22:00" u="1"/>
        <s v="2017-02-01-23:00" u="1"/>
        <s v="2017-02-21-22:00" u="1"/>
        <s v="2017-03-01-23:00" u="1"/>
        <s v="2017-03-21-22:00" u="1"/>
        <s v="2017-04-21-22:00" u="1"/>
        <s v="2017-05-01-23:00" u="1"/>
        <s v="2017-06-01-23:00" u="1"/>
        <s v="2017-06-21-22:00" u="1"/>
        <s v="2017-07-21-22:00" u="1"/>
        <s v="2017-08-01-23:00" u="1"/>
        <s v="2017-08-21-22:00" u="1"/>
        <s v="2017-09-01-23:00" u="1"/>
        <s v="2017-09-21-22:00" u="1"/>
        <s v="2017-11-01-23:00" u="1"/>
        <s v="2017-11-21-22:00" u="1"/>
        <s v="2017-12-01-23:00" u="1"/>
        <s v="2017-12-21-22:00" u="1"/>
        <s v="2017-02-08-09:00" u="1"/>
        <s v="2017-02-28-08:00" u="1"/>
        <s v="2017-03-08-09:00" u="1"/>
        <s v="2017-03-28-08:00" u="1"/>
        <s v="2017-04-28-08:00" u="1"/>
        <s v="2017-05-08-09:00" u="1"/>
        <s v="2017-06-08-09:00" u="1"/>
        <s v="2017-06-28-08:00" u="1"/>
        <s v="2017-07-28-08:00" u="1"/>
        <s v="2017-08-08-09:00" u="1"/>
        <s v="2017-08-28-08:00" u="1"/>
        <s v="2017-09-08-09:00" u="1"/>
        <s v="2017-09-28-08:00" u="1"/>
        <s v="2018-01-11-22:00" u="1"/>
        <s v="2018-01-31-21:00" u="1"/>
        <s v="2018-04-11-22:00" u="1"/>
        <s v="2018-05-11-22:00" u="1"/>
        <s v="2016-01-06-09:00" u="1"/>
        <s v="2016-01-26-08:00" u="1"/>
        <s v="2016-02-26-08:00" u="1"/>
        <s v="2016-04-06-09:00" u="1"/>
        <s v="2016-04-26-08:00" u="1"/>
        <s v="2016-05-06-09:00" u="1"/>
        <s v="2016-05-26-08:00" u="1"/>
        <s v="2016-06-06-09:00" u="1"/>
        <s v="2016-07-06-09:00" u="1"/>
        <s v="2016-07-26-08:00" u="1"/>
        <s v="2016-08-26-08:00" u="1"/>
        <s v="2016-09-06-09:00" u="1"/>
        <s v="2016-09-26-08:00" u="1"/>
        <s v="2016-10-06-09:00" u="1"/>
        <s v="2016-10-26-08:00" u="1"/>
        <s v="2016-12-06-09:00" u="1"/>
        <s v="2018-01-18-08:00" u="1"/>
        <s v="2018-04-18-08:00" u="1"/>
        <s v="2018-05-18-08:00" u="1"/>
        <s v="2017-01-16-08:00" u="1"/>
        <s v="2017-02-16-08:00" u="1"/>
        <s v="2017-03-16-08:00" u="1"/>
        <s v="2017-05-16-08:00" u="1"/>
        <s v="2017-06-16-08:00" u="1"/>
        <s v="2017-08-16-08:00" u="1"/>
        <s v="2017-10-16-08:00" u="1"/>
        <s v="2017-11-16-08:00" u="1"/>
        <s v="2016-01-18-17:00" u="1"/>
        <s v="2016-02-18-17:00" u="1"/>
        <s v="2016-03-18-17:00" u="1"/>
        <s v="2016-04-18-17:00" u="1"/>
        <s v="2016-05-18-17:00" u="1"/>
        <s v="2016-07-18-17:00" u="1"/>
        <s v="2016-08-18-17:00" u="1"/>
        <s v="2016-10-18-17:00" u="1"/>
        <s v="2016-11-18-17:00" u="1"/>
        <s v="2017-02-08-17:00" u="1"/>
        <s v="2017-02-28-16:00" u="1"/>
        <s v="2017-03-08-17:00" u="1"/>
        <s v="2017-03-28-16:00" u="1"/>
        <s v="2017-04-28-16:00" u="1"/>
        <s v="2017-05-08-17:00" u="1"/>
        <s v="2017-06-08-17:00" u="1"/>
        <s v="2017-06-28-16:00" u="1"/>
        <s v="2017-07-28-16:00" u="1"/>
        <s v="2017-08-08-17:00" u="1"/>
        <s v="2017-08-28-16:00" u="1"/>
        <s v="2017-09-08-17:00" u="1"/>
        <s v="2017-09-28-16:00" u="1"/>
        <s v="2017-11-08-17:00" u="1"/>
        <s v="2017-11-28-16:00" u="1"/>
        <s v="2017-12-08-17:00" u="1"/>
        <s v="2017-12-28-16:00" u="1"/>
        <s v="2016-01-22-07:00" u="1"/>
        <s v="2016-02-02-08:00" u="1"/>
        <s v="2016-02-22-07:00" u="1"/>
        <s v="2016-03-02-08:00" u="1"/>
        <s v="2016-03-22-07:00" u="1"/>
        <s v="2016-04-22-07:00" u="1"/>
        <s v="2016-05-02-08:00" u="1"/>
        <s v="2016-06-02-08:00" u="1"/>
        <s v="2016-06-22-07:00" u="1"/>
        <s v="2016-07-22-07:00" u="1"/>
        <s v="2016-08-02-08:00" u="1"/>
        <s v="2016-08-22-07:00" u="1"/>
        <s v="2016-09-02-08:00" u="1"/>
        <s v="2016-09-22-07:00" u="1"/>
        <s v="2016-11-02-08:00" u="1"/>
        <s v="2016-11-22-07:00" u="1"/>
        <s v="2016-12-02-08:00" u="1"/>
        <s v="2016-12-22-07:00" u="1"/>
        <s v="2018-01-18-16:00" u="1"/>
        <s v="2018-04-18-16:00" u="1"/>
        <s v="2018-05-18-16:00" u="1"/>
        <s v="2017-01-12-07:00" u="1"/>
        <s v="2017-04-12-07:00" u="1"/>
        <s v="2017-05-12-07:00" u="1"/>
        <s v="2017-06-12-07:00" u="1"/>
        <s v="2017-07-12-07:00" u="1"/>
        <s v="2017-09-12-07:00" u="1"/>
        <s v="2017-10-12-07:00" u="1"/>
        <s v="2017-12-12-07:00" u="1"/>
        <s v="2016-01-14-16:00" u="1"/>
        <s v="2016-03-14-16:00" u="1"/>
        <s v="2016-04-14-16:00" u="1"/>
        <s v="2016-06-14-16:00" u="1"/>
        <s v="2016-07-14-16:00" u="1"/>
        <s v="2016-09-14-16:00" u="1"/>
        <s v="2016-10-14-16:00" u="1"/>
        <s v="2016-11-14-16:00" u="1"/>
        <s v="2016-12-14-16:00" u="1"/>
        <s v="2018-01-22-06:00" u="1"/>
        <s v="2018-02-02-07:00" u="1"/>
        <s v="2018-02-22-06:00" u="1"/>
        <s v="2018-03-02-07:00" u="1"/>
        <s v="2018-03-22-06:00" u="1"/>
        <s v="2018-04-02-07:00" u="1"/>
        <s v="2018-05-02-07:00" u="1"/>
        <s v="2018-05-22-06:00" u="1"/>
        <s v="2017-01-04-16:00" u="1"/>
        <s v="2017-01-24-15:00" u="1"/>
        <s v="2017-02-24-15:00" u="1"/>
        <s v="2017-03-24-15:00" u="1"/>
        <s v="2017-04-04-16:00" u="1"/>
        <s v="2017-04-24-15:00" u="1"/>
        <s v="2017-05-04-16:00" u="1"/>
        <s v="2017-05-24-15:00" u="1"/>
        <s v="2017-07-04-16:00" u="1"/>
        <s v="2017-07-24-15:00" u="1"/>
        <s v="2017-08-04-16:00" u="1"/>
        <s v="2017-08-24-15:00" u="1"/>
        <s v="2017-09-04-16:00" u="1"/>
        <s v="2017-10-04-16:00" u="1"/>
        <s v="2017-10-24-15:00" u="1"/>
        <s v="2017-11-24-15:00" u="1"/>
        <s v="2017-12-04-16:00" u="1"/>
        <s v="2016-11-02-16:00" u="1"/>
        <s v="2016-11-22-15:00" u="1"/>
        <s v="2016-12-02-16:00" u="1"/>
        <s v="2016-12-22-15:00" u="1"/>
        <s v="2018-02-14-15:00" u="1"/>
        <s v="2018-03-14-15:00" u="1"/>
        <s v="2018-05-14-15:00" u="1"/>
        <s v="2018-01-26-23:00" u="1"/>
        <s v="2018-02-26-23:00" u="1"/>
        <s v="2018-03-26-23:00" u="1"/>
        <s v="2018-04-26-23:00" u="1"/>
        <s v="2017-01-20-14:00" u="1"/>
        <s v="2017-01-24-23:00" u="1"/>
        <s v="2017-02-20-14:00" u="1"/>
        <s v="2017-02-24-23:00" u="1"/>
        <s v="2017-03-20-14:00" u="1"/>
        <s v="2017-04-20-14:00" u="1"/>
        <s v="2017-04-24-23:00" u="1"/>
        <s v="2017-05-24-23:00" u="1"/>
        <s v="2017-06-20-14:00" u="1"/>
        <s v="2017-07-20-14:00" u="1"/>
        <s v="2017-07-24-23:00" u="1"/>
        <s v="2017-08-24-23:00" u="1"/>
        <s v="2017-09-20-14:00" u="1"/>
        <s v="2017-10-24-23:00" u="1"/>
        <s v="2017-11-24-23:00" u="1"/>
        <s v="2018-01-10-14:00" u="1"/>
        <s v="2018-01-30-13:00" u="1"/>
        <s v="2018-03-30-13:00" u="1"/>
        <s v="2018-04-10-14:00" u="1"/>
        <s v="2018-04-30-13:00" u="1"/>
        <s v="2018-05-10-14:00" u="1"/>
        <s v="2018-07-30-13:00" u="1"/>
        <s v="2016-02-10-23:00" u="1"/>
        <s v="2016-03-10-23:00" u="1"/>
        <s v="2016-03-30-22:00" u="1"/>
        <s v="2016-05-10-23:00" u="1"/>
        <s v="2016-05-30-22:00" u="1"/>
        <s v="2016-06-10-23:00" u="1"/>
        <s v="2016-06-30-22:00" u="1"/>
        <s v="2016-08-10-23:00" u="1"/>
        <s v="2016-08-30-22:00" u="1"/>
        <s v="2016-09-30-22:00" u="1"/>
        <s v="2016-10-10-23:00" u="1"/>
        <s v="2016-11-10-23:00" u="1"/>
        <s v="2016-11-30-22:00" u="1"/>
        <s v="2016-12-30-22:00" u="1"/>
        <s v="2016-02-17-09:00" u="1"/>
        <s v="2016-03-17-09:00" u="1"/>
        <s v="2016-05-17-09:00" u="1"/>
        <s v="2016-06-17-09:00" u="1"/>
        <s v="2016-08-17-09:00" u="1"/>
        <s v="2016-10-17-09:00" u="1"/>
        <s v="2016-11-17-09:00" u="1"/>
        <s v="2017-01-20-22:00" u="1"/>
        <s v="2017-02-20-22:00" u="1"/>
        <s v="2017-03-20-22:00" u="1"/>
        <s v="2017-04-20-22:00" u="1"/>
        <s v="2017-06-20-22:00" u="1"/>
        <s v="2017-07-20-22:00" u="1"/>
        <s v="2017-09-20-22:00" u="1"/>
        <s v="2017-10-20-22:00" u="1"/>
        <s v="2017-11-20-22:00" u="1"/>
        <s v="2017-12-20-22:00" u="1"/>
        <s v="2017-01-27-08:00" u="1"/>
        <s v="2017-02-07-09:00" u="1"/>
        <s v="2017-02-27-08:00" u="1"/>
        <s v="2017-03-07-09:00" u="1"/>
        <s v="2017-03-27-08:00" u="1"/>
        <s v="2017-04-07-09:00" u="1"/>
        <s v="2017-04-27-08:00" u="1"/>
        <s v="2017-06-07-09:00" u="1"/>
        <s v="2017-06-27-08:00" u="1"/>
        <s v="2017-07-07-09:00" u="1"/>
        <s v="2017-07-27-08:00" u="1"/>
        <s v="2017-08-07-09:00" u="1"/>
        <s v="2017-09-07-09:00" u="1"/>
        <s v="2017-09-27-08:00" u="1"/>
        <s v="2017-10-27-08:00" u="1"/>
        <s v="2017-11-07-09:00" u="1"/>
        <s v="2017-11-27-08:00" u="1"/>
        <s v="2017-12-07-09:00" u="1"/>
        <s v="2017-12-27-08:00" u="1"/>
        <s v="2018-01-10-22:00" u="1"/>
        <s v="2018-01-30-21:00" u="1"/>
        <s v="2018-03-30-21:00" u="1"/>
        <s v="2018-04-10-22:00" u="1"/>
        <s v="2018-04-30-21:00" u="1"/>
        <s v="2018-05-10-22:00" u="1"/>
        <s v="2018-07-30-21:00" u="1"/>
        <s v="2016-10-05-09:00" u="1"/>
        <s v="2016-10-25-08:00" u="1"/>
        <s v="2016-11-25-08:00" u="1"/>
        <s v="2016-12-05-09:00" u="1"/>
        <s v="2018-01-17-08:00" u="1"/>
        <s v="2018-04-17-08:00" u="1"/>
        <s v="2018-05-17-08:00" u="1"/>
        <s v="2017-01-19-17:00" u="1"/>
        <s v="2017-04-19-17:00" u="1"/>
        <s v="2017-05-19-17:00" u="1"/>
        <s v="2017-06-19-17:00" u="1"/>
        <s v="2017-07-19-17:00" u="1"/>
        <s v="2017-09-19-17:00" u="1"/>
        <s v="2016-01-13-08:00" u="1"/>
        <s v="2016-02-17-17:00" u="1"/>
        <s v="2016-03-17-17:00" u="1"/>
        <s v="2016-04-13-08:00" u="1"/>
        <s v="2016-05-13-08:00" u="1"/>
        <s v="2016-05-17-17:00" u="1"/>
        <s v="2016-06-13-08:00" u="1"/>
        <s v="2016-06-17-17:00" u="1"/>
        <s v="2016-07-13-08:00" u="1"/>
        <s v="2016-08-17-17:00" u="1"/>
        <s v="2016-09-13-08:00" u="1"/>
        <s v="2016-10-17-17:00" u="1"/>
        <s v="2016-11-17-17:00" u="1"/>
        <s v="2018-01-09-17:00" u="1"/>
        <s v="2018-01-29-16:00" u="1"/>
        <s v="2018-02-09-17:00" u="1"/>
        <s v="2018-03-09-17:00" u="1"/>
        <s v="2018-03-29-16:00" u="1"/>
        <s v="2018-04-09-17:00" u="1"/>
        <s v="2018-05-09-17:00" u="1"/>
        <s v="2018-05-29-16:00" u="1"/>
        <s v="2015-12-31-07:00" u="1"/>
        <s v="2017-01-03-08:00" u="1"/>
        <s v="2017-01-23-07:00" u="1"/>
        <s v="2017-01-27-16:00" u="1"/>
        <s v="2017-02-03-08:00" u="1"/>
        <s v="2017-02-07-17:00" u="1"/>
        <s v="2017-02-23-07:00" u="1"/>
        <s v="2017-02-27-16:00" u="1"/>
        <s v="2017-03-03-08:00" u="1"/>
        <s v="2017-03-07-17:00" u="1"/>
        <s v="2017-03-23-07:00" u="1"/>
        <s v="2017-03-27-16:00" u="1"/>
        <s v="2017-04-03-08:00" u="1"/>
        <s v="2017-04-07-17:00" u="1"/>
        <s v="2017-04-27-16:00" u="1"/>
        <s v="2017-05-03-08:00" u="1"/>
        <s v="2017-05-23-07:00" u="1"/>
        <s v="2017-06-07-17:00" u="1"/>
        <s v="2017-06-23-07:00" u="1"/>
        <s v="2017-06-27-16:00" u="1"/>
        <s v="2017-07-03-08:00" u="1"/>
        <s v="2017-07-07-17:00" u="1"/>
        <s v="2017-07-27-16:00" u="1"/>
        <s v="2017-08-03-08:00" u="1"/>
        <s v="2017-08-07-17:00" u="1"/>
        <s v="2017-08-23-07:00" u="1"/>
        <s v="2017-09-07-17:00" u="1"/>
        <s v="2017-09-27-16:00" u="1"/>
        <s v="2017-10-27-16:00" u="1"/>
        <s v="2017-11-07-17:00" u="1"/>
        <s v="2017-11-27-16:00" u="1"/>
        <s v="2017-12-07-17:00" u="1"/>
        <s v="2017-12-27-16: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8-02-13-07:00" u="1"/>
        <s v="2018-03-13-07:00" u="1"/>
        <s v="2018-04-13-07:00" u="1"/>
        <s v="2017-10-11-07:00" u="1"/>
        <s v="2017-10-31-06:00" u="1"/>
        <s v="2017-12-11-07:00" u="1"/>
        <s v="2016-01-13-16:00" u="1"/>
        <s v="2016-04-13-16:00" u="1"/>
        <s v="2016-05-13-16:00" u="1"/>
        <s v="2016-06-13-16:00" u="1"/>
        <s v="2016-07-13-16:00" u="1"/>
        <s v="2016-09-13-16:00" u="1"/>
        <s v="2016-10-13-16:00" u="1"/>
        <s v="2016-12-13-16:00" u="1"/>
        <s v="2017-01-03-16:00" u="1"/>
        <s v="2017-01-23-15:00" u="1"/>
        <s v="2017-02-03-16:00" u="1"/>
        <s v="2017-02-23-15:00" u="1"/>
        <s v="2017-03-03-16:00" u="1"/>
        <s v="2017-03-23-15:00" u="1"/>
        <s v="2017-04-03-16:00" u="1"/>
        <s v="2017-05-03-16:00" u="1"/>
        <s v="2017-05-23-15:00" u="1"/>
        <s v="2017-06-23-15:00" u="1"/>
        <s v="2017-07-03-16:00" u="1"/>
        <s v="2017-08-03-16:00" u="1"/>
        <s v="2017-08-23-15:00" u="1"/>
        <s v="2017-10-03-16:00" u="1"/>
        <s v="2017-10-23-15:00" u="1"/>
        <s v="2017-11-03-16:00" u="1"/>
        <s v="2017-11-23-15:00" u="1"/>
        <s v="2018-02-13-15:00" u="1"/>
        <s v="2018-03-13-15:00" u="1"/>
        <s v="2018-04-13-15:00" u="1"/>
        <s v="2018-01-25-23:00" u="1"/>
        <s v="2018-04-25-23:00" u="1"/>
        <s v="2018-05-25-23:00" u="1"/>
        <s v="2017-01-11-23:00" u="1"/>
        <s v="2017-01-31-22:00" u="1"/>
        <s v="2017-03-31-22:00" u="1"/>
        <s v="2017-04-11-23:00" u="1"/>
        <s v="2017-05-11-23:00" u="1"/>
        <s v="2017-05-31-22:00" u="1"/>
        <s v="2017-07-11-23:00" u="1"/>
        <s v="2017-07-31-22:00" u="1"/>
        <s v="2017-08-11-23:00" u="1"/>
        <s v="2017-08-31-22:00" u="1"/>
        <s v="2017-09-11-23:00" u="1"/>
        <s v="2018-02-01-23:00" u="1"/>
        <s v="2018-02-21-22:00" u="1"/>
        <s v="2018-03-01-23:00" u="1"/>
        <s v="2018-03-21-22:00" u="1"/>
        <s v="2018-05-01-23:00" u="1"/>
        <s v="2018-05-21-22:00" u="1"/>
        <s v="2016-02-16-09:00" u="1"/>
        <s v="2016-03-16-09:00" u="1"/>
        <s v="2016-05-16-09:00" u="1"/>
        <s v="2016-06-16-09:00" u="1"/>
        <s v="2016-08-16-09:00" u="1"/>
        <s v="2016-09-16-09:00" u="1"/>
        <s v="2016-11-16-09:00" u="1"/>
        <s v="2016-12-16-09:00" u="1"/>
        <s v="2018-01-08-09:00" u="1"/>
        <s v="2018-02-08-09:00" u="1"/>
        <s v="2018-02-28-08:00" u="1"/>
        <s v="2018-03-08-09:00" u="1"/>
        <s v="2018-03-28-08:00" u="1"/>
        <s v="2018-05-08-09:00" u="1"/>
        <s v="2018-05-28-08:00" u="1"/>
        <s v="2017-01-06-09:00" u="1"/>
        <s v="2017-01-26-08:00" u="1"/>
        <s v="2017-02-06-09:00" u="1"/>
        <s v="2017-03-06-09:00" u="1"/>
        <s v="2017-04-06-09:00" u="1"/>
        <s v="2017-04-26-08:00" u="1"/>
        <s v="2017-05-26-08:00" u="1"/>
        <s v="2017-06-06-09:00" u="1"/>
        <s v="2017-06-26-08:00" u="1"/>
        <s v="2017-07-06-09:00" u="1"/>
        <s v="2017-07-26-08:00" u="1"/>
        <s v="2017-09-06-09:00" u="1"/>
        <s v="2017-09-26-08:00" u="1"/>
        <s v="2017-10-06-09:00" u="1"/>
        <s v="2017-10-26-08:00" u="1"/>
        <s v="2017-11-06-09:00" u="1"/>
        <s v="2017-12-06-09:00" u="1"/>
        <s v="2016-01-08-18:00" u="1"/>
        <s v="2016-01-28-17:00" u="1"/>
        <s v="2016-02-08-18:00" u="1"/>
        <s v="2016-03-08-18:00" u="1"/>
        <s v="2016-03-28-17:00" u="1"/>
        <s v="2016-04-08-18:00" u="1"/>
        <s v="2016-04-28-17:00" u="1"/>
        <s v="2016-06-08-18:00" u="1"/>
        <s v="2016-06-28-17:00" u="1"/>
        <s v="2016-07-08-18:00" u="1"/>
        <s v="2016-07-28-17:00" u="1"/>
        <s v="2016-08-08-18:00" u="1"/>
        <s v="2016-09-08-18:00" u="1"/>
        <s v="2016-09-28-17:00" u="1"/>
        <s v="2016-10-28-17:00" u="1"/>
        <s v="2016-11-08-18:00" u="1"/>
        <s v="2016-11-28-17:00" u="1"/>
        <s v="2016-12-08-18:00" u="1"/>
        <s v="2016-12-28-17:00" u="1"/>
        <s v="2018-01-16-08:00" u="1"/>
        <s v="2018-02-16-08:00" u="1"/>
        <s v="2018-03-16-08:00" u="1"/>
        <s v="2018-04-16-08:00" u="1"/>
        <s v="2018-05-16-08:00" u="1"/>
        <s v="2017-01-18-17:00" u="1"/>
        <s v="2017-04-18-17:00" u="1"/>
        <s v="2017-05-18-17:00" u="1"/>
        <s v="2017-07-18-17:00" u="1"/>
        <s v="2017-08-18-17:00" u="1"/>
        <s v="2017-09-18-17:00" u="1"/>
        <s v="2017-10-18-17:00" u="1"/>
        <s v="2017-12-18-17:00" u="1"/>
        <s v="2016-01-12-08:00" u="1"/>
        <s v="2016-02-12-08:00" u="1"/>
        <s v="2016-04-12-08:00" u="1"/>
        <s v="2016-05-12-08:00" u="1"/>
        <s v="2016-07-12-08:00" u="1"/>
        <s v="2016-08-12-08:00" u="1"/>
        <s v="2016-09-12-08:00" u="1"/>
        <s v="2016-10-12-08:00" u="1"/>
        <s v="2016-12-12-08:00" u="1"/>
        <s v="2018-01-08-17:00" u="1"/>
        <s v="2018-02-08-17:00" u="1"/>
        <s v="2018-02-28-16:00" u="1"/>
        <s v="2018-03-08-17:00" u="1"/>
        <s v="2018-03-28-16:00" u="1"/>
        <s v="2018-05-08-17:00" u="1"/>
        <s v="2018-05-28-16:00" u="1"/>
        <s v="2015-12-30-07:00" u="1"/>
        <s v="2017-02-02-08:00" u="1"/>
        <s v="2017-02-22-07:00" u="1"/>
        <s v="2017-03-02-08:00" u="1"/>
        <s v="2017-03-22-07:00" u="1"/>
        <s v="2017-05-02-08:00" u="1"/>
        <s v="2017-05-22-07:00" u="1"/>
        <s v="2017-06-02-08:00" u="1"/>
        <s v="2017-06-22-07:00" u="1"/>
        <s v="2017-08-02-08:00" u="1"/>
        <s v="2017-08-22-07:00" u="1"/>
        <s v="2017-09-22-07:00" u="1"/>
        <s v="2017-10-02-08:00" u="1"/>
        <s v="2017-11-02-08:00" u="1"/>
        <s v="2017-11-22-07:00" u="1"/>
        <s v="2017-12-22-07:00" u="1"/>
        <s v="2016-01-04-17:00" u="1"/>
        <s v="2016-02-04-17:00" u="1"/>
        <s v="2016-02-24-16:00" u="1"/>
        <s v="2016-03-04-17:00" u="1"/>
        <s v="2016-03-24-16:00" u="1"/>
        <s v="2016-04-04-17:00" u="1"/>
        <s v="2016-05-04-17:00" u="1"/>
        <s v="2016-05-24-16:00" u="1"/>
        <s v="2016-06-24-16:00" u="1"/>
        <s v="2016-07-04-17:00" u="1"/>
        <s v="2016-08-04-17:00" u="1"/>
        <s v="2016-08-24-16:00" u="1"/>
        <s v="2018-01-12-07:00" u="1"/>
        <s v="2018-02-12-07:00" u="1"/>
        <s v="2018-03-12-07:00" u="1"/>
        <s v="2018-04-12-07:00" u="1"/>
        <s v="2017-02-14-16:00" u="1"/>
        <s v="2017-03-14-16:00" u="1"/>
        <s v="2017-04-14-16:00" u="1"/>
        <s v="2017-06-14-16:00" u="1"/>
        <s v="2017-07-14-16:00" u="1"/>
        <s v="2017-08-14-16:00" u="1"/>
        <s v="2017-09-14-16:00" u="1"/>
        <s v="2017-11-14-16:00" u="1"/>
        <s v="2017-12-14-16:00" u="1"/>
        <s v="2016-01-12-16:00" u="1"/>
        <s v="2016-02-12-16:00" u="1"/>
        <s v="2016-04-12-16:00" u="1"/>
        <s v="2016-05-12-16:00" u="1"/>
        <s v="2016-07-12-16:00" u="1"/>
        <s v="2016-08-12-16:00" u="1"/>
        <s v="2016-09-12-16:00" u="1"/>
        <s v="2016-10-12-16:00" u="1"/>
        <s v="2016-12-12-16:00" u="1"/>
        <s v="2018-01-04-16:00" u="1"/>
        <s v="2018-01-24-15:00" u="1"/>
        <s v="2018-04-04-16:00" u="1"/>
        <s v="2018-04-24-15:00" u="1"/>
        <s v="2018-05-04-16:00" u="1"/>
        <s v="2018-05-24-15:00" u="1"/>
        <s v="2018-07-24-15:00" u="1"/>
        <s v="2017-10-02-16:00" u="1"/>
        <s v="2017-11-02-16:00" u="1"/>
        <s v="2017-11-22-15:00" u="1"/>
        <s v="2017-12-22-15:00" u="1"/>
        <s v="2018-01-24-23:00" u="1"/>
        <s v="2018-02-20-14:00" u="1"/>
        <s v="2018-03-20-14:00" u="1"/>
        <s v="2018-04-20-14:00" u="1"/>
        <s v="2018-04-24-23:00" u="1"/>
        <s v="2018-05-24-23:00" u="1"/>
        <s v="2018-07-24-23:00" u="1"/>
        <s v="2015-12-30-23:00" u="1"/>
        <s v="2016-01-20-23:00" u="1"/>
        <s v="2016-04-20-23:00" u="1"/>
        <s v="2016-05-20-23:00" u="1"/>
        <s v="2016-06-20-23:00" u="1"/>
        <s v="2016-07-20-23:00" u="1"/>
        <s v="2016-09-20-23:00" u="1"/>
        <s v="2016-10-20-23:00" u="1"/>
        <s v="2016-12-20-23:00" u="1"/>
        <s v="2016-01-27-09:00" u="1"/>
        <s v="2016-04-27-09:00" u="1"/>
        <s v="2016-05-27-09:00" u="1"/>
        <s v="2016-06-27-09:00" u="1"/>
        <s v="2016-07-27-09:00" u="1"/>
        <s v="2016-09-27-09:00" u="1"/>
        <s v="2016-10-27-09:00" u="1"/>
        <s v="2016-12-27-09:00" u="1"/>
        <s v="2017-01-10-23:00" u="1"/>
        <s v="2017-01-30-22:00" u="1"/>
        <s v="2017-02-10-23:00" u="1"/>
        <s v="2017-03-10-23:00" u="1"/>
        <s v="2017-03-30-22:00" u="1"/>
        <s v="2017-04-10-23:00" u="1"/>
        <s v="2017-05-10-23:00" u="1"/>
        <s v="2017-05-30-22:00" u="1"/>
        <s v="2017-06-30-22:00" u="1"/>
        <s v="2017-07-10-23:00" u="1"/>
        <s v="2017-08-10-23:00" u="1"/>
        <s v="2017-08-30-22:00" u="1"/>
        <s v="2017-10-10-23:00" u="1"/>
        <s v="2017-10-30-22:00" u="1"/>
        <s v="2017-11-10-23:00" u="1"/>
        <s v="2017-11-30-22:00" u="1"/>
        <s v="2017-01-17-09:00" u="1"/>
        <s v="2017-02-17-09:00" u="1"/>
        <s v="2017-03-17-09:00" u="1"/>
        <s v="2017-04-17-09:00" u="1"/>
        <s v="2017-05-17-09:00" u="1"/>
        <s v="2017-07-17-09:00" u="1"/>
        <s v="2017-08-17-09:00" u="1"/>
        <s v="2017-10-17-09:00" u="1"/>
        <s v="2017-11-17-09:00" u="1"/>
        <s v="2018-02-20-22:00" u="1"/>
        <s v="2018-03-20-22:00" u="1"/>
        <s v="2018-04-20-22:00" u="1"/>
        <s v="2016-11-15-09:00" u="1"/>
        <s v="2016-12-15-09:00" u="1"/>
        <s v="2018-02-07-09:00" u="1"/>
        <s v="2018-02-27-08:00" u="1"/>
        <s v="2018-03-07-09:00" u="1"/>
        <s v="2018-03-27-08:00" u="1"/>
        <s v="2018-04-27-08:00" u="1"/>
        <s v="2018-05-07-09:00" u="1"/>
        <s v="2017-10-05-09:00" u="1"/>
        <s v="2017-10-25-08:00" u="1"/>
        <s v="2017-12-05-09:00" u="1"/>
        <s v="2016-01-07-18:00" u="1"/>
        <s v="2016-01-27-17:00" u="1"/>
        <s v="2016-03-07-18:00" u="1"/>
        <s v="2016-04-07-18:00" u="1"/>
        <s v="2016-04-27-17:00" u="1"/>
        <s v="2016-05-27-17:00" u="1"/>
        <s v="2016-06-07-18:00" u="1"/>
        <s v="2016-06-27-17:00" u="1"/>
        <s v="2016-07-07-18:00" u="1"/>
        <s v="2016-07-27-17:00" u="1"/>
        <s v="2016-09-07-18:00" u="1"/>
        <s v="2016-09-27-17:00" u="1"/>
        <s v="2016-10-07-18:00" u="1"/>
        <s v="2016-10-27-17:00" u="1"/>
        <s v="2016-11-07-18:00" u="1"/>
        <s v="2016-12-07-18:00" u="1"/>
        <s v="2016-12-27-17:00" u="1"/>
        <s v="2018-01-19-17:00" u="1"/>
        <s v="2018-02-19-17:00" u="1"/>
        <s v="2018-03-19-17:00" u="1"/>
        <s v="2018-04-19-17:00" u="1"/>
        <s v="2017-01-13-08:00" u="1"/>
        <s v="2017-01-17-17:00" u="1"/>
        <s v="2017-02-13-08:00" u="1"/>
        <s v="2017-02-17-17:00" u="1"/>
        <s v="2017-03-13-08:00" u="1"/>
        <s v="2017-03-17-17:00" u="1"/>
        <s v="2017-04-13-08:00" u="1"/>
        <s v="2017-04-17-17:00" u="1"/>
        <s v="2017-05-17-17:00" u="1"/>
        <s v="2017-06-13-08:00" u="1"/>
        <s v="2017-07-13-08:00" u="1"/>
        <s v="2017-07-17-17:00" u="1"/>
        <s v="2017-08-17-17:00" u="1"/>
        <s v="2017-09-13-08:00" u="1"/>
        <s v="2017-10-17-17:00" u="1"/>
        <s v="2017-11-17-17:00" u="1"/>
        <s v="2016-01-11-08:00" u="1"/>
        <s v="2016-02-11-08:00" u="1"/>
        <s v="2016-03-11-08:00" u="1"/>
        <s v="2016-03-31-07:00" u="1"/>
        <s v="2016-04-11-08:00" u="1"/>
        <s v="2016-05-11-08:00" u="1"/>
        <s v="2016-05-31-07:00" u="1"/>
        <s v="2016-07-11-08:00" u="1"/>
        <s v="2016-08-11-08:00" u="1"/>
        <s v="2016-08-31-07:00" u="1"/>
        <s v="2016-10-11-08:00" u="1"/>
        <s v="2016-10-31-07:00" u="1"/>
        <s v="2016-11-11-08:00" u="1"/>
        <s v="2018-01-03-08:00" u="1"/>
        <s v="2018-01-23-07:00" u="1"/>
        <s v="2018-02-07-17:00" u="1"/>
        <s v="2018-02-23-07:00" u="1"/>
        <s v="2018-02-27-16:00" u="1"/>
        <s v="2018-03-07-17:00" u="1"/>
        <s v="2018-03-23-07:00" u="1"/>
        <s v="2018-03-27-16:00" u="1"/>
        <s v="2018-04-03-08:00" u="1"/>
        <s v="2018-04-23-07:00" u="1"/>
        <s v="2018-04-27-16:00" u="1"/>
        <s v="2018-05-03-08:00" u="1"/>
        <s v="2018-05-07-17:00" u="1"/>
        <s v="2018-05-23-07:00" u="1"/>
        <s v="2017-02-01-08:00" u="1"/>
        <s v="2017-02-21-07:00" u="1"/>
        <s v="2017-03-01-08:00" u="1"/>
        <s v="2017-03-21-07:00" u="1"/>
        <s v="2017-04-21-07:00" u="1"/>
        <s v="2017-05-01-08:00" u="1"/>
        <s v="2017-06-01-08:00" u="1"/>
        <s v="2017-06-21-07:00" u="1"/>
        <s v="2017-07-21-07:00" u="1"/>
        <s v="2017-08-01-08:00" u="1"/>
        <s v="2017-08-21-07:00" u="1"/>
        <s v="2017-09-01-08:00" u="1"/>
        <s v="2017-09-21-07:00" u="1"/>
        <s v="2017-11-01-08:00" u="1"/>
        <s v="2017-11-21-07:00" u="1"/>
        <s v="2017-12-01-08:00" u="1"/>
        <s v="2017-12-21-07:00" u="1"/>
        <s v="2016-02-03-17:00" u="1"/>
        <s v="2016-02-23-16:00" u="1"/>
        <s v="2016-03-03-17:00" u="1"/>
        <s v="2016-03-23-16:00" u="1"/>
        <s v="2016-05-03-17:00" u="1"/>
        <s v="2016-05-23-16:00" u="1"/>
        <s v="2016-06-03-17:00" u="1"/>
        <s v="2016-06-23-16:00" u="1"/>
        <s v="2016-08-03-17:00" u="1"/>
        <s v="2016-08-23-16:00" u="1"/>
        <s v="2016-09-23-16:00" u="1"/>
        <s v="2016-10-03-17:00" u="1"/>
        <s v="2016-11-03-17:00" u="1"/>
        <s v="2016-11-23-16:00" u="1"/>
        <s v="2016-12-23-16:00" u="1"/>
        <s v="2017-01-13-16:00" u="1"/>
        <s v="2017-02-13-16:00" u="1"/>
        <s v="2017-03-13-16:00" u="1"/>
        <s v="2017-04-13-16:00" u="1"/>
        <s v="2017-06-13-16:00" u="1"/>
        <s v="2017-07-13-16:00" u="1"/>
        <s v="2017-09-13-16:00" u="1"/>
        <s v="2017-10-13-16:00" u="1"/>
        <s v="2017-11-13-16:00" u="1"/>
        <s v="2017-12-13-16:00" u="1"/>
        <s v="2018-01-03-16:00" u="1"/>
        <s v="2018-01-23-15:00" u="1"/>
        <s v="2018-02-23-15:00" u="1"/>
        <s v="2018-03-23-15:00" u="1"/>
        <s v="2018-04-03-16:00" u="1"/>
        <s v="2018-04-23-15:00" u="1"/>
        <s v="2018-05-03-16:00" u="1"/>
        <s v="2018-05-23-15:00" u="1"/>
        <s v="2018-01-11-23:00" u="1"/>
        <s v="2018-01-31-22:00" u="1"/>
        <s v="2018-03-11-23:00" u="1"/>
        <s v="2018-04-11-23:00" u="1"/>
        <s v="2018-05-11-23:00" u="1"/>
        <s v="2016-01-26-09:00" u="1"/>
        <s v="2016-02-26-09:00" u="1"/>
        <s v="2016-04-26-09:00" u="1"/>
        <s v="2016-05-26-09:00" u="1"/>
        <s v="2016-07-26-09:00" u="1"/>
        <s v="2016-08-26-09:00" u="1"/>
        <s v="2016-09-26-09:00" u="1"/>
        <s v="2016-10-26-09:00" u="1"/>
        <s v="2016-12-26-09:00" u="1"/>
        <s v="2017-01-16-09:00" u="1"/>
        <s v="2017-02-16-09:00" u="1"/>
        <s v="2017-03-16-09:00" u="1"/>
        <s v="2017-05-16-09:00" u="1"/>
        <s v="2017-06-16-09:00" u="1"/>
        <s v="2017-08-16-09:00" u="1"/>
        <s v="2017-10-16-09:00" u="1"/>
        <s v="2017-11-16-09:00" u="1"/>
        <s v="2016-01-18-18:00" u="1"/>
        <s v="2016-02-18-18:00" u="1"/>
        <s v="2016-03-18-18:00" u="1"/>
        <s v="2016-04-18-18:00" u="1"/>
        <s v="2016-05-18-18:00" u="1"/>
        <s v="2016-07-18-18:00" u="1"/>
        <s v="2016-08-18-18:00" u="1"/>
        <s v="2016-10-18-18:00" u="1"/>
        <s v="2016-11-18-18:00" u="1"/>
        <s v="2018-01-26-08:00" u="1"/>
        <s v="2018-02-06-09:00" u="1"/>
        <s v="2018-02-26-08:00" u="1"/>
        <s v="2018-03-06-09:00" u="1"/>
        <s v="2018-03-26-08:00" u="1"/>
        <s v="2018-04-06-09:00" u="1"/>
        <s v="2018-04-26-08:00" u="1"/>
        <s v="2017-02-08-18:00" u="1"/>
        <s v="2017-02-28-17:00" u="1"/>
        <s v="2017-03-08-18:00" u="1"/>
        <s v="2017-03-28-17:00" u="1"/>
        <s v="2017-04-28-17:00" u="1"/>
        <s v="2017-05-08-18:00" u="1"/>
        <s v="2017-06-08-18:00" u="1"/>
        <s v="2017-06-28-17:00" u="1"/>
        <s v="2017-07-28-17:00" u="1"/>
        <s v="2017-08-08-18:00" u="1"/>
        <s v="2017-08-28-17:00" u="1"/>
        <s v="2017-09-08-18:00" u="1"/>
        <s v="2017-09-28-17:00" u="1"/>
        <s v="2017-11-08-18:00" u="1"/>
        <s v="2017-11-28-17:00" u="1"/>
        <s v="2017-12-08-18:00" u="1"/>
        <s v="2017-12-28-17:00" u="1"/>
        <s v="2016-01-22-08:00" u="1"/>
        <s v="2016-02-02-09:00" u="1"/>
        <s v="2016-02-22-08:00" u="1"/>
        <s v="2016-03-02-09:00" u="1"/>
        <s v="2016-03-22-08:00" u="1"/>
        <s v="2016-04-22-08:00" u="1"/>
        <s v="2016-05-02-09:00" u="1"/>
        <s v="2016-06-02-09:00" u="1"/>
        <s v="2016-06-22-08:00" u="1"/>
        <s v="2016-07-22-08:00" u="1"/>
        <s v="2016-08-02-09:00" u="1"/>
        <s v="2016-08-22-08:00" u="1"/>
        <s v="2016-09-02-09:00" u="1"/>
        <s v="2016-09-22-08:00" u="1"/>
        <s v="2016-10-06-18:00" u="1"/>
        <s v="2016-10-26-17:00" u="1"/>
        <s v="2016-11-02-09:00" u="1"/>
        <s v="2016-11-22-08:00" u="1"/>
        <s v="2016-12-02-09:00" u="1"/>
        <s v="2016-12-06-18:00" u="1"/>
        <s v="2016-12-22-08:00" u="1"/>
        <s v="2016-12-26-17:00" u="1"/>
        <s v="2018-01-18-17:00" u="1"/>
        <s v="2018-04-18-17:00" u="1"/>
        <s v="2018-05-18-17:00" u="1"/>
        <s v="2017-01-12-08:00" u="1"/>
        <s v="2017-04-12-08:00" u="1"/>
        <s v="2017-05-12-08:00" u="1"/>
        <s v="2017-06-12-08:00" u="1"/>
        <s v="2017-07-12-08:00" u="1"/>
        <s v="2017-09-12-08:00" u="1"/>
        <s v="2017-10-12-08:00" u="1"/>
        <s v="2017-12-12-08:00" u="1"/>
        <s v="2016-10-10-08:00" u="1"/>
        <s v="2016-11-10-08:00" u="1"/>
        <s v="2016-11-30-07:00" u="1"/>
        <s v="2016-12-30-07:00" u="1"/>
        <s v="2018-01-22-07:00" u="1"/>
        <s v="2018-02-02-08:00" u="1"/>
        <s v="2018-02-22-07:00" u="1"/>
        <s v="2018-03-02-08:00" u="1"/>
        <s v="2018-03-22-07:00" u="1"/>
        <s v="2018-04-02-08:00" u="1"/>
        <s v="2018-05-02-08:00" u="1"/>
        <s v="2018-05-22-07:00" u="1"/>
        <s v="2017-01-04-17:00" u="1"/>
        <s v="2017-01-24-16:00" u="1"/>
        <s v="2017-02-24-16:00" u="1"/>
        <s v="2017-03-24-16:00" u="1"/>
        <s v="2017-04-04-17:00" u="1"/>
        <s v="2017-04-24-16:00" u="1"/>
        <s v="2017-05-04-17:00" u="1"/>
        <s v="2017-05-24-16:00" u="1"/>
        <s v="2017-07-04-17:00" u="1"/>
        <s v="2017-07-24-16:00" u="1"/>
        <s v="2017-08-04-17:00" u="1"/>
        <s v="2017-08-24-16:00" u="1"/>
        <s v="2017-09-04-17:00" u="1"/>
        <s v="2016-01-22-16:00" u="1"/>
        <s v="2016-02-02-17:00" u="1"/>
        <s v="2016-02-22-16:00" u="1"/>
        <s v="2016-03-02-17:00" u="1"/>
        <s v="2016-03-22-16:00" u="1"/>
        <s v="2016-04-22-16:00" u="1"/>
        <s v="2016-05-02-17:00" u="1"/>
        <s v="2016-06-02-17:00" u="1"/>
        <s v="2016-06-22-16:00" u="1"/>
        <s v="2016-07-22-16:00" u="1"/>
        <s v="2016-08-02-17:00" u="1"/>
        <s v="2016-08-22-16:00" u="1"/>
        <s v="2016-09-02-17:00" u="1"/>
        <s v="2016-09-22-16:00" u="1"/>
        <s v="2016-11-02-17:00" u="1"/>
        <s v="2016-11-22-16:00" u="1"/>
        <s v="2016-12-02-17:00" u="1"/>
        <s v="2016-12-22-16:00" u="1"/>
        <s v="2018-02-14-16:00" u="1"/>
        <s v="2018-03-14-16:00" u="1"/>
        <s v="2018-05-14-16:00" u="1"/>
        <s v="2017-01-12-16:00" u="1"/>
        <s v="2017-04-12-16:00" u="1"/>
        <s v="2017-05-12-16:00" u="1"/>
        <s v="2017-06-12-16:00" u="1"/>
        <s v="2017-07-12-16:00" u="1"/>
        <s v="2017-09-12-16:00" u="1"/>
        <s v="2017-10-12-16:00" u="1"/>
        <s v="2017-12-12-16:00" u="1"/>
        <s v="2016-03-30-23:00" u="1"/>
        <s v="2016-05-30-23:00" u="1"/>
        <s v="2016-06-30-23:00" u="1"/>
        <s v="2016-08-30-23:00" u="1"/>
        <s v="2016-09-30-23:00" u="1"/>
        <s v="2016-11-30-23:00" u="1"/>
        <s v="2016-12-30-23:00" u="1"/>
        <s v="2017-01-20-23:00" u="1"/>
        <s v="2017-02-20-23:00" u="1"/>
        <s v="2017-03-20-23:00" u="1"/>
        <s v="2017-04-20-23:00" u="1"/>
        <s v="2017-06-20-23:00" u="1"/>
        <s v="2017-07-20-23:00" u="1"/>
        <s v="2017-09-20-23:00" u="1"/>
        <s v="2017-10-20-23:00" u="1"/>
        <s v="2017-11-20-23:00" u="1"/>
        <s v="2017-12-20-23:00" u="1"/>
        <s v="2017-01-27-09:00" u="1"/>
        <s v="2017-02-27-09:00" u="1"/>
        <s v="2017-03-27-09:00" u="1"/>
        <s v="2017-04-27-09:00" u="1"/>
        <s v="2017-06-27-09:00" u="1"/>
        <s v="2017-07-27-09:00" u="1"/>
        <s v="2017-09-27-09:00" u="1"/>
        <s v="2017-10-27-09:00" u="1"/>
        <s v="2017-11-27-09:00" u="1"/>
        <s v="2017-12-27-09:00" u="1"/>
        <s v="2018-01-10-23:00" u="1"/>
        <s v="2018-01-30-22:00" u="1"/>
        <s v="2018-03-30-22:00" u="1"/>
        <s v="2018-04-10-23:00" u="1"/>
        <s v="2018-04-30-22:00" u="1"/>
        <s v="2018-05-10-23:00" u="1"/>
        <s v="2018-07-30-22:00" u="1"/>
        <s v="2016-01-25-09:00" u="1"/>
        <s v="2016-02-25-09:00" u="1"/>
        <s v="2016-03-25-09:00" u="1"/>
        <s v="2016-04-25-09:00" u="1"/>
        <s v="2016-05-25-09:00" u="1"/>
        <s v="2016-07-25-09:00" u="1"/>
        <s v="2016-08-25-09:00" u="1"/>
        <s v="2016-10-25-09:00" u="1"/>
        <s v="2016-11-25-09:00" u="1"/>
        <s v="2018-01-17-09:00" u="1"/>
        <s v="2018-04-17-09:00" u="1"/>
        <s v="2018-05-17-09:00" u="1"/>
        <s v="2017-11-15-09:00" u="1"/>
        <s v="2017-12-15-09:00" u="1"/>
        <s v="2016-02-17-18:00" u="1"/>
        <s v="2016-03-17-18:00" u="1"/>
        <s v="2016-05-17-18:00" u="1"/>
        <s v="2016-06-17-18:00" u="1"/>
        <s v="2016-08-17-18:00" u="1"/>
        <s v="2016-10-17-18:00" u="1"/>
        <s v="2016-11-17-18:00" u="1"/>
        <s v="2015-12-31-08:00" u="1"/>
        <s v="2017-01-27-17:00" u="1"/>
        <s v="2017-02-07-18:00" u="1"/>
        <s v="2017-02-27-17:00" u="1"/>
        <s v="2017-03-07-18:00" u="1"/>
        <s v="2017-03-27-17:00" u="1"/>
        <s v="2017-04-07-18:00" u="1"/>
        <s v="2017-04-27-17:00" u="1"/>
        <s v="2017-06-07-18:00" u="1"/>
        <s v="2017-06-27-17:00" u="1"/>
        <s v="2017-07-07-18:00" u="1"/>
        <s v="2017-07-27-17:00" u="1"/>
        <s v="2017-08-07-18:00" u="1"/>
        <s v="2017-09-07-18:00" u="1"/>
        <s v="2017-09-27-17:00" u="1"/>
        <s v="2017-10-27-17:00" u="1"/>
        <s v="2017-11-07-18:00" u="1"/>
        <s v="2017-11-27-17:00" u="1"/>
        <s v="2017-12-07-18:00" u="1"/>
        <s v="2017-12-27-17:00" u="1"/>
        <s v="2016-01-21-08:00" u="1"/>
        <s v="2016-02-01-09:00" u="1"/>
        <s v="2016-03-01-09:00" u="1"/>
        <s v="2016-03-21-08:00" u="1"/>
        <s v="2016-04-01-09:00" u="1"/>
        <s v="2016-04-21-08:00" u="1"/>
        <s v="2016-06-01-09:00" u="1"/>
        <s v="2016-06-21-08:00" u="1"/>
        <s v="2016-07-01-09:00" u="1"/>
        <s v="2016-07-21-08:00" u="1"/>
        <s v="2016-08-01-09:00" u="1"/>
        <s v="2016-09-01-09:00" u="1"/>
        <s v="2016-09-21-08:00" u="1"/>
        <s v="2016-10-21-08:00" u="1"/>
        <s v="2016-11-01-09:00" u="1"/>
        <s v="2016-11-21-08:00" u="1"/>
        <s v="2016-12-01-09:00" u="1"/>
        <s v="2016-12-21-08:00" u="1"/>
        <s v="2018-01-17-17:00" u="1"/>
        <s v="2018-02-13-08:00" u="1"/>
        <s v="2018-03-13-08:00" u="1"/>
        <s v="2018-04-13-08:00" u="1"/>
        <s v="2018-04-17-17:00" u="1"/>
        <s v="2018-05-17-17:00" u="1"/>
        <s v="2017-01-11-08:00" u="1"/>
        <s v="2017-01-31-07:00" u="1"/>
        <s v="2017-03-31-07:00" u="1"/>
        <s v="2017-04-11-08:00" u="1"/>
        <s v="2017-05-11-08:00" u="1"/>
        <s v="2017-05-31-07:00" u="1"/>
        <s v="2017-07-11-08:00" u="1"/>
        <s v="2017-07-31-07:00" u="1"/>
        <s v="2017-08-11-08:00" u="1"/>
        <s v="2017-08-31-07:00" u="1"/>
        <s v="2017-09-11-08:00" u="1"/>
        <s v="2017-10-11-08:00" u="1"/>
        <s v="2017-10-31-07:00" u="1"/>
        <s v="2017-12-11-08:00" u="1"/>
        <s v="2016-01-13-17:00" u="1"/>
        <s v="2016-04-13-17:00" u="1"/>
        <s v="2016-05-13-17:00" u="1"/>
        <s v="2016-06-13-17:00" u="1"/>
        <s v="2016-07-13-17:00" u="1"/>
        <s v="2016-09-13-17:00" u="1"/>
        <s v="2016-10-13-17:00" u="1"/>
        <s v="2016-12-13-17:00" u="1"/>
        <s v="2018-02-01-08:00" u="1"/>
        <s v="2018-02-21-07:00" u="1"/>
        <s v="2018-03-01-08:00" u="1"/>
        <s v="2018-03-21-07:00" u="1"/>
        <s v="2018-05-01-08:00" u="1"/>
        <s v="2018-05-21-07:00" u="1"/>
        <s v="2015-12-31-16:00" u="1"/>
        <s v="2017-01-03-17:00" u="1"/>
        <s v="2017-01-23-16:00" u="1"/>
        <s v="2017-02-03-17:00" u="1"/>
        <s v="2017-02-23-16:00" u="1"/>
        <s v="2017-03-03-17:00" u="1"/>
        <s v="2017-03-23-16:00" u="1"/>
        <s v="2017-04-03-17:00" u="1"/>
        <s v="2017-05-03-17:00" u="1"/>
        <s v="2017-05-23-16:00" u="1"/>
        <s v="2017-06-23-16:00" u="1"/>
        <s v="2017-07-03-17:00" u="1"/>
        <s v="2017-08-03-17:00" u="1"/>
        <s v="2017-08-23-16:00" u="1"/>
        <s v="2017-10-03-17:00" u="1"/>
        <s v="2017-10-23-16:00" u="1"/>
        <s v="2017-11-03-17:00" u="1"/>
        <s v="2017-11-23-16:00" u="1"/>
        <s v="2016-10-21-16:00" u="1"/>
        <s v="2016-11-01-17:00" u="1"/>
        <s v="2016-11-21-16:00" u="1"/>
        <s v="2016-12-01-17:00" u="1"/>
        <s v="2016-12-21-16:00" u="1"/>
        <s v="2018-02-13-16:00" u="1"/>
        <s v="2018-03-13-16:00" u="1"/>
        <s v="2018-04-13-16:00" u="1"/>
        <s v="2017-01-26-09:00" u="1"/>
        <s v="2017-04-26-09:00" u="1"/>
        <s v="2017-05-26-09:00" u="1"/>
        <s v="2017-06-26-09:00" u="1"/>
        <s v="2017-07-26-09:00" u="1"/>
        <s v="2017-09-26-09:00" u="1"/>
        <s v="2017-10-26-09:00" u="1"/>
        <s v="2017-12-26-09:00" u="1"/>
        <s v="2016-01-08-19:00" u="1"/>
        <s v="2016-01-28-18:00" u="1"/>
        <s v="2016-02-08-19:00" u="1"/>
        <s v="2016-03-08-19:00" u="1"/>
        <s v="2016-03-28-18:00" u="1"/>
        <s v="2016-04-08-19:00" u="1"/>
        <s v="2016-04-28-18:00" u="1"/>
        <s v="2016-06-08-19:00" u="1"/>
        <s v="2016-06-28-18:00" u="1"/>
        <s v="2016-07-08-19:00" u="1"/>
        <s v="2016-07-28-18:00" u="1"/>
        <s v="2016-08-08-19:00" u="1"/>
        <s v="2016-09-08-19:00" u="1"/>
        <s v="2016-09-28-18:00" u="1"/>
        <s v="2018-01-16-09:00" u="1"/>
        <s v="2018-02-16-09:00" u="1"/>
        <s v="2018-03-16-09:00" u="1"/>
        <s v="2018-04-16-09:00" u="1"/>
        <s v="2018-05-16-09:00" u="1"/>
        <s v="2017-01-18-18:00" u="1"/>
        <s v="2017-04-18-18:00" u="1"/>
        <s v="2017-05-18-18:00" u="1"/>
        <s v="2017-07-18-18:00" u="1"/>
        <s v="2017-08-18-18:00" u="1"/>
        <s v="2017-09-18-18:00" u="1"/>
        <s v="2017-10-18-18:00" u="1"/>
        <s v="2017-12-18-18:00" u="1"/>
        <s v="2016-01-12-09:00" u="1"/>
        <s v="2016-02-12-09:00" u="1"/>
        <s v="2016-02-16-18:00" u="1"/>
        <s v="2016-03-16-18:00" u="1"/>
        <s v="2016-04-12-09:00" u="1"/>
        <s v="2016-05-12-09:00" u="1"/>
        <s v="2016-05-16-18:00" u="1"/>
        <s v="2016-06-16-18:00" u="1"/>
        <s v="2016-07-12-09:00" u="1"/>
        <s v="2016-08-12-09:00" u="1"/>
        <s v="2016-08-16-18:00" u="1"/>
        <s v="2016-09-12-09:00" u="1"/>
        <s v="2016-09-16-18:00" u="1"/>
        <s v="2016-11-16-18:00" u="1"/>
        <s v="2016-12-16-18:00" u="1"/>
        <s v="2018-01-08-18:00" u="1"/>
        <s v="2018-02-08-18:00" u="1"/>
        <s v="2018-02-28-17:00" u="1"/>
        <s v="2018-03-08-18:00" u="1"/>
        <s v="2018-03-28-17:00" u="1"/>
        <s v="2018-05-08-18:00" u="1"/>
        <s v="2018-05-28-17:00" u="1"/>
        <s v="2015-12-30-08:00" u="1"/>
        <s v="2017-01-02-09:00" u="1"/>
        <s v="2017-02-02-09:00" u="1"/>
        <s v="2017-02-22-08:00" u="1"/>
        <s v="2017-03-02-09:00" u="1"/>
        <s v="2017-03-22-08:00" u="1"/>
        <s v="2017-05-02-09:00" u="1"/>
        <s v="2017-05-22-08:00" u="1"/>
        <s v="2017-06-02-09:00" u="1"/>
        <s v="2017-06-22-08:00" u="1"/>
        <s v="2017-08-02-09:00" u="1"/>
        <s v="2017-08-22-08:00" u="1"/>
        <s v="2017-09-22-08:00" u="1"/>
        <s v="2017-10-02-09:00" u="1"/>
        <s v="2017-10-06-18:00" u="1"/>
        <s v="2017-10-26-17:00" u="1"/>
        <s v="2017-11-02-09:00" u="1"/>
        <s v="2017-11-06-18:00" u="1"/>
        <s v="2017-11-22-08:00" u="1"/>
        <s v="2017-12-06-18:00" u="1"/>
        <s v="2017-12-22-08:00" u="1"/>
        <s v="2017-12-26-17:00" u="1"/>
        <s v="2016-01-20-08:00" u="1"/>
        <s v="2016-04-20-08:00" u="1"/>
        <s v="2016-05-20-08:00" u="1"/>
        <s v="2016-06-20-08:00" u="1"/>
        <s v="2016-07-20-08:00" u="1"/>
        <s v="2016-09-20-08:00" u="1"/>
        <s v="2016-10-20-08:00" u="1"/>
        <s v="2016-12-20-08:00" u="1"/>
        <s v="2018-01-12-08:00" u="1"/>
        <s v="2018-02-12-08:00" u="1"/>
        <s v="2018-03-12-08:00" u="1"/>
        <s v="2018-04-12-08:00" u="1"/>
        <s v="2017-10-10-08:00" u="1"/>
        <s v="2017-10-30-07:00" u="1"/>
        <s v="2017-11-10-08:00" u="1"/>
        <s v="2017-11-30-07:00" u="1"/>
        <s v="2016-01-12-17:00" u="1"/>
        <s v="2016-02-12-17:00" u="1"/>
        <s v="2016-04-12-17:00" u="1"/>
        <s v="2016-05-12-17:00" u="1"/>
        <s v="2016-07-12-17:00" u="1"/>
        <s v="2016-08-12-17:00" u="1"/>
        <s v="2016-09-12-17:00" u="1"/>
        <s v="2016-10-12-17:00" u="1"/>
        <s v="2016-12-12-17:00" u="1"/>
        <s v="2018-01-04-17:00" u="1"/>
        <s v="2018-01-24-16:00" u="1"/>
        <s v="2018-04-04-17:00" u="1"/>
        <s v="2018-04-24-16:00" u="1"/>
        <s v="2018-05-04-17:00" u="1"/>
        <s v="2018-05-24-16:00" u="1"/>
        <s v="2018-07-24-16:00" u="1"/>
        <s v="2017-01-02-17:00" u="1"/>
        <s v="2017-02-02-17:00" u="1"/>
        <s v="2017-02-22-16:00" u="1"/>
        <s v="2017-03-02-17:00" u="1"/>
        <s v="2017-03-22-16:00" u="1"/>
        <s v="2017-05-02-17:00" u="1"/>
        <s v="2017-05-22-16:00" u="1"/>
        <s v="2017-06-02-17:00" u="1"/>
        <s v="2017-06-22-16:00" u="1"/>
        <s v="2017-08-02-17:00" u="1"/>
        <s v="2017-08-22-16:00" u="1"/>
        <s v="2017-09-22-16:00" u="1"/>
        <s v="2017-10-02-17:00" u="1"/>
        <s v="2017-11-02-17:00" u="1"/>
        <s v="2017-11-22-16:00" u="1"/>
        <s v="2017-12-22-16:00" u="1"/>
        <s v="2018-01-12-16:00" u="1"/>
        <s v="2018-02-12-16:00" u="1"/>
        <s v="2018-03-12-16:00" u="1"/>
        <s v="2018-04-12-16:00" u="1"/>
        <s v="2017-01-30-23:00" u="1"/>
        <s v="2017-03-30-23:00" u="1"/>
        <s v="2017-05-30-23:00" u="1"/>
        <s v="2017-06-30-23:00" u="1"/>
        <s v="2017-08-30-23:00" u="1"/>
        <s v="2017-10-30-23:00" u="1"/>
        <s v="2017-11-30-23:00" u="1"/>
        <s v="2018-02-20-23:00" u="1"/>
        <s v="2018-03-20-23:00" u="1"/>
        <s v="2018-04-20-23:00" u="1"/>
        <s v="2018-02-27-09:00" u="1"/>
        <s v="2018-03-27-09:00" u="1"/>
        <s v="2018-04-27-09:00" u="1"/>
        <s v="2017-01-25-09:00" u="1"/>
        <s v="2017-04-25-09:00" u="1"/>
        <s v="2017-05-25-09:00" u="1"/>
        <s v="2017-07-25-09:00" u="1"/>
        <s v="2017-08-25-09:00" u="1"/>
        <s v="2017-09-25-09:00" u="1"/>
        <s v="2017-10-25-09:00" u="1"/>
        <s v="2016-01-07-19:00" u="1"/>
        <s v="2016-01-27-18:00" u="1"/>
        <s v="2016-03-07-19:00" u="1"/>
        <s v="2016-04-07-19:00" u="1"/>
        <s v="2016-04-27-18:00" u="1"/>
        <s v="2016-05-27-18:00" u="1"/>
        <s v="2016-06-07-19:00" u="1"/>
        <s v="2016-06-27-18:00" u="1"/>
        <s v="2016-07-07-19:00" u="1"/>
        <s v="2016-07-27-18:00" u="1"/>
        <s v="2016-09-07-19:00" u="1"/>
        <s v="2016-09-27-18:00" u="1"/>
        <s v="2016-10-07-19:00" u="1"/>
        <s v="2016-10-27-18:00" u="1"/>
        <s v="2016-11-07-19:00" u="1"/>
        <s v="2016-12-07-19:00" u="1"/>
        <s v="2016-12-27-18:00" u="1"/>
        <s v="2017-01-17-18:00" u="1"/>
        <s v="2017-02-17-18:00" u="1"/>
        <s v="2017-03-17-18:00" u="1"/>
        <s v="2017-04-17-18:00" u="1"/>
        <s v="2017-05-17-18:00" u="1"/>
        <s v="2017-07-17-18:00" u="1"/>
        <s v="2017-08-17-18:00" u="1"/>
        <s v="2017-10-17-18:00" u="1"/>
        <s v="2017-11-17-18:00" u="1"/>
        <s v="2016-01-11-09:00" u="1"/>
        <s v="2016-02-11-09:00" u="1"/>
        <s v="2016-03-11-09:00" u="1"/>
        <s v="2016-03-31-08:00" u="1"/>
        <s v="2016-04-11-09:00" u="1"/>
        <s v="2016-05-11-09:00" u="1"/>
        <s v="2016-05-31-08:00" u="1"/>
        <s v="2016-07-11-09:00" u="1"/>
        <s v="2016-08-11-09:00" u="1"/>
        <s v="2016-08-31-08:00" u="1"/>
        <s v="2016-10-11-09:00" u="1"/>
        <s v="2016-10-31-08:00" u="1"/>
        <s v="2016-11-11-09:00" u="1"/>
        <s v="2018-02-07-18:00" u="1"/>
        <s v="2018-02-27-17:00" u="1"/>
        <s v="2018-03-07-18:00" u="1"/>
        <s v="2018-03-27-17:00" u="1"/>
        <s v="2018-04-27-17:00" u="1"/>
        <s v="2018-05-07-18:00" u="1"/>
        <s v="2017-02-01-09:00" u="1"/>
        <s v="2017-02-21-08:00" u="1"/>
        <s v="2017-03-01-09:00" u="1"/>
        <s v="2017-03-21-08:00" u="1"/>
        <s v="2017-04-21-08:00" u="1"/>
        <s v="2017-05-01-09:00" u="1"/>
        <s v="2017-06-01-09:00" u="1"/>
        <s v="2017-06-21-08:00" u="1"/>
        <s v="2017-07-21-08:00" u="1"/>
        <s v="2017-08-01-09:00" u="1"/>
        <s v="2017-08-21-08:00" u="1"/>
        <s v="2017-09-01-09:00" u="1"/>
        <s v="2017-09-21-08:00" u="1"/>
        <s v="2017-11-01-09:00" u="1"/>
        <s v="2017-11-21-08:00" u="1"/>
        <s v="2017-12-01-09:00" u="1"/>
        <s v="2017-12-21-08:00" u="1"/>
        <s v="2016-02-03-18:00" u="1"/>
        <s v="2016-02-23-17:00" u="1"/>
        <s v="2016-03-03-18:00" u="1"/>
        <s v="2016-03-23-17:00" u="1"/>
        <s v="2016-05-03-18:00" u="1"/>
        <s v="2016-05-23-17:00" u="1"/>
        <s v="2016-06-03-18:00" u="1"/>
        <s v="2016-06-23-17:00" u="1"/>
        <s v="2016-08-03-18:00" u="1"/>
        <s v="2016-08-23-17:00" u="1"/>
        <s v="2016-09-23-17:00" u="1"/>
        <s v="2018-01-11-08:00" u="1"/>
        <s v="2018-01-31-07:00" u="1"/>
        <s v="2018-04-11-08:00" u="1"/>
        <s v="2018-05-11-08:00" u="1"/>
        <s v="2017-01-13-17:00" u="1"/>
        <s v="2017-02-13-17:00" u="1"/>
        <s v="2017-03-13-17:00" u="1"/>
        <s v="2017-04-13-17:00" u="1"/>
        <s v="2017-06-13-17:00" u="1"/>
        <s v="2017-07-13-17:00" u="1"/>
        <s v="2017-09-13-17:00" u="1"/>
        <s v="2017-10-13-17:00" u="1"/>
        <s v="2017-11-13-17:00" u="1"/>
        <s v="2017-12-13-17:00" u="1"/>
        <s v="2016-10-11-17:00" u="1"/>
        <s v="2016-10-31-16:00" u="1"/>
        <s v="2016-11-11-17:00" u="1"/>
        <s v="2018-01-03-17:00" u="1"/>
        <s v="2018-01-23-16:00" u="1"/>
        <s v="2018-02-23-16:00" u="1"/>
        <s v="2018-03-23-16:00" u="1"/>
        <s v="2018-04-03-17:00" u="1"/>
        <s v="2018-04-23-16:00" u="1"/>
        <s v="2018-05-03-17:00" u="1"/>
        <s v="2018-05-23-16:00" u="1"/>
        <s v="2017-11-01-17:00" u="1"/>
        <s v="2017-11-21-16:00" u="1"/>
        <s v="2017-12-01-17:00" u="1"/>
        <s v="2017-12-21-16:00" u="1"/>
        <s v="2018-01-26-09:00" u="1"/>
        <s v="2018-02-26-09:00" u="1"/>
        <s v="2018-03-26-09:00" u="1"/>
        <s v="2018-04-26-09:00" u="1"/>
        <s v="2017-02-08-19:00" u="1"/>
        <s v="2017-02-28-18:00" u="1"/>
        <s v="2017-03-08-19:00" u="1"/>
        <s v="2017-03-28-18:00" u="1"/>
        <s v="2017-04-28-18:00" u="1"/>
        <s v="2017-05-08-19:00" u="1"/>
        <s v="2017-06-08-19:00" u="1"/>
        <s v="2017-06-28-18:00" u="1"/>
        <s v="2017-07-28-18:00" u="1"/>
        <s v="2017-08-08-19:00" u="1"/>
        <s v="2017-08-28-18:00" u="1"/>
        <s v="2017-09-08-19:00" u="1"/>
        <s v="2017-09-28-18:00" u="1"/>
        <s v="2016-01-06-19:00" u="1"/>
        <s v="2016-01-26-18:00" u="1"/>
        <s v="2016-02-26-18:00" u="1"/>
        <s v="2016-04-06-19:00" u="1"/>
        <s v="2016-04-26-18:00" u="1"/>
        <s v="2016-05-06-19:00" u="1"/>
        <s v="2016-05-26-18:00" u="1"/>
        <s v="2016-06-06-19:00" u="1"/>
        <s v="2016-07-06-19:00" u="1"/>
        <s v="2016-07-26-18:00" u="1"/>
        <s v="2016-08-26-18:00" u="1"/>
        <s v="2016-09-06-19:00" u="1"/>
        <s v="2016-09-26-18:00" u="1"/>
        <s v="2016-10-06-19:00" u="1"/>
        <s v="2016-10-26-18:00" u="1"/>
        <s v="2016-12-06-19:00" u="1"/>
        <s v="2016-12-26-18:00" u="1"/>
        <s v="2018-01-18-18:00" u="1"/>
        <s v="2018-04-18-18:00" u="1"/>
        <s v="2018-05-18-18:00" u="1"/>
        <s v="2017-01-12-09:00" u="1"/>
        <s v="2017-01-16-18:00" u="1"/>
        <s v="2017-02-16-18:00" u="1"/>
        <s v="2017-03-16-18:00" u="1"/>
        <s v="2017-04-12-09:00" u="1"/>
        <s v="2017-05-12-09:00" u="1"/>
        <s v="2017-05-16-18:00" u="1"/>
        <s v="2017-06-12-09:00" u="1"/>
        <s v="2017-06-16-18:00" u="1"/>
        <s v="2017-07-12-09:00" u="1"/>
        <s v="2017-08-16-18:00" u="1"/>
        <s v="2017-09-12-09:00" u="1"/>
        <s v="2017-10-16-18:00" u="1"/>
        <s v="2017-11-16-18:00" u="1"/>
        <s v="2016-02-10-09:00" u="1"/>
        <s v="2016-03-10-09:00" u="1"/>
        <s v="2016-03-30-08:00" u="1"/>
        <s v="2016-05-10-09:00" u="1"/>
        <s v="2016-05-30-08:00" u="1"/>
        <s v="2016-06-10-09:00" u="1"/>
        <s v="2016-06-30-08:00" u="1"/>
        <s v="2016-08-10-09:00" u="1"/>
        <s v="2016-08-30-08:00" u="1"/>
        <s v="2016-09-30-08:00" u="1"/>
        <s v="2016-10-10-09:00" u="1"/>
        <s v="2016-11-10-09:00" u="1"/>
        <s v="2016-11-30-08:00" u="1"/>
        <s v="2016-12-30-08:00" u="1"/>
        <s v="2018-01-02-09:00" u="1"/>
        <s v="2018-01-22-08:00" u="1"/>
        <s v="2018-02-02-09:00" u="1"/>
        <s v="2018-02-22-08:00" u="1"/>
        <s v="2018-03-02-09:00" u="1"/>
        <s v="2018-03-22-08:00" u="1"/>
        <s v="2018-04-02-09:00" u="1"/>
        <s v="2018-05-02-09:00" u="1"/>
        <s v="2018-05-22-08:00" u="1"/>
        <s v="2017-01-20-08:00" u="1"/>
        <s v="2017-02-20-08:00" u="1"/>
        <s v="2017-03-20-08:00" u="1"/>
        <s v="2017-04-20-08:00" u="1"/>
        <s v="2017-06-20-08:00" u="1"/>
        <s v="2017-07-20-08:00" u="1"/>
        <s v="2017-09-20-08:00" u="1"/>
        <s v="2017-10-20-08:00" u="1"/>
        <s v="2017-11-20-08:00" u="1"/>
        <s v="2017-12-20-08:00" u="1"/>
        <s v="2016-01-22-17:00" u="1"/>
        <s v="2016-02-02-18:00" u="1"/>
        <s v="2016-02-22-17:00" u="1"/>
        <s v="2016-03-02-18:00" u="1"/>
        <s v="2016-03-22-17:00" u="1"/>
        <s v="2016-04-22-17:00" u="1"/>
        <s v="2016-05-02-18:00" u="1"/>
        <s v="2016-06-02-18:00" u="1"/>
        <s v="2016-06-22-17:00" u="1"/>
        <s v="2016-07-22-17:00" u="1"/>
        <s v="2016-08-02-18:00" u="1"/>
        <s v="2016-08-22-17:00" u="1"/>
        <s v="2016-09-02-18:00" u="1"/>
        <s v="2016-09-22-17:00" u="1"/>
        <s v="2016-11-02-18:00" u="1"/>
        <s v="2016-11-22-17:00" u="1"/>
        <s v="2016-12-02-18:00" u="1"/>
        <s v="2016-12-22-17:00" u="1"/>
        <s v="2017-01-12-17:00" u="1"/>
        <s v="2017-04-12-17:00" u="1"/>
        <s v="2017-05-12-17:00" u="1"/>
        <s v="2017-06-12-17:00" u="1"/>
        <s v="2017-07-12-17:00" u="1"/>
        <s v="2017-09-12-17:00" u="1"/>
        <s v="2017-10-12-17:00" u="1"/>
        <s v="2017-12-12-17:00" u="1"/>
        <s v="2018-01-02-17:00" u="1"/>
        <s v="2018-01-22-16:00" u="1"/>
        <s v="2018-02-02-17:00" u="1"/>
        <s v="2018-02-22-16:00" u="1"/>
        <s v="2018-03-02-17:00" u="1"/>
        <s v="2018-03-22-16:00" u="1"/>
        <s v="2018-04-02-17:00" u="1"/>
        <s v="2018-05-02-17:00" u="1"/>
        <s v="2018-05-22-16:00" u="1"/>
        <s v="2018-01-30-23:00" u="1"/>
        <s v="2018-03-30-23:00" u="1"/>
        <s v="2018-04-30-23:00" u="1"/>
        <s v="2018-07-30-23:00" u="1"/>
        <s v="2016-02-17-19:00" u="1"/>
        <s v="2016-03-17-19:00" u="1"/>
        <s v="2016-05-17-19:00" u="1"/>
        <s v="2016-06-17-19:00" u="1"/>
        <s v="2016-08-17-19:00" u="1"/>
        <s v="2016-10-17-19:00" u="1"/>
        <s v="2016-11-17-19:00" u="1"/>
        <s v="2018-01-25-09:00" u="1"/>
        <s v="2018-04-25-09:00" u="1"/>
        <s v="2018-05-25-09:00" u="1"/>
        <s v="2015-12-31-09:00" u="1"/>
        <s v="2017-01-27-18:00" u="1"/>
        <s v="2017-02-07-19:00" u="1"/>
        <s v="2017-02-27-18:00" u="1"/>
        <s v="2017-03-07-19:00" u="1"/>
        <s v="2017-03-27-18:00" u="1"/>
        <s v="2017-04-07-19:00" u="1"/>
        <s v="2017-04-27-18:00" u="1"/>
        <s v="2017-06-07-19:00" u="1"/>
        <s v="2017-06-27-18:00" u="1"/>
        <s v="2017-07-07-19:00" u="1"/>
        <s v="2017-07-27-18:00" u="1"/>
        <s v="2017-08-07-19:00" u="1"/>
        <s v="2017-09-07-19:00" u="1"/>
        <s v="2017-09-27-18:00" u="1"/>
        <s v="2017-10-27-18:00" u="1"/>
        <s v="2017-11-07-19:00" u="1"/>
        <s v="2017-11-27-18:00" u="1"/>
        <s v="2017-12-07-19:00" u="1"/>
        <s v="2017-12-27-18:00" u="1"/>
        <s v="2016-01-21-09:00" u="1"/>
        <s v="2016-03-21-09:00" u="1"/>
        <s v="2016-04-21-09:00" u="1"/>
        <s v="2016-06-21-09:00" u="1"/>
        <s v="2016-07-21-09:00" u="1"/>
        <s v="2016-09-21-09:00" u="1"/>
        <s v="2016-10-05-19:00" u="1"/>
        <s v="2016-10-21-09:00" u="1"/>
        <s v="2016-10-25-18:00" u="1"/>
        <s v="2016-11-21-09:00" u="1"/>
        <s v="2016-11-25-18:00" u="1"/>
        <s v="2016-12-05-19:00" u="1"/>
        <s v="2016-12-21-09:00" u="1"/>
        <s v="2018-01-17-18:00" u="1"/>
        <s v="2018-04-17-18:00" u="1"/>
        <s v="2018-05-17-18:00" u="1"/>
        <s v="2017-01-11-09:00" u="1"/>
        <s v="2017-01-31-08:00" u="1"/>
        <s v="2017-03-31-08:00" u="1"/>
        <s v="2017-04-11-09:00" u="1"/>
        <s v="2017-05-11-09:00" u="1"/>
        <s v="2017-05-31-08:00" u="1"/>
        <s v="2017-07-11-09:00" u="1"/>
        <s v="2017-07-31-08:00" u="1"/>
        <s v="2017-08-11-09:00" u="1"/>
        <s v="2017-08-31-08:00" u="1"/>
        <s v="2017-09-11-09:00" u="1"/>
        <s v="2017-10-11-09:00" u="1"/>
        <s v="2017-10-31-08:00" u="1"/>
        <s v="2017-12-11-09:00" u="1"/>
        <s v="2016-01-13-18:00" u="1"/>
        <s v="2016-04-13-18:00" u="1"/>
        <s v="2016-05-13-18:00" u="1"/>
        <s v="2016-06-13-18:00" u="1"/>
        <s v="2016-07-13-18:00" u="1"/>
        <s v="2016-09-13-18:00" u="1"/>
        <s v="2018-02-01-09:00" u="1"/>
        <s v="2018-02-21-08:00" u="1"/>
        <s v="2018-03-01-09:00" u="1"/>
        <s v="2018-03-21-08:00" u="1"/>
        <s v="2018-05-01-09:00" u="1"/>
        <s v="2018-05-21-08:00" u="1"/>
        <s v="2015-12-31-17:00" u="1"/>
        <s v="2017-01-03-18:00" u="1"/>
        <s v="2017-01-23-17:00" u="1"/>
        <s v="2017-02-03-18:00" u="1"/>
        <s v="2017-02-23-17:00" u="1"/>
        <s v="2017-03-03-18:00" u="1"/>
        <s v="2017-03-23-17:00" u="1"/>
        <s v="2017-04-03-18:00" u="1"/>
        <s v="2017-05-03-18:00" u="1"/>
        <s v="2017-05-23-17:00" u="1"/>
        <s v="2017-06-23-17:00" u="1"/>
        <s v="2017-07-03-18:00" u="1"/>
        <s v="2017-08-03-18:00" u="1"/>
        <s v="2017-08-23-17:00" u="1"/>
        <s v="2016-01-21-17:00" u="1"/>
        <s v="2016-02-01-18:00" u="1"/>
        <s v="2016-03-01-18:00" u="1"/>
        <s v="2016-03-21-17:00" u="1"/>
        <s v="2016-04-01-18:00" u="1"/>
        <s v="2016-04-21-17:00" u="1"/>
        <s v="2016-06-01-18:00" u="1"/>
        <s v="2016-06-21-17:00" u="1"/>
        <s v="2016-07-01-18:00" u="1"/>
        <s v="2016-07-21-17:00" u="1"/>
        <s v="2016-08-01-18:00" u="1"/>
        <s v="2016-09-01-18:00" u="1"/>
        <s v="2016-09-21-17:00" u="1"/>
        <s v="2016-10-21-17:00" u="1"/>
        <s v="2016-11-01-18:00" u="1"/>
        <s v="2016-11-21-17:00" u="1"/>
        <s v="2016-12-01-18:00" u="1"/>
        <s v="2016-12-21-17:00" u="1"/>
        <s v="2018-02-13-17:00" u="1"/>
        <s v="2018-03-13-17:00" u="1"/>
        <s v="2018-04-13-17:00" u="1"/>
        <s v="2017-10-11-17:00" u="1"/>
        <s v="2017-10-31-16:00" u="1"/>
        <s v="2017-12-11-17:00" u="1"/>
        <s v="2016-02-16-19:00" u="1"/>
        <s v="2016-03-16-19:00" u="1"/>
        <s v="2016-05-16-19:00" u="1"/>
        <s v="2016-06-16-19:00" u="1"/>
        <s v="2016-08-16-19:00" u="1"/>
        <s v="2016-09-16-19:00" u="1"/>
        <s v="2016-11-16-19:00" u="1"/>
        <s v="2016-12-16-19:00" u="1"/>
        <s v="2018-01-08-19:00" u="1"/>
        <s v="2018-02-08-19:00" u="1"/>
        <s v="2018-02-28-18:00" u="1"/>
        <s v="2018-03-08-19:00" u="1"/>
        <s v="2018-03-28-18:00" u="1"/>
        <s v="2018-05-08-19:00" u="1"/>
        <s v="2018-05-28-18:00" u="1"/>
        <s v="2015-12-30-09:00" u="1"/>
        <s v="2017-01-06-19:00" u="1"/>
        <s v="2017-01-26-18:00" u="1"/>
        <s v="2017-02-06-19:00" u="1"/>
        <s v="2017-03-06-19:00" u="1"/>
        <s v="2017-04-06-19:00" u="1"/>
        <s v="2017-04-26-18:00" u="1"/>
        <s v="2017-05-26-18:00" u="1"/>
        <s v="2017-06-06-19:00" u="1"/>
        <s v="2017-06-26-18:00" u="1"/>
        <s v="2017-07-06-19:00" u="1"/>
        <s v="2017-07-26-18:00" u="1"/>
        <s v="2017-09-06-19:00" u="1"/>
        <s v="2017-09-26-18:00" u="1"/>
        <s v="2017-10-06-19:00" u="1"/>
        <s v="2017-10-26-18:00" u="1"/>
        <s v="2017-11-06-19:00" u="1"/>
        <s v="2017-12-06-19:00" u="1"/>
        <s v="2017-12-26-18:00" u="1"/>
        <s v="2016-01-20-09:00" u="1"/>
        <s v="2016-04-20-09:00" u="1"/>
        <s v="2016-05-20-09:00" u="1"/>
        <s v="2016-06-20-09:00" u="1"/>
        <s v="2016-07-20-09:00" u="1"/>
        <s v="2016-09-20-09:00" u="1"/>
        <s v="2016-10-20-09:00" u="1"/>
        <s v="2016-12-20-09:00" u="1"/>
        <s v="2018-01-12-09:00" u="1"/>
        <s v="2018-01-16-18:00" u="1"/>
        <s v="2018-02-12-09:00" u="1"/>
        <s v="2018-02-16-18:00" u="1"/>
        <s v="2018-03-12-09:00" u="1"/>
        <s v="2018-03-16-18:00" u="1"/>
        <s v="2018-04-12-09:00" u="1"/>
        <s v="2018-04-16-18:00" u="1"/>
        <s v="2018-05-16-18:00" u="1"/>
        <s v="2017-01-10-09:00" u="1"/>
        <s v="2017-01-30-08:00" u="1"/>
        <s v="2017-02-10-09:00" u="1"/>
        <s v="2017-03-10-09:00" u="1"/>
        <s v="2017-03-30-08:00" u="1"/>
        <s v="2017-04-10-09:00" u="1"/>
        <s v="2017-05-10-09:00" u="1"/>
        <s v="2017-05-30-08:00" u="1"/>
        <s v="2017-06-30-08:00" u="1"/>
        <s v="2017-07-10-09:00" u="1"/>
        <s v="2017-08-10-09:00" u="1"/>
        <s v="2017-08-30-08:00" u="1"/>
        <s v="2017-10-10-09:00" u="1"/>
        <s v="2017-10-30-08:00" u="1"/>
        <s v="2017-11-10-09:00" u="1"/>
        <s v="2017-11-30-08:00" u="1"/>
        <s v="2016-01-12-18:00" u="1"/>
        <s v="2016-02-12-18:00" u="1"/>
        <s v="2016-04-12-18:00" u="1"/>
        <s v="2016-05-12-18:00" u="1"/>
        <s v="2016-07-12-18:00" u="1"/>
        <s v="2016-08-12-18:00" u="1"/>
        <s v="2016-09-12-18:00" u="1"/>
        <s v="2016-10-12-18:00" u="1"/>
        <s v="2016-12-12-18:00" u="1"/>
        <s v="2018-02-20-08:00" u="1"/>
        <s v="2018-03-20-08:00" u="1"/>
        <s v="2018-04-20-08:00" u="1"/>
        <s v="2015-12-30-17:00" u="1"/>
        <s v="2017-01-02-18:00" u="1"/>
        <s v="2017-02-02-18:00" u="1"/>
        <s v="2017-02-22-17:00" u="1"/>
        <s v="2017-03-02-18:00" u="1"/>
        <s v="2017-03-22-17:00" u="1"/>
        <s v="2017-05-02-18:00" u="1"/>
        <s v="2017-05-22-17:00" u="1"/>
        <s v="2017-06-02-18:00" u="1"/>
        <s v="2017-06-22-17:00" u="1"/>
        <s v="2017-08-02-18:00" u="1"/>
        <s v="2017-08-22-17:00" u="1"/>
        <s v="2017-09-22-17:00" u="1"/>
        <s v="2017-10-02-18:00" u="1"/>
        <s v="2017-11-02-18:00" u="1"/>
        <s v="2017-11-22-17:00" u="1"/>
        <s v="2017-12-22-17:00" u="1"/>
        <s v="2018-01-12-17:00" u="1"/>
        <s v="2018-02-12-17:00" u="1"/>
        <s v="2018-03-12-17:00" u="1"/>
        <s v="2018-04-12-17:00" u="1"/>
        <s v="2016-01-27-19:00" u="1"/>
        <s v="2016-04-27-19:00" u="1"/>
        <s v="2016-05-27-19:00" u="1"/>
        <s v="2016-06-27-19:00" u="1"/>
        <s v="2016-07-27-19:00" u="1"/>
        <s v="2016-09-27-19:00" u="1"/>
        <s v="2017-01-17-19:00" u="1"/>
        <s v="2017-02-17-19:00" u="1"/>
        <s v="2017-03-17-19:00" u="1"/>
        <s v="2017-04-17-19:00" u="1"/>
        <s v="2017-05-17-19:00" u="1"/>
        <s v="2017-07-17-19:00" u="1"/>
        <s v="2017-08-17-19:00" u="1"/>
        <s v="2017-10-17-19:00" u="1"/>
        <s v="2017-11-17-19:00" u="1"/>
        <s v="2016-03-31-09:00" u="1"/>
        <s v="2016-05-31-09:00" u="1"/>
        <s v="2016-08-31-09:00" u="1"/>
        <s v="2016-10-31-09:00" u="1"/>
        <s v="2016-11-15-19:00" u="1"/>
        <s v="2016-12-15-19:00" u="1"/>
        <s v="2018-02-07-19:00" u="1"/>
        <s v="2018-02-27-18:00" u="1"/>
        <s v="2018-03-07-19:00" u="1"/>
        <s v="2018-03-27-18:00" u="1"/>
        <s v="2018-04-27-18:00" u="1"/>
        <s v="2018-05-07-19:00" u="1"/>
        <s v="2017-02-21-09:00" u="1"/>
        <s v="2017-03-21-09:00" u="1"/>
        <s v="2017-04-21-09:00" u="1"/>
        <s v="2017-06-21-09:00" u="1"/>
        <s v="2017-07-21-09:00" u="1"/>
        <s v="2017-08-21-09:00" u="1"/>
        <s v="2017-09-21-09:00" u="1"/>
        <s v="2017-10-05-19:00" u="1"/>
        <s v="2017-10-25-18:00" u="1"/>
        <s v="2017-11-21-09:00" u="1"/>
        <s v="2017-12-05-19:00" u="1"/>
        <s v="2017-12-21-09:00" u="1"/>
        <s v="2018-01-11-09:00" u="1"/>
        <s v="2018-01-31-08:00" u="1"/>
        <s v="2018-04-11-09:00" u="1"/>
        <s v="2018-05-11-09:00" u="1"/>
        <s v="2017-01-13-18:00" u="1"/>
        <s v="2017-02-13-18:00" u="1"/>
        <s v="2017-03-13-18:00" u="1"/>
        <s v="2017-04-13-18:00" u="1"/>
        <s v="2017-06-13-18:00" u="1"/>
        <s v="2017-07-13-18:00" u="1"/>
        <s v="2017-09-13-18:00" u="1"/>
        <s v="2016-01-11-18:00" u="1"/>
        <s v="2016-02-11-18:00" u="1"/>
        <s v="2016-03-11-18:00" u="1"/>
        <s v="2016-03-31-17:00" u="1"/>
        <s v="2016-04-11-18:00" u="1"/>
        <s v="2016-05-11-18:00" u="1"/>
        <s v="2016-05-31-17:00" u="1"/>
        <s v="2016-07-11-18:00" u="1"/>
        <s v="2016-08-11-18:00" u="1"/>
        <s v="2016-08-31-17:00" u="1"/>
        <s v="2016-10-11-18:00" u="1"/>
        <s v="2016-10-31-17:00" u="1"/>
        <s v="2016-11-11-18:00" u="1"/>
        <s v="2018-01-03-18:00" u="1"/>
        <s v="2018-01-23-17:00" u="1"/>
        <s v="2018-02-23-17:00" u="1"/>
        <s v="2018-03-23-17:00" u="1"/>
        <s v="2018-04-03-18:00" u="1"/>
        <s v="2018-04-23-17:00" u="1"/>
        <s v="2018-05-03-18:00" u="1"/>
        <s v="2018-05-23-17:00" u="1"/>
        <s v="2017-02-01-18:00" u="1"/>
        <s v="2017-02-21-17:00" u="1"/>
        <s v="2017-03-01-18:00" u="1"/>
        <s v="2017-03-21-17:00" u="1"/>
        <s v="2017-04-21-17:00" u="1"/>
        <s v="2017-05-01-18:00" u="1"/>
        <s v="2017-06-01-18:00" u="1"/>
        <s v="2017-06-21-17:00" u="1"/>
        <s v="2017-07-21-17:00" u="1"/>
        <s v="2017-08-01-18:00" u="1"/>
        <s v="2017-08-21-17:00" u="1"/>
        <s v="2017-09-01-18:00" u="1"/>
        <s v="2017-09-21-17:00" u="1"/>
        <s v="2017-11-01-18:00" u="1"/>
        <s v="2017-11-21-17:00" u="1"/>
        <s v="2017-12-01-18:00" u="1"/>
        <s v="2017-12-21-17:00" u="1"/>
        <s v="2016-01-26-19:00" u="1"/>
        <s v="2016-02-26-19:00" u="1"/>
        <s v="2016-04-26-19:00" u="1"/>
        <s v="2016-05-26-19:00" u="1"/>
        <s v="2016-07-26-19:00" u="1"/>
        <s v="2016-08-26-19:00" u="1"/>
        <s v="2016-09-26-19:00" u="1"/>
        <s v="2016-10-26-19:00" u="1"/>
        <s v="2016-12-26-19:00" u="1"/>
        <s v="2017-01-16-19:00" u="1"/>
        <s v="2017-02-16-19:00" u="1"/>
        <s v="2017-03-16-19:00" u="1"/>
        <s v="2017-05-16-19:00" u="1"/>
        <s v="2017-06-16-19:00" u="1"/>
        <s v="2017-08-16-19:00" u="1"/>
        <s v="2017-10-16-19:00" u="1"/>
        <s v="2017-11-16-19:00" u="1"/>
        <s v="2016-03-30-09:00" u="1"/>
        <s v="2016-05-30-09:00" u="1"/>
        <s v="2016-06-30-09:00" u="1"/>
        <s v="2016-08-30-09:00" u="1"/>
        <s v="2016-09-30-09:00" u="1"/>
        <s v="2016-11-30-09:00" u="1"/>
        <s v="2016-12-30-09:00" u="1"/>
        <s v="2018-01-26-18:00" u="1"/>
        <s v="2018-02-06-19:00" u="1"/>
        <s v="2018-02-26-18:00" u="1"/>
        <s v="2018-03-06-19:00" u="1"/>
        <s v="2018-03-26-18:00" u="1"/>
        <s v="2018-04-06-19:00" u="1"/>
        <s v="2018-04-26-18:00" u="1"/>
        <s v="2017-01-20-09:00" u="1"/>
        <s v="2017-02-20-09:00" u="1"/>
        <s v="2017-03-20-09:00" u="1"/>
        <s v="2017-04-20-09:00" u="1"/>
        <s v="2017-06-20-09:00" u="1"/>
        <s v="2017-07-20-09:00" u="1"/>
        <s v="2017-09-20-09:00" u="1"/>
        <s v="2017-10-20-09:00" u="1"/>
        <s v="2017-11-20-09:00" u="1"/>
        <s v="2017-12-20-09:00" u="1"/>
        <s v="2016-01-22-18:00" u="1"/>
        <s v="2016-02-02-19:00" u="1"/>
        <s v="2016-02-22-18:00" u="1"/>
        <s v="2016-03-02-19:00" u="1"/>
        <s v="2016-03-22-18:00" u="1"/>
        <s v="2016-04-22-18:00" u="1"/>
        <s v="2016-05-02-19:00" u="1"/>
        <s v="2016-06-02-19:00" u="1"/>
        <s v="2016-06-22-18:00" u="1"/>
        <s v="2016-07-22-18:00" u="1"/>
        <s v="2016-08-02-19:00" u="1"/>
        <s v="2016-08-22-18:00" u="1"/>
        <s v="2016-09-02-19:00" u="1"/>
        <s v="2016-09-22-18:00" u="1"/>
        <s v="2016-11-02-19:00" u="1"/>
        <s v="2016-11-22-18:00" u="1"/>
        <s v="2016-12-02-19:00" u="1"/>
        <s v="2016-12-22-18:00" u="1"/>
        <s v="2018-01-10-09:00" u="1"/>
        <s v="2018-01-30-08:00" u="1"/>
        <s v="2018-03-30-08:00" u="1"/>
        <s v="2018-04-10-09:00" u="1"/>
        <s v="2018-04-30-08:00" u="1"/>
        <s v="2018-05-10-09:00" u="1"/>
        <s v="2018-07-30-08:00" u="1"/>
        <s v="2017-01-12-18:00" u="1"/>
        <s v="2017-04-12-18:00" u="1"/>
        <s v="2017-05-12-18:00" u="1"/>
        <s v="2017-06-12-18:00" u="1"/>
        <s v="2017-07-12-18:00" u="1"/>
        <s v="2017-09-12-18:00" u="1"/>
        <s v="2017-10-12-18:00" u="1"/>
        <s v="2017-12-12-18:00" u="1"/>
        <s v="2016-10-10-18:00" u="1"/>
        <s v="2016-11-10-18:00" u="1"/>
        <s v="2016-11-30-17:00" u="1"/>
        <s v="2016-12-30-17:00" u="1"/>
        <s v="2018-01-02-18:00" u="1"/>
        <s v="2018-01-22-17:00" u="1"/>
        <s v="2018-02-02-18:00" u="1"/>
        <s v="2018-02-22-17:00" u="1"/>
        <s v="2018-03-02-18:00" u="1"/>
        <s v="2018-03-22-17:00" u="1"/>
        <s v="2018-04-02-18:00" u="1"/>
        <s v="2018-05-02-18:00" u="1"/>
        <s v="2018-05-22-17:00" u="1"/>
        <s v="2017-01-27-19:00" u="1"/>
        <s v="2017-02-27-19:00" u="1"/>
        <s v="2017-03-27-19:00" u="1"/>
        <s v="2017-04-27-19:00" u="1"/>
        <s v="2017-06-27-19:00" u="1"/>
        <s v="2017-07-27-19:00" u="1"/>
        <s v="2017-09-27-19:00" u="1"/>
        <s v="2016-01-25-19:00" u="1"/>
        <s v="2016-02-25-19:00" u="1"/>
        <s v="2016-03-25-19:00" u="1"/>
        <s v="2016-04-25-19:00" u="1"/>
        <s v="2016-05-25-19:00" u="1"/>
        <s v="2016-07-25-19:00" u="1"/>
        <s v="2016-08-25-19:00" u="1"/>
        <s v="2016-10-25-19:00" u="1"/>
        <s v="2016-11-25-19:00" u="1"/>
        <s v="2018-01-17-19:00" u="1"/>
        <s v="2018-04-17-19:00" u="1"/>
        <s v="2018-05-17-19:00" u="1"/>
        <s v="2017-01-31-09:00" u="1"/>
        <s v="2017-03-31-09:00" u="1"/>
        <s v="2017-05-31-09:00" u="1"/>
        <s v="2017-07-31-09:00" u="1"/>
        <s v="2017-08-31-09:00" u="1"/>
        <s v="2017-10-31-09:00" u="1"/>
        <s v="2017-11-15-19:00" u="1"/>
        <s v="2017-12-15-19:00" u="1"/>
        <s v="2018-02-21-09:00" u="1"/>
        <s v="2018-03-21-09:00" u="1"/>
        <s v="2018-05-21-09:00" u="1"/>
        <s v="2015-12-31-18:00" u="1"/>
        <s v="2016-01-21-18:00" u="1"/>
        <s v="2016-02-01-19:00" u="1"/>
        <s v="2016-03-01-19:00" u="1"/>
        <s v="2016-03-21-18:00" u="1"/>
        <s v="2016-04-01-19:00" u="1"/>
        <s v="2016-04-21-18:00" u="1"/>
        <s v="2016-06-01-19:00" u="1"/>
        <s v="2016-06-21-18:00" u="1"/>
        <s v="2016-07-01-19:00" u="1"/>
        <s v="2016-07-21-18:00" u="1"/>
        <s v="2016-08-01-19:00" u="1"/>
        <s v="2016-09-01-19:00" u="1"/>
        <s v="2016-09-21-18:00" u="1"/>
        <s v="2016-10-21-18:00" u="1"/>
        <s v="2016-11-01-19:00" u="1"/>
        <s v="2016-11-21-18:00" u="1"/>
        <s v="2016-12-01-19:00" u="1"/>
        <s v="2016-12-21-18:00" u="1"/>
        <s v="2018-02-13-18:00" u="1"/>
        <s v="2018-03-13-18:00" u="1"/>
        <s v="2018-04-13-18:00" u="1"/>
        <s v="2017-01-11-18:00" u="1"/>
        <s v="2017-01-31-17:00" u="1"/>
        <s v="2017-03-31-17:00" u="1"/>
        <s v="2017-04-11-18:00" u="1"/>
        <s v="2017-05-11-18:00" u="1"/>
        <s v="2017-05-31-17:00" u="1"/>
        <s v="2017-07-11-18:00" u="1"/>
        <s v="2017-07-31-17:00" u="1"/>
        <s v="2017-08-11-18:00" u="1"/>
        <s v="2017-08-31-17:00" u="1"/>
        <s v="2017-09-11-18:00" u="1"/>
        <s v="2017-10-11-18:00" u="1"/>
        <s v="2017-10-31-17:00" u="1"/>
        <s v="2017-12-11-18:00" u="1"/>
        <s v="2018-02-01-18:00" u="1"/>
        <s v="2018-02-21-17:00" u="1"/>
        <s v="2018-03-01-18:00" u="1"/>
        <s v="2018-03-21-17:00" u="1"/>
        <s v="2018-05-01-18:00" u="1"/>
        <s v="2018-05-21-17:00" u="1"/>
        <s v="2017-01-26-19:00" u="1"/>
        <s v="2017-04-26-19:00" u="1"/>
        <s v="2017-05-26-19:00" u="1"/>
        <s v="2017-06-26-19:00" u="1"/>
        <s v="2017-07-26-19:00" u="1"/>
        <s v="2017-09-26-19:00" u="1"/>
        <s v="2017-10-26-19:00" u="1"/>
        <s v="2017-12-26-19:00" u="1"/>
        <s v="2018-01-16-19:00" u="1"/>
        <s v="2018-02-16-19:00" u="1"/>
        <s v="2018-03-16-19:00" u="1"/>
        <s v="2018-04-16-19:00" u="1"/>
        <s v="2018-05-16-19:00" u="1"/>
        <s v="2017-01-30-09:00" u="1"/>
        <s v="2017-03-30-09:00" u="1"/>
        <s v="2017-05-30-09:00" u="1"/>
        <s v="2017-06-30-09:00" u="1"/>
        <s v="2017-08-30-09:00" u="1"/>
        <s v="2017-10-30-09:00" u="1"/>
        <s v="2017-11-30-09:00" u="1"/>
        <s v="2016-01-12-19:00" u="1"/>
        <s v="2016-02-12-19:00" u="1"/>
        <s v="2016-04-12-19:00" u="1"/>
        <s v="2016-05-12-19:00" u="1"/>
        <s v="2016-07-12-19:00" u="1"/>
        <s v="2016-08-12-19:00" u="1"/>
        <s v="2016-09-12-19:00" u="1"/>
        <s v="2018-02-20-09:00" u="1"/>
        <s v="2018-03-20-09:00" u="1"/>
        <s v="2018-04-20-09:00" u="1"/>
        <s v="2015-12-30-18:00" u="1"/>
        <s v="2017-01-02-19:00" u="1"/>
        <s v="2017-02-02-19:00" u="1"/>
        <s v="2017-02-22-18:00" u="1"/>
        <s v="2017-03-02-19:00" u="1"/>
        <s v="2017-03-22-18:00" u="1"/>
        <s v="2017-05-02-19:00" u="1"/>
        <s v="2017-05-22-18:00" u="1"/>
        <s v="2017-06-02-19:00" u="1"/>
        <s v="2017-06-22-18:00" u="1"/>
        <s v="2017-08-02-19:00" u="1"/>
        <s v="2017-08-22-18:00" u="1"/>
        <s v="2017-09-22-18:00" u="1"/>
        <s v="2017-10-02-19:00" u="1"/>
        <s v="2017-11-02-19:00" u="1"/>
        <s v="2017-11-22-18:00" u="1"/>
        <s v="2017-12-22-18:00" u="1"/>
        <s v="2016-01-20-18:00" u="1"/>
        <s v="2016-04-20-18:00" u="1"/>
        <s v="2016-05-20-18:00" u="1"/>
        <s v="2016-06-20-18:00" u="1"/>
        <s v="2016-07-20-18:00" u="1"/>
        <s v="2016-09-20-18:00" u="1"/>
        <s v="2016-10-20-18:00" u="1"/>
        <s v="2016-12-20-18:00" u="1"/>
        <s v="2018-01-12-18:00" u="1"/>
        <s v="2018-02-12-18:00" u="1"/>
        <s v="2018-03-12-18:00" u="1"/>
        <s v="2018-04-12-18:00" u="1"/>
        <s v="2017-10-10-18:00" u="1"/>
        <s v="2017-10-30-17:00" u="1"/>
        <s v="2017-11-10-18:00" u="1"/>
        <s v="2017-11-30-17:00" u="1"/>
        <s v="2018-02-27-19:00" u="1"/>
        <s v="2018-03-27-19:00" u="1"/>
        <s v="2018-04-27-19:00" u="1"/>
        <s v="2017-01-25-19:00" u="1"/>
        <s v="2017-04-25-19:00" u="1"/>
        <s v="2017-05-25-19:00" u="1"/>
        <s v="2017-07-25-19:00" u="1"/>
        <s v="2017-08-25-19:00" u="1"/>
        <s v="2017-09-25-19:00" u="1"/>
        <s v="2017-10-25-19:00" u="1"/>
        <s v="2018-01-31-09:00" u="1"/>
        <s v="2016-01-11-19:00" u="1"/>
        <s v="2016-02-11-19:00" u="1"/>
        <s v="2016-03-11-19:00" u="1"/>
        <s v="2016-03-31-18:00" u="1"/>
        <s v="2016-04-11-19:00" u="1"/>
        <s v="2016-05-11-19:00" u="1"/>
        <s v="2016-05-31-18:00" u="1"/>
        <s v="2016-07-11-19:00" u="1"/>
        <s v="2016-08-11-19:00" u="1"/>
        <s v="2016-08-31-18:00" u="1"/>
        <s v="2016-10-11-19:00" u="1"/>
        <s v="2016-10-31-18:00" u="1"/>
        <s v="2016-11-11-19:00" u="1"/>
        <s v="2017-02-01-19:00" u="1"/>
        <s v="2017-02-21-18:00" u="1"/>
        <s v="2017-03-01-19:00" u="1"/>
        <s v="2017-03-21-18:00" u="1"/>
        <s v="2017-04-21-18:00" u="1"/>
        <s v="2017-05-01-19:00" u="1"/>
        <s v="2017-06-01-19:00" u="1"/>
        <s v="2017-06-21-18:00" u="1"/>
        <s v="2017-07-21-18:00" u="1"/>
        <s v="2017-08-01-19:00" u="1"/>
        <s v="2017-08-21-18:00" u="1"/>
        <s v="2017-09-01-19:00" u="1"/>
        <s v="2017-09-21-18:00" u="1"/>
        <s v="2017-11-01-19:00" u="1"/>
        <s v="2017-11-21-18:00" u="1"/>
        <s v="2017-12-01-19:00" u="1"/>
        <s v="2017-12-21-18:00" u="1"/>
        <s v="2018-01-11-18:00" u="1"/>
        <s v="2018-01-31-17:00" u="1"/>
        <s v="2018-04-11-18:00" u="1"/>
        <s v="2018-05-11-18:00" u="1"/>
        <s v="2018-01-26-19:00" u="1"/>
        <s v="2018-02-26-19:00" u="1"/>
        <s v="2018-03-26-19:00" u="1"/>
        <s v="2018-04-26-19:00" u="1"/>
        <s v="2018-01-30-09:00" u="1"/>
        <s v="2018-03-30-09:00" u="1"/>
        <s v="2018-04-30-09:00" u="1"/>
        <s v="2018-07-30-09:00" u="1"/>
        <s v="2017-01-12-19:00" u="1"/>
        <s v="2017-04-12-19:00" u="1"/>
        <s v="2017-05-12-19:00" u="1"/>
        <s v="2017-06-12-19:00" u="1"/>
        <s v="2017-07-12-19:00" u="1"/>
        <s v="2017-09-12-19:00" u="1"/>
        <s v="2016-02-10-19:00" u="1"/>
        <s v="2016-03-10-19:00" u="1"/>
        <s v="2016-03-30-18:00" u="1"/>
        <s v="2016-05-10-19:00" u="1"/>
        <s v="2016-05-30-18:00" u="1"/>
        <s v="2016-06-10-19:00" u="1"/>
        <s v="2016-06-30-18:00" u="1"/>
        <s v="2016-08-10-19:00" u="1"/>
        <s v="2016-08-30-18:00" u="1"/>
        <s v="2016-09-30-18:00" u="1"/>
        <s v="2016-10-10-19:00" u="1"/>
        <s v="2016-11-10-19:00" u="1"/>
        <s v="2016-11-30-18:00" u="1"/>
        <s v="2016-12-30-18:00" u="1"/>
        <s v="2018-01-02-19:00" u="1"/>
        <s v="2018-01-22-18:00" u="1"/>
        <s v="2018-02-02-19:00" u="1"/>
        <s v="2018-02-22-18:00" u="1"/>
        <s v="2018-03-02-19:00" u="1"/>
        <s v="2018-03-22-18:00" u="1"/>
        <s v="2018-04-02-19:00" u="1"/>
        <s v="2018-05-02-19:00" u="1"/>
        <s v="2018-05-22-18:00" u="1"/>
        <s v="2017-01-20-18:00" u="1"/>
        <s v="2017-02-20-18:00" u="1"/>
        <s v="2017-03-20-18:00" u="1"/>
        <s v="2017-04-20-18:00" u="1"/>
        <s v="2017-06-20-18:00" u="1"/>
        <s v="2017-07-20-18:00" u="1"/>
        <s v="2017-09-20-18:00" u="1"/>
        <s v="2017-10-20-18:00" u="1"/>
        <s v="2017-11-20-18:00" u="1"/>
        <s v="2017-12-20-18:00" u="1"/>
        <s v="2018-01-25-19:00" u="1"/>
        <s v="2018-04-25-19:00" u="1"/>
        <s v="2018-05-25-19:00" u="1"/>
        <s v="2015-12-31-19:00" u="1"/>
        <s v="2016-01-21-19:00" u="1"/>
        <s v="2016-03-21-19:00" u="1"/>
        <s v="2016-04-21-19:00" u="1"/>
        <s v="2016-06-21-19:00" u="1"/>
        <s v="2016-07-21-19:00" u="1"/>
        <s v="2016-09-21-19:00" u="1"/>
        <s v="2016-10-21-19:00" u="1"/>
        <s v="2016-11-21-19:00" u="1"/>
        <s v="2016-12-21-19:00" u="1"/>
        <s v="2017-01-11-19:00" u="1"/>
        <s v="2017-01-31-18:00" u="1"/>
        <s v="2017-03-31-18:00" u="1"/>
        <s v="2017-04-11-19:00" u="1"/>
        <s v="2017-05-11-19:00" u="1"/>
        <s v="2017-05-31-18:00" u="1"/>
        <s v="2017-07-11-19:00" u="1"/>
        <s v="2017-07-31-18:00" u="1"/>
        <s v="2017-08-11-19:00" u="1"/>
        <s v="2017-08-31-18:00" u="1"/>
        <s v="2017-09-11-19:00" u="1"/>
        <s v="2017-10-11-19:00" u="1"/>
        <s v="2017-10-31-18:00" u="1"/>
        <s v="2017-12-11-19:00" u="1"/>
        <s v="2018-02-01-19:00" u="1"/>
        <s v="2018-02-21-18:00" u="1"/>
        <s v="2018-03-01-19:00" u="1"/>
        <s v="2018-03-21-18:00" u="1"/>
        <s v="2018-05-01-19:00" u="1"/>
        <s v="2018-05-21-18:00" u="1"/>
        <s v="2015-12-30-19:00" u="1"/>
        <s v="2016-01-20-19:00" u="1"/>
        <s v="2016-04-20-19:00" u="1"/>
        <s v="2016-05-20-19:00" u="1"/>
        <s v="2016-06-20-19:00" u="1"/>
        <s v="2016-07-20-19:00" u="1"/>
        <s v="2016-09-20-19:00" u="1"/>
        <s v="2016-10-20-19:00" u="1"/>
        <s v="2016-12-20-19:00" u="1"/>
        <s v="2018-01-12-19:00" u="1"/>
        <s v="2018-02-12-19:00" u="1"/>
        <s v="2018-03-12-19:00" u="1"/>
        <s v="2018-04-12-19:00" u="1"/>
        <s v="2017-01-10-19:00" u="1"/>
        <s v="2017-01-30-18:00" u="1"/>
        <s v="2017-02-10-19:00" u="1"/>
        <s v="2017-03-10-19:00" u="1"/>
        <s v="2017-03-30-18:00" u="1"/>
        <s v="2017-04-10-19:00" u="1"/>
        <s v="2017-05-10-19:00" u="1"/>
        <s v="2017-05-30-18:00" u="1"/>
        <s v="2017-06-30-18:00" u="1"/>
        <s v="2017-07-10-19:00" u="1"/>
        <s v="2017-08-10-19:00" u="1"/>
        <s v="2017-08-30-18:00" u="1"/>
        <s v="2017-10-10-19:00" u="1"/>
        <s v="2017-10-30-18:00" u="1"/>
        <s v="2017-11-10-19:00" u="1"/>
      </sharedItems>
    </cacheField>
    <cacheField name="FEATURE" numFmtId="0" sqlType="6">
      <sharedItems containsSemiMixedTypes="0" containsString="0" containsNumber="1" containsInteger="1" minValue="0" maxValue="9" count="10">
        <n v="0"/>
        <n v="1"/>
        <n v="2"/>
        <n v="3"/>
        <n v="5" u="1"/>
        <n v="6" u="1"/>
        <n v="7" u="1"/>
        <n v="8" u="1"/>
        <n v="9" u="1"/>
        <n v="4" u="1"/>
      </sharedItems>
    </cacheField>
    <cacheField name="ACTUALTRS" numFmtId="0" sqlType="6">
      <sharedItems containsString="0" containsBlank="1" containsNumber="1" minValue="-0.219529002904892" maxValue="0.28859293460845897"/>
    </cacheField>
    <cacheField name="PREDICTEDTRS" numFmtId="0" sqlType="6">
      <sharedItems containsString="0" containsBlank="1" containsNumber="1" minValue="-0.19473980367183699" maxValue="0.227043762803078"/>
    </cacheField>
    <cacheField name="ERRORTRS" numFmtId="0" sqlType="6">
      <sharedItems containsString="0" containsBlank="1" containsNumber="1" minValue="1.3597309590000001E-6" maxValue="2.6313640177249902E-2"/>
    </cacheField>
    <cacheField name="ACTUALTR" numFmtId="0" sqlType="6">
      <sharedItems containsString="0" containsBlank="1" containsNumber="1" minValue="-3.06999683380127E-3" maxValue="3.04007530212402E-3"/>
    </cacheField>
    <cacheField name="PREDICTEDTR" numFmtId="0" sqlType="6">
      <sharedItems containsString="0" containsBlank="1" containsNumber="1" minValue="-1.9730355124920598E-3" maxValue="1.78198621142656E-3"/>
    </cacheField>
    <cacheField name="ERRORTR" numFmtId="0" sqlType="6">
      <sharedItems containsString="0" containsBlank="1" containsNumber="1" minValue="3.0122464523000003E-8" maxValue="4.579298110911627E-4"/>
    </cacheField>
    <cacheField name="ACTUALBASE" numFmtId="0" sqlType="6">
      <sharedItems containsString="0" containsBlank="1" containsNumber="1" minValue="1.16196000576019" maxValue="1.1742899417877199"/>
    </cacheField>
    <cacheField name="PREDICTEDBASE" numFmtId="0" sqlType="6">
      <sharedItems containsString="0" containsBlank="1" containsNumber="1" minValue="1.1619154214859" maxValue="1.16826736927032"/>
    </cacheField>
    <cacheField name="ERRORBASE" numFmtId="0" sqlType="6">
      <sharedItems containsString="0" containsBlank="1" containsNumber="1" minValue="0" maxValue="4.5788288116000001E-4"/>
    </cacheField>
  </cacheFields>
  <extLst>
    <ext xmlns:x14="http://schemas.microsoft.com/office/spreadsheetml/2009/9/main" uri="{725AE2AE-9491-48be-B2B4-4EB974FC3084}">
      <x14:pivotCacheDefinition pivotCacheId="7"/>
    </ext>
  </extLst>
</pivotCacheDefinition>
</file>

<file path=xl/pivotCache/pivotCacheDefinition8.xml><?xml version="1.0" encoding="utf-8"?>
<pivotCacheDefinition xmlns="http://schemas.openxmlformats.org/spreadsheetml/2006/main" xmlns:r="http://schemas.openxmlformats.org/officeDocument/2006/relationships" r:id="rId1" refreshedBy="gcaglion" refreshedDate="43722.99064502315" createdVersion="5" refreshedVersion="5" minRefreshableVersion="3" recordCount="2">
  <cacheSource type="external" connectionId="11"/>
  <cacheFields count="11">
    <cacheField name="CLIENTPID" numFmtId="0" sqlType="6">
      <sharedItems containsSemiMixedTypes="0" containsString="0" containsNumber="1" containsInteger="1" minValue="224" maxValue="16280" count="238">
        <n v="1656"/>
        <n v="10116" u="1"/>
        <n v="6696" u="1"/>
        <n v="10524" u="1"/>
        <n v="9880" u="1"/>
        <n v="11372" u="1"/>
        <n v="6476" u="1"/>
        <n v="7968" u="1"/>
        <n v="1268" u="1"/>
        <n v="7324" u="1"/>
        <n v="9440" u="1"/>
        <n v="2565" u="1"/>
        <n v="12628" u="1"/>
        <n v="15172" u="1"/>
        <n v="8156" u="1"/>
        <n v="4104" u="1"/>
        <n v="10460" u="1"/>
        <n v="4952" u="1"/>
        <n v="1900" u="1"/>
        <n v="9003" u="1"/>
        <n v="10868" u="1"/>
        <n v="8936" u="1"/>
        <n v="6412" u="1"/>
        <n v="10600" u="1"/>
        <n v="13584" u="1"/>
        <n v="4276" u="1"/>
        <n v="6192" u="1"/>
        <n v="11008" u="1"/>
        <n v="1036" u="1"/>
        <n v="11416" u="1"/>
        <n v="1248" u="1"/>
        <n v="7448" u="1"/>
        <n v="9688" u="1"/>
        <n v="1244" u="1"/>
        <n v="8604" u="1"/>
        <n v="10944" u="1"/>
        <n v="2568" u="1"/>
        <n v="8808" u="1"/>
        <n v="11996" u="1"/>
        <n v="12200" u="1"/>
        <n v="7636" u="1"/>
        <n v="9691" u="1"/>
        <n v="5076" u="1"/>
        <n v="9694" u="1"/>
        <n v="12407" u="1"/>
        <n v="15764" u="1"/>
        <n v="4569" u="1"/>
        <n v="13255" u="1"/>
        <n v="11696" u="1"/>
        <n v="12544" u="1"/>
        <n v="14240" u="1"/>
        <n v="4180" u="1"/>
        <n v="7164" u="1"/>
        <n v="8012" u="1"/>
        <n v="14852" u="1"/>
        <n v="6080" u="1"/>
        <n v="1436" u="1"/>
        <n v="2316" u="1"/>
        <n v="11259" u="1"/>
        <n v="1326" u="1"/>
        <n v="4572" u="1"/>
        <n v="8412" u="1"/>
        <n v="5420" u="1"/>
        <n v="9735" u="1"/>
        <n v="16280" u="1"/>
        <n v="4132" u="1"/>
        <n v="7540" u="1"/>
        <n v="11364" u="1"/>
        <n v="4980" u="1"/>
        <n v="11568" u="1"/>
        <n v="5828" u="1"/>
        <n v="2563" u="1"/>
        <n v="1212" u="1"/>
        <n v="3988" u="1"/>
        <n v="5796" u="1"/>
        <n v="10860" u="1"/>
        <n v="1008" u="1"/>
        <n v="8724" u="1"/>
        <n v="9572" u="1"/>
        <n v="3344" u="1"/>
        <n v="8928" u="1"/>
        <n v="6475" u="1"/>
        <n v="12591" u="1"/>
        <n v="4712" u="1"/>
        <n v="6204" u="1"/>
        <n v="8896" u="1"/>
        <n v="1251" u="1"/>
        <n v="11644" u="1"/>
        <n v="3116" u="1"/>
        <n v="11204" u="1"/>
        <n v="8088" u="1"/>
        <n v="5952" u="1"/>
        <n v="12664" u="1"/>
        <n v="5308" u="1"/>
        <n v="9884" u="1"/>
        <n v="11376" u="1"/>
        <n v="2888" u="1"/>
        <n v="7648" u="1"/>
        <n v="2566" u="1"/>
        <n v="14124" u="1"/>
        <n v="11344" u="1"/>
        <n v="5716" u="1"/>
        <n v="8328" u="1"/>
        <n v="14296" u="1"/>
        <n v="10295" u="1"/>
        <n v="12364" u="1"/>
        <n v="11280" u="1"/>
        <n v="5684" u="1"/>
        <n v="9992" u="1"/>
        <n v="9348" u="1"/>
        <n v="9552" u="1"/>
        <n v="12536" u="1"/>
        <n v="11892" u="1"/>
        <n v="8008" u="1"/>
        <n v="9689" u="1"/>
        <n v="5652" u="1"/>
        <n v="7144" u="1"/>
        <n v="4584" u="1"/>
        <n v="3060" u="1"/>
        <n v="7348" u="1"/>
        <n v="15456" u="1"/>
        <n v="4788" u="1"/>
        <n v="6280" u="1"/>
        <n v="9692" u="1"/>
        <n v="14168" u="1"/>
        <n v="4568" u="1"/>
        <n v="12236" u="1"/>
        <n v="1376" u="1"/>
        <n v="8180" u="1"/>
        <n v="9660" u="1"/>
        <n v="7536" u="1"/>
        <n v="10712" u="1"/>
        <n v="13696" u="1"/>
        <n v="9695" u="1"/>
        <n v="4332" u="1"/>
        <n v="10916" u="1"/>
        <n v="12408" u="1"/>
        <n v="10272" u="1"/>
        <n v="13256" u="1"/>
        <n v="2400" u="1"/>
        <n v="2612" u="1"/>
        <n v="6876" u="1"/>
        <n v="10036" u="1"/>
        <n v="12376" u="1"/>
        <n v="13428" u="1"/>
        <n v="7504" u="1"/>
        <n v="12784" u="1"/>
        <n v="4571" u="1"/>
        <n v="10648" u="1"/>
        <n v="12344" u="1"/>
        <n v="2596" u="1"/>
        <n v="5572" u="1"/>
        <n v="7115" u="1"/>
        <n v="6420" u="1"/>
        <n v="6844" u="1"/>
        <n v="9972" u="1"/>
        <n v="2000" u="1"/>
        <n v="5980" u="1"/>
        <n v="9736" u="1"/>
        <n v="4912" u="1"/>
        <n v="9092" u="1"/>
        <n v="10348" u="1"/>
        <n v="5964" u="1"/>
        <n v="6592" u="1"/>
        <n v="8084" u="1"/>
        <n v="12452" u="1"/>
        <n v="548" u="1"/>
        <n v="4064" u="1"/>
        <n v="14556" u="1"/>
        <n v="2564" u="1"/>
        <n v="12624" u="1"/>
        <n v="2988" u="1"/>
        <n v="9404" u="1"/>
        <n v="5492" u="1"/>
        <n v="11744" u="1"/>
        <n v="5916" u="1"/>
        <n v="12592" u="1"/>
        <n v="2972" u="1"/>
        <n v="5680" u="1"/>
        <n v="10628" u="1"/>
        <n v="9984" u="1"/>
        <n v="6528" u="1"/>
        <n v="7427" u="1"/>
        <n v="472" u="1"/>
        <n v="9512" u="1"/>
        <n v="1328" u="1"/>
        <n v="9276" u="1"/>
        <n v="7344" u="1"/>
        <n v="9888" u="1"/>
        <n v="8600" u="1"/>
        <n v="2567" u="1"/>
        <n v="2940" u="1"/>
        <n v="10296" u="1"/>
        <n v="5192" u="1"/>
        <n v="9416" u="1"/>
        <n v="13892" u="1"/>
        <n v="2932" u="1"/>
        <n v="12164" u="1"/>
        <n v="13656" u="1"/>
        <n v="956" u="1"/>
        <n v="2924" u="1"/>
        <n v="8144" u="1"/>
        <n v="9690" u="1"/>
        <n v="4567" u="1"/>
        <n v="4940" u="1"/>
        <n v="1257" u="1"/>
        <n v="3128" u="1"/>
        <n v="5144" u="1"/>
        <n v="12540" u="1"/>
        <n v="14880" u="1"/>
        <n v="11252" u="1"/>
        <n v="9693" u="1"/>
        <n v="16136" u="1"/>
        <n v="3332" u="1"/>
        <n v="8440" u="1"/>
        <n v="10780" u="1"/>
        <n v="2900" u="1"/>
        <n v="11832" u="1"/>
        <n v="9696" u="1"/>
        <n v="4570" u="1"/>
        <n v="5316" u="1"/>
        <n v="9224" u="1"/>
        <n v="10072" u="1"/>
        <n v="2562" u="1"/>
        <n v="11972" u="1"/>
        <n v="7624" u="1"/>
        <n v="10888" u="1"/>
        <n v="12584" u="1"/>
        <n v="6336" u="1"/>
        <n v="7184" u="1"/>
        <n v="14484" u="1"/>
        <n v="2216" u="1"/>
        <n v="6728" u="1"/>
        <n v="224" u="1"/>
        <n v="3276" u="1"/>
        <n v="10996" u="1"/>
        <n v="1327" u="1"/>
        <n v="12896" u="1"/>
      </sharedItems>
    </cacheField>
    <cacheField name="SESSIONID" numFmtId="0" sqlType="6">
      <sharedItems containsSemiMixedTypes="0" containsString="0" containsNumber="1" containsInteger="1" minValue="51" maxValue="32749" count="244">
        <n v="21200"/>
        <n v="29958" u="1"/>
        <n v="24567" u="1"/>
        <n v="25517" u="1"/>
        <n v="11168" u="1"/>
        <n v="29824" u="1"/>
        <n v="28909" u="1"/>
        <n v="17958" u="1"/>
        <n v="16501" u="1"/>
        <n v="11611" u="1"/>
        <n v="22504" u="1"/>
        <n v="10052" u="1"/>
        <n v="1637" u="1"/>
        <n v="2345" u="1"/>
        <n v="14630" u="1"/>
        <n v="12867" u="1"/>
        <n v="23897" u="1"/>
        <n v="930" u="1"/>
        <n v="7936" u="1"/>
        <n v="12733" u="1"/>
        <n v="27732" u="1"/>
        <n v="4783" u="1"/>
        <n v="5207" u="1"/>
        <n v="608" u="1"/>
        <n v="6428" u="1"/>
        <n v="16647" u="1"/>
        <n v="22988" u="1"/>
        <n v="24853" u="1"/>
        <n v="767" u="1"/>
        <n v="5666" u="1"/>
        <n v="6141" u="1"/>
        <n v="19264" u="1"/>
        <n v="23029" u="1"/>
        <n v="13010" u="1"/>
        <n v="8840" u="1"/>
        <n v="23134" u="1"/>
        <n v="19235" u="1"/>
        <n v="22965" u="1"/>
        <n v="30052" u="1"/>
        <n v="29883" u="1"/>
        <n v="16064" u="1"/>
        <n v="19847" u="1"/>
        <n v="26561" u="1"/>
        <n v="12538" u="1"/>
        <n v="28834" u="1"/>
        <n v="600" u="1"/>
        <n v="27546" u="1"/>
        <n v="24970" u="1"/>
        <n v="21817" u="1"/>
        <n v="10539" u="1"/>
        <n v="1931" u="1"/>
        <n v="24906" u="1"/>
        <n v="26771" u="1"/>
        <n v="16531" u="1"/>
        <n v="30332" u="1"/>
        <n v="10778" u="1"/>
        <n v="11524" u="1"/>
        <n v="15391" u="1"/>
        <n v="2120" u="1"/>
        <n v="1444" u="1"/>
        <n v="5519" u="1"/>
        <n v="23624" u="1"/>
        <n v="27558" u="1"/>
        <n v="30035" u="1"/>
        <n v="27832" u="1"/>
        <n v="28444" u="1"/>
        <n v="7521" u="1"/>
        <n v="14039" u="1"/>
        <n v="32209" u="1"/>
        <n v="27261" u="1"/>
        <n v="3427" u="1"/>
        <n v="4301" u="1"/>
        <n v="28077" u="1"/>
        <n v="10956" u="1"/>
        <n v="16178" u="1"/>
        <n v="21229" u="1"/>
        <n v="17703" u="1"/>
        <n v="2088" u="1"/>
        <n v="27063" u="1"/>
        <n v="1161" u="1"/>
        <n v="10822" u="1"/>
        <n v="30251" u="1"/>
        <n v="7320" u="1"/>
        <n v="4055" u="1"/>
        <n v="18554" u="1"/>
        <n v="26387" u="1"/>
        <n v="189" u="1"/>
        <n v="14418" u="1"/>
        <n v="30933" u="1"/>
        <n v="1010" u="1"/>
        <n v="21643" u="1"/>
        <n v="18490" u="1"/>
        <n v="20186" u="1"/>
        <n v="27821" u="1"/>
        <n v="5780" u="1"/>
        <n v="51" u="1"/>
        <n v="9065" u="1"/>
        <n v="3226" u="1"/>
        <n v="31353" u="1"/>
        <n v="1035" u="1"/>
        <n v="10187" u="1"/>
        <n v="19656" u="1"/>
        <n v="31627" u="1"/>
        <n v="9205" u="1"/>
        <n v="15750" u="1"/>
        <n v="3210" u="1"/>
        <n v="18508" u="1"/>
        <n v="25088" u="1"/>
        <n v="26988" u="1"/>
        <n v="7632" u="1"/>
        <n v="32076" u="1"/>
        <n v="3728" u="1"/>
        <n v="21329" u="1"/>
        <n v="6022" u="1"/>
        <n v="27874" u="1"/>
        <n v="10126" u="1"/>
        <n v="25164" u="1"/>
        <n v="8296" u="1"/>
        <n v="32321" u="1"/>
        <n v="23200" u="1"/>
        <n v="2381" u="1"/>
        <n v="8637" u="1"/>
        <n v="32595" u="1"/>
        <n v="8943" u="1"/>
        <n v="17034" u="1"/>
        <n v="9590" u="1"/>
        <n v="23754" u="1"/>
        <n v="3264" u="1"/>
        <n v="12067" u="1"/>
        <n v="23043" u="1"/>
        <n v="31995" u="1"/>
        <n v="29250" u="1"/>
        <n v="25794" u="1"/>
        <n v="19657" u="1"/>
        <n v="2985" u="1"/>
        <n v="1050" u="1"/>
        <n v="14410" u="1"/>
        <n v="8917" u="1"/>
        <n v="16743" u="1"/>
        <n v="18439" u="1"/>
        <n v="25730" u="1"/>
        <n v="30206" u="1"/>
        <n v="30480" u="1"/>
        <n v="2706" u="1"/>
        <n v="12921" u="1"/>
        <n v="29635" u="1"/>
        <n v="1788" u="1"/>
        <n v="4979" u="1"/>
        <n v="16819" u="1"/>
        <n v="17396" u="1"/>
        <n v="8244" u="1"/>
        <n v="9092" u="1"/>
        <n v="16281" u="1"/>
        <n v="15366" u="1"/>
        <n v="28895" u="1"/>
        <n v="15095" u="1"/>
        <n v="23370" u="1"/>
        <n v="4252" u="1"/>
        <n v="8518" u="1"/>
        <n v="19879" u="1"/>
        <n v="5473" u="1"/>
        <n v="31139" u="1"/>
        <n v="23312" u="1"/>
        <n v="25008" u="1"/>
        <n v="25078" u="1"/>
        <n v="21179" u="1"/>
        <n v="30131" u="1"/>
        <n v="13577" u="1"/>
        <n v="27182" u="1"/>
        <n v="473" u="1"/>
        <n v="5562" u="1"/>
        <n v="7851" u="1"/>
        <n v="31460" u="1"/>
        <n v="26069" u="1"/>
        <n v="13513" u="1"/>
        <n v="30242" u="1"/>
        <n v="14192" u="1"/>
        <n v="7140" u="1"/>
        <n v="25259" u="1"/>
        <n v="7937" u="1"/>
        <n v="5004" u="1"/>
        <n v="30889" u="1"/>
        <n v="26448" u="1"/>
        <n v="25160" u="1"/>
        <n v="12636" u="1"/>
        <n v="20078" u="1"/>
        <n v="25877" u="1"/>
        <n v="28319" u="1"/>
        <n v="27031" u="1"/>
        <n v="29508" u="1"/>
        <n v="27474" u="1"/>
        <n v="28220" u="1"/>
        <n v="6974" u="1"/>
        <n v="1151" u="1"/>
        <n v="21139" u="1"/>
        <n v="23377" u="1"/>
        <n v="4296" u="1"/>
        <n v="27515" u="1"/>
        <n v="98" u="1"/>
        <n v="846" u="1"/>
        <n v="7162" u="1"/>
        <n v="19991" u="1"/>
        <n v="31047" u="1"/>
        <n v="16704" u="1"/>
        <n v="897" u="1"/>
        <n v="22200" u="1"/>
        <n v="13799" u="1"/>
        <n v="29695" u="1"/>
        <n v="7181" u="1"/>
        <n v="32749" u="1"/>
        <n v="21390" u="1"/>
        <n v="29969" u="1"/>
        <n v="10783" u="1"/>
        <n v="8647" u="1"/>
        <n v="10512" u="1"/>
        <n v="18441" u="1"/>
        <n v="15498" u="1"/>
        <n v="27906" u="1"/>
        <n v="13872" u="1"/>
        <n v="11838" u="1"/>
        <n v="16448" u="1"/>
        <n v="29503" u="1"/>
        <n v="14280" u="1"/>
        <n v="24928" u="1"/>
        <n v="29404" u="1"/>
        <n v="21233" u="1"/>
        <n v="15571" u="1"/>
        <n v="16623" u="1"/>
        <n v="26694" u="1"/>
        <n v="17200" u="1"/>
        <n v="6575" u="1"/>
        <n v="6948" u="1"/>
        <n v="19642" u="1"/>
        <n v="22830" u="1"/>
        <n v="21169" u="1"/>
        <n v="8248" u="1"/>
        <n v="18389" u="1"/>
        <n v="13572" u="1"/>
        <n v="22935" u="1"/>
        <n v="11742" u="1"/>
        <n v="17002" u="1"/>
        <n v="7458" u="1"/>
        <n v="15405" u="1"/>
        <n v="29719" u="1"/>
      </sharedItems>
    </cacheField>
    <cacheField name="TICKETID" numFmtId="0" sqlType="6">
      <sharedItems containsSemiMixedTypes="0" containsString="0" containsNumber="1" containsInteger="1" minValue="-1" maxValue="2" count="2">
        <n v="2"/>
        <n v="-1"/>
      </sharedItems>
    </cacheField>
    <cacheField name="ENGINEPID" numFmtId="0" sqlType="6">
      <sharedItems containsSemiMixedTypes="0" containsString="0" containsNumber="1" containsInteger="1" minValue="2" maxValue="14360" count="48">
        <n v="14308"/>
        <n v="10364" u="1"/>
        <n v="5340" u="1"/>
        <n v="4384" u="1"/>
        <n v="13224" u="1"/>
        <n v="14360" u="1"/>
        <n v="6912" u="1"/>
        <n v="8624" u="1"/>
        <n v="5748" u="1"/>
        <n v="14096" u="1"/>
        <n v="5644" u="1"/>
        <n v="12260" u="1"/>
        <n v="2" u="1"/>
        <n v="5304" u="1"/>
        <n v="8948" u="1"/>
        <n v="2092" u="1"/>
        <n v="3228" u="1"/>
        <n v="5768" u="1"/>
        <n v="12868" u="1"/>
        <n v="9252" u="1"/>
        <n v="11808" u="1"/>
        <n v="13796" u="1"/>
        <n v="5920" u="1"/>
        <n v="9044" u="1"/>
        <n v="6564" u="1"/>
        <n v="11184" u="1"/>
        <n v="8420" u="1"/>
        <n v="7284" u="1"/>
        <n v="7360" u="1"/>
        <n v="10012" u="1"/>
        <n v="12000" u="1"/>
        <n v="8384" u="1"/>
        <n v="5212" u="1"/>
        <n v="2936" u="1"/>
        <n v="5648" u="1"/>
        <n v="4124" u="1"/>
        <n v="1252" u="1"/>
        <n v="2444" u="1"/>
        <n v="3012" u="1"/>
        <n v="10964" u="1"/>
        <n v="5820" u="1"/>
        <n v="6956" u="1"/>
        <n v="4935" u="1"/>
        <n v="5688" u="1"/>
        <n v="5764" u="1"/>
        <n v="12292" u="1"/>
        <n v="7800" u="1"/>
        <n v="11952" u="1"/>
      </sharedItems>
    </cacheField>
    <cacheField name="LASTBART" numFmtId="0" sqlType="11">
      <sharedItems containsSemiMixedTypes="0" containsNonDate="0" containsDate="1" containsString="0" minDate="2017-06-30T23:00:00" maxDate="2020-09-12T17:00:00" count="1866">
        <d v="2018-07-27T22:00:00"/>
        <d v="2018-07-27T23: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8-08-02T01:00:00" u="1"/>
        <d v="2017-07-06T05:00:00" u="1"/>
        <d v="2018-08-02T02:00:00" u="1"/>
        <d v="2017-07-06T06:00:00" u="1"/>
        <d v="2018-07-06T05:00:00" u="1"/>
        <d v="2018-08-02T03:00:00" u="1"/>
        <d v="2017-07-06T07:00:00" u="1"/>
        <d v="2018-07-06T06:00:00" u="1"/>
        <d v="2018-08-02T04:00:00" u="1"/>
        <d v="2017-07-06T08:00:00" u="1"/>
        <d v="2017-08-02T06:00:00" u="1"/>
        <d v="2018-08-02T05:00:00" u="1"/>
        <d v="2017-07-06T09:00:00" u="1"/>
        <d v="2017-08-02T07:00:00" u="1"/>
        <d v="2018-07-06T08:00:00" u="1"/>
        <d v="2018-08-02T06:00:00" u="1"/>
        <d v="2017-07-06T10:00:00" u="1"/>
        <d v="2018-08-02T07:00:00" u="1"/>
        <d v="2017-08-02T09:00:00" u="1"/>
        <d v="2018-07-06T10:00:00" u="1"/>
        <d v="2018-08-02T08:00:00" u="1"/>
        <d v="2017-07-06T12:00:00" u="1"/>
        <d v="2018-07-06T11:00:00" u="1"/>
        <d v="2018-08-02T09:00:00" u="1"/>
        <d v="2017-07-06T13:00:00" u="1"/>
        <d v="2017-08-02T11:00:00" u="1"/>
        <d v="2018-07-06T12:00:00" u="1"/>
        <d v="2018-08-02T10:00:00" u="1"/>
        <d v="2017-07-06T14:00:00" u="1"/>
        <d v="2017-08-02T12:00:00" u="1"/>
        <d v="2018-08-02T11:00:00" u="1"/>
        <d v="2017-07-06T15:00:00" u="1"/>
        <d v="2018-07-06T14:00:00" u="1"/>
        <d v="2018-08-02T12:00:00" u="1"/>
        <d v="2017-07-06T16:00:00" u="1"/>
        <d v="2018-08-02T13:00:00" u="1"/>
        <d v="2017-07-06T17:00:00" u="1"/>
        <d v="2017-08-02T15:00:00" u="1"/>
        <d v="2018-07-06T16:00:00" u="1"/>
        <d v="2018-08-02T14:00:00" u="1"/>
        <d v="2017-07-06T18:00:00" u="1"/>
        <d v="2017-08-02T16:00:00" u="1"/>
        <d v="2018-07-06T17:00:00" u="1"/>
        <d v="2018-08-02T15:00:00" u="1"/>
        <d v="2017-07-06T19:00:00" u="1"/>
        <d v="2017-08-02T17:00:00" u="1"/>
        <d v="2018-07-06T18:00:00" u="1"/>
        <d v="2018-08-02T16:00:00" u="1"/>
        <d v="2017-07-06T20:00:00" u="1"/>
        <d v="2018-07-06T19:00:00" u="1"/>
        <d v="2018-08-02T17:00:00" u="1"/>
        <d v="2018-07-06T20:00:00" u="1"/>
        <d v="2018-08-02T18:00:00" u="1"/>
        <d v="2017-07-06T22:00:00" u="1"/>
        <d v="2017-08-02T20:00:00" u="1"/>
        <d v="2018-07-06T21:00:00" u="1"/>
        <d v="2018-08-02T19:00:00" u="1"/>
        <d v="2018-08-02T20:00:00" u="1"/>
        <d v="2017-08-02T22:00:00" u="1"/>
        <d v="2018-07-06T23:00:00" u="1"/>
        <d v="2018-08-02T21:00:00" u="1"/>
        <d v="2018-08-02T22: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9-09-02T01:00:00" u="1"/>
        <d v="2017-07-10T08:00:00" u="1"/>
        <d v="2018-07-10T07:00:00" u="1"/>
        <d v="2019-09-02T02:00:00" u="1"/>
        <d v="2017-07-10T09:00:00" u="1"/>
        <d v="2018-07-10T08:00:00" u="1"/>
        <d v="2019-09-02T03: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9-09-02T21:00:00" u="1"/>
        <d v="2019-09-02T22:00:00" u="1"/>
        <d v="2019-09-02T23:00:00" u="1"/>
        <d v="2018-07-12T00:00:00" u="1"/>
        <d v="2018-07-12T01:00:00" u="1"/>
        <d v="2017-08-08T01:00:00" u="1"/>
        <d v="2018-07-12T02:00:00" u="1"/>
        <d v="2018-08-08T00:00:00" u="1"/>
        <d v="2018-07-12T03:00:00" u="1"/>
        <d v="2018-07-12T04:00:00" u="1"/>
        <d v="2017-08-08T04:00:00" u="1"/>
        <d v="2018-07-12T05:00:00" u="1"/>
        <d v="2019-09-04T00:00:00" u="1"/>
        <d v="2018-07-12T06:00:00" u="1"/>
        <d v="2019-09-04T01: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9-09-04T16:00:00" u="1"/>
        <d v="2017-08-08T21:00:00" u="1"/>
        <d v="2018-07-12T22:00:00" u="1"/>
        <d v="2017-08-08T22:00:00" u="1"/>
        <d v="2018-07-12T23:00:00" u="1"/>
        <d v="2019-09-04T18:00:00" u="1"/>
        <d v="2019-09-04T19:00:00" u="1"/>
        <d v="2019-09-04T20:00:00" u="1"/>
        <d v="2019-09-04T21:00:00" u="1"/>
        <d v="2019-09-04T22:00:00" u="1"/>
        <d v="2019-09-04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9-09-06T18:00:00" u="1"/>
        <d v="2019-09-06T21:00:00" u="1"/>
        <d v="2019-09-06T22:00:00" u="1"/>
        <d v="2018-07-16T00: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0: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20-09-12T11:00:00" u="1"/>
        <d v="2017-09-12T15:00:00" u="1"/>
        <d v="2018-07-20T18:00:00" u="1"/>
        <d v="2020-09-12T12:00:00" u="1"/>
        <d v="2017-09-12T16:00:00" u="1"/>
        <d v="2018-07-20T19:00:00" u="1"/>
        <d v="2020-09-12T13:00:00" u="1"/>
        <d v="2017-08-16T19:00:00" u="1"/>
        <d v="2018-07-20T20:00:00" u="1"/>
        <d v="2020-09-12T14:00:00" u="1"/>
        <d v="2017-08-16T20:00:00" u="1"/>
        <d v="2017-09-12T18:00:00" u="1"/>
        <d v="2018-07-20T21:00:00" u="1"/>
        <d v="2019-09-12T16:00:00" u="1"/>
        <d v="2020-09-12T15:00:00" u="1"/>
        <d v="2017-08-16T21:00:00" u="1"/>
        <d v="2017-09-12T19:00:00" u="1"/>
        <d v="2018-07-20T22:00:00" u="1"/>
        <d v="2019-09-12T17:00:00" u="1"/>
        <d v="2020-09-12T16:00:00" u="1"/>
        <d v="2017-08-16T22:00:00" u="1"/>
        <d v="2017-09-12T20:00:00" u="1"/>
        <d v="2018-07-20T23:00:00" u="1"/>
        <d v="2019-09-12T18:00:00" u="1"/>
        <d v="2020-09-12T17:00:00" u="1"/>
        <d v="2017-08-16T23:00:00" u="1"/>
        <d v="2017-09-12T21:00:00" u="1"/>
        <d v="2019-09-12T19:00:00" u="1"/>
        <d v="2017-09-12T22:00:00" u="1"/>
        <d v="2019-09-12T20: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8-07-24T00:00:00" u="1"/>
        <d v="2017-07-24T02:00:00" u="1"/>
        <d v="2018-07-24T01:00:00" u="1"/>
        <d v="2017-07-24T03:00:00" u="1"/>
        <d v="2018-07-24T02:00:00" u="1"/>
        <d v="2018-08-20T00:00:00" u="1"/>
        <d v="2017-07-24T04:00:00" u="1"/>
        <d v="2017-09-16T00:00:00" u="1"/>
        <d v="2018-07-24T03:00:00" u="1"/>
        <d v="2017-07-24T05:00:00" u="1"/>
        <d v="2017-09-16T01:00:00" u="1"/>
        <d v="2018-07-24T04:00:00" u="1"/>
        <d v="2017-07-24T06:00:00" u="1"/>
        <d v="2018-07-24T05:00:00" u="1"/>
        <d v="2017-07-24T07:00:00" u="1"/>
        <d v="2018-07-24T06:00:00" u="1"/>
        <d v="2017-07-24T08:00:00" u="1"/>
        <d v="2017-11-08T00:00:00" u="1"/>
        <d v="2018-07-24T07:00:00" u="1"/>
        <d v="2017-07-24T09:00:00" u="1"/>
        <d v="2017-11-08T01:00:00" u="1"/>
        <d v="2018-07-24T08:00:00" u="1"/>
        <d v="2017-07-24T10:00:00" u="1"/>
        <d v="2017-11-08T02:00:00" u="1"/>
        <d v="2018-07-24T09:00:00" u="1"/>
        <d v="2017-07-24T11:00:00" u="1"/>
        <d v="2017-11-08T03:00:00" u="1"/>
        <d v="2017-12-04T01:00:00" u="1"/>
        <d v="2018-07-24T10:00:00" u="1"/>
        <d v="2017-07-24T12:00:00" u="1"/>
        <d v="2017-11-08T04:00:00" u="1"/>
        <d v="2017-12-04T02:00:00" u="1"/>
        <d v="2018-07-24T11:00:00" u="1"/>
        <d v="2017-07-24T13:00:00" u="1"/>
        <d v="2017-11-08T05:00:00" u="1"/>
        <d v="2017-12-04T03:00:00" u="1"/>
        <d v="2018-07-24T12:00:00" u="1"/>
        <d v="2017-07-24T14:00:00" u="1"/>
        <d v="2017-11-08T06:00:00" u="1"/>
        <d v="2017-12-04T04:00:00" u="1"/>
        <d v="2018-07-24T13:00:00" u="1"/>
        <d v="2017-07-24T15:00:00" u="1"/>
        <d v="2017-11-08T07:00:00" u="1"/>
        <d v="2018-07-24T14:00:00" u="1"/>
        <d v="2017-07-24T16:00:00" u="1"/>
        <d v="2017-11-08T08:00:00" u="1"/>
        <d v="2017-12-04T06:00:00" u="1"/>
        <d v="2018-07-24T15:00:00" u="1"/>
        <d v="2017-07-24T17:00:00" u="1"/>
        <d v="2017-11-08T09:00:00" u="1"/>
        <d v="2017-12-04T07:00:00" u="1"/>
        <d v="2018-07-24T16:00:00" u="1"/>
        <d v="2017-07-24T18:00:00" u="1"/>
        <d v="2017-11-08T10:00:00" u="1"/>
        <d v="2017-12-04T08:00:00" u="1"/>
        <d v="2018-07-24T17:00:00" u="1"/>
        <d v="2017-07-24T19:00:00" u="1"/>
        <d v="2017-11-08T11:00:00" u="1"/>
        <d v="2017-12-04T09:00:00" u="1"/>
        <d v="2018-07-24T18:00:00" u="1"/>
        <d v="2017-07-24T20:00:00" u="1"/>
        <d v="2017-11-08T12:00:00" u="1"/>
        <d v="2017-12-04T10:00:00" u="1"/>
        <d v="2018-07-24T19:00:00" u="1"/>
        <d v="2017-07-24T21:00:00" u="1"/>
        <d v="2017-11-08T13:00:00" u="1"/>
        <d v="2017-12-04T11:00:00" u="1"/>
        <d v="2018-07-24T20:00:00" u="1"/>
        <d v="2017-07-24T22:00:00" u="1"/>
        <d v="2017-11-08T14:00:00" u="1"/>
        <d v="2017-12-04T12:00:00" u="1"/>
        <d v="2018-07-24T21:00:00" u="1"/>
        <d v="2017-07-24T23:00:00" u="1"/>
        <d v="2017-11-08T15:00:00" u="1"/>
        <d v="2018-07-24T22:00:00" u="1"/>
        <d v="2017-11-08T16:00:00" u="1"/>
        <d v="2017-12-04T14:00:00" u="1"/>
        <d v="2018-07-24T23: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7-26T02:00:00" u="1"/>
        <d v="2018-08-22T00:00:00" u="1"/>
        <d v="2017-07-26T04:00:00" u="1"/>
        <d v="2018-07-26T03:00:00" u="1"/>
        <d v="2017-07-26T05:00:00" u="1"/>
        <d v="2018-07-26T04:00:00" u="1"/>
        <d v="2017-07-26T06:00:00" u="1"/>
        <d v="2017-09-18T02:00:00" u="1"/>
        <d v="2018-07-26T05:00:00" u="1"/>
        <d v="2017-07-26T07:00:00" u="1"/>
        <d v="2017-09-18T03:00:00" u="1"/>
        <d v="2018-07-26T06:00:00" u="1"/>
        <d v="2017-07-26T08:00:00" u="1"/>
        <d v="2017-09-18T04:00:00" u="1"/>
        <d v="2017-11-10T00:00:00" u="1"/>
        <d v="2018-07-26T07: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8-07-26T14: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8-07-26T22: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1:00:00" u="1"/>
        <d v="2019-07-30T00:00:00" u="1"/>
        <d v="2018-07-30T02:00:00" u="1"/>
        <d v="2019-07-30T01:00:00" u="1"/>
        <d v="2018-07-30T03:00:00" u="1"/>
        <d v="2019-07-30T02:00:00" u="1"/>
        <d v="2018-07-30T04:00:00" u="1"/>
        <d v="2019-07-30T03:00:00" u="1"/>
        <d v="2018-07-30T05:00:00" u="1"/>
        <d v="2019-07-30T04:00:00" u="1"/>
        <d v="2018-07-30T06:00:00" u="1"/>
        <d v="2019-07-30T05:00:00" u="1"/>
        <d v="2017-11-14T00:00:00" u="1"/>
        <d v="2018-07-30T07:00:00" u="1"/>
        <d v="2019-07-30T06:00:00" u="1"/>
        <d v="2017-11-14T01:00:00" u="1"/>
        <d v="2018-07-30T08:00:00" u="1"/>
        <d v="2019-07-30T07:00:00" u="1"/>
        <d v="2017-11-14T02:00:00" u="1"/>
        <d v="2018-07-30T09:00:00" u="1"/>
        <d v="2019-07-30T08:00:00" u="1"/>
        <d v="2017-11-14T03:00:00" u="1"/>
        <d v="2018-07-30T10:00:00" u="1"/>
        <d v="2019-07-30T09:00:00" u="1"/>
        <d v="2017-11-14T04:00:00" u="1"/>
        <d v="2018-07-30T11:00:00" u="1"/>
        <d v="2019-07-30T10:00:00" u="1"/>
        <d v="2017-11-14T05:00:00" u="1"/>
        <d v="2018-07-30T12:00:00" u="1"/>
        <d v="2019-07-30T11:00:00" u="1"/>
        <d v="2017-11-14T06:00:00" u="1"/>
        <d v="2018-07-30T13:00:00" u="1"/>
        <d v="2019-07-30T12:00:00" u="1"/>
        <d v="2017-11-14T07:00:00" u="1"/>
        <d v="2018-07-30T14:00:00" u="1"/>
        <d v="2019-07-30T13:00:00" u="1"/>
        <d v="2017-11-14T08:00:00" u="1"/>
        <d v="2018-07-30T15:00:00" u="1"/>
        <d v="2019-07-30T14:00:00" u="1"/>
        <d v="2017-11-14T09:00:00" u="1"/>
        <d v="2018-07-30T16:00:00" u="1"/>
        <d v="2019-07-30T15:00:00" u="1"/>
        <d v="2017-11-14T10:00:00" u="1"/>
        <d v="2018-07-30T17:00:00" u="1"/>
        <d v="2019-07-30T16:00:00" u="1"/>
        <d v="2017-11-14T11:00:00" u="1"/>
        <d v="2018-07-30T18:00:00" u="1"/>
        <d v="2019-07-30T17:00:00" u="1"/>
        <d v="2017-11-14T12:00:00" u="1"/>
        <d v="2018-07-30T19:00:00" u="1"/>
        <d v="2019-07-30T18:00:00" u="1"/>
        <d v="2017-11-14T13:00:00" u="1"/>
        <d v="2018-07-30T20:00:00" u="1"/>
        <d v="2019-07-30T19:00:00" u="1"/>
        <d v="2017-11-14T14:00:00" u="1"/>
        <d v="2018-07-30T21:00:00" u="1"/>
        <d v="2019-07-30T20:00:00" u="1"/>
        <d v="2017-11-14T15:00:00" u="1"/>
        <d v="2018-07-30T22:00:00" u="1"/>
        <d v="2019-07-30T21: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8-08-01T01:00:00" u="1"/>
        <d v="2017-08-01T03:00:00" u="1"/>
        <d v="2018-08-01T02:00:00" u="1"/>
        <d v="2017-07-05T06:00:00" u="1"/>
        <d v="2017-08-01T04:00:00" u="1"/>
        <d v="2018-07-05T05:00:00" u="1"/>
        <d v="2018-08-01T03:00:00" u="1"/>
        <d v="2017-07-05T07:00:00" u="1"/>
        <d v="2018-08-01T04:00:00" u="1"/>
        <d v="2018-08-01T05:00:00" u="1"/>
        <d v="2017-07-05T09:00:00" u="1"/>
        <d v="2017-08-01T07:00:00" u="1"/>
        <d v="2018-07-05T08:00:00" u="1"/>
        <d v="2018-08-01T06:00:00" u="1"/>
        <d v="2017-07-05T10:00:00" u="1"/>
        <d v="2017-08-01T08:00:00" u="1"/>
        <d v="2018-07-05T09:00:00" u="1"/>
        <d v="2018-08-01T07:00:00" u="1"/>
        <d v="2017-07-05T11:00:00" u="1"/>
        <d v="2017-08-01T09:00:00" u="1"/>
        <d v="2018-07-05T10:00:00" u="1"/>
        <d v="2018-08-01T08:00:00" u="1"/>
        <d v="2017-07-05T12:00:00" u="1"/>
        <d v="2018-07-05T11:00:00" u="1"/>
        <d v="2018-08-01T09:00:00" u="1"/>
        <d v="2017-07-05T13:00:00" u="1"/>
        <d v="2017-08-01T11:00:00" u="1"/>
        <d v="2018-07-05T12:00:00" u="1"/>
        <d v="2018-08-01T10:00:00" u="1"/>
        <d v="2017-07-05T14:00:00" u="1"/>
        <d v="2017-08-01T12:00:00" u="1"/>
        <d v="2018-07-05T13:00:00" u="1"/>
        <d v="2018-08-01T11:00:00" u="1"/>
        <d v="2017-07-05T15:00:00" u="1"/>
        <d v="2017-08-01T13:00:00" u="1"/>
        <d v="2018-07-05T14:00:00" u="1"/>
        <d v="2018-08-01T12:00:00" u="1"/>
        <d v="2017-07-05T16:00:00" u="1"/>
        <d v="2017-08-01T14:00:00" u="1"/>
        <d v="2018-07-05T15:00:00" u="1"/>
        <d v="2018-08-01T13:00:00" u="1"/>
        <d v="2017-07-05T17:00:00" u="1"/>
        <d v="2017-08-01T15:00:00" u="1"/>
        <d v="2018-07-05T16:00:00" u="1"/>
        <d v="2018-08-01T14:00:00" u="1"/>
        <d v="2017-07-05T18:00:00" u="1"/>
        <d v="2017-08-01T16:00:00" u="1"/>
        <d v="2018-07-05T17:00:00" u="1"/>
        <d v="2018-08-01T15:00:00" u="1"/>
        <d v="2017-07-05T19:00:00" u="1"/>
        <d v="2017-08-01T17:00:00" u="1"/>
        <d v="2018-07-05T18:00:00" u="1"/>
        <d v="2018-08-01T16:00:00" u="1"/>
        <d v="2017-08-01T18:00:00" u="1"/>
        <d v="2018-07-05T19:00:00" u="1"/>
        <d v="2018-08-01T17:00:00" u="1"/>
        <d v="2017-07-05T21:00:00" u="1"/>
        <d v="2018-07-05T20:00:00" u="1"/>
        <d v="2018-08-01T18:00:00" u="1"/>
        <d v="2017-07-05T22:00:00" u="1"/>
        <d v="2018-07-05T21:00:00" u="1"/>
        <d v="2018-08-01T19:00:00" u="1"/>
        <d v="2017-07-05T23:00:00" u="1"/>
        <d v="2017-08-01T21:00:00" u="1"/>
        <d v="2018-07-05T22:00:00" u="1"/>
        <d v="2018-08-01T20:00:00" u="1"/>
        <d v="2018-07-05T23:00:00" u="1"/>
        <d v="2018-08-01T21:00:00" u="1"/>
        <d v="2018-08-01T22:00:00" u="1"/>
        <d v="2018-08-01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9-09-03T00:00:00" u="1"/>
        <d v="2017-07-11T07:00:00" u="1"/>
        <d v="2018-07-11T06:00:00" u="1"/>
        <d v="2017-08-07T06:00:00" u="1"/>
        <d v="2018-07-11T07:00:00" u="1"/>
        <d v="2019-09-03T02:00:00" u="1"/>
        <d v="2018-07-11T08:00:00" u="1"/>
        <d v="2019-09-03T03:00:00" u="1"/>
        <d v="2017-07-11T10:00:00" u="1"/>
        <d v="2018-07-11T09:00:00" u="1"/>
        <d v="2017-08-07T09:00:00" u="1"/>
        <d v="2018-07-11T10:00:00" u="1"/>
        <d v="2019-09-03T05:00:00" u="1"/>
        <d v="2017-07-11T12:00:00" u="1"/>
        <d v="2017-08-07T10:00:00" u="1"/>
        <d v="2018-07-11T11:00:00" u="1"/>
        <d v="2019-09-03T06:00:00" u="1"/>
        <d v="2017-08-07T11:00:00" u="1"/>
        <d v="2018-07-11T12:00:00" u="1"/>
        <d v="2019-09-03T07:00:00" u="1"/>
        <d v="2017-07-11T14:00:00" u="1"/>
        <d v="2017-08-07T12:00:00" u="1"/>
        <d v="2018-07-11T13:00:00" u="1"/>
        <d v="2017-07-11T15:00:00" u="1"/>
        <d v="2017-08-07T13:00:00" u="1"/>
        <d v="2018-07-11T14:00:00" u="1"/>
        <d v="2019-09-03T09:00:00" u="1"/>
        <d v="2017-07-11T16:00:00" u="1"/>
        <d v="2017-08-07T14:00:00" u="1"/>
        <d v="2018-07-11T15:00:00" u="1"/>
        <d v="2017-07-11T17:00:00" u="1"/>
        <d v="2017-08-07T15:00:00" u="1"/>
        <d v="2018-07-11T16:00:00" u="1"/>
        <d v="2019-09-03T11:00:00" u="1"/>
        <d v="2018-07-11T17:00:00" u="1"/>
        <d v="2018-07-11T18:00:00" u="1"/>
        <d v="2018-07-11T19:00:00" u="1"/>
        <d v="2018-07-11T20:00:00" u="1"/>
        <d v="2018-07-11T21:00:00" u="1"/>
        <d v="2018-07-11T22:00:00" u="1"/>
        <d v="2018-07-11T23:00:00" u="1"/>
        <d v="2019-09-03T22:00:00" u="1"/>
        <d v="2019-09-03T23:00:00" u="1"/>
        <d v="2018-07-13T00:00:00" u="1"/>
        <d v="2018-07-13T01:00:00" u="1"/>
        <d v="2018-07-13T02:00:00" u="1"/>
        <d v="2018-08-09T00:00:00" u="1"/>
        <d v="2018-07-13T03:00:00" u="1"/>
        <d v="2017-08-09T03:00:00" u="1"/>
        <d v="2018-07-13T04:00:00" u="1"/>
        <d v="2017-08-09T04:00:00" u="1"/>
        <d v="2018-07-13T05:00:00" u="1"/>
        <d v="2019-09-05T00:00:00" u="1"/>
        <d v="2017-08-09T05:00:00" u="1"/>
        <d v="2018-07-13T06:00:00" u="1"/>
        <d v="2019-09-05T01:00:00" u="1"/>
        <d v="2017-09-05T04:00:00" u="1"/>
        <d v="2018-07-13T07:00:00" u="1"/>
        <d v="2019-09-05T02:00:00" u="1"/>
        <d v="2017-08-09T07:00:00" u="1"/>
        <d v="2017-09-05T05:00:00" u="1"/>
        <d v="2018-07-13T08: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9-09-05T19: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9-09-11T10:00:00" u="1"/>
        <d v="2017-08-15T15:00:00" u="1"/>
        <d v="2017-09-11T13:00:00" u="1"/>
        <d v="2017-11-03T09:00:00" u="1"/>
        <d v="2018-07-19T16:00:00" u="1"/>
        <d v="2019-09-11T11: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9-09-13T11:00:00" u="1"/>
        <d v="2017-08-17T16:00:00" u="1"/>
        <d v="2017-09-13T14:00:00" u="1"/>
        <d v="2017-12-01T08:00:00" u="1"/>
        <d v="2019-09-13T12: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8-07-23T00:00:00" u="1"/>
        <d v="2017-12-01T23:00:00" u="1"/>
        <d v="2018-07-23T01:00:00" u="1"/>
        <d v="2018-07-23T02:00:00" u="1"/>
        <d v="2017-09-15T00:00:00" u="1"/>
        <d v="2018-07-23T03:00:00" u="1"/>
        <d v="2018-07-23T04:00:00" u="1"/>
        <d v="2018-07-23T05: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8-07-23T16: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8-07-25T00:00:00" u="1"/>
        <d v="2017-07-25T02:00:00" u="1"/>
        <d v="2018-07-25T01:00:00" u="1"/>
        <d v="2017-07-25T03:00:00" u="1"/>
        <d v="2018-07-25T02:00:00" u="1"/>
        <d v="2018-08-21T00:00:00" u="1"/>
        <d v="2017-07-25T04:00:00" u="1"/>
        <d v="2018-07-25T03:00:00" u="1"/>
        <d v="2017-07-25T05:00:00" u="1"/>
        <d v="2018-07-25T04:00:00" u="1"/>
        <d v="2017-07-25T06:00:00" u="1"/>
        <d v="2018-07-25T05:00:00" u="1"/>
        <d v="2017-07-25T07:00:00" u="1"/>
        <d v="2018-07-25T06:00:00" u="1"/>
        <d v="2017-07-25T08:00:00" u="1"/>
        <d v="2017-11-09T00:00:00" u="1"/>
        <d v="2018-07-25T07:00:00" u="1"/>
        <d v="2017-07-25T09:00:00" u="1"/>
        <d v="2017-11-09T01:00:00" u="1"/>
        <d v="2018-07-25T08:00:00" u="1"/>
        <d v="2017-07-25T10:00:00" u="1"/>
        <d v="2017-11-09T02:00:00" u="1"/>
        <d v="2018-07-25T09:00:00" u="1"/>
        <d v="2017-07-25T11:00:00" u="1"/>
        <d v="2017-11-09T03:00:00" u="1"/>
        <d v="2017-12-05T01:00:00" u="1"/>
        <d v="2018-07-25T10:00:00" u="1"/>
        <d v="2017-07-25T12:00:00" u="1"/>
        <d v="2017-11-09T04:00:00" u="1"/>
        <d v="2017-12-05T02:00:00" u="1"/>
        <d v="2018-07-25T11:00:00" u="1"/>
        <d v="2017-07-25T13:00:00" u="1"/>
        <d v="2017-11-09T05:00:00" u="1"/>
        <d v="2017-12-05T03:00:00" u="1"/>
        <d v="2018-07-25T12:00:00" u="1"/>
        <d v="2017-07-25T14:00:00" u="1"/>
        <d v="2017-11-09T06:00:00" u="1"/>
        <d v="2017-12-05T04:00:00" u="1"/>
        <d v="2018-07-25T13:00:00" u="1"/>
        <d v="2017-07-25T15:00:00" u="1"/>
        <d v="2017-11-09T07:00:00" u="1"/>
        <d v="2017-12-05T05:00:00" u="1"/>
        <d v="2018-07-25T14:00:00" u="1"/>
        <d v="2017-07-25T16:00:00" u="1"/>
        <d v="2017-11-09T08:00:00" u="1"/>
        <d v="2017-12-05T06:00:00" u="1"/>
        <d v="2018-07-25T15:00:00" u="1"/>
        <d v="2017-07-25T17:00:00" u="1"/>
        <d v="2017-11-09T09:00:00" u="1"/>
        <d v="2018-07-25T16:00:00" u="1"/>
        <d v="2017-07-25T18:00:00" u="1"/>
        <d v="2017-11-09T10:00:00" u="1"/>
        <d v="2017-12-05T08:00:00" u="1"/>
        <d v="2018-07-25T17:00:00" u="1"/>
        <d v="2017-07-25T19:00:00" u="1"/>
        <d v="2017-11-09T11:00:00" u="1"/>
        <d v="2017-12-05T09:00:00" u="1"/>
        <d v="2018-07-25T18:00:00" u="1"/>
        <d v="2017-07-25T20:00:00" u="1"/>
        <d v="2017-11-09T12:00:00" u="1"/>
        <d v="2017-12-05T10:00:00" u="1"/>
        <d v="2018-07-25T19:00:00" u="1"/>
        <d v="2017-07-25T21:00:00" u="1"/>
        <d v="2017-11-09T13:00:00" u="1"/>
        <d v="2017-12-05T11:00:00" u="1"/>
        <d v="2018-07-25T20:00:00" u="1"/>
        <d v="2017-07-25T22:00:00" u="1"/>
        <d v="2017-11-09T14:00:00" u="1"/>
        <d v="2017-12-05T12:00:00" u="1"/>
        <d v="2018-06-29T23:00:00" u="1"/>
        <d v="2018-07-25T21:00:00" u="1"/>
        <d v="2017-07-25T23:00:00" u="1"/>
        <d v="2017-11-09T15:00:00" u="1"/>
        <d v="2017-12-05T13:00:00" u="1"/>
        <d v="2018-07-25T22: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8-07-27T05:00:00" u="1"/>
        <d v="2017-07-27T07:00:00" u="1"/>
        <d v="2017-09-19T03:00:00" u="1"/>
        <d v="2018-07-27T06:00:00" u="1"/>
        <d v="2017-07-27T08:00:00" u="1"/>
        <d v="2017-11-11T00:00:00" u="1"/>
        <d v="2018-07-27T07:00:00" u="1"/>
        <d v="2017-07-27T09:00:00" u="1"/>
        <d v="2018-07-27T08:00:00" u="1"/>
        <d v="2017-07-27T10:00:00" u="1"/>
        <d v="2018-07-27T09:00:00" u="1"/>
        <d v="2017-07-27T11:00:00" u="1"/>
        <d v="2017-12-07T01:00:00" u="1"/>
        <d v="2018-07-27T10:00:00" u="1"/>
        <d v="2017-07-27T12:00:00" u="1"/>
        <d v="2018-07-27T11:00:00" u="1"/>
        <d v="2017-07-27T13:00:00" u="1"/>
        <d v="2017-09-19T09:00:00" u="1"/>
        <d v="2017-12-07T03:00:00" u="1"/>
        <d v="2018-07-27T12:00:00" u="1"/>
        <d v="2017-07-27T14:00:00" u="1"/>
        <d v="2017-09-19T10:00:00" u="1"/>
        <d v="2018-07-27T13:00:00" u="1"/>
        <d v="2017-07-27T15:00:00" u="1"/>
        <d v="2017-09-19T11:00:00" u="1"/>
        <d v="2018-07-27T14:00:00" u="1"/>
        <d v="2017-07-27T16:00:00" u="1"/>
        <d v="2017-09-19T12:00:00" u="1"/>
        <d v="2018-07-27T15:00:00" u="1"/>
        <d v="2017-07-27T17:00:00" u="1"/>
        <d v="2017-09-19T13:00:00" u="1"/>
        <d v="2018-07-27T16:00:00" u="1"/>
        <d v="2017-07-27T18:00:00" u="1"/>
        <d v="2018-07-27T17:00:00" u="1"/>
        <d v="2017-07-27T19:00:00" u="1"/>
        <d v="2017-12-07T09:00:00" u="1"/>
        <d v="2018-07-27T18:00:00" u="1"/>
        <d v="2017-07-27T20:00:00" u="1"/>
        <d v="2017-09-19T16:00:00" u="1"/>
        <d v="2018-07-27T19:00:00" u="1"/>
        <d v="2017-07-27T21:00:00" u="1"/>
        <d v="2017-09-19T17:00:00" u="1"/>
        <d v="2017-12-07T11:00:00" u="1"/>
        <d v="2018-07-27T20:00:00" u="1"/>
        <d v="2017-07-27T22:00:00" u="1"/>
        <d v="2018-07-27T21:00:00" u="1"/>
        <d v="2017-09-19T19:00:00" u="1"/>
        <d v="2017-12-07T13:00:00" u="1"/>
        <d v="2017-12-07T14:00:00" u="1"/>
        <d v="2019-07-27T22:00:00" u="1"/>
        <d v="2017-09-19T21:00:00" u="1"/>
        <d v="2017-12-07T15:00:00" u="1"/>
        <d v="2019-07-27T23: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8-07-31T22:00:00" u="1"/>
        <d v="2017-11-15T16:00:00" u="1"/>
        <d v="2018-07-31T23: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1660200000000001" maxValue="1.1663600000000001" count="2">
        <n v="1.1663600000000001"/>
        <n v="1.1660200000000001"/>
      </sharedItems>
    </cacheField>
    <cacheField name="LASTBARL" numFmtId="0" sqlType="6">
      <sharedItems containsSemiMixedTypes="0" containsString="0" containsNumber="1" minValue="1.16543" maxValue="1.1654899999999999" count="2">
        <n v="1.1654899999999999"/>
        <n v="1.16543"/>
      </sharedItems>
    </cacheField>
    <cacheField name="FORECASTH_PREV" numFmtId="0" sqlType="6">
      <sharedItems containsString="0" containsBlank="1" containsNumber="1" minValue="1.1650050000000001" maxValue="1.1650050000000001" count="2">
        <n v="1.1650050000000001"/>
        <m/>
      </sharedItems>
    </cacheField>
    <cacheField name="FORECASTL_PREV" numFmtId="0" sqlType="6">
      <sharedItems containsString="0" containsBlank="1" containsNumber="1" minValue="1.1653830000000001" maxValue="1.1653830000000001" count="2">
        <n v="1.1653830000000001"/>
        <m/>
      </sharedItems>
    </cacheField>
    <cacheField name="BarWidth" numFmtId="0" formula="LASTBARH-LASTBARL" databaseField="0"/>
    <cacheField name="errH" numFmtId="0" formula="IF(FORECASTH_PREV&gt;0,ABS(LASTBARH-FORECASTH_PREV),0)"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5.xml><?xml version="1.0" encoding="utf-8"?>
<pivotCacheRecords xmlns="http://schemas.openxmlformats.org/spreadsheetml/2006/main" xmlns:r="http://schemas.openxmlformats.org/officeDocument/2006/relationships" count="25">
  <r>
    <x v="0"/>
    <x v="0"/>
    <x v="0"/>
    <x v="0"/>
    <x v="0"/>
    <x v="0"/>
    <x v="0"/>
    <x v="0"/>
    <x v="0"/>
    <x v="0"/>
    <x v="0"/>
    <x v="0"/>
    <x v="0"/>
    <x v="0"/>
  </r>
  <r>
    <x v="1"/>
    <x v="0"/>
    <x v="0"/>
    <x v="1"/>
    <x v="0"/>
    <x v="1"/>
    <x v="0"/>
    <x v="0"/>
    <x v="0"/>
    <x v="0"/>
    <x v="0"/>
    <x v="0"/>
    <x v="0"/>
    <x v="0"/>
  </r>
  <r>
    <x v="2"/>
    <x v="0"/>
    <x v="1"/>
    <x v="2"/>
    <x v="0"/>
    <x v="2"/>
    <x v="0"/>
    <x v="0"/>
    <x v="0"/>
    <x v="0"/>
    <x v="0"/>
    <x v="0"/>
    <x v="0"/>
    <x v="0"/>
  </r>
  <r>
    <x v="3"/>
    <x v="0"/>
    <x v="0"/>
    <x v="1"/>
    <x v="0"/>
    <x v="2"/>
    <x v="0"/>
    <x v="0"/>
    <x v="0"/>
    <x v="0"/>
    <x v="0"/>
    <x v="0"/>
    <x v="0"/>
    <x v="0"/>
  </r>
  <r>
    <x v="4"/>
    <x v="0"/>
    <x v="0"/>
    <x v="1"/>
    <x v="0"/>
    <x v="2"/>
    <x v="0"/>
    <x v="0"/>
    <x v="0"/>
    <x v="0"/>
    <x v="0"/>
    <x v="0"/>
    <x v="0"/>
    <x v="0"/>
  </r>
  <r>
    <x v="5"/>
    <x v="0"/>
    <x v="0"/>
    <x v="1"/>
    <x v="0"/>
    <x v="2"/>
    <x v="0"/>
    <x v="0"/>
    <x v="0"/>
    <x v="0"/>
    <x v="0"/>
    <x v="0"/>
    <x v="0"/>
    <x v="0"/>
  </r>
  <r>
    <x v="6"/>
    <x v="0"/>
    <x v="0"/>
    <x v="1"/>
    <x v="0"/>
    <x v="2"/>
    <x v="0"/>
    <x v="0"/>
    <x v="0"/>
    <x v="0"/>
    <x v="0"/>
    <x v="0"/>
    <x v="0"/>
    <x v="0"/>
  </r>
  <r>
    <x v="7"/>
    <x v="0"/>
    <x v="0"/>
    <x v="1"/>
    <x v="0"/>
    <x v="2"/>
    <x v="0"/>
    <x v="0"/>
    <x v="0"/>
    <x v="0"/>
    <x v="0"/>
    <x v="0"/>
    <x v="0"/>
    <x v="0"/>
  </r>
  <r>
    <x v="8"/>
    <x v="0"/>
    <x v="0"/>
    <x v="1"/>
    <x v="0"/>
    <x v="2"/>
    <x v="0"/>
    <x v="0"/>
    <x v="0"/>
    <x v="0"/>
    <x v="0"/>
    <x v="0"/>
    <x v="0"/>
    <x v="0"/>
  </r>
  <r>
    <x v="9"/>
    <x v="0"/>
    <x v="2"/>
    <x v="1"/>
    <x v="0"/>
    <x v="2"/>
    <x v="0"/>
    <x v="0"/>
    <x v="0"/>
    <x v="0"/>
    <x v="0"/>
    <x v="0"/>
    <x v="0"/>
    <x v="0"/>
  </r>
  <r>
    <x v="10"/>
    <x v="0"/>
    <x v="2"/>
    <x v="1"/>
    <x v="0"/>
    <x v="2"/>
    <x v="0"/>
    <x v="0"/>
    <x v="0"/>
    <x v="0"/>
    <x v="0"/>
    <x v="0"/>
    <x v="0"/>
    <x v="0"/>
  </r>
  <r>
    <x v="11"/>
    <x v="0"/>
    <x v="2"/>
    <x v="2"/>
    <x v="0"/>
    <x v="3"/>
    <x v="0"/>
    <x v="0"/>
    <x v="0"/>
    <x v="0"/>
    <x v="0"/>
    <x v="0"/>
    <x v="0"/>
    <x v="0"/>
  </r>
  <r>
    <x v="12"/>
    <x v="0"/>
    <x v="0"/>
    <x v="0"/>
    <x v="0"/>
    <x v="2"/>
    <x v="0"/>
    <x v="0"/>
    <x v="0"/>
    <x v="0"/>
    <x v="0"/>
    <x v="0"/>
    <x v="0"/>
    <x v="0"/>
  </r>
  <r>
    <x v="13"/>
    <x v="0"/>
    <x v="0"/>
    <x v="0"/>
    <x v="0"/>
    <x v="0"/>
    <x v="0"/>
    <x v="0"/>
    <x v="0"/>
    <x v="0"/>
    <x v="0"/>
    <x v="0"/>
    <x v="0"/>
    <x v="0"/>
  </r>
  <r>
    <x v="14"/>
    <x v="0"/>
    <x v="1"/>
    <x v="1"/>
    <x v="0"/>
    <x v="2"/>
    <x v="0"/>
    <x v="0"/>
    <x v="0"/>
    <x v="0"/>
    <x v="0"/>
    <x v="0"/>
    <x v="0"/>
    <x v="0"/>
  </r>
  <r>
    <x v="15"/>
    <x v="0"/>
    <x v="2"/>
    <x v="2"/>
    <x v="0"/>
    <x v="2"/>
    <x v="0"/>
    <x v="0"/>
    <x v="0"/>
    <x v="0"/>
    <x v="0"/>
    <x v="0"/>
    <x v="0"/>
    <x v="0"/>
  </r>
  <r>
    <x v="16"/>
    <x v="0"/>
    <x v="2"/>
    <x v="2"/>
    <x v="0"/>
    <x v="2"/>
    <x v="0"/>
    <x v="0"/>
    <x v="0"/>
    <x v="0"/>
    <x v="0"/>
    <x v="0"/>
    <x v="0"/>
    <x v="0"/>
  </r>
  <r>
    <x v="17"/>
    <x v="0"/>
    <x v="2"/>
    <x v="2"/>
    <x v="0"/>
    <x v="0"/>
    <x v="0"/>
    <x v="0"/>
    <x v="0"/>
    <x v="0"/>
    <x v="0"/>
    <x v="0"/>
    <x v="0"/>
    <x v="0"/>
  </r>
  <r>
    <x v="18"/>
    <x v="0"/>
    <x v="0"/>
    <x v="1"/>
    <x v="0"/>
    <x v="1"/>
    <x v="0"/>
    <x v="0"/>
    <x v="0"/>
    <x v="0"/>
    <x v="0"/>
    <x v="0"/>
    <x v="0"/>
    <x v="0"/>
  </r>
  <r>
    <x v="19"/>
    <x v="0"/>
    <x v="2"/>
    <x v="2"/>
    <x v="0"/>
    <x v="2"/>
    <x v="0"/>
    <x v="0"/>
    <x v="0"/>
    <x v="0"/>
    <x v="0"/>
    <x v="0"/>
    <x v="0"/>
    <x v="0"/>
  </r>
  <r>
    <x v="20"/>
    <x v="0"/>
    <x v="1"/>
    <x v="1"/>
    <x v="0"/>
    <x v="2"/>
    <x v="0"/>
    <x v="0"/>
    <x v="0"/>
    <x v="0"/>
    <x v="0"/>
    <x v="0"/>
    <x v="0"/>
    <x v="0"/>
  </r>
  <r>
    <x v="21"/>
    <x v="0"/>
    <x v="0"/>
    <x v="1"/>
    <x v="0"/>
    <x v="2"/>
    <x v="0"/>
    <x v="0"/>
    <x v="0"/>
    <x v="0"/>
    <x v="0"/>
    <x v="0"/>
    <x v="0"/>
    <x v="0"/>
  </r>
  <r>
    <x v="22"/>
    <x v="0"/>
    <x v="1"/>
    <x v="2"/>
    <x v="0"/>
    <x v="2"/>
    <x v="0"/>
    <x v="0"/>
    <x v="0"/>
    <x v="0"/>
    <x v="0"/>
    <x v="0"/>
    <x v="0"/>
    <x v="0"/>
  </r>
  <r>
    <x v="23"/>
    <x v="0"/>
    <x v="0"/>
    <x v="3"/>
    <x v="0"/>
    <x v="2"/>
    <x v="0"/>
    <x v="0"/>
    <x v="0"/>
    <x v="0"/>
    <x v="0"/>
    <x v="0"/>
    <x v="0"/>
    <x v="0"/>
  </r>
  <r>
    <x v="24"/>
    <x v="0"/>
    <x v="0"/>
    <x v="0"/>
    <x v="0"/>
    <x v="2"/>
    <x v="0"/>
    <x v="0"/>
    <x v="0"/>
    <x v="0"/>
    <x v="0"/>
    <x v="0"/>
    <x v="0"/>
    <x v="0"/>
  </r>
</pivotCacheRecords>
</file>

<file path=xl/pivotCache/pivotCacheRecords6.xml><?xml version="1.0" encoding="utf-8"?>
<pivotCacheRecords xmlns="http://schemas.openxmlformats.org/spreadsheetml/2006/main" xmlns:r="http://schemas.openxmlformats.org/officeDocument/2006/relationships" count="2">
  <r>
    <x v="0"/>
    <x v="0"/>
    <x v="0"/>
    <x v="0"/>
    <x v="0"/>
    <x v="0"/>
    <x v="0"/>
    <x v="0"/>
    <x v="0"/>
  </r>
  <r>
    <x v="0"/>
    <x v="0"/>
    <x v="1"/>
    <x v="0"/>
    <x v="1"/>
    <x v="1"/>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52" firstHeaderRow="0" firstDataRow="1" firstDataCol="1"/>
  <pivotFields count="7">
    <pivotField showAll="0" defaultSubtotal="0">
      <items count="46">
        <item m="1" x="28"/>
        <item m="1" x="18"/>
        <item m="1" x="29"/>
        <item m="1" x="43"/>
        <item m="1" x="13"/>
        <item m="1" x="20"/>
        <item m="1" x="23"/>
        <item m="1" x="30"/>
        <item m="1" x="33"/>
        <item m="1" x="35"/>
        <item m="1" x="39"/>
        <item m="1" x="44"/>
        <item m="1" x="16"/>
        <item x="3"/>
        <item m="1" x="25"/>
        <item m="1" x="27"/>
        <item x="1"/>
        <item m="1" x="42"/>
        <item m="1" x="45"/>
        <item x="4"/>
        <item m="1" x="21"/>
        <item m="1" x="37"/>
        <item x="6"/>
        <item m="1" x="40"/>
        <item m="1" x="15"/>
        <item x="2"/>
        <item x="8"/>
        <item x="5"/>
        <item x="7"/>
        <item x="9"/>
        <item x="0"/>
        <item m="1" x="38"/>
        <item m="1" x="31"/>
        <item m="1" x="22"/>
        <item m="1" x="14"/>
        <item m="1" x="41"/>
        <item m="1" x="32"/>
        <item x="10"/>
        <item m="1" x="24"/>
        <item m="1" x="17"/>
        <item m="1" x="11"/>
        <item m="1" x="34"/>
        <item m="1" x="26"/>
        <item m="1" x="19"/>
        <item m="1" x="12"/>
        <item m="1" x="36"/>
      </items>
    </pivotField>
    <pivotField showAll="0">
      <items count="615">
        <item h="1" m="1" x="324"/>
        <item h="1" m="1" x="208"/>
        <item h="1" m="1" x="403"/>
        <item h="1" m="1" x="77"/>
        <item h="1" m="1" x="209"/>
        <item h="1" m="1" x="599"/>
        <item h="1" m="1" x="541"/>
        <item h="1" m="1" x="532"/>
        <item h="1" m="1" x="162"/>
        <item h="1" m="1" x="149"/>
        <item h="1" m="1" x="193"/>
        <item h="1" m="1" x="303"/>
        <item h="1" m="1" x="344"/>
        <item h="1" m="1" x="444"/>
        <item h="1" m="1" x="183"/>
        <item h="1" m="1" x="435"/>
        <item h="1" m="1" x="236"/>
        <item h="1" m="1" x="405"/>
        <item h="1" m="1" x="393"/>
        <item h="1" m="1" x="492"/>
        <item h="1" m="1" x="156"/>
        <item h="1" m="1" x="75"/>
        <item h="1" m="1" x="123"/>
        <item h="1" m="1" x="422"/>
        <item h="1" m="1" x="556"/>
        <item h="1" m="1" x="48"/>
        <item h="1" m="1" x="200"/>
        <item h="1" m="1" x="309"/>
        <item h="1" m="1" x="381"/>
        <item h="1" m="1" x="95"/>
        <item h="1" m="1" x="431"/>
        <item h="1" x="0"/>
        <item h="1" m="1" x="120"/>
        <item h="1" m="1" x="166"/>
        <item h="1" m="1" x="186"/>
        <item h="1" m="1" x="210"/>
        <item h="1" m="1" x="410"/>
        <item h="1" m="1" x="490"/>
        <item h="1" m="1" x="524"/>
        <item h="1" m="1" x="43"/>
        <item h="1" m="1" x="255"/>
        <item h="1" m="1" x="398"/>
        <item h="1" m="1" x="533"/>
        <item h="1" m="1" x="56"/>
        <item h="1" m="1" x="228"/>
        <item h="1" m="1" x="295"/>
        <item h="1" m="1" x="195"/>
        <item h="1" m="1" x="218"/>
        <item h="1" m="1" x="270"/>
        <item h="1" m="1" x="380"/>
        <item h="1" m="1" x="464"/>
        <item h="1" m="1" x="596"/>
        <item h="1" m="1" x="407"/>
        <item h="1" m="1" x="474"/>
        <item h="1" m="1" x="520"/>
        <item h="1" m="1" x="37"/>
        <item h="1" m="1" x="102"/>
        <item h="1" m="1" x="126"/>
        <item h="1" m="1" x="267"/>
        <item h="1" m="1" x="426"/>
        <item h="1" m="1" x="480"/>
        <item h="1" m="1" x="553"/>
        <item h="1" m="1" x="608"/>
        <item h="1" m="1" x="35"/>
        <item h="1" m="1" x="62"/>
        <item h="1" m="1" x="115"/>
        <item h="1" m="1" x="334"/>
        <item h="1" m="1" x="385"/>
        <item h="1" m="1" x="518"/>
        <item h="1" m="1" x="60"/>
        <item h="1" m="1" x="82"/>
        <item h="1" m="1" x="135"/>
        <item h="1" m="1" x="159"/>
        <item h="1" m="1" x="223"/>
        <item h="1" m="1" x="237"/>
        <item h="1" m="1" x="355"/>
        <item h="1" m="1" x="361"/>
        <item h="1" m="1" x="433"/>
        <item h="1" m="1" x="473"/>
        <item h="1" m="1" x="551"/>
        <item h="1" m="1" x="81"/>
        <item h="1" m="1" x="584"/>
        <item h="1" m="1" x="179"/>
        <item h="1" m="1" x="477"/>
        <item h="1" m="1" x="486"/>
        <item h="1" m="1" x="517"/>
        <item h="1" m="1" x="538"/>
        <item h="1" m="1" x="70"/>
        <item h="1" m="1" x="215"/>
        <item h="1" m="1" x="376"/>
        <item h="1" m="1" x="406"/>
        <item h="1" m="1" x="417"/>
        <item h="1" m="1" x="442"/>
        <item h="1" m="1" x="470"/>
        <item h="1" m="1" x="506"/>
        <item h="1" m="1" x="550"/>
        <item h="1" m="1" x="558"/>
        <item h="1" m="1" x="170"/>
        <item h="1" m="1" x="214"/>
        <item h="1" m="1" x="259"/>
        <item h="1" m="1" x="280"/>
        <item h="1" m="1" x="310"/>
        <item h="1" m="1" x="448"/>
        <item h="1" m="1" x="549"/>
        <item h="1" m="1" x="587"/>
        <item h="1" m="1" x="80"/>
        <item h="1" m="1" x="114"/>
        <item h="1" m="1" x="134"/>
        <item h="1" m="1" x="264"/>
        <item h="1" m="1" x="288"/>
        <item h="1" m="1" x="340"/>
        <item h="1" m="1" x="375"/>
        <item h="1" m="1" x="461"/>
        <item h="1" m="1" x="594"/>
        <item h="1" m="1" x="613"/>
        <item h="1" m="1" x="33"/>
        <item h="1" m="1" x="98"/>
        <item h="1" m="1" x="133"/>
        <item h="1" m="1" x="145"/>
        <item h="1" m="1" x="168"/>
        <item h="1" m="1" x="191"/>
        <item h="1" m="1" x="252"/>
        <item h="1" m="1" x="287"/>
        <item h="1" m="1" x="322"/>
        <item h="1" m="1" x="331"/>
        <item h="1" m="1" x="367"/>
        <item h="1" m="1" x="423"/>
        <item h="1" m="1" x="491"/>
        <item h="1" m="1" x="387"/>
        <item h="1" m="1" x="51"/>
        <item h="1" m="1" x="69"/>
        <item h="1" m="1" x="76"/>
        <item h="1" m="1" x="177"/>
        <item h="1" m="1" x="221"/>
        <item h="1" m="1" x="274"/>
        <item h="1" m="1" x="298"/>
        <item h="1" m="1" x="59"/>
        <item h="1" m="1" x="392"/>
        <item h="1" m="1" x="113"/>
        <item h="1" m="1" x="432"/>
        <item h="1" m="1" x="441"/>
        <item h="1" m="1" x="144"/>
        <item h="1" m="1" x="234"/>
        <item h="1" m="1" x="548"/>
        <item h="1" m="1" x="603"/>
        <item h="1" m="1" x="50"/>
        <item h="1" m="1" x="112"/>
        <item h="1" m="1" x="188"/>
        <item h="1" m="1" x="201"/>
        <item h="1" m="1" x="49"/>
        <item h="1" m="1" x="374"/>
        <item h="1" m="1" x="58"/>
        <item h="1" m="1" x="143"/>
        <item h="1" m="1" x="459"/>
        <item h="1" m="1" x="243"/>
        <item h="1" m="1" x="284"/>
        <item h="1" m="1" x="297"/>
        <item h="1" m="1" x="601"/>
        <item h="1" m="1" x="611"/>
        <item h="1" m="1" x="68"/>
        <item h="1" m="1" x="74"/>
        <item h="1" m="1" x="96"/>
        <item h="1" m="1" x="121"/>
        <item h="1" m="1" x="39"/>
        <item h="1" m="1" x="131"/>
        <item h="1" m="1" x="483"/>
        <item h="1" m="1" x="219"/>
        <item h="1" m="1" x="503"/>
        <item h="1" m="1" x="262"/>
        <item h="1" m="1" x="574"/>
        <item h="1" m="1" x="307"/>
        <item h="1" m="1" x="581"/>
        <item h="1" m="1" x="415"/>
        <item h="1" m="1" x="130"/>
        <item h="1" m="1" x="153"/>
        <item h="1" m="1" x="456"/>
        <item h="1" m="1" x="211"/>
        <item h="1" m="1" x="250"/>
        <item h="1" m="1" x="547"/>
        <item h="1" m="1" x="306"/>
        <item h="1" m="1" x="78"/>
        <item h="1" m="1" x="328"/>
        <item h="1" m="1" x="600"/>
        <item h="1" m="1" x="350"/>
        <item h="1" m="1" x="46"/>
        <item h="1" m="1" x="372"/>
        <item h="1" m="1" x="108"/>
        <item h="1" m="1" x="513"/>
        <item h="1" m="1" x="273"/>
        <item h="1" m="1" x="327"/>
        <item h="1" x="1"/>
        <item h="1" m="1" x="365"/>
        <item h="1" m="1" x="371"/>
        <item h="1" m="1" x="409"/>
        <item h="1" m="1" x="93"/>
        <item h="1" m="1" x="421"/>
        <item h="1" m="1" x="64"/>
        <item h="1" m="1" x="152"/>
        <item h="1" m="1" x="175"/>
        <item h="1" m="1" x="476"/>
        <item h="1" m="1" x="198"/>
        <item h="1" m="1" x="489"/>
        <item h="1" m="1" x="497"/>
        <item h="1" m="1" x="242"/>
        <item h="1" m="1" x="256"/>
        <item h="1" m="1" x="261"/>
        <item h="1" m="1" x="282"/>
        <item h="1" m="1" x="566"/>
        <item h="1" m="1" x="571"/>
        <item h="1" m="1" x="348"/>
        <item h="1" m="1" x="57"/>
        <item h="1" m="1" x="390"/>
        <item h="1" m="1" x="399"/>
        <item h="1" m="1" x="86"/>
        <item h="1" m="1" x="106"/>
        <item h="1" m="1" x="151"/>
        <item h="1" m="1" x="229"/>
        <item h="1" m="1" x="555"/>
        <item h="1" m="1" x="296"/>
        <item h="1" x="2"/>
        <item h="1" m="1" x="347"/>
        <item h="1" m="1" x="364"/>
        <item h="1" m="1" x="42"/>
        <item h="1" m="1" x="370"/>
        <item h="1" m="1" x="408"/>
        <item h="1" m="1" x="164"/>
        <item h="1" m="1" x="466"/>
        <item h="1" m="1" x="496"/>
        <item h="1" m="1" x="137"/>
        <item h="1" m="1" x="241"/>
        <item h="1" m="1" x="523"/>
        <item h="1" m="1" x="281"/>
        <item h="1" m="1" x="580"/>
        <item h="1" m="1" x="326"/>
        <item h="1" m="1" x="592"/>
        <item h="1" m="1" x="292"/>
        <item h="1" m="1" x="66"/>
        <item h="1" m="1" x="397"/>
        <item h="1" m="1" x="119"/>
        <item h="1" m="1" x="34"/>
        <item h="1" m="1" x="129"/>
        <item h="1" m="1" x="446"/>
        <item h="1" m="1" x="488"/>
        <item h="1" m="1" x="207"/>
        <item h="1" m="1" x="495"/>
        <item h="1" m="1" x="502"/>
        <item h="1" m="1" x="463"/>
        <item h="1" m="1" x="271"/>
        <item h="1" m="1" x="305"/>
        <item h="1" m="1" x="579"/>
        <item h="1" m="1" x="316"/>
        <item h="1" m="1" x="527"/>
        <item h="1" m="1" x="337"/>
        <item h="1" m="1" x="41"/>
        <item h="1" x="3"/>
        <item h="1" m="1" x="389"/>
        <item h="1" m="1" x="105"/>
        <item h="1" m="1" x="117"/>
        <item h="1" m="1" x="141"/>
        <item h="1" m="1" x="163"/>
        <item h="1" m="1" x="465"/>
        <item h="1" m="1" x="475"/>
        <item h="1" m="1" x="196"/>
        <item h="1" m="1" x="136"/>
        <item h="1" m="1" x="227"/>
        <item h="1" m="1" x="542"/>
        <item h="1" m="1" x="260"/>
        <item h="1" m="1" x="560"/>
        <item h="1" m="1" x="293"/>
        <item h="1" x="4"/>
        <item h="1" m="1" x="591"/>
        <item h="1" m="1" x="336"/>
        <item h="1" m="1" x="346"/>
        <item h="1" m="1" x="40"/>
        <item h="1" x="5"/>
        <item h="1" m="1" x="72"/>
        <item h="1" m="1" x="91"/>
        <item h="1" m="1" x="437"/>
        <item h="1" m="1" x="194"/>
        <item h="1" m="1" x="206"/>
        <item h="1" m="1" x="226"/>
        <item h="1" m="1" x="248"/>
        <item h="1" m="1" x="570"/>
        <item h="1" m="1" x="325"/>
        <item h="1" m="1" x="597"/>
        <item h="1" m="1" x="345"/>
        <item h="1" m="1" x="65"/>
        <item h="1" m="1" x="388"/>
        <item h="1" m="1" x="90"/>
        <item h="1" m="1" x="104"/>
        <item h="1" m="1" x="420"/>
        <item h="1" m="1" x="116"/>
        <item h="1" x="6"/>
        <item h="1" m="1" x="53"/>
        <item h="1" m="1" x="140"/>
        <item h="1" m="1" x="455"/>
        <item h="1" m="1" x="184"/>
        <item h="1" m="1" x="522"/>
        <item h="1" m="1" x="247"/>
        <item h="1" m="1" x="540"/>
        <item h="1" m="1" x="216"/>
        <item h="1" m="1" x="507"/>
        <item h="1" m="1" x="590"/>
        <item h="1" m="1" x="335"/>
        <item h="1" m="1" x="358"/>
        <item h="1" m="1" x="31"/>
        <item h="1" m="1" x="38"/>
        <item h="1" m="1" x="369"/>
        <item h="1" m="1" x="84"/>
        <item h="1" m="1" x="89"/>
        <item h="1" m="1" x="103"/>
        <item h="1" m="1" x="419"/>
        <item h="1" m="1" x="428"/>
        <item h="1" m="1" x="128"/>
        <item h="1" m="1" x="172"/>
        <item h="1" m="1" x="481"/>
        <item h="1" m="1" x="511"/>
        <item h="1" m="1" x="240"/>
        <item h="1" m="1" x="521"/>
        <item h="1" m="1" x="531"/>
        <item h="1" m="1" x="539"/>
        <item h="1" m="1" x="269"/>
        <item h="1" m="1" x="277"/>
        <item h="1" m="1" x="315"/>
        <item h="1" m="1" x="609"/>
        <item h="1" m="1" x="275"/>
        <item h="1" m="1" x="396"/>
        <item h="1" m="1" x="127"/>
        <item h="1" m="1" x="445"/>
        <item h="1" m="1" x="161"/>
        <item h="1" m="1" x="217"/>
        <item h="1" m="1" x="225"/>
        <item h="1" m="1" x="239"/>
        <item h="1" m="1" x="246"/>
        <item h="1" m="1" x="530"/>
        <item h="1" m="1" x="268"/>
        <item h="1" m="1" x="554"/>
        <item h="1" m="1" x="569"/>
        <item h="1" m="1" x="578"/>
        <item h="1" m="1" x="357"/>
        <item h="1" m="1" x="386"/>
        <item h="1" m="1" x="427"/>
        <item h="1" m="1" x="139"/>
        <item h="1" m="1" x="150"/>
        <item h="1" m="1" x="510"/>
        <item h="1" m="1" x="146"/>
        <item h="1" m="1" x="519"/>
        <item h="1" m="1" x="245"/>
        <item h="1" m="1" x="529"/>
        <item h="1" m="1" x="545"/>
        <item h="1" m="1" x="266"/>
        <item h="1" m="1" x="411"/>
        <item h="1" m="1" x="568"/>
        <item h="1" m="1" x="304"/>
        <item h="1" m="1" x="577"/>
        <item h="1" m="1" x="167"/>
        <item h="1" m="1" x="468"/>
        <item h="1" m="1" x="176"/>
        <item h="1" m="1" x="213"/>
        <item h="1" m="1" x="363"/>
        <item h="1" m="1" x="498"/>
        <item h="1" m="1" x="36"/>
        <item h="1" m="1" x="505"/>
        <item h="1" m="1" x="63"/>
        <item h="1" x="7"/>
        <item h="1" m="1" x="525"/>
        <item h="1" m="1" x="251"/>
        <item h="1" m="1" x="537"/>
        <item h="1" m="1" x="258"/>
        <item h="1" m="1" x="263"/>
        <item h="1" x="8"/>
        <item h="1" m="1" x="557"/>
        <item h="1" m="1" x="425"/>
        <item h="1" m="1" x="286"/>
        <item h="1" m="1" x="138"/>
        <item h="1" m="1" x="454"/>
        <item h="1" m="1" x="321"/>
        <item h="1" m="1" x="586"/>
        <item h="1" m="1" x="330"/>
        <item h="1" m="1" x="339"/>
        <item h="1" m="1" x="604"/>
        <item h="1" m="1" x="352"/>
        <item h="1" m="1" x="359"/>
        <item h="1" m="1" x="366"/>
        <item h="1" m="1" x="501"/>
        <item h="1" m="1" x="509"/>
        <item h="1" m="1" x="528"/>
        <item h="1" m="1" x="253"/>
        <item h="1" m="1" x="402"/>
        <item h="1" m="1" x="122"/>
        <item h="1" m="1" x="132"/>
        <item h="1" m="1" x="314"/>
        <item h="1" m="1" x="460"/>
        <item h="1" m="1" x="189"/>
        <item h="1" m="1" x="202"/>
        <item h="1" m="1" x="30"/>
        <item h="1" m="1" x="212"/>
        <item h="1" m="1" x="379"/>
        <item h="1" m="1" x="605"/>
        <item h="1" m="1" x="61"/>
        <item h="1" m="1" x="536"/>
        <item h="1" m="1" x="83"/>
        <item h="1" m="1" x="88"/>
        <item h="1" m="1" x="101"/>
        <item h="1" m="1" x="424"/>
        <item h="1" m="1" x="567"/>
        <item h="1" m="1" x="576"/>
        <item h="1" m="1" x="148"/>
        <item h="1" x="9"/>
        <item h="1" m="1" x="338"/>
        <item h="1" m="1" x="479"/>
        <item h="1" m="1" x="192"/>
        <item h="1" m="1" x="452"/>
        <item h="1" m="1" x="224"/>
        <item h="1" m="1" x="238"/>
        <item h="1" m="1" x="383"/>
        <item h="1" m="1" x="44"/>
        <item h="1" m="1" x="412"/>
        <item h="1" m="1" x="544"/>
        <item h="1" m="1" x="265"/>
        <item h="1" m="1" x="111"/>
        <item h="1" m="1" x="291"/>
        <item h="1" m="1" x="440"/>
        <item h="1" m="1" x="302"/>
        <item h="1" m="1" x="155"/>
        <item h="1" m="1" x="589"/>
        <item h="1" m="1" x="343"/>
        <item h="1" m="1" x="362"/>
        <item h="1" m="1" x="220"/>
        <item h="1" m="1" x="55"/>
        <item h="1" m="1" x="233"/>
        <item h="1" m="1" x="515"/>
        <item h="1" m="1" x="100"/>
        <item h="1" m="1" x="285"/>
        <item h="1" m="1" x="436"/>
        <item h="1" m="1" x="575"/>
        <item h="1" m="1" x="160"/>
        <item h="1" m="1" x="329"/>
        <item h="1" m="1" x="182"/>
        <item h="1" m="1" x="478"/>
        <item h="1" m="1" x="602"/>
        <item h="1" m="1" x="351"/>
        <item h="1" m="1" x="612"/>
        <item h="1" m="1" x="205"/>
        <item h="1" m="1" x="47"/>
        <item h="1" m="1" x="373"/>
        <item h="1" m="1" x="382"/>
        <item h="1" x="10"/>
        <item h="1" m="1" x="97"/>
        <item h="1" m="1" x="110"/>
        <item h="1" m="1" x="276"/>
        <item h="1" m="1" x="559"/>
        <item h="1" m="1" x="290"/>
        <item h="1" m="1" x="301"/>
        <item h="1" m="1" x="154"/>
        <item h="1" m="1" x="313"/>
        <item h="1" m="1" x="458"/>
        <item h="1" m="1" x="333"/>
        <item h="1" m="1" x="342"/>
        <item h="1" m="1" x="484"/>
        <item h="1" m="1" x="356"/>
        <item h="1" m="1" x="504"/>
        <item h="1" m="1" x="54"/>
        <item h="1" m="1" x="232"/>
        <item h="1" m="1" x="378"/>
        <item h="1" x="11"/>
        <item h="1" x="12"/>
        <item h="1" m="1" x="543"/>
        <item h="1" m="1" x="87"/>
        <item h="1" m="1" x="418"/>
        <item h="1" m="1" x="562"/>
        <item h="1" m="1" x="125"/>
        <item h="1" m="1" x="283"/>
        <item h="1" m="1" x="434"/>
        <item h="1" x="13"/>
        <item h="1" m="1" x="308"/>
        <item h="1" m="1" x="582"/>
        <item h="1" m="1" x="320"/>
        <item h="1" m="1" x="181"/>
        <item h="1" m="1" x="487"/>
        <item h="1" m="1" x="494"/>
        <item h="1" m="1" x="32"/>
        <item h="1" m="1" x="500"/>
        <item h="1" m="1" x="508"/>
        <item h="1" m="1" x="67"/>
        <item h="1" m="1" x="401"/>
        <item h="1" m="1" x="94"/>
        <item h="1" m="1" x="416"/>
        <item h="1" m="1" x="552"/>
        <item h="1" m="1" x="109"/>
        <item h="1" m="1" x="430"/>
        <item h="1" m="1" x="289"/>
        <item h="1" m="1" x="312"/>
        <item h="1" m="1" x="457"/>
        <item h="1" m="1" x="588"/>
        <item h="1" m="1" x="187"/>
        <item h="1" m="1" x="447"/>
        <item h="1" m="1" x="607"/>
        <item h="1" m="1" x="199"/>
        <item h="1" x="14"/>
        <item h="1" m="1" x="514"/>
        <item h="1" m="1" x="257"/>
        <item h="1" m="1" x="279"/>
        <item h="1" m="1" x="443"/>
        <item h="1" m="1" x="453"/>
        <item h="1" m="1" x="319"/>
        <item h="1" m="1" x="585"/>
        <item h="1" m="1" x="171"/>
        <item h="1" m="1" x="472"/>
        <item h="1" m="1" x="180"/>
        <item h="1" m="1" x="222"/>
        <item h="1" m="1" x="429"/>
        <item h="1" m="1" x="439"/>
        <item h="1" m="1" x="165"/>
        <item h="1" m="1" x="606"/>
        <item h="1" m="1" x="231"/>
        <item h="1" m="1" x="377"/>
        <item h="1" m="1" x="384"/>
        <item h="1" m="1" x="71"/>
        <item h="1" m="1" x="395"/>
        <item h="1" m="1" x="535"/>
        <item h="1" m="1" x="546"/>
        <item h="1" m="1" x="573"/>
        <item h="1" m="1" x="593"/>
        <item h="1" m="1" x="349"/>
        <item h="1" m="1" x="169"/>
        <item h="1" m="1" x="45"/>
        <item h="1" x="15"/>
        <item h="1" m="1" x="73"/>
        <item h="1" m="1" x="414"/>
        <item h="1" m="1" x="107"/>
        <item h="1" m="1" x="354"/>
        <item h="1" m="1" x="52"/>
        <item h="1" m="1" x="512"/>
        <item h="1" m="1" x="272"/>
        <item h="1" m="1" x="572"/>
        <item h="1" m="1" x="318"/>
        <item h="1" m="1" x="471"/>
        <item h="1" m="1" x="204"/>
        <item h="1" m="1" x="244"/>
        <item h="1" m="1" x="391"/>
        <item h="1" m="1" x="526"/>
        <item h="1" m="1" x="400"/>
        <item h="1" x="16"/>
        <item h="1" m="1" x="438"/>
        <item h="1" m="1" x="311"/>
        <item h="1" m="1" x="323"/>
        <item h="1" m="1" x="467"/>
        <item h="1" x="17"/>
        <item h="1" m="1" x="595"/>
        <item h="1" m="1" x="185"/>
        <item h="1" m="1" x="341"/>
        <item h="1" m="1" x="230"/>
        <item h="1" m="1" x="534"/>
        <item h="1" m="1" x="561"/>
        <item h="1" m="1" x="450"/>
        <item h="1" m="1" x="158"/>
        <item h="1" m="1" x="178"/>
        <item h="1" m="1" x="485"/>
        <item h="1" m="1" x="85"/>
        <item h="1" x="18"/>
        <item h="1" m="1" x="174"/>
        <item h="1" x="19"/>
        <item h="1" m="1" x="449"/>
        <item h="1" x="20"/>
        <item h="1" x="21"/>
        <item h="1" m="1" x="610"/>
        <item h="1" m="1" x="516"/>
        <item h="1" m="1" x="92"/>
        <item h="1" m="1" x="300"/>
        <item h="1" m="1" x="173"/>
        <item h="1" m="1" x="482"/>
        <item h="1" m="1" x="249"/>
        <item h="1" m="1" x="565"/>
        <item h="1" m="1" x="294"/>
        <item h="1" m="1" x="317"/>
        <item h="1" m="1" x="469"/>
        <item h="1" m="1" x="598"/>
        <item h="1" m="1" x="203"/>
        <item h="1" m="1" x="118"/>
        <item h="1" m="1" x="142"/>
        <item h="1" m="1" x="197"/>
        <item h="1" m="1" x="394"/>
        <item h="1" m="1" x="564"/>
        <item h="1" m="1" x="157"/>
        <item h="1" x="22"/>
        <item h="1" m="1" x="413"/>
        <item h="1" m="1" x="299"/>
        <item h="1" m="1" x="332"/>
        <item h="1" m="1" x="368"/>
        <item h="1" x="23"/>
        <item h="1" m="1" x="404"/>
        <item h="1" x="24"/>
        <item h="1" m="1" x="278"/>
        <item h="1" m="1" x="124"/>
        <item h="1" m="1" x="462"/>
        <item h="1" m="1" x="493"/>
        <item h="1" m="1" x="499"/>
        <item h="1" x="25"/>
        <item h="1" x="26"/>
        <item h="1" x="27"/>
        <item h="1" m="1" x="79"/>
        <item h="1" m="1" x="99"/>
        <item h="1" m="1" x="235"/>
        <item h="1" m="1" x="563"/>
        <item h="1" m="1" x="254"/>
        <item x="28"/>
        <item h="1" m="1" x="190"/>
        <item h="1" x="29"/>
        <item h="1" m="1" x="583"/>
        <item h="1" m="1" x="360"/>
        <item h="1" m="1" x="353"/>
        <item h="1" m="1" x="147"/>
        <item h="1" m="1" x="45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m="1" x="2763"/>
        <item m="1" x="3062"/>
        <item m="1" x="3361"/>
        <item m="1" x="3660"/>
        <item m="1" x="3958"/>
        <item m="1" x="4253"/>
        <item m="1" x="4547"/>
        <item m="1" x="4847"/>
        <item m="1" x="297"/>
        <item m="1" x="595"/>
        <item m="1" x="893"/>
        <item m="1" x="1191"/>
        <item m="1" x="1488"/>
        <item m="1" x="1785"/>
        <item m="1" x="2082"/>
        <item m="1" x="2382"/>
        <item m="1" x="2684"/>
        <item m="1" x="2983"/>
        <item m="1" x="3282"/>
        <item m="1" x="3581"/>
        <item m="1" x="3880"/>
        <item m="1" x="4175"/>
        <item m="1" x="4470"/>
        <item m="1" x="4768"/>
        <item m="1" x="219"/>
        <item m="1" x="517"/>
        <item m="1" x="815"/>
        <item m="1" x="1113"/>
        <item m="1" x="1411"/>
        <item m="1" x="1707"/>
        <item m="1" x="2005"/>
        <item m="1" x="2303"/>
        <item m="1" x="2605"/>
        <item m="1" x="2905"/>
        <item m="1" x="3204"/>
        <item m="1" x="3503"/>
        <item m="1" x="3802"/>
        <item m="1" x="4098"/>
        <item m="1" x="4393"/>
        <item m="1" x="4689"/>
        <item m="1" x="4990"/>
        <item m="1" x="439"/>
        <item m="1" x="737"/>
        <item m="1" x="1035"/>
        <item m="1" x="1333"/>
        <item m="1" x="1629"/>
        <item m="1" x="1927"/>
        <item m="1" x="2224"/>
        <item m="1" x="2526"/>
        <item m="1" x="2827"/>
        <item m="1" x="3126"/>
        <item m="1" x="3424"/>
        <item m="1" x="3723"/>
        <item m="1" x="4020"/>
        <item m="1" x="4315"/>
        <item m="1" x="4610"/>
        <item m="1" x="4911"/>
        <item m="1" x="361"/>
        <item m="1" x="659"/>
        <item m="1" x="956"/>
        <item m="1" x="1254"/>
        <item m="1" x="1550"/>
        <item m="1" x="1848"/>
        <item m="1" x="2144"/>
        <item m="1" x="2446"/>
        <item m="1" x="2747"/>
        <item m="1" x="3046"/>
        <item m="1" x="3344"/>
        <item m="1" x="3643"/>
        <item m="1" x="3941"/>
        <item m="1" x="4236"/>
        <item m="1" x="4530"/>
        <item m="1" x="4830"/>
        <item m="1" x="281"/>
        <item m="1" x="579"/>
        <item m="1" x="877"/>
        <item m="1" x="1174"/>
        <item m="1" x="1471"/>
        <item m="1" x="1768"/>
        <item m="1" x="2066"/>
        <item m="1" x="2366"/>
        <item m="1" x="2668"/>
        <item m="1" x="2967"/>
        <item m="1" x="3266"/>
        <item m="1" x="3564"/>
        <item m="1" x="3863"/>
        <item m="1" x="4158"/>
        <item m="1" x="4453"/>
        <item m="1" x="4752"/>
        <item m="1" x="203"/>
        <item m="1" x="501"/>
        <item m="1" x="799"/>
        <item m="1" x="1096"/>
        <item m="1" x="1394"/>
        <item m="1" x="1690"/>
        <item m="1" x="1988"/>
        <item m="1" x="2287"/>
        <item m="1" x="2589"/>
        <item m="1" x="2889"/>
        <item m="1" x="3188"/>
        <item m="1" x="3486"/>
        <item m="1" x="3785"/>
        <item m="1" x="4081"/>
        <item m="1" x="4376"/>
        <item m="1" x="4673"/>
        <item m="1" x="4974"/>
        <item m="1" x="423"/>
        <item m="1" x="572"/>
        <item m="1" x="721"/>
        <item m="1" x="870"/>
        <item m="1" x="1018"/>
        <item m="1" x="1167"/>
        <item m="1" x="1316"/>
        <item m="1" x="1464"/>
        <item m="1" x="1611"/>
        <item m="1" x="1760"/>
        <item m="1" x="1909"/>
        <item m="1" x="2058"/>
        <item m="1" x="2206"/>
        <item m="1" x="2357"/>
        <item m="1" x="2508"/>
        <item m="1" x="2659"/>
        <item m="1" x="2809"/>
        <item m="1" x="2958"/>
        <item m="1" x="3108"/>
        <item m="1" x="3257"/>
        <item m="1" x="3406"/>
        <item m="1" x="3555"/>
        <item m="1" x="3705"/>
        <item m="1" x="3854"/>
        <item m="1" x="4002"/>
        <item m="1" x="4149"/>
        <item m="1" x="4297"/>
        <item m="1" x="4444"/>
        <item m="1" x="4592"/>
        <item m="1" x="4742"/>
        <item m="1" x="4893"/>
        <item m="1" x="193"/>
        <item m="1" x="343"/>
        <item m="1" x="491"/>
        <item m="1" x="641"/>
        <item m="1" x="789"/>
        <item m="1" x="938"/>
        <item m="1" x="1086"/>
        <item m="1" x="1236"/>
        <item m="1" x="1384"/>
        <item m="1" x="1532"/>
        <item m="1" x="1679"/>
        <item m="1" x="1829"/>
        <item m="1" x="1977"/>
        <item m="1" x="2126"/>
        <item m="1" x="2275"/>
        <item m="1" x="2427"/>
        <item m="1" x="2577"/>
        <item m="1" x="2728"/>
        <item m="1" x="2877"/>
        <item m="1" x="3027"/>
        <item m="1" x="3176"/>
        <item m="1" x="3325"/>
        <item m="1" x="3474"/>
        <item m="1" x="3624"/>
        <item m="1" x="3773"/>
        <item m="1" x="3922"/>
        <item m="1" x="4069"/>
        <item m="1" x="4217"/>
        <item m="1" x="4364"/>
        <item m="1" x="4512"/>
        <item m="1" x="4660"/>
        <item m="1" x="4811"/>
        <item m="1" x="4961"/>
        <item m="1" x="262"/>
        <item m="1" x="410"/>
        <item m="1" x="559"/>
        <item m="1" x="708"/>
        <item m="1" x="857"/>
        <item m="1" x="1005"/>
        <item m="1" x="1154"/>
        <item m="1" x="1303"/>
        <item m="1" x="1452"/>
        <item m="1" x="1599"/>
        <item m="1" x="1748"/>
        <item m="1" x="1897"/>
        <item m="1" x="2046"/>
        <item m="1" x="2194"/>
        <item m="1" x="2345"/>
        <item m="1" x="2496"/>
        <item m="1" x="2647"/>
        <item m="1" x="2797"/>
        <item m="1" x="2946"/>
        <item m="1" x="3096"/>
        <item m="1" x="3245"/>
        <item m="1" x="3394"/>
        <item m="1" x="3543"/>
        <item m="1" x="3693"/>
        <item m="1" x="3842"/>
        <item m="1" x="3991"/>
        <item m="1" x="4138"/>
        <item m="1" x="4286"/>
        <item m="1" x="4433"/>
        <item m="1" x="4581"/>
        <item m="1" x="4731"/>
        <item m="1" x="4882"/>
        <item m="1" x="182"/>
        <item m="1" x="332"/>
        <item m="1" x="480"/>
        <item m="1" x="630"/>
        <item m="1" x="778"/>
        <item m="1" x="927"/>
        <item m="1" x="1075"/>
        <item m="1" x="1225"/>
        <item m="1" x="1373"/>
        <item m="1" x="1522"/>
        <item m="1" x="1669"/>
        <item m="1" x="1819"/>
        <item m="1" x="1967"/>
        <item m="1" x="2116"/>
        <item m="1" x="2265"/>
        <item m="1" x="2417"/>
        <item m="1" x="2567"/>
        <item m="1" x="2718"/>
        <item m="1" x="2867"/>
        <item m="1" x="3017"/>
        <item m="1" x="3166"/>
        <item m="1" x="3315"/>
        <item m="1" x="3464"/>
        <item m="1" x="3614"/>
        <item m="1" x="3763"/>
        <item m="1" x="3913"/>
        <item m="1" x="4060"/>
        <item m="1" x="4208"/>
        <item m="1" x="4355"/>
        <item m="1" x="4503"/>
        <item m="1" x="4651"/>
        <item m="1" x="4802"/>
        <item m="1" x="4952"/>
        <item m="1" x="253"/>
        <item m="1" x="401"/>
        <item m="1" x="550"/>
        <item m="1" x="699"/>
        <item m="1" x="848"/>
        <item m="1" x="996"/>
        <item m="1" x="1145"/>
        <item m="1" x="1294"/>
        <item m="1" x="1443"/>
        <item m="1" x="1590"/>
        <item m="1" x="1739"/>
        <item m="1" x="1888"/>
        <item m="1" x="2037"/>
        <item m="1" x="2184"/>
        <item m="1" x="2335"/>
        <item m="1" x="2486"/>
        <item m="1" x="2637"/>
        <item m="1" x="2787"/>
        <item m="1" x="2936"/>
        <item m="1" x="3086"/>
        <item m="1" x="3235"/>
        <item m="1" x="3384"/>
        <item m="1" x="3533"/>
        <item m="1" x="3683"/>
        <item m="1" x="3832"/>
        <item m="1" x="3981"/>
        <item m="1" x="4128"/>
        <item m="1" x="4276"/>
        <item m="1" x="4423"/>
        <item m="1" x="4570"/>
        <item m="1" x="4720"/>
        <item m="1" x="4871"/>
        <item m="1" x="171"/>
        <item m="1" x="321"/>
        <item m="1" x="469"/>
        <item m="1" x="619"/>
        <item m="1" x="767"/>
        <item m="1" x="916"/>
        <item m="1" x="1064"/>
        <item m="1" x="1214"/>
        <item m="1" x="1362"/>
        <item m="1" x="1511"/>
        <item m="1" x="1658"/>
        <item m="1" x="1808"/>
        <item m="1" x="1956"/>
        <item m="1" x="2105"/>
        <item m="1" x="2253"/>
        <item m="1" x="2405"/>
        <item m="1" x="2555"/>
        <item m="1" x="2706"/>
        <item m="1" x="2855"/>
        <item m="1" x="3005"/>
        <item m="1" x="3154"/>
        <item m="1" x="3303"/>
        <item m="1" x="3452"/>
        <item m="1" x="3602"/>
        <item m="1" x="3751"/>
        <item m="1" x="3901"/>
        <item m="1" x="4048"/>
        <item m="1" x="4196"/>
        <item m="1" x="4343"/>
        <item m="1" x="4491"/>
        <item m="1" x="4638"/>
        <item m="1" x="4789"/>
        <item m="1" x="4939"/>
        <item m="1" x="240"/>
        <item m="1" x="388"/>
        <item m="1" x="537"/>
        <item m="1" x="686"/>
        <item m="1" x="835"/>
        <item m="1" x="984"/>
        <item m="1" x="1133"/>
        <item m="1" x="1282"/>
        <item m="1" x="1431"/>
        <item m="1" x="1578"/>
        <item m="1" x="1727"/>
        <item m="1" x="1876"/>
        <item m="1" x="2025"/>
        <item m="1" x="2172"/>
        <item m="1" x="2323"/>
        <item m="1" x="2474"/>
        <item m="1" x="2625"/>
        <item m="1" x="2775"/>
        <item m="1" x="2924"/>
        <item m="1" x="3074"/>
        <item m="1" x="3223"/>
        <item m="1" x="3373"/>
        <item m="1" x="3522"/>
        <item m="1" x="3672"/>
        <item m="1" x="3821"/>
        <item m="1" x="3970"/>
        <item m="1" x="4117"/>
        <item m="1" x="4265"/>
        <item m="1" x="4412"/>
        <item m="1" x="4559"/>
        <item m="1" x="4709"/>
        <item m="1" x="4860"/>
        <item m="1" x="160"/>
        <item m="1" x="310"/>
        <item m="1" x="458"/>
        <item m="1" x="608"/>
        <item m="1" x="756"/>
        <item m="1" x="906"/>
        <item m="1" x="1054"/>
        <item m="1" x="1204"/>
        <item m="1" x="1352"/>
        <item m="1" x="1501"/>
        <item m="1" x="1648"/>
        <item m="1" x="1798"/>
        <item m="1" x="1946"/>
        <item m="1" x="2095"/>
        <item m="1" x="2243"/>
        <item m="1" x="2395"/>
        <item m="1" x="2545"/>
        <item m="1" x="2696"/>
        <item m="1" x="2845"/>
        <item m="1" x="2995"/>
        <item m="1" x="3144"/>
        <item m="1" x="3294"/>
        <item m="1" x="3443"/>
        <item m="1" x="3593"/>
        <item m="1" x="3742"/>
        <item m="1" x="3892"/>
        <item m="1" x="4039"/>
        <item m="1" x="4187"/>
        <item m="1" x="4334"/>
        <item m="1" x="4482"/>
        <item m="1" x="4629"/>
        <item m="1" x="4704"/>
        <item m="1" x="4780"/>
        <item m="1" x="4855"/>
        <item m="1" x="4930"/>
        <item m="1" x="155"/>
        <item m="1" x="231"/>
        <item m="1" x="305"/>
        <item m="1" x="379"/>
        <item m="1" x="453"/>
        <item m="1" x="528"/>
        <item m="1" x="603"/>
        <item m="1" x="677"/>
        <item m="1" x="751"/>
        <item m="1" x="826"/>
        <item m="1" x="901"/>
        <item m="1" x="975"/>
        <item m="1" x="1049"/>
        <item m="1" x="1124"/>
        <item m="1" x="1199"/>
        <item m="1" x="1273"/>
        <item m="1" x="1347"/>
        <item m="1" x="1422"/>
        <item m="1" x="1496"/>
        <item m="1" x="1569"/>
        <item m="1" x="1643"/>
        <item m="1" x="1718"/>
        <item m="1" x="1793"/>
        <item m="1" x="1867"/>
        <item m="1" x="1941"/>
        <item m="1" x="2016"/>
        <item m="1" x="2090"/>
        <item m="1" x="2163"/>
        <item m="1" x="2238"/>
        <item m="1" x="2314"/>
        <item m="1" x="2390"/>
        <item m="1" x="2465"/>
        <item m="1" x="2540"/>
        <item m="1" x="2616"/>
        <item m="1" x="2691"/>
        <item m="1" x="2766"/>
        <item m="1" x="2840"/>
        <item m="1" x="2915"/>
        <item m="1" x="2990"/>
        <item m="1" x="3065"/>
        <item m="1" x="3139"/>
        <item m="1" x="3214"/>
        <item m="1" x="3289"/>
        <item m="1" x="3364"/>
        <item m="1" x="3438"/>
        <item m="1" x="3513"/>
        <item m="1" x="3588"/>
        <item m="1" x="3663"/>
        <item m="1" x="3737"/>
        <item m="1" x="3812"/>
        <item m="1" x="3887"/>
        <item m="1" x="3961"/>
        <item m="1" x="4034"/>
        <item m="1" x="4108"/>
        <item m="1" x="4182"/>
        <item m="1" x="4256"/>
        <item m="1" x="4329"/>
        <item m="1" x="4403"/>
        <item m="1" x="4477"/>
        <item m="1" x="4550"/>
        <item m="1" x="4624"/>
        <item m="1" x="4699"/>
        <item m="1" x="4775"/>
        <item m="1" x="4850"/>
        <item m="1" x="4925"/>
        <item m="1" x="150"/>
        <item m="1" x="226"/>
        <item m="1" x="300"/>
        <item m="1" x="374"/>
        <item m="1" x="448"/>
        <item m="1" x="523"/>
        <item m="1" x="598"/>
        <item m="1" x="672"/>
        <item m="1" x="746"/>
        <item m="1" x="821"/>
        <item m="1" x="896"/>
        <item m="1" x="970"/>
        <item m="1" x="1044"/>
        <item m="1" x="1119"/>
        <item m="1" x="1194"/>
        <item m="1" x="1268"/>
        <item m="1" x="1342"/>
        <item m="1" x="1417"/>
        <item m="1" x="1491"/>
        <item m="1" x="1564"/>
        <item m="1" x="1638"/>
        <item m="1" x="1713"/>
        <item m="1" x="1788"/>
        <item m="1" x="1862"/>
        <item m="1" x="1936"/>
        <item m="1" x="2011"/>
        <item m="1" x="2085"/>
        <item m="1" x="2158"/>
        <item m="1" x="2233"/>
        <item m="1" x="2309"/>
        <item m="1" x="2385"/>
        <item m="1" x="2460"/>
        <item m="1" x="2535"/>
        <item m="1" x="2611"/>
        <item m="1" x="2686"/>
        <item m="1" x="2760"/>
        <item m="1" x="2835"/>
        <item m="1" x="2910"/>
        <item m="1" x="2985"/>
        <item m="1" x="3059"/>
        <item m="1" x="3134"/>
        <item m="1" x="3209"/>
        <item m="1" x="3284"/>
        <item m="1" x="3358"/>
        <item m="1" x="3433"/>
        <item m="1" x="3508"/>
        <item m="1" x="3583"/>
        <item m="1" x="3657"/>
        <item m="1" x="3732"/>
        <item m="1" x="3807"/>
        <item m="1" x="3882"/>
        <item m="1" x="3955"/>
        <item m="1" x="4029"/>
        <item m="1" x="4103"/>
        <item m="1" x="4177"/>
        <item m="1" x="4250"/>
        <item m="1" x="4324"/>
        <item m="1" x="4398"/>
        <item m="1" x="4472"/>
        <item m="1" x="4544"/>
        <item m="1" x="4619"/>
        <item m="1" x="4694"/>
        <item m="1" x="4770"/>
        <item m="1" x="4844"/>
        <item m="1" x="4920"/>
        <item m="1" x="4995"/>
        <item m="1" x="221"/>
        <item m="1" x="295"/>
        <item m="1" x="370"/>
        <item m="1" x="444"/>
        <item m="1" x="519"/>
        <item m="1" x="593"/>
        <item m="1" x="668"/>
        <item m="1" x="742"/>
        <item m="1" x="817"/>
        <item m="1" x="891"/>
        <item m="1" x="966"/>
        <item m="1" x="1040"/>
        <item m="1" x="1115"/>
        <item m="1" x="1189"/>
        <item m="1" x="1264"/>
        <item m="1" x="1338"/>
        <item m="1" x="1413"/>
        <item m="1" x="1486"/>
        <item m="1" x="1560"/>
        <item m="1" x="1634"/>
        <item m="1" x="1709"/>
        <item m="1" x="1783"/>
        <item m="1" x="1858"/>
        <item m="1" x="1932"/>
        <item m="1" x="2007"/>
        <item m="1" x="2080"/>
        <item m="1" x="2154"/>
        <item m="1" x="2229"/>
        <item m="1" x="2305"/>
        <item m="1" x="2380"/>
        <item m="1" x="2456"/>
        <item m="1" x="2531"/>
        <item m="1" x="2607"/>
        <item m="1" x="2682"/>
        <item m="1" x="2757"/>
        <item m="1" x="2832"/>
        <item m="1" x="2907"/>
        <item m="1" x="2981"/>
        <item m="1" x="3056"/>
        <item m="1" x="3131"/>
        <item m="1" x="3206"/>
        <item m="1" x="3280"/>
        <item m="1" x="3355"/>
        <item m="1" x="3430"/>
        <item m="1" x="3505"/>
        <item m="1" x="3579"/>
        <item m="1" x="3654"/>
        <item m="1" x="3729"/>
        <item m="1" x="3804"/>
        <item m="1" x="3878"/>
        <item m="1" x="3952"/>
        <item m="1" x="4026"/>
        <item m="1" x="4100"/>
        <item m="1" x="4173"/>
        <item m="1" x="4247"/>
        <item m="1" x="4321"/>
        <item m="1" x="4395"/>
        <item m="1" x="4468"/>
        <item m="1" x="4541"/>
        <item m="1" x="4616"/>
        <item m="1" x="4691"/>
        <item m="1" x="4766"/>
        <item m="1" x="4841"/>
        <item m="1" x="4917"/>
        <item m="1" x="4992"/>
        <item m="1" x="217"/>
        <item m="1" x="292"/>
        <item m="1" x="367"/>
        <item m="1" x="441"/>
        <item m="1" x="515"/>
        <item m="1" x="590"/>
        <item m="1" x="665"/>
        <item m="1" x="739"/>
        <item m="1" x="813"/>
        <item m="1" x="888"/>
        <item m="1" x="963"/>
        <item m="1" x="1037"/>
        <item m="1" x="1111"/>
        <item m="1" x="1186"/>
        <item m="1" x="1261"/>
        <item m="1" x="1335"/>
        <item m="1" x="1409"/>
        <item m="1" x="1483"/>
        <item m="1" x="1557"/>
        <item m="1" x="1631"/>
        <item m="1" x="1705"/>
        <item m="1" x="1780"/>
        <item m="1" x="1855"/>
        <item m="1" x="1929"/>
        <item m="1" x="2003"/>
        <item m="1" x="2077"/>
        <item m="1" x="2151"/>
        <item m="1" x="2226"/>
        <item m="1" x="2301"/>
        <item m="1" x="2377"/>
        <item m="1" x="2453"/>
        <item m="1" x="2528"/>
        <item m="1" x="2603"/>
        <item m="1" x="2679"/>
        <item m="1" x="2754"/>
        <item m="1" x="2829"/>
        <item m="1" x="2903"/>
        <item m="1" x="2978"/>
        <item m="1" x="3053"/>
        <item m="1" x="3128"/>
        <item m="1" x="3202"/>
        <item m="1" x="3277"/>
        <item m="1" x="3352"/>
        <item m="1" x="3427"/>
        <item m="1" x="3501"/>
        <item m="1" x="3576"/>
        <item m="1" x="3651"/>
        <item m="1" x="3726"/>
        <item m="1" x="3800"/>
        <item m="1" x="3875"/>
        <item m="1" x="3949"/>
        <item m="1" x="4023"/>
        <item m="1" x="4096"/>
        <item m="1" x="4170"/>
        <item m="1" x="4244"/>
        <item m="1" x="4318"/>
        <item m="1" x="4391"/>
        <item m="1" x="4465"/>
        <item m="1" x="4538"/>
        <item m="1" x="4613"/>
        <item m="1" x="4687"/>
        <item m="1" x="4763"/>
        <item m="1" x="4838"/>
        <item m="1" x="4914"/>
        <item m="1" x="4988"/>
        <item m="1" x="214"/>
        <item m="1" x="289"/>
        <item m="1" x="364"/>
        <item m="1" x="437"/>
        <item m="1" x="512"/>
        <item m="1" x="587"/>
        <item m="1" x="662"/>
        <item m="1" x="735"/>
        <item m="1" x="810"/>
        <item m="1" x="885"/>
        <item m="1" x="959"/>
        <item m="1" x="1032"/>
        <item m="1" x="1107"/>
        <item m="1" x="1182"/>
        <item m="1" x="1257"/>
        <item m="1" x="1330"/>
        <item m="1" x="1405"/>
        <item m="1" x="1479"/>
        <item m="1" x="1553"/>
        <item m="1" x="1626"/>
        <item m="1" x="1701"/>
        <item m="1" x="1776"/>
        <item m="1" x="1851"/>
        <item m="1" x="1924"/>
        <item m="1" x="1999"/>
        <item m="1" x="2073"/>
        <item m="1" x="2147"/>
        <item m="1" x="2221"/>
        <item m="1" x="2297"/>
        <item m="1" x="2373"/>
        <item m="1" x="2449"/>
        <item m="1" x="2523"/>
        <item m="1" x="2599"/>
        <item m="1" x="2675"/>
        <item m="1" x="2750"/>
        <item m="1" x="2824"/>
        <item m="1" x="2899"/>
        <item m="1" x="2974"/>
        <item m="1" x="3049"/>
        <item m="1" x="3123"/>
        <item m="1" x="3198"/>
        <item m="1" x="3273"/>
        <item m="1" x="3347"/>
        <item m="1" x="3421"/>
        <item m="1" x="3496"/>
        <item m="1" x="3571"/>
        <item m="1" x="3646"/>
        <item m="1" x="3720"/>
        <item m="1" x="3795"/>
        <item m="1" x="3870"/>
        <item m="1" x="3944"/>
        <item m="1" x="4017"/>
        <item m="1" x="4091"/>
        <item m="1" x="4165"/>
        <item m="1" x="4239"/>
        <item m="1" x="4312"/>
        <item m="1" x="4386"/>
        <item m="1" x="4460"/>
        <item m="1" x="4533"/>
        <item m="1" x="4607"/>
        <item m="1" x="4682"/>
        <item m="1" x="4758"/>
        <item m="1" x="4833"/>
        <item m="1" x="4908"/>
        <item m="1" x="4983"/>
        <item m="1" x="209"/>
        <item m="1" x="284"/>
        <item m="1" x="358"/>
        <item m="1" x="432"/>
        <item m="1" x="507"/>
        <item m="1" x="582"/>
        <item m="1" x="656"/>
        <item m="1" x="730"/>
        <item m="1" x="805"/>
        <item m="1" x="880"/>
        <item m="1" x="953"/>
        <item m="1" x="1027"/>
        <item m="1" x="1102"/>
        <item m="1" x="1177"/>
        <item m="1" x="1251"/>
        <item m="1" x="1325"/>
        <item m="1" x="1400"/>
        <item m="1" x="1474"/>
        <item m="1" x="1547"/>
        <item m="1" x="1621"/>
        <item m="1" x="1696"/>
        <item m="1" x="1771"/>
        <item m="1" x="1845"/>
        <item m="1" x="1919"/>
        <item m="1" x="1994"/>
        <item m="1" x="2068"/>
        <item m="1" x="2141"/>
        <item m="1" x="2216"/>
        <item m="1" x="2292"/>
        <item m="1" x="2368"/>
        <item m="1" x="2443"/>
        <item m="1" x="2518"/>
        <item m="1" x="2594"/>
        <item m="1" x="2670"/>
        <item m="1" x="2744"/>
        <item m="1" x="2819"/>
        <item m="1" x="2894"/>
        <item m="1" x="2969"/>
        <item m="1" x="3043"/>
        <item m="1" x="3118"/>
        <item m="1" x="3193"/>
        <item m="1" x="3268"/>
        <item m="1" x="3341"/>
        <item m="1" x="3416"/>
        <item m="1" x="3491"/>
        <item m="1" x="3566"/>
        <item m="1" x="3640"/>
        <item m="1" x="3715"/>
        <item m="1" x="3790"/>
        <item m="1" x="3865"/>
        <item m="1" x="3938"/>
        <item m="1" x="4012"/>
        <item m="1" x="4086"/>
        <item m="1" x="4160"/>
        <item m="1" x="4233"/>
        <item m="1" x="4307"/>
        <item m="1" x="4381"/>
        <item m="1" x="4455"/>
        <item m="1" x="4528"/>
        <item m="1" x="4603"/>
        <item m="1" x="4678"/>
        <item m="1" x="4754"/>
        <item m="1" x="4828"/>
        <item m="1" x="4904"/>
        <item m="1" x="4979"/>
        <item m="1" x="205"/>
        <item m="1" x="279"/>
        <item m="1" x="354"/>
        <item m="1" x="428"/>
        <item m="1" x="503"/>
        <item m="1" x="577"/>
        <item m="1" x="652"/>
        <item m="1" x="726"/>
        <item m="1" x="801"/>
        <item m="1" x="875"/>
        <item m="1" x="949"/>
        <item m="1" x="1023"/>
        <item m="1" x="1098"/>
        <item m="1" x="1172"/>
        <item m="1" x="1247"/>
        <item m="1" x="1321"/>
        <item m="1" x="1396"/>
        <item m="1" x="1469"/>
        <item m="1" x="1543"/>
        <item m="1" x="1617"/>
        <item m="1" x="1692"/>
        <item m="1" x="1766"/>
        <item m="1" x="1841"/>
        <item m="1" x="1915"/>
        <item m="1" x="1990"/>
        <item m="1" x="2064"/>
        <item m="1" x="2138"/>
        <item m="1" x="2213"/>
        <item m="1" x="2289"/>
        <item m="1" x="2364"/>
        <item m="1" x="2440"/>
        <item m="1" x="2515"/>
        <item m="1" x="2591"/>
        <item m="1" x="2666"/>
        <item m="1" x="2741"/>
        <item m="1" x="2816"/>
        <item m="1" x="2891"/>
        <item m="1" x="2965"/>
        <item m="1" x="3040"/>
        <item m="1" x="3115"/>
        <item m="1" x="3190"/>
        <item m="1" x="3264"/>
        <item m="1" x="3338"/>
        <item m="1" x="3413"/>
        <item m="1" x="3488"/>
        <item m="1" x="3562"/>
        <item m="1" x="3637"/>
        <item m="1" x="3712"/>
        <item m="1" x="3787"/>
        <item m="1" x="3861"/>
        <item m="1" x="3935"/>
        <item m="1" x="4009"/>
        <item m="1" x="4083"/>
        <item m="1" x="4156"/>
        <item m="1" x="4230"/>
        <item m="1" x="4304"/>
        <item m="1" x="4378"/>
        <item m="1" x="4451"/>
        <item m="1" x="4525"/>
        <item m="1" x="4600"/>
        <item m="1" x="4675"/>
        <item m="1" x="4750"/>
        <item m="1" x="4825"/>
        <item m="1" x="4901"/>
        <item m="1" x="4976"/>
        <item m="1" x="201"/>
        <item m="1" x="276"/>
        <item m="1" x="351"/>
        <item m="1" x="425"/>
        <item m="1" x="499"/>
        <item m="1" x="574"/>
        <item m="1" x="649"/>
        <item m="1" x="723"/>
        <item m="1" x="797"/>
        <item m="1" x="872"/>
        <item m="1" x="946"/>
        <item m="1" x="1020"/>
        <item m="1" x="1094"/>
        <item m="1" x="1169"/>
        <item m="1" x="1244"/>
        <item m="1" x="1318"/>
        <item m="1" x="1392"/>
        <item m="1" x="1466"/>
        <item m="1" x="1540"/>
        <item m="1" x="1614"/>
        <item m="1" x="1688"/>
        <item m="1" x="1763"/>
        <item m="1" x="1838"/>
        <item m="1" x="1912"/>
        <item m="1" x="1986"/>
        <item m="1" x="2061"/>
        <item m="1" x="2135"/>
        <item m="1" x="2210"/>
        <item m="1" x="2285"/>
        <item m="1" x="2361"/>
        <item m="1" x="2437"/>
        <item m="1" x="2512"/>
        <item m="1" x="2587"/>
        <item m="1" x="2663"/>
        <item m="1" x="2738"/>
        <item m="1" x="2813"/>
        <item m="1" x="2887"/>
        <item m="1" x="2962"/>
        <item m="1" x="3037"/>
        <item m="1" x="3112"/>
        <item m="1" x="3186"/>
        <item m="1" x="3261"/>
        <item m="1" x="3335"/>
        <item m="1" x="3410"/>
        <item m="1" x="3484"/>
        <item m="1" x="3559"/>
        <item m="1" x="3634"/>
        <item m="1" x="3709"/>
        <item m="1" x="3783"/>
        <item m="1" x="3858"/>
        <item m="1" x="3932"/>
        <item m="1" x="4006"/>
        <item m="1" x="1612"/>
        <item m="1" x="4079"/>
        <item m="1" x="1686"/>
        <item m="1" x="4153"/>
        <item m="1" x="1761"/>
        <item m="1" x="4227"/>
        <item m="1" x="1836"/>
        <item m="1" x="4301"/>
        <item m="1" x="1910"/>
        <item m="1" x="4374"/>
        <item m="1" x="1984"/>
        <item m="1" x="4448"/>
        <item m="1" x="2059"/>
        <item m="1" x="4522"/>
        <item m="1" x="2133"/>
        <item m="1" x="4596"/>
        <item m="1" x="2207"/>
        <item m="1" x="4670"/>
        <item m="1" x="2282"/>
        <item m="1" x="4746"/>
        <item m="1" x="2358"/>
        <item m="1" x="4821"/>
        <item m="1" x="2434"/>
        <item m="1" x="4897"/>
        <item m="1" x="2509"/>
        <item m="1" x="4971"/>
        <item m="1" x="2584"/>
        <item m="1" x="197"/>
        <item m="1" x="2660"/>
        <item m="1" x="272"/>
        <item m="1" x="2735"/>
        <item m="1" x="347"/>
        <item m="1" x="2810"/>
        <item m="1" x="420"/>
        <item m="1" x="2884"/>
        <item m="1" x="495"/>
        <item m="1" x="2959"/>
        <item m="1" x="569"/>
        <item m="1" x="3034"/>
        <item m="1" x="645"/>
        <item m="1" x="3109"/>
        <item m="1" x="718"/>
        <item m="1" x="3183"/>
        <item m="1" x="793"/>
        <item m="1" x="3258"/>
        <item m="1" x="867"/>
        <item m="1" x="3332"/>
        <item m="1" x="942"/>
        <item m="1" x="3407"/>
        <item m="1" x="1015"/>
        <item m="1" x="3481"/>
        <item m="1" x="1090"/>
        <item m="1" x="3556"/>
        <item m="1" x="1164"/>
        <item m="1" x="3631"/>
        <item m="1" x="1240"/>
        <item m="1" x="3706"/>
        <item m="1" x="1313"/>
        <item m="1" x="3780"/>
        <item m="1" x="1388"/>
        <item m="1" x="3855"/>
        <item m="1" x="1461"/>
        <item m="1" x="3929"/>
        <item m="1" x="1536"/>
        <item m="1" x="4003"/>
        <item m="1" x="1608"/>
        <item m="1" x="4076"/>
        <item m="1" x="1683"/>
        <item m="1" x="4150"/>
        <item m="1" x="1757"/>
        <item m="1" x="4224"/>
        <item m="1" x="1833"/>
        <item m="1" x="4298"/>
        <item m="1" x="1906"/>
        <item m="1" x="4371"/>
        <item m="1" x="1981"/>
        <item m="1" x="4445"/>
        <item m="1" x="2055"/>
        <item m="1" x="4519"/>
        <item m="1" x="2130"/>
        <item m="1" x="4593"/>
        <item m="1" x="2203"/>
        <item m="1" x="4667"/>
        <item m="1" x="2279"/>
        <item m="1" x="4743"/>
        <item m="1" x="2354"/>
        <item m="1" x="4818"/>
        <item m="1" x="2431"/>
        <item m="1" x="4894"/>
        <item m="1" x="2505"/>
        <item m="1" x="4968"/>
        <item m="1" x="2581"/>
        <item m="1" x="194"/>
        <item m="1" x="2656"/>
        <item m="1" x="269"/>
        <item m="1" x="2732"/>
        <item m="1" x="344"/>
        <item m="1" x="2806"/>
        <item m="1" x="417"/>
        <item m="1" x="2881"/>
        <item m="1" x="492"/>
        <item m="1" x="2955"/>
        <item m="1" x="566"/>
        <item m="1" x="3031"/>
        <item m="1" x="642"/>
        <item m="1" x="3105"/>
        <item m="1" x="715"/>
        <item m="1" x="3180"/>
        <item m="1" x="790"/>
        <item m="1" x="3254"/>
        <item m="1" x="864"/>
        <item m="1" x="3329"/>
        <item m="1" x="939"/>
        <item m="1" x="3403"/>
        <item m="1" x="1012"/>
        <item m="1" x="3478"/>
        <item m="1" x="1087"/>
        <item m="1" x="3552"/>
        <item m="1" x="1161"/>
        <item m="1" x="3628"/>
        <item m="1" x="1237"/>
        <item m="1" x="3702"/>
        <item m="1" x="1310"/>
        <item m="1" x="3777"/>
        <item m="1" x="1385"/>
        <item m="1" x="3851"/>
        <item m="1" x="1458"/>
        <item m="1" x="3926"/>
        <item m="1" x="1533"/>
        <item m="1" x="3999"/>
        <item m="1" x="1605"/>
        <item m="1" x="4073"/>
        <item m="1" x="1680"/>
        <item m="1" x="4146"/>
        <item m="1" x="1754"/>
        <item m="1" x="4221"/>
        <item m="1" x="1830"/>
        <item m="1" x="4294"/>
        <item m="1" x="1903"/>
        <item m="1" x="4368"/>
        <item m="1" x="1978"/>
        <item m="1" x="4441"/>
        <item m="1" x="2052"/>
        <item m="1" x="4516"/>
        <item m="1" x="2127"/>
        <item m="1" x="4589"/>
        <item m="1" x="2200"/>
        <item m="1" x="4664"/>
        <item m="1" x="2276"/>
        <item m="1" x="4739"/>
        <item m="1" x="2351"/>
        <item m="1" x="4815"/>
        <item m="1" x="2428"/>
        <item m="1" x="4890"/>
        <item m="1" x="2502"/>
        <item m="1" x="4965"/>
        <item m="1" x="2578"/>
        <item m="1" x="190"/>
        <item m="1" x="2653"/>
        <item m="1" x="266"/>
        <item m="1" x="2729"/>
        <item m="1" x="340"/>
        <item m="1" x="2803"/>
        <item m="1" x="414"/>
        <item m="1" x="2878"/>
        <item m="1" x="488"/>
        <item m="1" x="2952"/>
        <item m="1" x="563"/>
        <item m="1" x="3028"/>
        <item m="1" x="638"/>
        <item m="1" x="3102"/>
        <item m="1" x="712"/>
        <item m="1" x="3177"/>
        <item m="1" x="786"/>
        <item m="1" x="3251"/>
        <item m="1" x="861"/>
        <item m="1" x="3326"/>
        <item m="1" x="935"/>
        <item m="1" x="3400"/>
        <item m="1" x="1009"/>
        <item m="1" x="3475"/>
        <item m="1" x="1083"/>
        <item m="1" x="3549"/>
        <item m="1" x="1158"/>
        <item m="1" x="3625"/>
        <item m="1" x="1233"/>
        <item m="1" x="3699"/>
        <item m="1" x="1307"/>
        <item m="1" x="3774"/>
        <item m="1" x="1381"/>
        <item m="1" x="3848"/>
        <item m="1" x="1455"/>
        <item m="1" x="3923"/>
        <item m="1" x="1529"/>
        <item m="1" x="3996"/>
        <item m="1" x="1602"/>
        <item m="1" x="4070"/>
        <item m="1" x="1676"/>
        <item m="1" x="4143"/>
        <item m="1" x="1751"/>
        <item m="1" x="4218"/>
        <item m="1" x="1826"/>
        <item m="1" x="4291"/>
        <item m="1" x="1900"/>
        <item m="1" x="4365"/>
        <item m="1" x="1974"/>
        <item m="1" x="4438"/>
        <item m="1" x="2049"/>
        <item m="1" x="4513"/>
        <item m="1" x="2123"/>
        <item m="1" x="4586"/>
        <item m="1" x="2197"/>
        <item m="1" x="4661"/>
        <item m="1" x="2272"/>
        <item m="1" x="4736"/>
        <item m="1" x="2348"/>
        <item m="1" x="4812"/>
        <item m="1" x="2424"/>
        <item m="1" x="4887"/>
        <item m="1" x="2499"/>
        <item m="1" x="4962"/>
        <item m="1" x="2574"/>
        <item m="1" x="187"/>
        <item m="1" x="2650"/>
        <item m="1" x="263"/>
        <item m="1" x="2725"/>
        <item m="1" x="337"/>
        <item m="1" x="2800"/>
        <item m="1" x="411"/>
        <item m="1" x="2874"/>
        <item m="1" x="485"/>
        <item m="1" x="2949"/>
        <item m="1" x="560"/>
        <item m="1" x="3024"/>
        <item m="1" x="635"/>
        <item m="1" x="3099"/>
        <item m="1" x="709"/>
        <item m="1" x="3173"/>
        <item m="1" x="783"/>
        <item m="1" x="3248"/>
        <item m="1" x="858"/>
        <item m="1" x="3322"/>
        <item m="1" x="932"/>
        <item m="1" x="3397"/>
        <item m="1" x="1006"/>
        <item m="1" x="3471"/>
        <item m="1" x="1080"/>
        <item m="1" x="3546"/>
        <item m="1" x="1155"/>
        <item m="1" x="3621"/>
        <item m="1" x="1230"/>
        <item m="1" x="3696"/>
        <item m="1" x="1304"/>
        <item m="1" x="3770"/>
        <item m="1" x="1378"/>
        <item m="1" x="3845"/>
        <item m="1" x="1453"/>
        <item m="1" x="3920"/>
        <item m="1" x="1527"/>
        <item m="1" x="3994"/>
        <item m="1" x="1600"/>
        <item m="1" x="4067"/>
        <item m="1" x="1674"/>
        <item m="1" x="4141"/>
        <item m="1" x="1749"/>
        <item m="1" x="4215"/>
        <item m="1" x="1824"/>
        <item m="1" x="4289"/>
        <item m="1" x="1898"/>
        <item m="1" x="4362"/>
        <item m="1" x="1972"/>
        <item m="1" x="4436"/>
        <item m="1" x="2047"/>
        <item m="1" x="4510"/>
        <item m="1" x="2121"/>
        <item m="1" x="4584"/>
        <item m="1" x="2195"/>
        <item m="1" x="4658"/>
        <item m="1" x="2270"/>
        <item m="1" x="4734"/>
        <item m="1" x="2346"/>
        <item m="1" x="4809"/>
        <item m="1" x="2422"/>
        <item m="1" x="4885"/>
        <item m="1" x="2497"/>
        <item m="1" x="4959"/>
        <item m="1" x="2572"/>
        <item m="1" x="185"/>
        <item m="1" x="2648"/>
        <item m="1" x="260"/>
        <item m="1" x="2723"/>
        <item m="1" x="335"/>
        <item m="1" x="2798"/>
        <item m="1" x="408"/>
        <item m="1" x="2872"/>
        <item m="1" x="483"/>
        <item m="1" x="2947"/>
        <item m="1" x="557"/>
        <item m="1" x="3022"/>
        <item m="1" x="633"/>
        <item m="1" x="3097"/>
        <item m="1" x="706"/>
        <item m="1" x="3171"/>
        <item m="1" x="781"/>
        <item m="1" x="3246"/>
        <item m="1" x="855"/>
        <item m="1" x="3320"/>
        <item m="1" x="930"/>
        <item m="1" x="3395"/>
        <item m="1" x="1003"/>
        <item m="1" x="3469"/>
        <item m="1" x="1078"/>
        <item m="1" x="3544"/>
        <item m="1" x="1152"/>
        <item m="1" x="3619"/>
        <item m="1" x="1228"/>
        <item m="1" x="3694"/>
        <item m="1" x="1301"/>
        <item m="1" x="3768"/>
        <item m="1" x="1376"/>
        <item m="1" x="3843"/>
        <item m="1" x="1450"/>
        <item m="1" x="3918"/>
        <item m="1" x="1525"/>
        <item m="1" x="3992"/>
        <item m="1" x="1597"/>
        <item m="1" x="4065"/>
        <item m="1" x="1672"/>
        <item m="1" x="4139"/>
        <item m="1" x="1746"/>
        <item m="1" x="4213"/>
        <item m="1" x="1822"/>
        <item m="1" x="4287"/>
        <item m="1" x="1895"/>
        <item m="1" x="4360"/>
        <item m="1" x="1970"/>
        <item m="1" x="4434"/>
        <item m="1" x="2044"/>
        <item m="1" x="4508"/>
        <item m="1" x="2119"/>
        <item m="1" x="4582"/>
        <item m="1" x="2192"/>
        <item m="1" x="4656"/>
        <item m="1" x="2268"/>
        <item m="1" x="4732"/>
        <item m="1" x="2343"/>
        <item m="1" x="4807"/>
        <item m="1" x="2420"/>
        <item m="1" x="4883"/>
        <item m="1" x="2494"/>
        <item m="1" x="4957"/>
        <item m="1" x="2570"/>
        <item m="1" x="183"/>
        <item m="1" x="2645"/>
        <item m="1" x="258"/>
        <item m="1" x="2721"/>
        <item m="1" x="333"/>
        <item m="1" x="2795"/>
        <item m="1" x="406"/>
        <item m="1" x="2870"/>
        <item m="1" x="481"/>
        <item m="1" x="2944"/>
        <item m="1" x="555"/>
        <item m="1" x="3020"/>
        <item m="1" x="631"/>
        <item m="1" x="3094"/>
        <item m="1" x="704"/>
        <item m="1" x="3169"/>
        <item m="1" x="779"/>
        <item m="1" x="3243"/>
        <item m="1" x="853"/>
        <item m="1" x="3318"/>
        <item m="1" x="928"/>
        <item m="1" x="3392"/>
        <item m="1" x="1001"/>
        <item m="1" x="3467"/>
        <item m="1" x="1076"/>
        <item m="1" x="3541"/>
        <item m="1" x="1150"/>
        <item m="1" x="3617"/>
        <item m="1" x="1226"/>
        <item m="1" x="3691"/>
        <item m="1" x="1299"/>
        <item m="1" x="3766"/>
        <item m="1" x="1374"/>
        <item m="1" x="3840"/>
        <item m="1" x="1448"/>
        <item m="1" x="3916"/>
        <item m="1" x="1523"/>
        <item m="1" x="3989"/>
        <item m="1" x="1595"/>
        <item m="1" x="4063"/>
        <item m="1" x="1670"/>
        <item m="1" x="4136"/>
        <item m="1" x="1744"/>
        <item m="1" x="4211"/>
        <item m="1" x="1820"/>
        <item m="1" x="4284"/>
        <item m="1" x="1893"/>
        <item m="1" x="4358"/>
        <item m="1" x="1968"/>
        <item m="1" x="4431"/>
        <item m="1" x="2042"/>
        <item m="1" x="4506"/>
        <item m="1" x="2117"/>
        <item m="1" x="4579"/>
        <item m="1" x="2190"/>
        <item m="1" x="4654"/>
        <item m="1" x="2266"/>
        <item m="1" x="4729"/>
        <item m="1" x="2341"/>
        <item m="1" x="4805"/>
        <item m="1" x="2418"/>
        <item m="1" x="4880"/>
        <item m="1" x="2492"/>
        <item m="1" x="4955"/>
        <item m="1" x="2568"/>
        <item m="1" x="180"/>
        <item m="1" x="2643"/>
        <item m="1" x="256"/>
        <item m="1" x="2719"/>
        <item m="1" x="330"/>
        <item m="1" x="2793"/>
        <item m="1" x="404"/>
        <item m="1" x="2868"/>
        <item m="1" x="478"/>
        <item m="1" x="2942"/>
        <item m="1" x="553"/>
        <item m="1" x="3018"/>
        <item m="1" x="628"/>
        <item m="1" x="3092"/>
        <item m="1" x="702"/>
        <item m="1" x="3167"/>
        <item m="1" x="776"/>
        <item m="1" x="3241"/>
        <item m="1" x="851"/>
        <item m="1" x="3316"/>
        <item m="1" x="925"/>
        <item m="1" x="3390"/>
        <item m="1" x="999"/>
        <item m="1" x="3465"/>
        <item m="1" x="1073"/>
        <item m="1" x="3539"/>
        <item m="1" x="1148"/>
        <item m="1" x="3615"/>
        <item m="1" x="1223"/>
        <item m="1" x="3689"/>
        <item m="1" x="1297"/>
        <item m="1" x="3764"/>
        <item m="1" x="1371"/>
        <item m="1" x="3838"/>
        <item m="1" x="1446"/>
        <item m="1" x="3914"/>
        <item m="1" x="1520"/>
        <item m="1" x="3987"/>
        <item m="1" x="1593"/>
        <item m="1" x="4061"/>
        <item m="1" x="1667"/>
        <item m="1" x="4134"/>
        <item m="1" x="1742"/>
        <item m="1" x="4209"/>
        <item m="1" x="1817"/>
        <item m="1" x="4282"/>
        <item m="1" x="1891"/>
        <item m="1" x="4356"/>
        <item m="1" x="1965"/>
        <item m="1" x="4429"/>
        <item m="1" x="2040"/>
        <item m="1" x="4504"/>
        <item m="1" x="2114"/>
        <item m="1" x="4577"/>
        <item m="1" x="2188"/>
        <item m="1" x="4652"/>
        <item m="1" x="2263"/>
        <item m="1" x="4727"/>
        <item m="1" x="2339"/>
        <item m="1" x="4803"/>
        <item m="1" x="2415"/>
        <item m="1" x="4878"/>
        <item m="1" x="2490"/>
        <item m="1" x="4953"/>
        <item m="1" x="2565"/>
        <item m="1" x="178"/>
        <item m="1" x="2641"/>
        <item m="1" x="254"/>
        <item m="1" x="2716"/>
        <item m="1" x="328"/>
        <item m="1" x="2791"/>
        <item m="1" x="402"/>
        <item m="1" x="2865"/>
        <item m="1" x="476"/>
        <item m="1" x="2940"/>
        <item m="1" x="551"/>
        <item m="1" x="3015"/>
        <item m="1" x="626"/>
        <item m="1" x="3090"/>
        <item m="1" x="700"/>
        <item m="1" x="3164"/>
        <item m="1" x="774"/>
        <item m="1" x="3239"/>
        <item m="1" x="849"/>
        <item m="1" x="3313"/>
        <item m="1" x="923"/>
        <item m="1" x="3388"/>
        <item m="1" x="997"/>
        <item m="1" x="3462"/>
        <item m="1" x="1071"/>
        <item m="1" x="3537"/>
        <item m="1" x="1146"/>
        <item m="1" x="3612"/>
        <item m="1" x="1221"/>
        <item m="1" x="3687"/>
        <item m="1" x="1295"/>
        <item m="1" x="3761"/>
        <item m="1" x="1369"/>
        <item m="1" x="3836"/>
        <item m="1" x="1444"/>
        <item m="1" x="3911"/>
        <item m="1" x="1518"/>
        <item m="1" x="3985"/>
        <item m="1" x="1591"/>
        <item m="1" x="4058"/>
        <item m="1" x="1665"/>
        <item m="1" x="4132"/>
        <item m="1" x="1740"/>
        <item m="1" x="4206"/>
        <item m="1" x="1815"/>
        <item m="1" x="4280"/>
        <item m="1" x="1889"/>
        <item m="1" x="4353"/>
        <item m="1" x="1963"/>
        <item m="1" x="4427"/>
        <item m="1" x="2038"/>
        <item m="1" x="4501"/>
        <item m="1" x="2112"/>
        <item m="1" x="4574"/>
        <item m="1" x="2185"/>
        <item m="1" x="4648"/>
        <item m="1" x="2260"/>
        <item m="1" x="4724"/>
        <item m="1" x="2336"/>
        <item m="1" x="4799"/>
        <item m="1" x="2412"/>
        <item m="1" x="4875"/>
        <item m="1" x="2487"/>
        <item m="1" x="4949"/>
        <item m="1" x="2562"/>
        <item m="1" x="175"/>
        <item m="1" x="2638"/>
        <item m="1" x="250"/>
        <item m="1" x="2713"/>
        <item m="1" x="325"/>
        <item m="1" x="2788"/>
        <item m="1" x="398"/>
        <item m="1" x="2862"/>
        <item m="1" x="473"/>
        <item m="1" x="2937"/>
        <item m="1" x="547"/>
        <item m="1" x="3012"/>
        <item m="1" x="623"/>
        <item m="1" x="3087"/>
        <item m="1" x="696"/>
        <item m="1" x="3161"/>
        <item m="1" x="771"/>
        <item m="1" x="3236"/>
        <item m="1" x="845"/>
        <item m="1" x="3310"/>
        <item m="1" x="920"/>
        <item m="1" x="3385"/>
        <item m="1" x="993"/>
        <item m="1" x="3459"/>
        <item m="1" x="1068"/>
        <item m="1" x="3534"/>
        <item m="1" x="1142"/>
        <item m="1" x="3609"/>
        <item m="1" x="1218"/>
        <item m="1" x="3684"/>
        <item m="1" x="1291"/>
        <item m="1" x="3758"/>
        <item m="1" x="1366"/>
        <item m="1" x="3833"/>
        <item m="1" x="1440"/>
        <item m="1" x="3908"/>
        <item m="1" x="1515"/>
        <item m="1" x="3982"/>
        <item m="1" x="1587"/>
        <item m="1" x="4055"/>
        <item m="1" x="1662"/>
        <item m="1" x="4129"/>
        <item m="1" x="1736"/>
        <item m="1" x="4203"/>
        <item m="1" x="1812"/>
        <item m="1" x="4277"/>
        <item m="1" x="1885"/>
        <item m="1" x="4350"/>
        <item m="1" x="1960"/>
        <item m="1" x="4424"/>
        <item m="1" x="2034"/>
        <item m="1" x="4498"/>
        <item m="1" x="2109"/>
        <item m="1" x="4571"/>
        <item m="1" x="2181"/>
        <item m="1" x="4645"/>
        <item m="1" x="2257"/>
        <item m="1" x="4721"/>
        <item m="1" x="2332"/>
        <item m="1" x="4796"/>
        <item m="1" x="2409"/>
        <item m="1" x="4872"/>
        <item m="1" x="2483"/>
        <item m="1" x="4946"/>
        <item m="1" x="2559"/>
        <item m="1" x="172"/>
        <item m="1" x="2634"/>
        <item m="1" x="247"/>
        <item m="1" x="2710"/>
        <item m="1" x="322"/>
        <item m="1" x="2784"/>
        <item m="1" x="395"/>
        <item m="1" x="2859"/>
        <item m="1" x="470"/>
        <item m="1" x="2933"/>
        <item m="1" x="544"/>
        <item m="1" x="3009"/>
        <item m="1" x="620"/>
        <item m="1" x="3083"/>
        <item m="1" x="693"/>
        <item m="1" x="3158"/>
        <item m="1" x="768"/>
        <item m="1" x="3232"/>
        <item m="1" x="842"/>
        <item m="1" x="3307"/>
        <item m="1" x="917"/>
        <item m="1" x="3381"/>
        <item m="1" x="990"/>
        <item m="1" x="3456"/>
        <item m="1" x="1065"/>
        <item m="1" x="3530"/>
        <item m="1" x="1139"/>
        <item m="1" x="3606"/>
        <item m="1" x="1215"/>
        <item m="1" x="3680"/>
        <item m="1" x="1288"/>
        <item m="1" x="3755"/>
        <item m="1" x="1363"/>
        <item m="1" x="3829"/>
        <item m="1" x="1437"/>
        <item m="1" x="3905"/>
        <item m="1" x="1512"/>
        <item m="1" x="3978"/>
        <item m="1" x="1584"/>
        <item m="1" x="4052"/>
        <item m="1" x="1659"/>
        <item m="1" x="4125"/>
        <item m="1" x="1733"/>
        <item m="1" x="4200"/>
        <item m="1" x="1809"/>
        <item m="1" x="4273"/>
        <item m="1" x="1882"/>
        <item m="1" x="4347"/>
        <item m="1" x="1957"/>
        <item m="1" x="4420"/>
        <item m="1" x="2031"/>
        <item m="1" x="4495"/>
        <item m="1" x="2106"/>
        <item m="1" x="4567"/>
        <item m="1" x="2178"/>
        <item m="1" x="4642"/>
        <item m="1" x="2254"/>
        <item m="1" x="4717"/>
        <item m="1" x="2329"/>
        <item m="1" x="4793"/>
        <item m="1" x="2406"/>
        <item m="1" x="4868"/>
        <item m="1" x="2480"/>
        <item m="1" x="4943"/>
        <item m="1" x="2556"/>
        <item m="1" x="168"/>
        <item m="1" x="2631"/>
        <item m="1" x="244"/>
        <item m="1" x="2707"/>
        <item m="1" x="318"/>
        <item m="1" x="2781"/>
        <item m="1" x="392"/>
        <item m="1" x="2856"/>
        <item m="1" x="466"/>
        <item m="1" x="2930"/>
        <item m="1" x="541"/>
        <item m="1" x="3006"/>
        <item m="1" x="616"/>
        <item m="1" x="3080"/>
        <item m="1" x="690"/>
        <item m="1" x="3155"/>
        <item m="1" x="764"/>
        <item m="1" x="3229"/>
        <item m="1" x="839"/>
        <item m="1" x="3304"/>
        <item m="1" x="913"/>
        <item m="1" x="3378"/>
        <item m="1" x="987"/>
        <item m="1" x="3453"/>
        <item m="1" x="1061"/>
        <item m="1" x="3527"/>
        <item m="1" x="1136"/>
        <item m="1" x="3603"/>
        <item m="1" x="1211"/>
        <item m="1" x="3677"/>
        <item m="1" x="1285"/>
        <item m="1" x="3752"/>
        <item m="1" x="1359"/>
        <item m="1" x="3826"/>
        <item m="1" x="1434"/>
        <item m="1" x="3902"/>
        <item m="1" x="1508"/>
        <item m="1" x="3975"/>
        <item m="1" x="1581"/>
        <item m="1" x="4049"/>
        <item m="1" x="1655"/>
        <item m="1" x="4122"/>
        <item m="1" x="1730"/>
        <item m="1" x="4197"/>
        <item m="1" x="1805"/>
        <item m="1" x="4270"/>
        <item m="1" x="1879"/>
        <item m="1" x="4344"/>
        <item m="1" x="1953"/>
        <item m="1" x="4417"/>
        <item m="1" x="2028"/>
        <item m="1" x="4492"/>
        <item m="1" x="2102"/>
        <item m="1" x="4564"/>
        <item m="1" x="2175"/>
        <item m="1" x="4639"/>
        <item m="1" x="2250"/>
        <item m="1" x="4714"/>
        <item m="1" x="2326"/>
        <item m="1" x="4790"/>
        <item m="1" x="2402"/>
        <item m="1" x="4865"/>
        <item m="1" x="2477"/>
        <item m="1" x="4940"/>
        <item m="1" x="2552"/>
        <item m="1" x="165"/>
        <item m="1" x="2628"/>
        <item m="1" x="241"/>
        <item m="1" x="2703"/>
        <item m="1" x="315"/>
        <item m="1" x="2778"/>
        <item m="1" x="389"/>
        <item m="1" x="2852"/>
        <item m="1" x="463"/>
        <item m="1" x="2927"/>
        <item m="1" x="538"/>
        <item m="1" x="3002"/>
        <item m="1" x="613"/>
        <item m="1" x="3077"/>
        <item m="1" x="687"/>
        <item m="1" x="3151"/>
        <item m="1" x="761"/>
        <item m="1" x="3226"/>
        <item m="1" x="836"/>
        <item m="1" x="3301"/>
        <item m="1" x="911"/>
        <item m="1" x="3376"/>
        <item m="1" x="985"/>
        <item m="1" x="3450"/>
        <item m="1" x="1059"/>
        <item m="1" x="3525"/>
        <item m="1" x="1134"/>
        <item m="1" x="3600"/>
        <item m="1" x="1209"/>
        <item m="1" x="3675"/>
        <item m="1" x="1283"/>
        <item m="1" x="3749"/>
        <item m="1" x="1357"/>
        <item m="1" x="3824"/>
        <item m="1" x="1432"/>
        <item m="1" x="3899"/>
        <item m="1" x="1506"/>
        <item m="1" x="3973"/>
        <item m="1" x="1579"/>
        <item m="1" x="4046"/>
        <item m="1" x="1653"/>
        <item m="1" x="4120"/>
        <item m="1" x="1728"/>
        <item m="1" x="4194"/>
        <item m="1" x="1803"/>
        <item m="1" x="4268"/>
        <item m="1" x="1877"/>
        <item m="1" x="4341"/>
        <item m="1" x="1951"/>
        <item m="1" x="4415"/>
        <item m="1" x="2026"/>
        <item m="1" x="4489"/>
        <item m="1" x="2100"/>
        <item m="1" x="4562"/>
        <item m="1" x="2173"/>
        <item m="1" x="4636"/>
        <item m="1" x="2248"/>
        <item m="1" x="4712"/>
        <item m="1" x="2324"/>
        <item m="1" x="4787"/>
        <item m="1" x="2400"/>
        <item m="1" x="4863"/>
        <item m="1" x="2475"/>
        <item m="1" x="4937"/>
        <item m="1" x="2550"/>
        <item m="1" x="163"/>
        <item m="1" x="2626"/>
        <item m="1" x="238"/>
        <item m="1" x="2701"/>
        <item m="1" x="313"/>
        <item m="1" x="2776"/>
        <item m="1" x="386"/>
        <item m="1" x="2850"/>
        <item m="1" x="461"/>
        <item m="1" x="2925"/>
        <item m="1" x="535"/>
        <item m="1" x="3000"/>
        <item m="1" x="611"/>
        <item m="1" x="3075"/>
        <item m="1" x="684"/>
        <item m="1" x="3149"/>
        <item m="1" x="759"/>
        <item m="1" x="3224"/>
        <item m="1" x="833"/>
        <item m="1" x="3299"/>
        <item m="1" x="909"/>
        <item m="1" x="3374"/>
        <item m="1" x="982"/>
        <item m="1" x="3448"/>
        <item m="1" x="1057"/>
        <item m="1" x="3523"/>
        <item m="1" x="1131"/>
        <item m="1" x="3598"/>
        <item m="1" x="1207"/>
        <item m="1" x="3673"/>
        <item m="1" x="1280"/>
        <item m="1" x="3747"/>
        <item m="1" x="1355"/>
        <item m="1" x="3822"/>
        <item m="1" x="1429"/>
        <item m="1" x="3897"/>
        <item m="1" x="1504"/>
        <item m="1" x="3971"/>
        <item m="1" x="1576"/>
        <item m="1" x="4044"/>
        <item m="1" x="1651"/>
        <item m="1" x="4118"/>
        <item m="1" x="1725"/>
        <item m="1" x="4192"/>
        <item m="1" x="1801"/>
        <item m="1" x="4266"/>
        <item m="1" x="1874"/>
        <item m="1" x="4339"/>
        <item m="1" x="1949"/>
        <item m="1" x="4413"/>
        <item m="1" x="2023"/>
        <item m="1" x="4487"/>
        <item m="1" x="2098"/>
        <item m="1" x="4560"/>
        <item m="1" x="2170"/>
        <item m="1" x="4634"/>
        <item m="1" x="2246"/>
        <item m="1" x="4710"/>
        <item m="1" x="2321"/>
        <item m="1" x="4785"/>
        <item m="1" x="2398"/>
        <item m="1" x="4861"/>
        <item m="1" x="2472"/>
        <item m="1" x="4935"/>
        <item m="1" x="2548"/>
        <item m="1" x="161"/>
        <item m="1" x="2623"/>
        <item m="1" x="236"/>
        <item m="1" x="2699"/>
        <item m="1" x="311"/>
        <item m="1" x="2773"/>
        <item m="1" x="384"/>
        <item m="1" x="2848"/>
        <item m="1" x="459"/>
        <item m="1" x="2922"/>
        <item m="1" x="533"/>
        <item m="1" x="2998"/>
        <item m="1" x="609"/>
        <item m="1" x="3072"/>
        <item m="1" x="682"/>
        <item m="1" x="3147"/>
        <item m="1" x="757"/>
        <item m="1" x="3221"/>
        <item m="1" x="831"/>
        <item m="1" x="3297"/>
        <item m="1" x="907"/>
        <item m="1" x="3371"/>
        <item m="1" x="980"/>
        <item m="1" x="3446"/>
        <item m="1" x="1055"/>
        <item m="1" x="3520"/>
        <item m="1" x="1129"/>
        <item m="1" x="3596"/>
        <item m="1" x="1205"/>
        <item m="1" x="3670"/>
        <item m="1" x="1278"/>
        <item m="1" x="3745"/>
        <item m="1" x="1353"/>
        <item m="1" x="3819"/>
        <item m="1" x="1427"/>
        <item m="1" x="3895"/>
        <item m="1" x="1502"/>
        <item m="1" x="3968"/>
        <item m="1" x="1574"/>
        <item m="1" x="4042"/>
        <item m="1" x="1649"/>
        <item m="1" x="4115"/>
        <item m="1" x="1723"/>
        <item m="1" x="4190"/>
        <item m="1" x="1799"/>
        <item m="1" x="4263"/>
        <item m="1" x="1872"/>
        <item m="1" x="4337"/>
        <item m="1" x="1947"/>
        <item m="1" x="4410"/>
        <item m="1" x="2021"/>
        <item m="1" x="4485"/>
        <item m="1" x="2096"/>
        <item m="1" x="4557"/>
        <item m="1" x="2168"/>
        <item m="1" x="4632"/>
        <item m="1" x="2244"/>
        <item m="1" x="4707"/>
        <item m="1" x="2319"/>
        <item m="1" x="4783"/>
        <item m="1" x="2396"/>
        <item m="1" x="4858"/>
        <item m="1" x="2470"/>
        <item m="1" x="4933"/>
        <item m="1" x="2546"/>
        <item m="1" x="158"/>
        <item m="1" x="2621"/>
        <item m="1" x="234"/>
        <item m="1" x="2697"/>
        <item m="1" x="308"/>
        <item m="1" x="2771"/>
        <item m="1" x="382"/>
        <item m="1" x="2846"/>
        <item m="1" x="456"/>
        <item m="1" x="2920"/>
        <item m="1" x="531"/>
        <item m="1" x="2996"/>
        <item m="1" x="606"/>
        <item m="1" x="3070"/>
        <item m="1" x="680"/>
        <item m="1" x="3145"/>
        <item m="1" x="754"/>
        <item m="1" x="3219"/>
        <item m="1" x="829"/>
        <item m="1" x="3295"/>
        <item m="1" x="904"/>
        <item m="1" x="3369"/>
        <item m="1" x="978"/>
        <item m="1" x="3444"/>
        <item m="1" x="1052"/>
        <item m="1" x="3518"/>
        <item m="1" x="1127"/>
        <item m="1" x="3594"/>
        <item m="1" x="1202"/>
        <item m="1" x="3668"/>
        <item m="1" x="1276"/>
        <item m="1" x="3743"/>
        <item m="1" x="1350"/>
        <item m="1" x="3817"/>
        <item m="1" x="1425"/>
        <item m="1" x="3893"/>
        <item m="1" x="1499"/>
        <item m="1" x="3966"/>
        <item m="1" x="1572"/>
        <item m="1" x="4040"/>
        <item m="1" x="1646"/>
        <item m="1" x="4113"/>
        <item m="1" x="1721"/>
        <item m="1" x="4188"/>
        <item m="1" x="1796"/>
        <item m="1" x="4261"/>
        <item m="1" x="1870"/>
        <item m="1" x="4335"/>
        <item m="1" x="1944"/>
        <item m="1" x="4408"/>
        <item m="1" x="2019"/>
        <item m="1" x="4483"/>
        <item m="1" x="2093"/>
        <item m="1" x="4555"/>
        <item m="1" x="2166"/>
        <item m="1" x="4630"/>
        <item m="1" x="2241"/>
        <item m="1" x="4705"/>
        <item m="1" x="2317"/>
        <item m="1" x="4781"/>
        <item m="1" x="2393"/>
        <item m="1" x="4856"/>
        <item m="1" x="2468"/>
        <item m="1" x="4931"/>
        <item m="1" x="2543"/>
        <item m="1" x="156"/>
        <item m="1" x="2619"/>
        <item m="1" x="232"/>
        <item m="1" x="2694"/>
        <item m="1" x="306"/>
        <item m="1" x="2769"/>
        <item m="1" x="380"/>
        <item m="1" x="2843"/>
        <item m="1" x="454"/>
        <item m="1" x="2918"/>
        <item m="1" x="529"/>
        <item m="1" x="2993"/>
        <item m="1" x="604"/>
        <item m="1" x="3068"/>
        <item m="1" x="678"/>
        <item m="1" x="3142"/>
        <item m="1" x="752"/>
        <item m="1" x="3217"/>
        <item m="1" x="827"/>
        <item m="1" x="3292"/>
        <item m="1" x="902"/>
        <item m="1" x="3367"/>
        <item m="1" x="4597"/>
        <item m="1" x="976"/>
        <item m="1" x="2208"/>
        <item m="1" x="3441"/>
        <item m="1" x="4671"/>
        <item m="1" x="1050"/>
        <item m="1" x="2283"/>
        <item m="1" x="3516"/>
        <item m="1" x="4747"/>
        <item m="1" x="1125"/>
        <item m="1" x="2359"/>
        <item m="1" x="3591"/>
        <item m="1" x="4822"/>
        <item m="1" x="1200"/>
        <item m="1" x="2435"/>
        <item m="1" x="3666"/>
        <item m="1" x="4898"/>
        <item m="1" x="1274"/>
        <item m="1" x="2510"/>
        <item m="1" x="3740"/>
        <item m="1" x="4972"/>
        <item m="1" x="1348"/>
        <item m="1" x="2585"/>
        <item m="1" x="3815"/>
        <item m="1" x="198"/>
        <item m="1" x="1423"/>
        <item m="1" x="2661"/>
        <item m="1" x="3890"/>
        <item m="1" x="273"/>
        <item m="1" x="1497"/>
        <item m="1" x="2736"/>
        <item m="1" x="3964"/>
        <item m="1" x="348"/>
        <item m="1" x="1570"/>
        <item m="1" x="2811"/>
        <item m="1" x="4037"/>
        <item m="1" x="421"/>
        <item m="1" x="1644"/>
        <item m="1" x="2885"/>
        <item m="1" x="4111"/>
        <item m="1" x="496"/>
        <item m="1" x="1719"/>
        <item m="1" x="2960"/>
        <item m="1" x="4185"/>
        <item m="1" x="570"/>
        <item m="1" x="1794"/>
        <item m="1" x="3035"/>
        <item m="1" x="4259"/>
        <item m="1" x="646"/>
        <item m="1" x="1868"/>
        <item m="1" x="3110"/>
        <item m="1" x="4332"/>
        <item m="1" x="719"/>
        <item m="1" x="1942"/>
        <item m="1" x="3184"/>
        <item m="1" x="4406"/>
        <item m="1" x="794"/>
        <item m="1" x="2017"/>
        <item m="1" x="3259"/>
        <item m="1" x="4480"/>
        <item m="1" x="868"/>
        <item m="1" x="2091"/>
        <item m="1" x="3333"/>
        <item m="1" x="4553"/>
        <item m="1" x="943"/>
        <item m="1" x="2164"/>
        <item m="1" x="3408"/>
        <item m="1" x="4627"/>
        <item m="1" x="1016"/>
        <item m="1" x="2239"/>
        <item m="1" x="3482"/>
        <item m="1" x="4702"/>
        <item m="1" x="1091"/>
        <item m="1" x="2315"/>
        <item m="1" x="3557"/>
        <item m="1" x="4778"/>
        <item m="1" x="1165"/>
        <item m="1" x="2391"/>
        <item m="1" x="3632"/>
        <item m="1" x="4853"/>
        <item m="1" x="1241"/>
        <item m="1" x="2466"/>
        <item m="1" x="3707"/>
        <item m="1" x="4928"/>
        <item m="1" x="1314"/>
        <item m="1" x="2541"/>
        <item m="1" x="3781"/>
        <item m="1" x="153"/>
        <item m="1" x="1389"/>
        <item m="1" x="2617"/>
        <item m="1" x="3856"/>
        <item m="1" x="229"/>
        <item m="1" x="1462"/>
        <item m="1" x="2692"/>
        <item m="1" x="3930"/>
        <item m="1" x="303"/>
        <item m="1" x="1537"/>
        <item m="1" x="2767"/>
        <item m="1" x="4004"/>
        <item m="1" x="377"/>
        <item m="1" x="1609"/>
        <item m="1" x="2841"/>
        <item m="1" x="4077"/>
        <item m="1" x="451"/>
        <item m="1" x="1684"/>
        <item m="1" x="2916"/>
        <item m="1" x="4151"/>
        <item m="1" x="526"/>
        <item m="1" x="1758"/>
        <item m="1" x="2991"/>
        <item m="1" x="4225"/>
        <item m="1" x="601"/>
        <item m="1" x="1834"/>
        <item m="1" x="3066"/>
        <item m="1" x="4299"/>
        <item m="1" x="675"/>
        <item m="1" x="1907"/>
        <item m="1" x="3140"/>
        <item m="1" x="4372"/>
        <item m="1" x="749"/>
        <item m="1" x="1982"/>
        <item m="1" x="3215"/>
        <item m="1" x="4446"/>
        <item m="1" x="824"/>
        <item m="1" x="2056"/>
        <item m="1" x="3290"/>
        <item m="1" x="4520"/>
        <item m="1" x="899"/>
        <item m="1" x="2131"/>
        <item m="1" x="3365"/>
        <item m="1" x="4594"/>
        <item m="1" x="973"/>
        <item m="1" x="2204"/>
        <item m="1" x="3439"/>
        <item m="1" x="4668"/>
        <item m="1" x="1047"/>
        <item m="1" x="2280"/>
        <item m="1" x="3514"/>
        <item m="1" x="4744"/>
        <item m="1" x="1122"/>
        <item m="1" x="2355"/>
        <item m="1" x="3589"/>
        <item m="1" x="4819"/>
        <item m="1" x="1197"/>
        <item m="1" x="2432"/>
        <item m="1" x="3664"/>
        <item m="1" x="4895"/>
        <item m="1" x="1271"/>
        <item m="1" x="2506"/>
        <item m="1" x="3738"/>
        <item m="1" x="4969"/>
        <item m="1" x="1345"/>
        <item m="1" x="2582"/>
        <item m="1" x="3813"/>
        <item m="1" x="195"/>
        <item m="1" x="1420"/>
        <item m="1" x="2657"/>
        <item m="1" x="3888"/>
        <item m="1" x="270"/>
        <item m="1" x="1494"/>
        <item m="1" x="2733"/>
        <item m="1" x="3962"/>
        <item m="1" x="345"/>
        <item m="1" x="1567"/>
        <item m="1" x="2807"/>
        <item m="1" x="4035"/>
        <item m="1" x="418"/>
        <item m="1" x="1641"/>
        <item m="1" x="2882"/>
        <item m="1" x="4109"/>
        <item m="1" x="493"/>
        <item m="1" x="1716"/>
        <item m="1" x="2956"/>
        <item m="1" x="4183"/>
        <item m="1" x="567"/>
        <item m="1" x="1791"/>
        <item m="1" x="3032"/>
        <item m="1" x="4257"/>
        <item m="1" x="643"/>
        <item m="1" x="1865"/>
        <item m="1" x="3106"/>
        <item m="1" x="4330"/>
        <item m="1" x="716"/>
        <item m="1" x="1939"/>
        <item m="1" x="3181"/>
        <item m="1" x="4404"/>
        <item m="1" x="791"/>
        <item m="1" x="2014"/>
        <item m="1" x="3255"/>
        <item m="1" x="4478"/>
        <item m="1" x="865"/>
        <item m="1" x="2088"/>
        <item m="1" x="3330"/>
        <item m="1" x="4551"/>
        <item m="1" x="940"/>
        <item m="1" x="2161"/>
        <item m="1" x="3404"/>
        <item m="1" x="4625"/>
        <item m="1" x="1013"/>
        <item m="1" x="2236"/>
        <item m="1" x="3479"/>
        <item m="1" x="4700"/>
        <item m="1" x="1088"/>
        <item m="1" x="2312"/>
        <item m="1" x="3553"/>
        <item m="1" x="4776"/>
        <item m="1" x="1162"/>
        <item m="1" x="2388"/>
        <item m="1" x="3629"/>
        <item m="1" x="4851"/>
        <item m="1" x="1238"/>
        <item m="1" x="2463"/>
        <item m="1" x="3703"/>
        <item m="1" x="4926"/>
        <item m="1" x="1311"/>
        <item m="1" x="2538"/>
        <item m="1" x="3778"/>
        <item m="1" x="151"/>
        <item m="1" x="1386"/>
        <item m="1" x="2614"/>
        <item m="1" x="3852"/>
        <item m="1" x="227"/>
        <item m="1" x="1459"/>
        <item m="1" x="2689"/>
        <item m="1" x="3927"/>
        <item m="1" x="301"/>
        <item m="1" x="1534"/>
        <item m="1" x="2764"/>
        <item m="1" x="4000"/>
        <item m="1" x="375"/>
        <item m="1" x="1606"/>
        <item m="1" x="2838"/>
        <item m="1" x="4074"/>
        <item m="1" x="449"/>
        <item m="1" x="1681"/>
        <item m="1" x="2913"/>
        <item m="1" x="4147"/>
        <item m="1" x="524"/>
        <item m="1" x="1755"/>
        <item m="1" x="2988"/>
        <item m="1" x="4222"/>
        <item m="1" x="599"/>
        <item m="1" x="1831"/>
        <item m="1" x="3063"/>
        <item m="1" x="4295"/>
        <item m="1" x="673"/>
        <item m="1" x="1904"/>
        <item m="1" x="3137"/>
        <item m="1" x="4369"/>
        <item m="1" x="747"/>
        <item m="1" x="1979"/>
        <item m="1" x="3212"/>
        <item m="1" x="4442"/>
        <item m="1" x="822"/>
        <item m="1" x="2053"/>
        <item m="1" x="3287"/>
        <item m="1" x="4517"/>
        <item m="1" x="897"/>
        <item m="1" x="2128"/>
        <item m="1" x="3362"/>
        <item m="1" x="4590"/>
        <item m="1" x="971"/>
        <item m="1" x="2201"/>
        <item m="1" x="3436"/>
        <item m="1" x="4665"/>
        <item m="1" x="1045"/>
        <item m="1" x="2277"/>
        <item m="1" x="3511"/>
        <item m="1" x="4740"/>
        <item m="1" x="1120"/>
        <item m="1" x="2352"/>
        <item m="1" x="3586"/>
        <item m="1" x="4816"/>
        <item m="1" x="1195"/>
        <item m="1" x="2429"/>
        <item m="1" x="3661"/>
        <item m="1" x="4891"/>
        <item m="1" x="1269"/>
        <item m="1" x="2503"/>
        <item m="1" x="3735"/>
        <item m="1" x="4966"/>
        <item m="1" x="1343"/>
        <item m="1" x="2579"/>
        <item m="1" x="3810"/>
        <item m="1" x="191"/>
        <item m="1" x="1418"/>
        <item m="1" x="2654"/>
        <item m="1" x="3885"/>
        <item m="1" x="267"/>
        <item m="1" x="1492"/>
        <item m="1" x="2730"/>
        <item m="1" x="3959"/>
        <item m="1" x="341"/>
        <item m="1" x="1565"/>
        <item m="1" x="2804"/>
        <item m="1" x="4032"/>
        <item m="1" x="415"/>
        <item m="1" x="1639"/>
        <item m="1" x="2879"/>
        <item m="1" x="4106"/>
        <item m="1" x="489"/>
        <item m="1" x="1714"/>
        <item m="1" x="2953"/>
        <item m="1" x="4180"/>
        <item m="1" x="564"/>
        <item m="1" x="1789"/>
        <item m="1" x="3029"/>
        <item m="1" x="4254"/>
        <item m="1" x="639"/>
        <item m="1" x="1863"/>
        <item m="1" x="3103"/>
        <item m="1" x="4327"/>
        <item m="1" x="713"/>
        <item m="1" x="1937"/>
        <item m="1" x="3178"/>
        <item m="1" x="4401"/>
        <item m="1" x="787"/>
        <item m="1" x="2012"/>
        <item m="1" x="3252"/>
        <item m="1" x="4475"/>
        <item m="1" x="862"/>
        <item m="1" x="2086"/>
        <item m="1" x="3327"/>
        <item m="1" x="4548"/>
        <item m="1" x="936"/>
        <item m="1" x="2159"/>
        <item m="1" x="3401"/>
        <item m="1" x="4622"/>
        <item m="1" x="1010"/>
        <item m="1" x="2234"/>
        <item m="1" x="3476"/>
        <item m="1" x="4697"/>
        <item m="1" x="1084"/>
        <item m="1" x="2310"/>
        <item m="1" x="3550"/>
        <item m="1" x="4773"/>
        <item m="1" x="1159"/>
        <item m="1" x="2386"/>
        <item m="1" x="3626"/>
        <item m="1" x="4848"/>
        <item m="1" x="1234"/>
        <item m="1" x="2461"/>
        <item m="1" x="3700"/>
        <item m="1" x="4923"/>
        <item m="1" x="1308"/>
        <item m="1" x="2536"/>
        <item m="1" x="3775"/>
        <item m="1" x="4998"/>
        <item m="1" x="1382"/>
        <item m="1" x="2612"/>
        <item m="1" x="3849"/>
        <item m="1" x="224"/>
        <item m="1" x="1456"/>
        <item m="1" x="2687"/>
        <item m="1" x="3924"/>
        <item m="1" x="298"/>
        <item m="1" x="1530"/>
        <item m="1" x="2761"/>
        <item m="1" x="3997"/>
        <item m="1" x="372"/>
        <item m="1" x="1603"/>
        <item m="1" x="2836"/>
        <item m="1" x="4071"/>
        <item m="1" x="446"/>
        <item m="1" x="1677"/>
        <item m="1" x="2911"/>
        <item m="1" x="4144"/>
        <item m="1" x="521"/>
        <item m="1" x="1752"/>
        <item m="1" x="2986"/>
        <item m="1" x="4219"/>
        <item m="1" x="596"/>
        <item m="1" x="1827"/>
        <item m="1" x="3060"/>
        <item m="1" x="4292"/>
        <item m="1" x="670"/>
        <item m="1" x="1901"/>
        <item m="1" x="3135"/>
        <item m="1" x="4366"/>
        <item m="1" x="744"/>
        <item m="1" x="1975"/>
        <item m="1" x="3210"/>
        <item m="1" x="4439"/>
        <item m="1" x="819"/>
        <item m="1" x="2050"/>
        <item m="1" x="3285"/>
        <item m="1" x="4514"/>
        <item m="1" x="894"/>
        <item m="1" x="2124"/>
        <item m="1" x="3359"/>
        <item m="1" x="4587"/>
        <item m="1" x="968"/>
        <item m="1" x="2198"/>
        <item m="1" x="3434"/>
        <item m="1" x="4662"/>
        <item m="1" x="1042"/>
        <item m="1" x="2273"/>
        <item m="1" x="3509"/>
        <item m="1" x="4737"/>
        <item m="1" x="1117"/>
        <item m="1" x="2349"/>
        <item m="1" x="3584"/>
        <item m="1" x="4813"/>
        <item m="1" x="1192"/>
        <item m="1" x="2425"/>
        <item m="1" x="3658"/>
        <item m="1" x="4888"/>
        <item m="1" x="1266"/>
        <item m="1" x="2500"/>
        <item m="1" x="3733"/>
        <item m="1" x="4963"/>
        <item m="1" x="1340"/>
        <item m="1" x="2575"/>
        <item m="1" x="3808"/>
        <item m="1" x="188"/>
        <item m="1" x="1415"/>
        <item m="1" x="2651"/>
        <item m="1" x="3883"/>
        <item m="1" x="264"/>
        <item m="1" x="1489"/>
        <item m="1" x="2726"/>
        <item m="1" x="3956"/>
        <item m="1" x="338"/>
        <item m="1" x="1562"/>
        <item m="1" x="2801"/>
        <item m="1" x="4030"/>
        <item m="1" x="412"/>
        <item m="1" x="1636"/>
        <item m="1" x="2875"/>
        <item m="1" x="4104"/>
        <item m="1" x="486"/>
        <item m="1" x="1711"/>
        <item m="1" x="2950"/>
        <item m="1" x="4178"/>
        <item m="1" x="561"/>
        <item m="1" x="1786"/>
        <item m="1" x="3025"/>
        <item m="1" x="4251"/>
        <item m="1" x="636"/>
        <item m="1" x="1860"/>
        <item m="1" x="3100"/>
        <item m="1" x="4325"/>
        <item m="1" x="710"/>
        <item m="1" x="1934"/>
        <item m="1" x="3174"/>
        <item m="1" x="4399"/>
        <item m="1" x="784"/>
        <item m="1" x="2009"/>
        <item m="1" x="3249"/>
        <item m="1" x="4473"/>
        <item m="1" x="859"/>
        <item m="1" x="2083"/>
        <item m="1" x="3323"/>
        <item m="1" x="4545"/>
        <item m="1" x="933"/>
        <item m="1" x="2156"/>
        <item m="1" x="3398"/>
        <item m="1" x="4620"/>
        <item m="1" x="1007"/>
        <item m="1" x="2231"/>
        <item m="1" x="3472"/>
        <item m="1" x="4695"/>
        <item m="1" x="1081"/>
        <item m="1" x="2307"/>
        <item m="1" x="3547"/>
        <item m="1" x="4771"/>
        <item m="1" x="1156"/>
        <item m="1" x="2383"/>
        <item m="1" x="3622"/>
        <item m="1" x="4845"/>
        <item m="1" x="1231"/>
        <item m="1" x="2458"/>
        <item m="1" x="3697"/>
        <item m="1" x="4921"/>
        <item m="1" x="1305"/>
        <item m="1" x="2533"/>
        <item m="1" x="3771"/>
        <item m="1" x="4996"/>
        <item m="1" x="1379"/>
        <item m="1" x="2609"/>
        <item m="1" x="3846"/>
        <item m="1" x="222"/>
        <item m="1" x="1454"/>
        <item m="1" x="2685"/>
        <item m="1" x="3921"/>
        <item m="1" x="296"/>
        <item m="1" x="1528"/>
        <item m="1" x="2759"/>
        <item m="1" x="3995"/>
        <item m="1" x="371"/>
        <item m="1" x="1601"/>
        <item m="1" x="2834"/>
        <item m="1" x="4068"/>
        <item m="1" x="445"/>
        <item m="1" x="1675"/>
        <item m="1" x="2909"/>
        <item m="1" x="4142"/>
        <item m="1" x="520"/>
        <item m="1" x="1750"/>
        <item m="1" x="2984"/>
        <item m="1" x="4216"/>
        <item m="1" x="594"/>
        <item m="1" x="1825"/>
        <item m="1" x="3058"/>
        <item m="1" x="4290"/>
        <item m="1" x="669"/>
        <item m="1" x="1899"/>
        <item m="1" x="3133"/>
        <item m="1" x="4363"/>
        <item m="1" x="743"/>
        <item m="1" x="1973"/>
        <item m="1" x="3208"/>
        <item m="1" x="4437"/>
        <item m="1" x="818"/>
        <item m="1" x="2048"/>
        <item m="1" x="3283"/>
        <item m="1" x="4511"/>
        <item m="1" x="892"/>
        <item m="1" x="2122"/>
        <item m="1" x="3357"/>
        <item m="1" x="4585"/>
        <item m="1" x="967"/>
        <item m="1" x="2196"/>
        <item m="1" x="3432"/>
        <item m="1" x="4659"/>
        <item m="1" x="1041"/>
        <item m="1" x="2271"/>
        <item m="1" x="3507"/>
        <item m="1" x="4735"/>
        <item m="1" x="1116"/>
        <item m="1" x="2347"/>
        <item m="1" x="3582"/>
        <item m="1" x="4810"/>
        <item m="1" x="1190"/>
        <item m="1" x="2423"/>
        <item m="1" x="3656"/>
        <item m="1" x="4886"/>
        <item m="1" x="1265"/>
        <item m="1" x="2498"/>
        <item m="1" x="3731"/>
        <item m="1" x="4960"/>
        <item m="1" x="1339"/>
        <item m="1" x="2573"/>
        <item m="1" x="3806"/>
        <item m="1" x="186"/>
        <item m="1" x="1414"/>
        <item m="1" x="2649"/>
        <item m="1" x="3881"/>
        <item m="1" x="261"/>
        <item m="1" x="1487"/>
        <item m="1" x="2724"/>
        <item m="1" x="3954"/>
        <item m="1" x="336"/>
        <item m="1" x="1561"/>
        <item m="1" x="2799"/>
        <item m="1" x="4028"/>
        <item m="1" x="409"/>
        <item m="1" x="1635"/>
        <item m="1" x="2873"/>
        <item m="1" x="4102"/>
        <item m="1" x="484"/>
        <item m="1" x="1710"/>
        <item m="1" x="2948"/>
        <item m="1" x="4176"/>
        <item m="1" x="558"/>
        <item m="1" x="1784"/>
        <item m="1" x="3023"/>
        <item m="1" x="4249"/>
        <item m="1" x="634"/>
        <item m="1" x="1859"/>
        <item m="1" x="3098"/>
        <item m="1" x="4323"/>
        <item m="1" x="707"/>
        <item m="1" x="1933"/>
        <item m="1" x="3172"/>
        <item m="1" x="4397"/>
        <item m="1" x="782"/>
        <item m="1" x="2008"/>
        <item m="1" x="3247"/>
        <item m="1" x="4471"/>
        <item m="1" x="856"/>
        <item m="1" x="2081"/>
        <item m="1" x="3321"/>
        <item m="1" x="4543"/>
        <item m="1" x="931"/>
        <item m="1" x="2155"/>
        <item m="1" x="3396"/>
        <item m="1" x="4618"/>
        <item m="1" x="1004"/>
        <item m="1" x="2230"/>
        <item m="1" x="3470"/>
        <item m="1" x="4693"/>
        <item m="1" x="1079"/>
        <item m="1" x="2306"/>
        <item m="1" x="3545"/>
        <item m="1" x="4769"/>
        <item m="1" x="1153"/>
        <item m="1" x="2381"/>
        <item m="1" x="3620"/>
        <item m="1" x="4843"/>
        <item m="1" x="1229"/>
        <item m="1" x="2457"/>
        <item m="1" x="3695"/>
        <item m="1" x="4919"/>
        <item m="1" x="1302"/>
        <item m="1" x="2532"/>
        <item m="1" x="3769"/>
        <item m="1" x="4994"/>
        <item m="1" x="1377"/>
        <item m="1" x="2608"/>
        <item m="1" x="3844"/>
        <item m="1" x="220"/>
        <item m="1" x="1451"/>
        <item m="1" x="2683"/>
        <item m="1" x="3919"/>
        <item m="1" x="294"/>
        <item m="1" x="1526"/>
        <item m="1" x="2758"/>
        <item m="1" x="3993"/>
        <item m="1" x="369"/>
        <item m="1" x="1598"/>
        <item m="1" x="2833"/>
        <item m="1" x="4066"/>
        <item m="1" x="443"/>
        <item m="1" x="1673"/>
        <item m="1" x="2908"/>
        <item m="1" x="4140"/>
        <item m="1" x="518"/>
        <item m="1" x="1747"/>
        <item m="1" x="2982"/>
        <item m="1" x="4214"/>
        <item m="1" x="592"/>
        <item m="1" x="1823"/>
        <item m="1" x="3057"/>
        <item m="1" x="4288"/>
        <item m="1" x="667"/>
        <item m="1" x="1896"/>
        <item m="1" x="3132"/>
        <item m="1" x="4361"/>
        <item m="1" x="741"/>
        <item m="1" x="1971"/>
        <item m="1" x="3207"/>
        <item m="1" x="4435"/>
        <item m="1" x="816"/>
        <item m="1" x="2045"/>
        <item m="1" x="3281"/>
        <item m="1" x="4509"/>
        <item m="1" x="890"/>
        <item m="1" x="2120"/>
        <item m="1" x="3356"/>
        <item m="1" x="4583"/>
        <item m="1" x="965"/>
        <item m="1" x="2193"/>
        <item m="1" x="3431"/>
        <item m="1" x="4657"/>
        <item m="1" x="1039"/>
        <item m="1" x="2269"/>
        <item m="1" x="3506"/>
        <item m="1" x="4733"/>
        <item m="1" x="1114"/>
        <item m="1" x="2344"/>
        <item m="1" x="3580"/>
        <item m="1" x="4808"/>
        <item m="1" x="1188"/>
        <item m="1" x="2421"/>
        <item m="1" x="3655"/>
        <item m="1" x="4884"/>
        <item m="1" x="1263"/>
        <item m="1" x="2495"/>
        <item m="1" x="3730"/>
        <item m="1" x="4958"/>
        <item m="1" x="1337"/>
        <item m="1" x="2571"/>
        <item m="1" x="3805"/>
        <item m="1" x="184"/>
        <item m="1" x="1412"/>
        <item m="1" x="2646"/>
        <item m="1" x="3879"/>
        <item m="1" x="259"/>
        <item m="1" x="1485"/>
        <item m="1" x="2722"/>
        <item m="1" x="3953"/>
        <item m="1" x="334"/>
        <item m="1" x="1559"/>
        <item m="1" x="2796"/>
        <item m="1" x="4027"/>
        <item m="1" x="407"/>
        <item m="1" x="1633"/>
        <item m="1" x="2871"/>
        <item m="1" x="4101"/>
        <item m="1" x="482"/>
        <item m="1" x="1708"/>
        <item m="1" x="2945"/>
        <item m="1" x="4174"/>
        <item m="1" x="556"/>
        <item m="1" x="1782"/>
        <item m="1" x="3021"/>
        <item m="1" x="4248"/>
        <item m="1" x="632"/>
        <item m="1" x="1857"/>
        <item m="1" x="3095"/>
        <item m="1" x="4322"/>
        <item m="1" x="705"/>
        <item m="1" x="1931"/>
        <item m="1" x="3170"/>
        <item m="1" x="4396"/>
        <item m="1" x="780"/>
        <item m="1" x="2006"/>
        <item m="1" x="3244"/>
        <item m="1" x="4469"/>
        <item m="1" x="854"/>
        <item m="1" x="2079"/>
        <item m="1" x="3319"/>
        <item m="1" x="4542"/>
        <item m="1" x="929"/>
        <item m="1" x="2153"/>
        <item m="1" x="3393"/>
        <item m="1" x="4617"/>
        <item m="1" x="1002"/>
        <item m="1" x="2228"/>
        <item m="1" x="3468"/>
        <item m="1" x="4692"/>
        <item m="1" x="1077"/>
        <item m="1" x="2304"/>
        <item m="1" x="3542"/>
        <item m="1" x="4767"/>
        <item m="1" x="1151"/>
        <item m="1" x="2379"/>
        <item m="1" x="3618"/>
        <item m="1" x="4842"/>
        <item m="1" x="1227"/>
        <item m="1" x="2455"/>
        <item m="1" x="3692"/>
        <item m="1" x="4918"/>
        <item m="1" x="1300"/>
        <item m="1" x="2530"/>
        <item m="1" x="3767"/>
        <item m="1" x="4993"/>
        <item m="1" x="1375"/>
        <item m="1" x="2606"/>
        <item m="1" x="3841"/>
        <item m="1" x="218"/>
        <item m="1" x="1449"/>
        <item m="1" x="2681"/>
        <item m="1" x="3917"/>
        <item m="1" x="293"/>
        <item m="1" x="1524"/>
        <item m="1" x="2756"/>
        <item m="1" x="3990"/>
        <item m="1" x="368"/>
        <item m="1" x="1596"/>
        <item m="1" x="2831"/>
        <item m="1" x="4064"/>
        <item m="1" x="442"/>
        <item m="1" x="1671"/>
        <item m="1" x="2906"/>
        <item m="1" x="4137"/>
        <item m="1" x="516"/>
        <item m="1" x="1745"/>
        <item m="1" x="2980"/>
        <item m="1" x="4212"/>
        <item m="1" x="591"/>
        <item m="1" x="1821"/>
        <item m="1" x="3055"/>
        <item m="1" x="4285"/>
        <item m="1" x="666"/>
        <item m="1" x="1894"/>
        <item m="1" x="3130"/>
        <item m="1" x="4359"/>
        <item m="1" x="740"/>
        <item m="1" x="1969"/>
        <item m="1" x="3205"/>
        <item m="1" x="4432"/>
        <item m="1" x="814"/>
        <item m="1" x="2043"/>
        <item m="1" x="3279"/>
        <item m="1" x="4507"/>
        <item m="1" x="889"/>
        <item m="1" x="2118"/>
        <item m="1" x="3354"/>
        <item m="1" x="4580"/>
        <item m="1" x="964"/>
        <item m="1" x="2191"/>
        <item m="1" x="3429"/>
        <item m="1" x="4655"/>
        <item m="1" x="1038"/>
        <item m="1" x="2267"/>
        <item m="1" x="3504"/>
        <item m="1" x="4730"/>
        <item m="1" x="1112"/>
        <item m="1" x="2342"/>
        <item m="1" x="3578"/>
        <item m="1" x="4806"/>
        <item m="1" x="1187"/>
        <item m="1" x="2419"/>
        <item m="1" x="3653"/>
        <item m="1" x="4881"/>
        <item m="1" x="1262"/>
        <item m="1" x="2493"/>
        <item m="1" x="3728"/>
        <item m="1" x="4956"/>
        <item m="1" x="1336"/>
        <item m="1" x="2569"/>
        <item m="1" x="3803"/>
        <item m="1" x="181"/>
        <item m="1" x="1410"/>
        <item m="1" x="2644"/>
        <item m="1" x="3877"/>
        <item m="1" x="257"/>
        <item m="1" x="1484"/>
        <item m="1" x="2720"/>
        <item m="1" x="3951"/>
        <item m="1" x="331"/>
        <item m="1" x="1558"/>
        <item m="1" x="2794"/>
        <item m="1" x="4025"/>
        <item m="1" x="405"/>
        <item m="1" x="1632"/>
        <item m="1" x="2869"/>
        <item m="1" x="4099"/>
        <item m="1" x="479"/>
        <item m="1" x="1706"/>
        <item m="1" x="2943"/>
        <item m="1" x="4172"/>
        <item m="1" x="554"/>
        <item m="1" x="1781"/>
        <item m="1" x="3019"/>
        <item m="1" x="4246"/>
        <item m="1" x="629"/>
        <item m="1" x="1856"/>
        <item m="1" x="3093"/>
        <item m="1" x="4320"/>
        <item m="1" x="703"/>
        <item m="1" x="1930"/>
        <item m="1" x="3168"/>
        <item m="1" x="4394"/>
        <item m="1" x="777"/>
        <item m="1" x="2004"/>
        <item m="1" x="3242"/>
        <item m="1" x="4467"/>
        <item m="1" x="852"/>
        <item m="1" x="2078"/>
        <item m="1" x="3317"/>
        <item m="1" x="4540"/>
        <item m="1" x="926"/>
        <item m="1" x="2152"/>
        <item m="1" x="3391"/>
        <item m="1" x="4615"/>
        <item m="1" x="1000"/>
        <item m="1" x="2227"/>
        <item m="1" x="3466"/>
        <item m="1" x="4690"/>
        <item m="1" x="1074"/>
        <item m="1" x="2302"/>
        <item m="1" x="3540"/>
        <item m="1" x="4765"/>
        <item m="1" x="1149"/>
        <item m="1" x="2378"/>
        <item m="1" x="3616"/>
        <item m="1" x="4840"/>
        <item m="1" x="1224"/>
        <item m="1" x="2454"/>
        <item m="1" x="3690"/>
        <item m="1" x="4916"/>
        <item m="1" x="1298"/>
        <item m="1" x="2529"/>
        <item m="1" x="3765"/>
        <item m="1" x="4991"/>
        <item m="1" x="1372"/>
        <item m="1" x="2604"/>
        <item m="1" x="3839"/>
        <item m="1" x="216"/>
        <item m="1" x="1447"/>
        <item m="1" x="2680"/>
        <item m="1" x="3915"/>
        <item m="1" x="291"/>
        <item m="1" x="1521"/>
        <item m="1" x="2755"/>
        <item m="1" x="3988"/>
        <item m="1" x="366"/>
        <item m="1" x="1594"/>
        <item m="1" x="2830"/>
        <item m="1" x="4062"/>
        <item m="1" x="440"/>
        <item m="1" x="1668"/>
        <item m="1" x="2904"/>
        <item m="1" x="4135"/>
        <item m="1" x="514"/>
        <item m="1" x="1743"/>
        <item m="1" x="2979"/>
        <item m="1" x="4210"/>
        <item m="1" x="589"/>
        <item m="1" x="1818"/>
        <item m="1" x="3054"/>
        <item m="1" x="4283"/>
        <item m="1" x="664"/>
        <item m="1" x="1892"/>
        <item m="1" x="3129"/>
        <item m="1" x="4357"/>
        <item m="1" x="738"/>
        <item m="1" x="1966"/>
        <item m="1" x="3203"/>
        <item m="1" x="4430"/>
        <item m="1" x="812"/>
        <item m="1" x="2041"/>
        <item m="1" x="3278"/>
        <item m="1" x="4505"/>
        <item m="1" x="887"/>
        <item m="1" x="2115"/>
        <item m="1" x="3353"/>
        <item m="1" x="4578"/>
        <item m="1" x="962"/>
        <item m="1" x="2189"/>
        <item m="1" x="3428"/>
        <item m="1" x="4653"/>
        <item m="1" x="1036"/>
        <item m="1" x="2264"/>
        <item m="1" x="3502"/>
        <item m="1" x="4728"/>
        <item m="1" x="1110"/>
        <item m="1" x="2340"/>
        <item m="1" x="3577"/>
        <item m="1" x="4804"/>
        <item m="1" x="1185"/>
        <item m="1" x="2416"/>
        <item m="1" x="3652"/>
        <item m="1" x="4879"/>
        <item m="1" x="1260"/>
        <item m="1" x="2491"/>
        <item m="1" x="3727"/>
        <item m="1" x="4954"/>
        <item m="1" x="1334"/>
        <item m="1" x="2566"/>
        <item m="1" x="3801"/>
        <item m="1" x="179"/>
        <item m="1" x="1408"/>
        <item m="1" x="2642"/>
        <item m="1" x="3876"/>
        <item m="1" x="255"/>
        <item m="1" x="1482"/>
        <item m="1" x="2717"/>
        <item m="1" x="3950"/>
        <item m="1" x="329"/>
        <item m="1" x="1556"/>
        <item m="1" x="2792"/>
        <item m="1" x="4024"/>
        <item m="1" x="403"/>
        <item m="1" x="1630"/>
        <item m="1" x="2866"/>
        <item m="1" x="4097"/>
        <item m="1" x="477"/>
        <item m="1" x="1704"/>
        <item m="1" x="2941"/>
        <item m="1" x="4171"/>
        <item m="1" x="552"/>
        <item m="1" x="1779"/>
        <item m="1" x="3016"/>
        <item m="1" x="4245"/>
        <item m="1" x="627"/>
        <item m="1" x="1854"/>
        <item m="1" x="3091"/>
        <item m="1" x="4319"/>
        <item m="1" x="701"/>
        <item m="1" x="1928"/>
        <item m="1" x="3165"/>
        <item m="1" x="4392"/>
        <item m="1" x="775"/>
        <item m="1" x="2002"/>
        <item m="1" x="3240"/>
        <item m="1" x="4466"/>
        <item m="1" x="850"/>
        <item m="1" x="2076"/>
        <item m="1" x="3314"/>
        <item m="1" x="4539"/>
        <item m="1" x="924"/>
        <item m="1" x="2150"/>
        <item m="1" x="3389"/>
        <item m="1" x="4614"/>
        <item m="1" x="998"/>
        <item m="1" x="2225"/>
        <item m="1" x="3463"/>
        <item m="1" x="4688"/>
        <item m="1" x="1072"/>
        <item m="1" x="2300"/>
        <item m="1" x="3538"/>
        <item m="1" x="4764"/>
        <item m="1" x="1147"/>
        <item m="1" x="2376"/>
        <item m="1" x="3613"/>
        <item m="1" x="4839"/>
        <item m="1" x="1222"/>
        <item m="1" x="2452"/>
        <item m="1" x="3688"/>
        <item m="1" x="4915"/>
        <item m="1" x="1296"/>
        <item m="1" x="2527"/>
        <item m="1" x="3762"/>
        <item m="1" x="4989"/>
        <item m="1" x="1370"/>
        <item m="1" x="2602"/>
        <item m="1" x="3837"/>
        <item m="1" x="215"/>
        <item m="1" x="1445"/>
        <item m="1" x="2678"/>
        <item m="1" x="3912"/>
        <item m="1" x="290"/>
        <item m="1" x="1519"/>
        <item m="1" x="2753"/>
        <item m="1" x="3986"/>
        <item m="1" x="365"/>
        <item m="1" x="1592"/>
        <item m="1" x="2828"/>
        <item m="1" x="4059"/>
        <item m="1" x="438"/>
        <item m="1" x="1666"/>
        <item m="1" x="2902"/>
        <item m="1" x="4133"/>
        <item m="1" x="513"/>
        <item m="1" x="1741"/>
        <item m="1" x="2977"/>
        <item m="1" x="4207"/>
        <item m="1" x="588"/>
        <item m="1" x="1816"/>
        <item m="1" x="3052"/>
        <item m="1" x="4281"/>
        <item m="1" x="663"/>
        <item m="1" x="1890"/>
        <item m="1" x="3127"/>
        <item m="1" x="4354"/>
        <item m="1" x="736"/>
        <item m="1" x="1964"/>
        <item m="1" x="3201"/>
        <item m="1" x="4428"/>
        <item m="1" x="811"/>
        <item m="1" x="2039"/>
        <item m="1" x="3276"/>
        <item m="1" x="4502"/>
        <item m="1" x="886"/>
        <item m="1" x="2113"/>
        <item m="1" x="3350"/>
        <item m="1" x="4575"/>
        <item m="1" x="960"/>
        <item m="1" x="2186"/>
        <item m="1" x="3425"/>
        <item m="1" x="4649"/>
        <item m="1" x="1033"/>
        <item m="1" x="2261"/>
        <item m="1" x="3499"/>
        <item m="1" x="4725"/>
        <item m="1" x="1108"/>
        <item m="1" x="2337"/>
        <item m="1" x="3574"/>
        <item m="1" x="4800"/>
        <item m="1" x="1183"/>
        <item m="1" x="2413"/>
        <item m="1" x="3649"/>
        <item m="1" x="4876"/>
        <item m="1" x="1258"/>
        <item m="1" x="2488"/>
        <item m="1" x="3724"/>
        <item m="1" x="4950"/>
        <item m="1" x="1331"/>
        <item m="1" x="2563"/>
        <item m="1" x="3798"/>
        <item m="1" x="176"/>
        <item m="1" x="1406"/>
        <item m="1" x="2639"/>
        <item m="1" x="3873"/>
        <item m="1" x="251"/>
        <item m="1" x="1480"/>
        <item m="1" x="2714"/>
        <item m="1" x="3947"/>
        <item m="1" x="326"/>
        <item m="1" x="1554"/>
        <item m="1" x="2789"/>
        <item m="1" x="4021"/>
        <item m="1" x="399"/>
        <item m="1" x="1627"/>
        <item m="1" x="2863"/>
        <item m="1" x="4094"/>
        <item m="1" x="474"/>
        <item m="1" x="1702"/>
        <item m="1" x="2938"/>
        <item m="1" x="4168"/>
        <item m="1" x="548"/>
        <item m="1" x="1777"/>
        <item m="1" x="3013"/>
        <item m="1" x="4242"/>
        <item m="1" x="624"/>
        <item m="1" x="1852"/>
        <item m="1" x="3088"/>
        <item m="1" x="4316"/>
        <item m="1" x="697"/>
        <item m="1" x="1925"/>
        <item m="1" x="3162"/>
        <item m="1" x="4389"/>
        <item m="1" x="772"/>
        <item m="1" x="2000"/>
        <item m="1" x="3237"/>
        <item m="1" x="4463"/>
        <item m="1" x="846"/>
        <item m="1" x="2074"/>
        <item m="1" x="3311"/>
        <item m="1" x="4536"/>
        <item m="1" x="921"/>
        <item m="1" x="2148"/>
        <item m="1" x="3386"/>
        <item m="1" x="4611"/>
        <item m="1" x="994"/>
        <item m="1" x="2222"/>
        <item m="1" x="3460"/>
        <item m="1" x="4685"/>
        <item m="1" x="1069"/>
        <item m="1" x="2298"/>
        <item m="1" x="3535"/>
        <item m="1" x="4761"/>
        <item m="1" x="1143"/>
        <item m="1" x="2374"/>
        <item m="1" x="3610"/>
        <item m="1" x="4836"/>
        <item m="1" x="1219"/>
        <item m="1" x="2450"/>
        <item m="1" x="3685"/>
        <item m="1" x="4912"/>
        <item m="1" x="1292"/>
        <item m="1" x="2524"/>
        <item m="1" x="3759"/>
        <item m="1" x="4986"/>
        <item m="1" x="1367"/>
        <item m="1" x="2600"/>
        <item m="1" x="3834"/>
        <item m="1" x="212"/>
        <item m="1" x="1441"/>
        <item m="1" x="2676"/>
        <item m="1" x="3909"/>
        <item m="1" x="287"/>
        <item m="1" x="1516"/>
        <item m="1" x="2751"/>
        <item m="1" x="3983"/>
        <item m="1" x="362"/>
        <item m="1" x="1588"/>
        <item m="1" x="2825"/>
        <item m="1" x="4056"/>
        <item m="1" x="435"/>
        <item m="1" x="1663"/>
        <item m="1" x="2900"/>
        <item m="1" x="4130"/>
        <item m="1" x="510"/>
        <item m="1" x="1737"/>
        <item m="1" x="2975"/>
        <item m="1" x="4204"/>
        <item m="1" x="585"/>
        <item m="1" x="1813"/>
        <item m="1" x="3050"/>
        <item m="1" x="4278"/>
        <item m="1" x="660"/>
        <item m="1" x="1886"/>
        <item m="1" x="3124"/>
        <item m="1" x="4351"/>
        <item m="1" x="733"/>
        <item m="1" x="1961"/>
        <item m="1" x="3199"/>
        <item m="1" x="4425"/>
        <item m="1" x="808"/>
        <item m="1" x="2035"/>
        <item m="1" x="3274"/>
        <item m="1" x="4499"/>
        <item m="1" x="883"/>
        <item m="1" x="2110"/>
        <item m="1" x="3348"/>
        <item m="1" x="4572"/>
        <item m="1" x="957"/>
        <item m="1" x="2182"/>
        <item m="1" x="3422"/>
        <item m="1" x="4646"/>
        <item m="1" x="1030"/>
        <item m="1" x="2258"/>
        <item m="1" x="3497"/>
        <item m="1" x="4722"/>
        <item m="1" x="1105"/>
        <item m="1" x="2333"/>
        <item m="1" x="3572"/>
        <item m="1" x="4797"/>
        <item m="1" x="1180"/>
        <item m="1" x="2410"/>
        <item m="1" x="3647"/>
        <item m="1" x="4873"/>
        <item m="1" x="1255"/>
        <item m="1" x="2484"/>
        <item m="1" x="3721"/>
        <item m="1" x="4947"/>
        <item m="1" x="1328"/>
        <item m="1" x="2560"/>
        <item m="1" x="3796"/>
        <item m="1" x="173"/>
        <item m="1" x="1403"/>
        <item m="1" x="2635"/>
        <item m="1" x="3871"/>
        <item m="1" x="248"/>
        <item m="1" x="1477"/>
        <item m="1" x="2711"/>
        <item m="1" x="3945"/>
        <item m="1" x="323"/>
        <item m="1" x="1551"/>
        <item m="1" x="2785"/>
        <item m="1" x="4018"/>
        <item m="1" x="396"/>
        <item m="1" x="1624"/>
        <item m="1" x="2860"/>
        <item m="1" x="4092"/>
        <item m="1" x="471"/>
        <item m="1" x="1699"/>
        <item m="1" x="2934"/>
        <item m="1" x="4166"/>
        <item m="1" x="545"/>
        <item m="1" x="1774"/>
        <item m="1" x="3010"/>
        <item m="1" x="4240"/>
        <item m="1" x="621"/>
        <item m="1" x="1849"/>
        <item m="1" x="3084"/>
        <item m="1" x="4313"/>
        <item m="1" x="694"/>
        <item m="1" x="1922"/>
        <item m="1" x="3159"/>
        <item m="1" x="4387"/>
        <item m="1" x="769"/>
        <item m="1" x="1997"/>
        <item m="1" x="3233"/>
        <item m="1" x="4461"/>
        <item m="1" x="843"/>
        <item m="1" x="2071"/>
        <item m="1" x="3308"/>
        <item m="1" x="4534"/>
        <item m="1" x="918"/>
        <item m="1" x="2145"/>
        <item m="1" x="3382"/>
        <item m="1" x="4608"/>
        <item m="1" x="991"/>
        <item m="1" x="2219"/>
        <item m="1" x="3457"/>
        <item m="1" x="4683"/>
        <item m="1" x="1066"/>
        <item m="1" x="2295"/>
        <item m="1" x="3531"/>
        <item m="1" x="4759"/>
        <item m="1" x="1140"/>
        <item m="1" x="2371"/>
        <item m="1" x="3607"/>
        <item m="1" x="4834"/>
        <item m="1" x="1216"/>
        <item m="1" x="2447"/>
        <item m="1" x="3681"/>
        <item m="1" x="4909"/>
        <item m="1" x="1289"/>
        <item m="1" x="2521"/>
        <item m="1" x="3756"/>
        <item m="1" x="4984"/>
        <item m="1" x="1364"/>
        <item m="1" x="2597"/>
        <item m="1" x="3830"/>
        <item m="1" x="210"/>
        <item m="1" x="1438"/>
        <item m="1" x="2673"/>
        <item m="1" x="3906"/>
        <item m="1" x="285"/>
        <item m="1" x="1513"/>
        <item m="1" x="2748"/>
        <item m="1" x="3979"/>
        <item m="1" x="359"/>
        <item m="1" x="1585"/>
        <item m="1" x="2822"/>
        <item m="1" x="4053"/>
        <item m="1" x="433"/>
        <item m="1" x="1660"/>
        <item m="1" x="2897"/>
        <item m="1" x="4126"/>
        <item m="1" x="508"/>
        <item m="1" x="1734"/>
        <item m="1" x="2972"/>
        <item m="1" x="4201"/>
        <item m="1" x="583"/>
        <item m="1" x="1810"/>
        <item m="1" x="3047"/>
        <item m="1" x="4274"/>
        <item m="1" x="657"/>
        <item m="1" x="1883"/>
        <item m="1" x="3121"/>
        <item m="1" x="4348"/>
        <item m="1" x="731"/>
        <item m="1" x="1958"/>
        <item m="1" x="3196"/>
        <item m="1" x="4421"/>
        <item m="1" x="806"/>
        <item m="1" x="2032"/>
        <item m="1" x="3271"/>
        <item m="1" x="4496"/>
        <item m="1" x="881"/>
        <item m="1" x="2107"/>
        <item m="1" x="3345"/>
        <item m="1" x="4568"/>
        <item m="1" x="954"/>
        <item m="1" x="2179"/>
        <item m="1" x="3419"/>
        <item m="1" x="4643"/>
        <item m="1" x="1028"/>
        <item m="1" x="2255"/>
        <item m="1" x="3494"/>
        <item m="1" x="4718"/>
        <item m="1" x="1103"/>
        <item m="1" x="2330"/>
        <item m="1" x="3569"/>
        <item m="1" x="4794"/>
        <item m="1" x="1178"/>
        <item m="1" x="2407"/>
        <item m="1" x="3644"/>
        <item m="1" x="4869"/>
        <item m="1" x="1252"/>
        <item m="1" x="2481"/>
        <item m="1" x="3718"/>
        <item m="1" x="4944"/>
        <item m="1" x="1326"/>
        <item m="1" x="2557"/>
        <item m="1" x="3793"/>
        <item m="1" x="169"/>
        <item m="1" x="1401"/>
        <item m="1" x="2632"/>
        <item m="1" x="3868"/>
        <item m="1" x="245"/>
        <item m="1" x="1475"/>
        <item m="1" x="2708"/>
        <item m="1" x="3942"/>
        <item m="1" x="319"/>
        <item m="1" x="1548"/>
        <item m="1" x="2782"/>
        <item m="1" x="4015"/>
        <item m="1" x="393"/>
        <item m="1" x="1622"/>
        <item m="1" x="2857"/>
        <item m="1" x="4089"/>
        <item m="1" x="467"/>
        <item m="1" x="1697"/>
        <item m="1" x="2931"/>
        <item m="1" x="4163"/>
        <item m="1" x="542"/>
        <item m="1" x="1772"/>
        <item m="1" x="3007"/>
        <item m="1" x="4237"/>
        <item m="1" x="617"/>
        <item m="1" x="1846"/>
        <item m="1" x="3081"/>
        <item m="1" x="4310"/>
        <item m="1" x="691"/>
        <item m="1" x="1920"/>
        <item m="1" x="3156"/>
        <item m="1" x="4384"/>
        <item m="1" x="765"/>
        <item m="1" x="1995"/>
        <item m="1" x="3230"/>
        <item m="1" x="4458"/>
        <item m="1" x="840"/>
        <item m="1" x="2069"/>
        <item m="1" x="3305"/>
        <item m="1" x="4531"/>
        <item m="1" x="914"/>
        <item m="1" x="2142"/>
        <item m="1" x="3379"/>
        <item m="1" x="4605"/>
        <item m="1" x="988"/>
        <item m="1" x="2217"/>
        <item m="1" x="3454"/>
        <item m="1" x="4680"/>
        <item m="1" x="1062"/>
        <item m="1" x="2293"/>
        <item m="1" x="3528"/>
        <item m="1" x="4756"/>
        <item m="1" x="1137"/>
        <item m="1" x="2369"/>
        <item m="1" x="3604"/>
        <item m="1" x="4831"/>
        <item m="1" x="1212"/>
        <item m="1" x="2444"/>
        <item m="1" x="3678"/>
        <item m="1" x="4906"/>
        <item m="1" x="1286"/>
        <item m="1" x="2519"/>
        <item m="1" x="3753"/>
        <item m="1" x="4981"/>
        <item m="1" x="1360"/>
        <item m="1" x="2595"/>
        <item m="1" x="3827"/>
        <item m="1" x="207"/>
        <item m="1" x="1435"/>
        <item m="1" x="2671"/>
        <item m="1" x="3903"/>
        <item m="1" x="282"/>
        <item m="1" x="1509"/>
        <item m="1" x="2745"/>
        <item m="1" x="3976"/>
        <item m="1" x="356"/>
        <item m="1" x="1582"/>
        <item m="1" x="2820"/>
        <item m="1" x="4050"/>
        <item m="1" x="430"/>
        <item m="1" x="1656"/>
        <item m="1" x="2895"/>
        <item m="1" x="4123"/>
        <item m="1" x="505"/>
        <item m="1" x="1731"/>
        <item m="1" x="2970"/>
        <item m="1" x="4198"/>
        <item m="1" x="580"/>
        <item m="1" x="1806"/>
        <item m="1" x="3044"/>
        <item m="1" x="4271"/>
        <item m="1" x="654"/>
        <item m="1" x="1880"/>
        <item m="1" x="3119"/>
        <item m="1" x="4345"/>
        <item m="1" x="728"/>
        <item m="1" x="1954"/>
        <item m="1" x="3194"/>
        <item m="1" x="4418"/>
        <item m="1" x="803"/>
        <item m="1" x="2029"/>
        <item m="1" x="3269"/>
        <item m="1" x="4493"/>
        <item m="1" x="878"/>
        <item m="1" x="2103"/>
        <item m="1" x="3342"/>
        <item m="1" x="4565"/>
        <item m="1" x="951"/>
        <item m="1" x="2176"/>
        <item m="1" x="3417"/>
        <item m="1" x="4640"/>
        <item m="1" x="1025"/>
        <item m="1" x="2251"/>
        <item m="1" x="3492"/>
        <item m="1" x="4715"/>
        <item m="1" x="1100"/>
        <item m="1" x="2327"/>
        <item m="1" x="3567"/>
        <item m="1" x="4791"/>
        <item m="1" x="1175"/>
        <item m="1" x="2403"/>
        <item m="1" x="3641"/>
        <item m="1" x="4866"/>
        <item m="1" x="1249"/>
        <item m="1" x="2478"/>
        <item m="1" x="3716"/>
        <item m="1" x="4941"/>
        <item m="1" x="1323"/>
        <item m="1" x="2553"/>
        <item m="1" x="3791"/>
        <item m="1" x="166"/>
        <item m="1" x="1398"/>
        <item m="1" x="2629"/>
        <item m="1" x="3866"/>
        <item m="1" x="242"/>
        <item m="1" x="1472"/>
        <item m="1" x="2704"/>
        <item m="1" x="3939"/>
        <item m="1" x="316"/>
        <item m="1" x="1545"/>
        <item m="1" x="2779"/>
        <item m="1" x="4013"/>
        <item m="1" x="390"/>
        <item m="1" x="1619"/>
        <item m="1" x="2853"/>
        <item m="1" x="4087"/>
        <item m="1" x="464"/>
        <item m="1" x="1694"/>
        <item m="1" x="2928"/>
        <item m="1" x="4161"/>
        <item m="1" x="539"/>
        <item m="1" x="1769"/>
        <item m="1" x="3003"/>
        <item m="1" x="4234"/>
        <item m="1" x="614"/>
        <item m="1" x="1843"/>
        <item m="1" x="3078"/>
        <item m="1" x="4308"/>
        <item m="1" x="688"/>
        <item m="1" x="1917"/>
        <item m="1" x="3152"/>
        <item m="1" x="4382"/>
        <item m="1" x="762"/>
        <item m="1" x="1992"/>
        <item m="1" x="3227"/>
        <item m="1" x="4456"/>
        <item m="1" x="837"/>
        <item m="1" x="2067"/>
        <item m="1" x="3302"/>
        <item m="1" x="4529"/>
        <item m="1" x="912"/>
        <item m="1" x="2140"/>
        <item m="1" x="3377"/>
        <item m="1" x="4604"/>
        <item m="1" x="986"/>
        <item m="1" x="2215"/>
        <item m="1" x="3451"/>
        <item m="1" x="4679"/>
        <item m="1" x="1060"/>
        <item m="1" x="2291"/>
        <item m="1" x="3526"/>
        <item m="1" x="4755"/>
        <item m="1" x="1135"/>
        <item m="1" x="2367"/>
        <item m="1" x="3601"/>
        <item m="1" x="4829"/>
        <item m="1" x="1210"/>
        <item m="1" x="2442"/>
        <item m="1" x="3676"/>
        <item m="1" x="4905"/>
        <item m="1" x="1284"/>
        <item m="1" x="2517"/>
        <item m="1" x="3750"/>
        <item m="1" x="4980"/>
        <item m="1" x="1358"/>
        <item m="1" x="2593"/>
        <item m="1" x="3825"/>
        <item m="1" x="206"/>
        <item m="1" x="1433"/>
        <item m="1" x="2669"/>
        <item m="1" x="3900"/>
        <item m="1" x="280"/>
        <item m="1" x="1507"/>
        <item m="1" x="2743"/>
        <item m="1" x="3974"/>
        <item m="1" x="355"/>
        <item m="1" x="1580"/>
        <item m="1" x="2818"/>
        <item m="1" x="4047"/>
        <item m="1" x="429"/>
        <item m="1" x="1654"/>
        <item m="1" x="2893"/>
        <item m="1" x="4121"/>
        <item m="1" x="504"/>
        <item m="1" x="1729"/>
        <item m="1" x="2968"/>
        <item m="1" x="4195"/>
        <item m="1" x="578"/>
        <item m="1" x="1804"/>
        <item m="1" x="3042"/>
        <item m="1" x="4269"/>
        <item m="1" x="653"/>
        <item m="1" x="1878"/>
        <item m="1" x="3117"/>
        <item m="1" x="4342"/>
        <item m="1" x="727"/>
        <item m="1" x="1952"/>
        <item m="1" x="3192"/>
        <item m="1" x="4416"/>
        <item m="1" x="802"/>
        <item m="1" x="2027"/>
        <item m="1" x="3267"/>
        <item m="1" x="4490"/>
        <item m="1" x="876"/>
        <item m="1" x="2101"/>
        <item m="1" x="3340"/>
        <item m="1" x="4563"/>
        <item m="1" x="950"/>
        <item m="1" x="2174"/>
        <item m="1" x="3415"/>
        <item m="1" x="4637"/>
        <item m="1" x="1024"/>
        <item m="1" x="2249"/>
        <item m="1" x="3490"/>
        <item m="1" x="4713"/>
        <item m="1" x="1099"/>
        <item m="1" x="2325"/>
        <item m="1" x="3565"/>
        <item m="1" x="4788"/>
        <item m="1" x="1173"/>
        <item m="1" x="2401"/>
        <item m="1" x="3639"/>
        <item m="1" x="4864"/>
        <item m="1" x="1248"/>
        <item m="1" x="2476"/>
        <item m="1" x="3714"/>
        <item m="1" x="4938"/>
        <item m="1" x="1322"/>
        <item m="1" x="2551"/>
        <item m="1" x="3789"/>
        <item m="1" x="164"/>
        <item m="1" x="1397"/>
        <item m="1" x="2627"/>
        <item m="1" x="3864"/>
        <item m="1" x="239"/>
        <item m="1" x="1470"/>
        <item m="1" x="2702"/>
        <item m="1" x="3937"/>
        <item m="1" x="314"/>
        <item m="1" x="1544"/>
        <item m="1" x="2777"/>
        <item m="1" x="4011"/>
        <item m="1" x="387"/>
        <item m="1" x="1618"/>
        <item m="1" x="2851"/>
        <item m="1" x="4085"/>
        <item m="1" x="462"/>
        <item m="1" x="1693"/>
        <item m="1" x="2926"/>
        <item m="1" x="4159"/>
        <item m="1" x="536"/>
        <item m="1" x="1767"/>
        <item m="1" x="3001"/>
        <item m="1" x="4232"/>
        <item m="1" x="612"/>
        <item m="1" x="1842"/>
        <item m="1" x="3076"/>
        <item m="1" x="4306"/>
        <item m="1" x="685"/>
        <item m="1" x="1916"/>
        <item m="1" x="3150"/>
        <item m="1" x="4380"/>
        <item m="1" x="760"/>
        <item m="1" x="1991"/>
        <item m="1" x="3225"/>
        <item m="1" x="4454"/>
        <item m="1" x="834"/>
        <item m="1" x="2065"/>
        <item m="1" x="3300"/>
        <item m="1" x="4527"/>
        <item m="1" x="910"/>
        <item m="1" x="2139"/>
        <item m="1" x="3375"/>
        <item m="1" x="4602"/>
        <item m="1" x="983"/>
        <item m="1" x="2214"/>
        <item m="1" x="3449"/>
        <item m="1" x="4677"/>
        <item m="1" x="1058"/>
        <item m="1" x="2290"/>
        <item m="1" x="3524"/>
        <item m="1" x="4753"/>
        <item m="1" x="1132"/>
        <item m="1" x="2365"/>
        <item m="1" x="3599"/>
        <item m="1" x="4827"/>
        <item m="1" x="1208"/>
        <item m="1" x="2441"/>
        <item m="1" x="3674"/>
        <item m="1" x="4903"/>
        <item m="1" x="1281"/>
        <item m="1" x="2516"/>
        <item m="1" x="3748"/>
        <item m="1" x="4978"/>
        <item m="1" x="1356"/>
        <item m="1" x="2592"/>
        <item m="1" x="3823"/>
        <item m="1" x="204"/>
        <item m="1" x="1430"/>
        <item m="1" x="2667"/>
        <item m="1" x="3898"/>
        <item m="1" x="278"/>
        <item m="1" x="1505"/>
        <item m="1" x="2742"/>
        <item m="1" x="3972"/>
        <item m="1" x="353"/>
        <item m="1" x="1577"/>
        <item m="1" x="2817"/>
        <item m="1" x="4045"/>
        <item m="1" x="427"/>
        <item m="1" x="1652"/>
        <item m="1" x="2892"/>
        <item m="1" x="4119"/>
        <item m="1" x="502"/>
        <item m="1" x="1726"/>
        <item m="1" x="2966"/>
        <item m="1" x="4193"/>
        <item m="1" x="576"/>
        <item m="1" x="1802"/>
        <item m="1" x="3041"/>
        <item m="1" x="4267"/>
        <item m="1" x="651"/>
        <item m="1" x="1875"/>
        <item m="1" x="3116"/>
        <item m="1" x="4340"/>
        <item m="1" x="725"/>
        <item m="1" x="1950"/>
        <item m="1" x="3191"/>
        <item m="1" x="4414"/>
        <item m="1" x="800"/>
        <item m="1" x="2024"/>
        <item m="1" x="3265"/>
        <item m="1" x="4488"/>
        <item m="1" x="874"/>
        <item m="1" x="2099"/>
        <item m="1" x="3339"/>
        <item m="1" x="4561"/>
        <item m="1" x="948"/>
        <item m="1" x="2171"/>
        <item m="1" x="3414"/>
        <item m="1" x="4635"/>
        <item m="1" x="1022"/>
        <item m="1" x="2247"/>
        <item m="1" x="3489"/>
        <item m="1" x="4711"/>
        <item m="1" x="1097"/>
        <item m="1" x="2322"/>
        <item m="1" x="3563"/>
        <item m="1" x="4786"/>
        <item m="1" x="1171"/>
        <item m="1" x="2399"/>
        <item m="1" x="3638"/>
        <item m="1" x="4862"/>
        <item m="1" x="1246"/>
        <item m="1" x="2473"/>
        <item m="1" x="3713"/>
        <item m="1" x="4936"/>
        <item m="1" x="1320"/>
        <item m="1" x="2549"/>
        <item m="1" x="3788"/>
        <item m="1" x="162"/>
        <item m="1" x="1395"/>
        <item m="1" x="2624"/>
        <item m="1" x="3862"/>
        <item m="1" x="237"/>
        <item m="1" x="1468"/>
        <item m="1" x="2700"/>
        <item m="1" x="3936"/>
        <item m="1" x="312"/>
        <item m="1" x="1542"/>
        <item m="1" x="2774"/>
        <item m="1" x="4010"/>
        <item m="1" x="385"/>
        <item m="1" x="1616"/>
        <item m="1" x="2849"/>
        <item m="1" x="4084"/>
        <item m="1" x="460"/>
        <item m="1" x="1691"/>
        <item m="1" x="2923"/>
        <item m="1" x="4157"/>
        <item m="1" x="534"/>
        <item m="1" x="1765"/>
        <item m="1" x="2999"/>
        <item m="1" x="4231"/>
        <item m="1" x="610"/>
        <item m="1" x="1840"/>
        <item m="1" x="3073"/>
        <item m="1" x="4305"/>
        <item m="1" x="683"/>
        <item m="1" x="1914"/>
        <item m="1" x="3148"/>
        <item m="1" x="4379"/>
        <item m="1" x="758"/>
        <item m="1" x="1989"/>
        <item m="1" x="3222"/>
        <item m="1" x="4452"/>
        <item m="1" x="832"/>
        <item m="1" x="2063"/>
        <item m="1" x="3298"/>
        <item m="1" x="4526"/>
        <item m="1" x="908"/>
        <item m="1" x="2137"/>
        <item m="1" x="3372"/>
        <item m="1" x="4601"/>
        <item m="1" x="981"/>
        <item m="1" x="2212"/>
        <item m="1" x="3447"/>
        <item m="1" x="4676"/>
        <item m="1" x="1056"/>
        <item m="1" x="2288"/>
        <item m="1" x="3521"/>
        <item m="1" x="4751"/>
        <item m="1" x="1130"/>
        <item m="1" x="2363"/>
        <item m="1" x="3597"/>
        <item m="1" x="4826"/>
        <item m="1" x="1206"/>
        <item m="1" x="2439"/>
        <item m="1" x="3671"/>
        <item m="1" x="4902"/>
        <item m="1" x="1279"/>
        <item m="1" x="2514"/>
        <item m="1" x="3746"/>
        <item m="1" x="4977"/>
        <item m="1" x="1354"/>
        <item m="1" x="2590"/>
        <item m="1" x="3820"/>
        <item m="1" x="202"/>
        <item m="1" x="1428"/>
        <item m="1" x="2665"/>
        <item m="1" x="3896"/>
        <item m="1" x="277"/>
        <item m="1" x="1503"/>
        <item m="1" x="2740"/>
        <item m="1" x="3969"/>
        <item m="1" x="352"/>
        <item m="1" x="1575"/>
        <item m="1" x="2815"/>
        <item m="1" x="4043"/>
        <item m="1" x="426"/>
        <item m="1" x="1650"/>
        <item m="1" x="2890"/>
        <item m="1" x="4116"/>
        <item m="1" x="500"/>
        <item m="1" x="1724"/>
        <item m="1" x="2964"/>
        <item m="1" x="4191"/>
        <item m="1" x="575"/>
        <item m="1" x="1800"/>
        <item m="1" x="3039"/>
        <item m="1" x="4264"/>
        <item m="1" x="650"/>
        <item m="1" x="1873"/>
        <item m="1" x="3114"/>
        <item m="1" x="4338"/>
        <item m="1" x="724"/>
        <item m="1" x="1948"/>
        <item m="1" x="3189"/>
        <item m="1" x="4411"/>
        <item m="1" x="798"/>
        <item m="1" x="2022"/>
        <item m="1" x="3263"/>
        <item m="1" x="4486"/>
        <item m="1" x="873"/>
        <item m="1" x="2097"/>
        <item m="1" x="3337"/>
        <item m="1" x="4558"/>
        <item m="1" x="947"/>
        <item m="1" x="2169"/>
        <item m="1" x="3412"/>
        <item m="1" x="4633"/>
        <item m="1" x="1021"/>
        <item m="1" x="2245"/>
        <item m="1" x="3487"/>
        <item m="1" x="4708"/>
        <item m="1" x="1095"/>
        <item m="1" x="2320"/>
        <item m="1" x="3561"/>
        <item m="1" x="4784"/>
        <item m="1" x="1170"/>
        <item m="1" x="2397"/>
        <item m="1" x="3636"/>
        <item m="1" x="4859"/>
        <item m="1" x="1245"/>
        <item m="1" x="2471"/>
        <item m="1" x="3711"/>
        <item m="1" x="4934"/>
        <item m="1" x="1319"/>
        <item m="1" x="2547"/>
        <item m="1" x="3786"/>
        <item m="1" x="159"/>
        <item m="1" x="1393"/>
        <item m="1" x="2622"/>
        <item m="1" x="3860"/>
        <item m="1" x="235"/>
        <item m="1" x="1467"/>
        <item m="1" x="2698"/>
        <item m="1" x="3934"/>
        <item m="1" x="309"/>
        <item m="1" x="1541"/>
        <item m="1" x="2772"/>
        <item m="1" x="4008"/>
        <item m="1" x="383"/>
        <item m="1" x="1615"/>
        <item m="1" x="2847"/>
        <item m="1" x="4082"/>
        <item m="1" x="457"/>
        <item m="1" x="1689"/>
        <item m="1" x="2921"/>
        <item m="1" x="4155"/>
        <item m="1" x="532"/>
        <item m="1" x="1764"/>
        <item m="1" x="2997"/>
        <item m="1" x="4229"/>
        <item m="1" x="607"/>
        <item m="1" x="1839"/>
        <item m="1" x="3071"/>
        <item m="1" x="4303"/>
        <item m="1" x="681"/>
        <item m="1" x="1913"/>
        <item m="1" x="3146"/>
        <item m="1" x="4377"/>
        <item m="1" x="755"/>
        <item m="1" x="1987"/>
        <item m="1" x="3220"/>
        <item m="1" x="4450"/>
        <item m="1" x="830"/>
        <item m="1" x="2062"/>
        <item m="1" x="3296"/>
        <item m="1" x="4524"/>
        <item m="1" x="905"/>
        <item m="1" x="2136"/>
        <item m="1" x="3370"/>
        <item m="1" x="4599"/>
        <item m="1" x="979"/>
        <item m="1" x="2211"/>
        <item m="1" x="3445"/>
        <item m="1" x="4674"/>
        <item m="1" x="1053"/>
        <item m="1" x="2286"/>
        <item m="1" x="3519"/>
        <item m="1" x="4749"/>
        <item m="1" x="1128"/>
        <item m="1" x="2362"/>
        <item m="1" x="3595"/>
        <item m="1" x="4824"/>
        <item m="1" x="1203"/>
        <item m="1" x="2438"/>
        <item m="1" x="3669"/>
        <item m="1" x="4900"/>
        <item m="1" x="1277"/>
        <item m="1" x="2513"/>
        <item m="1" x="3744"/>
        <item m="1" x="4975"/>
        <item m="1" x="1351"/>
        <item m="1" x="2588"/>
        <item m="1" x="3818"/>
        <item m="1" x="200"/>
        <item m="1" x="1426"/>
        <item m="1" x="2664"/>
        <item m="1" x="3894"/>
        <item m="1" x="275"/>
        <item m="1" x="1500"/>
        <item m="1" x="2739"/>
        <item m="1" x="3967"/>
        <item m="1" x="350"/>
        <item m="1" x="1573"/>
        <item m="1" x="2814"/>
        <item m="1" x="4041"/>
        <item m="1" x="424"/>
        <item m="1" x="1647"/>
        <item m="1" x="2888"/>
        <item m="1" x="4114"/>
        <item m="1" x="498"/>
        <item m="1" x="1722"/>
        <item m="1" x="2963"/>
        <item m="1" x="4189"/>
        <item m="1" x="573"/>
        <item m="1" x="1797"/>
        <item m="1" x="3038"/>
        <item m="1" x="4262"/>
        <item m="1" x="648"/>
        <item m="1" x="1871"/>
        <item m="1" x="3113"/>
        <item m="1" x="4336"/>
        <item m="1" x="722"/>
        <item m="1" x="1945"/>
        <item m="1" x="3187"/>
        <item m="1" x="4409"/>
        <item m="1" x="796"/>
        <item m="1" x="2020"/>
        <item m="1" x="3262"/>
        <item m="1" x="4484"/>
        <item m="1" x="871"/>
        <item m="1" x="2094"/>
        <item m="1" x="3336"/>
        <item m="1" x="4556"/>
        <item m="1" x="945"/>
        <item m="1" x="2167"/>
        <item m="1" x="3411"/>
        <item m="1" x="4631"/>
        <item m="1" x="1019"/>
        <item m="1" x="2242"/>
        <item m="1" x="3485"/>
        <item m="1" x="4706"/>
        <item m="1" x="1093"/>
        <item m="1" x="2318"/>
        <item m="1" x="3560"/>
        <item m="1" x="4782"/>
        <item m="1" x="1168"/>
        <item m="1" x="2394"/>
        <item m="1" x="3635"/>
        <item m="1" x="4857"/>
        <item m="1" x="1243"/>
        <item m="1" x="2469"/>
        <item m="1" x="3710"/>
        <item m="1" x="4932"/>
        <item m="1" x="1317"/>
        <item m="1" x="2544"/>
        <item m="1" x="3784"/>
        <item m="1" x="157"/>
        <item m="1" x="1391"/>
        <item m="1" x="2620"/>
        <item m="1" x="3859"/>
        <item m="1" x="233"/>
        <item m="1" x="1465"/>
        <item m="1" x="2695"/>
        <item m="1" x="3933"/>
        <item m="1" x="307"/>
        <item m="1" x="1539"/>
        <item m="1" x="2770"/>
        <item m="1" x="4007"/>
        <item m="1" x="381"/>
        <item m="1" x="1613"/>
        <item m="1" x="2844"/>
        <item m="1" x="4080"/>
        <item m="1" x="455"/>
        <item m="1" x="1687"/>
        <item m="1" x="2919"/>
        <item m="1" x="4154"/>
        <item m="1" x="530"/>
        <item m="1" x="1762"/>
        <item m="1" x="2994"/>
        <item m="1" x="4228"/>
        <item m="1" x="605"/>
        <item m="1" x="1837"/>
        <item m="1" x="3069"/>
        <item m="1" x="4302"/>
        <item m="1" x="679"/>
        <item m="1" x="1911"/>
        <item m="1" x="3143"/>
        <item m="1" x="4375"/>
        <item m="1" x="753"/>
        <item m="1" x="1985"/>
        <item m="1" x="3218"/>
        <item m="1" x="4449"/>
        <item m="1" x="828"/>
        <item m="1" x="2060"/>
        <item m="1" x="3293"/>
        <item m="1" x="4523"/>
        <item m="1" x="903"/>
        <item m="1" x="2134"/>
        <item m="1" x="3368"/>
        <item m="1" x="4598"/>
        <item m="1" x="977"/>
        <item m="1" x="2209"/>
        <item m="1" x="3442"/>
        <item m="1" x="4672"/>
        <item m="1" x="1051"/>
        <item m="1" x="2284"/>
        <item m="1" x="3517"/>
        <item m="1" x="4748"/>
        <item m="1" x="1126"/>
        <item m="1" x="2360"/>
        <item m="1" x="3592"/>
        <item m="1" x="4823"/>
        <item m="1" x="1201"/>
        <item m="1" x="2436"/>
        <item m="1" x="3667"/>
        <item m="1" x="4899"/>
        <item m="1" x="1275"/>
        <item m="1" x="2511"/>
        <item m="1" x="3741"/>
        <item m="1" x="4973"/>
        <item m="1" x="1349"/>
        <item m="1" x="2586"/>
        <item m="1" x="3816"/>
        <item m="1" x="199"/>
        <item m="1" x="1424"/>
        <item m="1" x="2662"/>
        <item m="1" x="3891"/>
        <item m="1" x="274"/>
        <item m="1" x="1498"/>
        <item m="1" x="2737"/>
        <item m="1" x="3351"/>
        <item m="1" x="3965"/>
        <item m="1" x="4576"/>
        <item m="1" x="349"/>
        <item m="1" x="961"/>
        <item m="1" x="1571"/>
        <item m="1" x="2187"/>
        <item m="1" x="2812"/>
        <item m="1" x="3426"/>
        <item m="1" x="4038"/>
        <item m="1" x="4650"/>
        <item m="1" x="422"/>
        <item m="1" x="1034"/>
        <item m="1" x="1645"/>
        <item m="1" x="2262"/>
        <item m="1" x="2886"/>
        <item m="1" x="3500"/>
        <item m="1" x="4112"/>
        <item m="1" x="4726"/>
        <item m="1" x="497"/>
        <item m="1" x="1109"/>
        <item m="1" x="1720"/>
        <item m="1" x="2338"/>
        <item m="1" x="2961"/>
        <item m="1" x="3575"/>
        <item m="1" x="4186"/>
        <item m="1" x="4801"/>
        <item m="1" x="571"/>
        <item m="1" x="1184"/>
        <item m="1" x="1795"/>
        <item m="1" x="2414"/>
        <item m="1" x="3036"/>
        <item m="1" x="3650"/>
        <item m="1" x="4260"/>
        <item m="1" x="4877"/>
        <item m="1" x="647"/>
        <item m="1" x="1259"/>
        <item m="1" x="1869"/>
        <item m="1" x="2489"/>
        <item m="1" x="3111"/>
        <item m="1" x="3725"/>
        <item m="1" x="4333"/>
        <item m="1" x="4951"/>
        <item m="1" x="720"/>
        <item m="1" x="1332"/>
        <item m="1" x="1943"/>
        <item m="1" x="2564"/>
        <item m="1" x="3185"/>
        <item m="1" x="3799"/>
        <item m="1" x="4407"/>
        <item m="1" x="177"/>
        <item m="1" x="795"/>
        <item m="1" x="1407"/>
        <item m="1" x="2018"/>
        <item m="1" x="2640"/>
        <item m="1" x="3260"/>
        <item m="1" x="3874"/>
        <item m="1" x="4481"/>
        <item m="1" x="252"/>
        <item m="1" x="869"/>
        <item m="1" x="1481"/>
        <item m="1" x="2092"/>
        <item m="1" x="2715"/>
        <item m="1" x="3334"/>
        <item m="1" x="3948"/>
        <item m="1" x="4554"/>
        <item m="1" x="327"/>
        <item m="1" x="944"/>
        <item m="1" x="1555"/>
        <item m="1" x="2165"/>
        <item m="1" x="2790"/>
        <item m="1" x="3409"/>
        <item m="1" x="4022"/>
        <item m="1" x="4628"/>
        <item m="1" x="400"/>
        <item m="1" x="1017"/>
        <item m="1" x="1628"/>
        <item m="1" x="2240"/>
        <item m="1" x="2864"/>
        <item m="1" x="3483"/>
        <item m="1" x="4095"/>
        <item m="1" x="4703"/>
        <item m="1" x="475"/>
        <item m="1" x="1092"/>
        <item m="1" x="1703"/>
        <item m="1" x="2316"/>
        <item m="1" x="2939"/>
        <item m="1" x="3558"/>
        <item m="1" x="4169"/>
        <item m="1" x="4779"/>
        <item m="1" x="549"/>
        <item m="1" x="1166"/>
        <item m="1" x="1778"/>
        <item m="1" x="2392"/>
        <item m="1" x="3014"/>
        <item m="1" x="3633"/>
        <item m="1" x="4243"/>
        <item m="1" x="4854"/>
        <item m="1" x="625"/>
        <item m="1" x="1242"/>
        <item m="1" x="1853"/>
        <item m="1" x="2467"/>
        <item m="1" x="3089"/>
        <item m="1" x="3708"/>
        <item m="1" x="4317"/>
        <item m="1" x="4929"/>
        <item m="1" x="698"/>
        <item m="1" x="1315"/>
        <item m="1" x="1926"/>
        <item m="1" x="2542"/>
        <item m="1" x="3163"/>
        <item m="1" x="3782"/>
        <item m="1" x="4390"/>
        <item m="1" x="154"/>
        <item m="1" x="773"/>
        <item m="1" x="1390"/>
        <item m="1" x="2001"/>
        <item m="1" x="2618"/>
        <item m="1" x="3238"/>
        <item m="1" x="3857"/>
        <item m="1" x="4464"/>
        <item m="1" x="230"/>
        <item m="1" x="847"/>
        <item m="1" x="1463"/>
        <item m="1" x="2075"/>
        <item m="1" x="2693"/>
        <item m="1" x="3312"/>
        <item m="1" x="3931"/>
        <item m="1" x="4537"/>
        <item m="1" x="304"/>
        <item m="1" x="922"/>
        <item m="1" x="1538"/>
        <item m="1" x="2149"/>
        <item m="1" x="2768"/>
        <item m="1" x="3387"/>
        <item m="1" x="4005"/>
        <item m="1" x="4612"/>
        <item m="1" x="378"/>
        <item m="1" x="995"/>
        <item m="1" x="1610"/>
        <item m="1" x="2223"/>
        <item m="1" x="2842"/>
        <item m="1" x="3461"/>
        <item m="1" x="4078"/>
        <item m="1" x="4686"/>
        <item m="1" x="452"/>
        <item m="1" x="1070"/>
        <item m="1" x="1685"/>
        <item m="1" x="2299"/>
        <item m="1" x="2917"/>
        <item m="1" x="3536"/>
        <item m="1" x="4152"/>
        <item m="1" x="4762"/>
        <item m="1" x="527"/>
        <item m="1" x="1144"/>
        <item m="1" x="1759"/>
        <item m="1" x="2375"/>
        <item m="1" x="2992"/>
        <item m="1" x="3611"/>
        <item m="1" x="4226"/>
        <item m="1" x="4837"/>
        <item m="1" x="602"/>
        <item m="1" x="1220"/>
        <item m="1" x="1835"/>
        <item m="1" x="2451"/>
        <item m="1" x="3067"/>
        <item m="1" x="3686"/>
        <item m="1" x="4300"/>
        <item m="1" x="4913"/>
        <item m="1" x="676"/>
        <item m="1" x="1293"/>
        <item m="1" x="1908"/>
        <item m="1" x="2525"/>
        <item m="1" x="3141"/>
        <item m="1" x="3760"/>
        <item m="1" x="4373"/>
        <item m="1" x="4987"/>
        <item m="1" x="750"/>
        <item m="1" x="1368"/>
        <item m="1" x="1983"/>
        <item m="1" x="2601"/>
        <item m="1" x="3216"/>
        <item m="1" x="3835"/>
        <item m="1" x="4447"/>
        <item m="1" x="213"/>
        <item m="1" x="825"/>
        <item m="1" x="1442"/>
        <item m="1" x="2057"/>
        <item m="1" x="2677"/>
        <item m="1" x="3291"/>
        <item m="1" x="3910"/>
        <item m="1" x="4521"/>
        <item m="1" x="288"/>
        <item m="1" x="900"/>
        <item m="1" x="1517"/>
        <item m="1" x="2132"/>
        <item m="1" x="2752"/>
        <item m="1" x="3366"/>
        <item m="1" x="3984"/>
        <item m="1" x="4595"/>
        <item m="1" x="363"/>
        <item m="1" x="974"/>
        <item m="1" x="1589"/>
        <item m="1" x="2205"/>
        <item m="1" x="2826"/>
        <item m="1" x="3440"/>
        <item m="1" x="4057"/>
        <item m="1" x="4669"/>
        <item m="1" x="436"/>
        <item m="1" x="1048"/>
        <item m="1" x="1664"/>
        <item m="1" x="2281"/>
        <item m="1" x="2901"/>
        <item m="1" x="3515"/>
        <item m="1" x="4131"/>
        <item m="1" x="4745"/>
        <item m="1" x="511"/>
        <item m="1" x="1123"/>
        <item m="1" x="1738"/>
        <item m="1" x="2356"/>
        <item m="1" x="2976"/>
        <item m="1" x="3590"/>
        <item m="1" x="4205"/>
        <item m="1" x="4820"/>
        <item m="1" x="586"/>
        <item m="1" x="1198"/>
        <item m="1" x="1814"/>
        <item m="1" x="2433"/>
        <item m="1" x="3051"/>
        <item m="1" x="3665"/>
        <item m="1" x="4279"/>
        <item m="1" x="4896"/>
        <item m="1" x="661"/>
        <item m="1" x="1272"/>
        <item m="1" x="1887"/>
        <item m="1" x="2507"/>
        <item m="1" x="3125"/>
        <item m="1" x="3739"/>
        <item m="1" x="4352"/>
        <item m="1" x="4970"/>
        <item m="1" x="734"/>
        <item m="1" x="1346"/>
        <item m="1" x="1962"/>
        <item m="1" x="2583"/>
        <item m="1" x="3200"/>
        <item m="1" x="3814"/>
        <item m="1" x="4426"/>
        <item m="1" x="196"/>
        <item m="1" x="809"/>
        <item m="1" x="1421"/>
        <item m="1" x="2036"/>
        <item m="1" x="2658"/>
        <item m="1" x="3275"/>
        <item m="1" x="3889"/>
        <item m="1" x="4500"/>
        <item m="1" x="271"/>
        <item m="1" x="884"/>
        <item m="1" x="1495"/>
        <item m="1" x="2111"/>
        <item m="1" x="2734"/>
        <item m="1" x="3349"/>
        <item m="1" x="3963"/>
        <item m="1" x="4573"/>
        <item m="1" x="346"/>
        <item m="1" x="958"/>
        <item m="1" x="1568"/>
        <item m="1" x="2183"/>
        <item m="1" x="2808"/>
        <item m="1" x="3423"/>
        <item m="1" x="4036"/>
        <item m="1" x="4647"/>
        <item m="1" x="419"/>
        <item m="1" x="1031"/>
        <item m="1" x="1642"/>
        <item m="1" x="2259"/>
        <item m="1" x="2883"/>
        <item m="1" x="3498"/>
        <item m="1" x="4110"/>
        <item m="1" x="4723"/>
        <item m="1" x="494"/>
        <item m="1" x="1106"/>
        <item m="1" x="1717"/>
        <item m="1" x="2334"/>
        <item m="1" x="2957"/>
        <item m="1" x="3573"/>
        <item m="1" x="4184"/>
        <item m="1" x="4798"/>
        <item m="1" x="568"/>
        <item m="1" x="1181"/>
        <item m="1" x="1792"/>
        <item m="1" x="2411"/>
        <item m="1" x="3033"/>
        <item m="1" x="3648"/>
        <item m="1" x="4258"/>
        <item m="1" x="4874"/>
        <item m="1" x="644"/>
        <item m="1" x="1256"/>
        <item m="1" x="1866"/>
        <item m="1" x="2485"/>
        <item m="1" x="3107"/>
        <item m="1" x="3722"/>
        <item m="1" x="4331"/>
        <item m="1" x="4948"/>
        <item m="1" x="717"/>
        <item m="1" x="1329"/>
        <item m="1" x="1940"/>
        <item m="1" x="2561"/>
        <item m="1" x="3182"/>
        <item m="1" x="3797"/>
        <item m="1" x="4405"/>
        <item m="1" x="174"/>
        <item m="1" x="792"/>
        <item m="1" x="1404"/>
        <item m="1" x="2015"/>
        <item m="1" x="2636"/>
        <item m="1" x="3256"/>
        <item m="1" x="3872"/>
        <item m="1" x="4479"/>
        <item m="1" x="249"/>
        <item m="1" x="866"/>
        <item m="1" x="1478"/>
        <item m="1" x="2089"/>
        <item m="1" x="2712"/>
        <item m="1" x="3331"/>
        <item m="1" x="3946"/>
        <item m="1" x="4552"/>
        <item m="1" x="324"/>
        <item m="1" x="941"/>
        <item m="1" x="1552"/>
        <item m="1" x="2162"/>
        <item m="1" x="2786"/>
        <item m="1" x="3405"/>
        <item m="1" x="4019"/>
        <item m="1" x="4626"/>
        <item m="1" x="397"/>
        <item m="1" x="1014"/>
        <item m="1" x="1625"/>
        <item m="1" x="2237"/>
        <item m="1" x="2861"/>
        <item m="1" x="3480"/>
        <item m="1" x="4093"/>
        <item m="1" x="4701"/>
        <item m="1" x="472"/>
        <item m="1" x="1089"/>
        <item m="1" x="1700"/>
        <item m="1" x="2313"/>
        <item m="1" x="2935"/>
        <item m="1" x="3554"/>
        <item m="1" x="4167"/>
        <item m="1" x="4777"/>
        <item m="1" x="546"/>
        <item m="1" x="1163"/>
        <item m="1" x="1775"/>
        <item m="1" x="2389"/>
        <item m="1" x="3011"/>
        <item m="1" x="3630"/>
        <item m="1" x="4241"/>
        <item m="1" x="4852"/>
        <item m="1" x="622"/>
        <item m="1" x="1239"/>
        <item m="1" x="1850"/>
        <item m="1" x="2464"/>
        <item m="1" x="3085"/>
        <item m="1" x="3704"/>
        <item m="1" x="4314"/>
        <item m="1" x="4927"/>
        <item m="1" x="695"/>
        <item m="1" x="1312"/>
        <item m="1" x="1923"/>
        <item m="1" x="2539"/>
        <item m="1" x="3160"/>
        <item m="1" x="3779"/>
        <item m="1" x="4388"/>
        <item m="1" x="152"/>
        <item m="1" x="770"/>
        <item m="1" x="1387"/>
        <item m="1" x="1998"/>
        <item m="1" x="2615"/>
        <item m="1" x="3234"/>
        <item m="1" x="3853"/>
        <item m="1" x="4462"/>
        <item m="1" x="228"/>
        <item m="1" x="844"/>
        <item m="1" x="1460"/>
        <item m="1" x="2072"/>
        <item m="1" x="2690"/>
        <item m="1" x="3309"/>
        <item m="1" x="3928"/>
        <item m="1" x="4535"/>
        <item m="1" x="302"/>
        <item m="1" x="919"/>
        <item m="1" x="1535"/>
        <item m="1" x="2146"/>
        <item m="1" x="2765"/>
        <item m="1" x="3383"/>
        <item m="1" x="4001"/>
        <item m="1" x="4609"/>
        <item m="1" x="376"/>
        <item m="1" x="992"/>
        <item m="1" x="1607"/>
        <item m="1" x="2220"/>
        <item m="1" x="2839"/>
        <item m="1" x="3458"/>
        <item m="1" x="4075"/>
        <item m="1" x="4684"/>
        <item m="1" x="450"/>
        <item m="1" x="1067"/>
        <item m="1" x="1682"/>
        <item m="1" x="2296"/>
        <item m="1" x="2914"/>
        <item m="1" x="3532"/>
        <item m="1" x="4148"/>
        <item m="1" x="4760"/>
        <item m="1" x="525"/>
        <item m="1" x="1141"/>
        <item m="1" x="1756"/>
        <item m="1" x="2372"/>
        <item m="1" x="2989"/>
        <item m="1" x="3608"/>
        <item m="1" x="4223"/>
        <item m="1" x="4835"/>
        <item m="1" x="600"/>
        <item m="1" x="1217"/>
        <item m="1" x="1832"/>
        <item m="1" x="2448"/>
        <item m="1" x="3064"/>
        <item m="1" x="3682"/>
        <item m="1" x="4296"/>
        <item m="1" x="4910"/>
        <item m="1" x="674"/>
        <item m="1" x="1290"/>
        <item m="1" x="1905"/>
        <item m="1" x="2522"/>
        <item m="1" x="3138"/>
        <item m="1" x="3757"/>
        <item m="1" x="4370"/>
        <item m="1" x="4985"/>
        <item m="1" x="748"/>
        <item m="1" x="1365"/>
        <item m="1" x="1980"/>
        <item m="1" x="2598"/>
        <item m="1" x="3213"/>
        <item m="1" x="3831"/>
        <item m="1" x="4443"/>
        <item m="1" x="211"/>
        <item m="1" x="823"/>
        <item m="1" x="1439"/>
        <item m="1" x="2054"/>
        <item m="1" x="2674"/>
        <item m="1" x="3288"/>
        <item m="1" x="3907"/>
        <item m="1" x="4518"/>
        <item m="1" x="286"/>
        <item m="1" x="898"/>
        <item m="1" x="1514"/>
        <item m="1" x="2129"/>
        <item m="1" x="2749"/>
        <item m="1" x="3363"/>
        <item m="1" x="3980"/>
        <item m="1" x="4591"/>
        <item m="1" x="360"/>
        <item m="1" x="972"/>
        <item m="1" x="1586"/>
        <item m="1" x="2202"/>
        <item m="1" x="2823"/>
        <item m="1" x="3437"/>
        <item m="1" x="4054"/>
        <item m="1" x="4666"/>
        <item m="1" x="434"/>
        <item m="1" x="1046"/>
        <item m="1" x="1661"/>
        <item m="1" x="2278"/>
        <item m="1" x="2898"/>
        <item m="1" x="3512"/>
        <item m="1" x="4127"/>
        <item m="1" x="4741"/>
        <item m="1" x="509"/>
        <item m="1" x="1121"/>
        <item m="1" x="1735"/>
        <item m="1" x="2353"/>
        <item m="1" x="2973"/>
        <item m="1" x="3587"/>
        <item m="1" x="4202"/>
        <item m="1" x="4817"/>
        <item m="1" x="584"/>
        <item m="1" x="1196"/>
        <item m="1" x="1811"/>
        <item m="1" x="2430"/>
        <item m="1" x="3048"/>
        <item m="1" x="3662"/>
        <item m="1" x="4275"/>
        <item m="1" x="4892"/>
        <item m="1" x="658"/>
        <item m="1" x="1270"/>
        <item m="1" x="1884"/>
        <item m="1" x="2504"/>
        <item m="1" x="3122"/>
        <item m="1" x="3736"/>
        <item m="1" x="4349"/>
        <item m="1" x="4967"/>
        <item m="1" x="732"/>
        <item m="1" x="1344"/>
        <item m="1" x="1959"/>
        <item m="1" x="2580"/>
        <item m="1" x="3197"/>
        <item m="1" x="3811"/>
        <item m="1" x="4422"/>
        <item m="1" x="192"/>
        <item m="1" x="807"/>
        <item m="1" x="1419"/>
        <item m="1" x="2033"/>
        <item m="1" x="2655"/>
        <item m="1" x="3272"/>
        <item m="1" x="3886"/>
        <item m="1" x="4497"/>
        <item m="1" x="268"/>
        <item m="1" x="882"/>
        <item m="1" x="1493"/>
        <item m="1" x="2108"/>
        <item m="1" x="2731"/>
        <item m="1" x="3346"/>
        <item m="1" x="3960"/>
        <item m="1" x="4569"/>
        <item m="1" x="342"/>
        <item m="1" x="955"/>
        <item m="1" x="1566"/>
        <item m="1" x="2180"/>
        <item m="1" x="2805"/>
        <item m="1" x="3420"/>
        <item m="1" x="4033"/>
        <item m="1" x="4644"/>
        <item m="1" x="416"/>
        <item m="1" x="1029"/>
        <item m="1" x="1640"/>
        <item m="1" x="2256"/>
        <item m="1" x="2880"/>
        <item m="1" x="3495"/>
        <item m="1" x="4107"/>
        <item m="1" x="4719"/>
        <item m="1" x="490"/>
        <item m="1" x="1104"/>
        <item m="1" x="1715"/>
        <item m="1" x="2331"/>
        <item m="1" x="2954"/>
        <item m="1" x="3570"/>
        <item m="1" x="4181"/>
        <item m="1" x="4795"/>
        <item m="1" x="565"/>
        <item m="1" x="1179"/>
        <item m="1" x="1790"/>
        <item m="1" x="2408"/>
        <item m="1" x="3030"/>
        <item m="1" x="3645"/>
        <item m="1" x="4255"/>
        <item m="1" x="4870"/>
        <item m="1" x="640"/>
        <item m="1" x="1253"/>
        <item m="1" x="1864"/>
        <item m="1" x="2482"/>
        <item m="1" x="3104"/>
        <item m="1" x="3719"/>
        <item m="1" x="4328"/>
        <item m="1" x="4945"/>
        <item m="1" x="714"/>
        <item m="1" x="1327"/>
        <item m="1" x="1938"/>
        <item m="1" x="2558"/>
        <item m="1" x="3179"/>
        <item m="1" x="3794"/>
        <item m="1" x="4402"/>
        <item m="1" x="170"/>
        <item m="1" x="788"/>
        <item m="1" x="1402"/>
        <item m="1" x="2013"/>
        <item m="1" x="2633"/>
        <item m="1" x="3253"/>
        <item m="1" x="3869"/>
        <item m="1" x="4476"/>
        <item m="1" x="246"/>
        <item m="1" x="863"/>
        <item m="1" x="1476"/>
        <item m="1" x="2087"/>
        <item m="1" x="2709"/>
        <item m="1" x="3328"/>
        <item m="1" x="3943"/>
        <item m="1" x="4549"/>
        <item m="1" x="320"/>
        <item m="1" x="937"/>
        <item m="1" x="1549"/>
        <item m="1" x="2160"/>
        <item m="1" x="2783"/>
        <item m="1" x="3402"/>
        <item m="1" x="4016"/>
        <item m="1" x="4623"/>
        <item m="1" x="394"/>
        <item m="1" x="1011"/>
        <item m="1" x="1623"/>
        <item m="1" x="2235"/>
        <item m="1" x="2858"/>
        <item m="1" x="3477"/>
        <item m="1" x="4090"/>
        <item m="1" x="4698"/>
        <item m="1" x="468"/>
        <item m="1" x="1085"/>
        <item m="1" x="1698"/>
        <item m="1" x="2311"/>
        <item m="1" x="2932"/>
        <item m="1" x="3551"/>
        <item m="1" x="4164"/>
        <item m="1" x="4774"/>
        <item m="1" x="543"/>
        <item m="1" x="1160"/>
        <item m="1" x="1773"/>
        <item m="1" x="2387"/>
        <item m="1" x="3008"/>
        <item m="1" x="3627"/>
        <item m="1" x="4238"/>
        <item m="1" x="4849"/>
        <item m="1" x="618"/>
        <item m="1" x="1235"/>
        <item m="1" x="1847"/>
        <item m="1" x="2462"/>
        <item m="1" x="3082"/>
        <item m="1" x="3701"/>
        <item m="1" x="4311"/>
        <item m="1" x="4924"/>
        <item m="1" x="692"/>
        <item m="1" x="1309"/>
        <item m="1" x="1921"/>
        <item m="1" x="2537"/>
        <item m="1" x="3157"/>
        <item m="1" x="3776"/>
        <item m="1" x="4385"/>
        <item m="1" x="4999"/>
        <item m="1" x="766"/>
        <item m="1" x="1383"/>
        <item m="1" x="1996"/>
        <item m="1" x="2613"/>
        <item m="1" x="3231"/>
        <item m="1" x="3850"/>
        <item m="1" x="4459"/>
        <item m="1" x="225"/>
        <item m="1" x="841"/>
        <item m="1" x="1457"/>
        <item m="1" x="2070"/>
        <item m="1" x="2688"/>
        <item m="1" x="3306"/>
        <item m="1" x="3925"/>
        <item m="1" x="4532"/>
        <item m="1" x="299"/>
        <item m="1" x="915"/>
        <item m="1" x="1531"/>
        <item m="1" x="2143"/>
        <item m="1" x="2762"/>
        <item m="1" x="3380"/>
        <item m="1" x="3998"/>
        <item m="1" x="4606"/>
        <item m="1" x="373"/>
        <item m="1" x="989"/>
        <item m="1" x="1604"/>
        <item m="1" x="2218"/>
        <item m="1" x="2837"/>
        <item m="1" x="3455"/>
        <item m="1" x="4072"/>
        <item m="1" x="4681"/>
        <item m="1" x="447"/>
        <item m="1" x="1063"/>
        <item m="1" x="1678"/>
        <item m="1" x="2294"/>
        <item m="1" x="2912"/>
        <item m="1" x="3529"/>
        <item m="1" x="4145"/>
        <item m="1" x="4757"/>
        <item m="1" x="522"/>
        <item m="1" x="1138"/>
        <item m="1" x="1753"/>
        <item m="1" x="2370"/>
        <item m="1" x="2987"/>
        <item m="1" x="3605"/>
        <item m="1" x="4220"/>
        <item m="1" x="4832"/>
        <item m="1" x="597"/>
        <item m="1" x="1213"/>
        <item m="1" x="1828"/>
        <item m="1" x="2445"/>
        <item m="1" x="3061"/>
        <item m="1" x="3679"/>
        <item m="1" x="4293"/>
        <item m="1" x="4907"/>
        <item m="1" x="671"/>
        <item m="1" x="1287"/>
        <item m="1" x="1902"/>
        <item m="1" x="2520"/>
        <item m="1" x="3136"/>
        <item m="1" x="3754"/>
        <item m="1" x="4367"/>
        <item m="1" x="4982"/>
        <item m="1" x="745"/>
        <item m="1" x="1361"/>
        <item m="1" x="1976"/>
        <item m="1" x="2596"/>
        <item m="1" x="3211"/>
        <item m="1" x="3828"/>
        <item m="1" x="4440"/>
        <item m="1" x="208"/>
        <item m="1" x="820"/>
        <item m="1" x="1436"/>
        <item m="1" x="2051"/>
        <item m="1" x="2672"/>
        <item m="1" x="3286"/>
        <item m="1" x="3904"/>
        <item m="1" x="4515"/>
        <item m="1" x="283"/>
        <item m="1" x="895"/>
        <item m="1" x="1510"/>
        <item m="1" x="2125"/>
        <item m="1" x="2746"/>
        <item m="1" x="3360"/>
        <item m="1" x="3977"/>
        <item m="1" x="4588"/>
        <item m="1" x="357"/>
        <item m="1" x="969"/>
        <item m="1" x="1583"/>
        <item m="1" x="2199"/>
        <item m="1" x="2821"/>
        <item m="1" x="3435"/>
        <item m="1" x="4051"/>
        <item m="1" x="4663"/>
        <item m="1" x="431"/>
        <item m="1" x="1043"/>
        <item m="1" x="1657"/>
        <item m="1" x="2274"/>
        <item m="1" x="2896"/>
        <item m="1" x="3510"/>
        <item m="1" x="4124"/>
        <item m="1" x="4738"/>
        <item m="1" x="506"/>
        <item m="1" x="1118"/>
        <item m="1" x="1732"/>
        <item m="1" x="2350"/>
        <item m="1" x="2971"/>
        <item m="1" x="3585"/>
        <item m="1" x="4199"/>
        <item m="1" x="4814"/>
        <item m="1" x="581"/>
        <item m="1" x="1193"/>
        <item m="1" x="1807"/>
        <item m="1" x="2426"/>
        <item m="1" x="3045"/>
        <item m="1" x="3659"/>
        <item m="1" x="4272"/>
        <item m="1" x="4889"/>
        <item m="1" x="655"/>
        <item m="1" x="1267"/>
        <item m="1" x="1881"/>
        <item m="1" x="2501"/>
        <item m="1" x="3120"/>
        <item m="1" x="3734"/>
        <item m="1" x="4346"/>
        <item m="1" x="4964"/>
        <item m="1" x="729"/>
        <item m="1" x="1341"/>
        <item m="1" x="1955"/>
        <item m="1" x="2576"/>
        <item m="1" x="3195"/>
        <item m="1" x="3809"/>
        <item m="1" x="4419"/>
        <item m="1" x="189"/>
        <item m="1" x="804"/>
        <item m="1" x="1416"/>
        <item m="1" x="2030"/>
        <item m="1" x="2652"/>
        <item m="1" x="3270"/>
        <item m="1" x="3884"/>
        <item m="1" x="4494"/>
        <item m="1" x="265"/>
        <item m="1" x="879"/>
        <item m="1" x="1490"/>
        <item m="1" x="2104"/>
        <item m="1" x="2727"/>
        <item m="1" x="3343"/>
        <item m="1" x="3957"/>
        <item m="1" x="4566"/>
        <item m="1" x="339"/>
        <item m="1" x="952"/>
        <item m="1" x="1563"/>
        <item m="1" x="2177"/>
        <item m="1" x="2802"/>
        <item m="1" x="3418"/>
        <item m="1" x="4031"/>
        <item m="1" x="4641"/>
        <item m="1" x="413"/>
        <item m="1" x="1026"/>
        <item m="1" x="1637"/>
        <item m="1" x="2252"/>
        <item m="1" x="2876"/>
        <item m="1" x="3493"/>
        <item m="1" x="4105"/>
        <item m="1" x="4716"/>
        <item m="1" x="487"/>
        <item m="1" x="1101"/>
        <item m="1" x="1712"/>
        <item m="1" x="2328"/>
        <item m="1" x="2951"/>
        <item m="1" x="3568"/>
        <item m="1" x="4179"/>
        <item m="1" x="4792"/>
        <item m="1" x="562"/>
        <item m="1" x="1176"/>
        <item m="1" x="1787"/>
        <item m="1" x="2404"/>
        <item m="1" x="3026"/>
        <item m="1" x="3642"/>
        <item m="1" x="4252"/>
        <item m="1" x="4867"/>
        <item m="1" x="637"/>
        <item m="1" x="1250"/>
        <item m="1" x="1861"/>
        <item m="1" x="2479"/>
        <item m="1" x="3101"/>
        <item m="1" x="3717"/>
        <item m="1" x="4326"/>
        <item m="1" x="4942"/>
        <item m="1" x="711"/>
        <item m="1" x="1324"/>
        <item m="1" x="1935"/>
        <item m="1" x="2554"/>
        <item m="1" x="3175"/>
        <item m="1" x="3792"/>
        <item m="1" x="4400"/>
        <item m="1" x="167"/>
        <item m="1" x="785"/>
        <item m="1" x="1399"/>
        <item m="1" x="2010"/>
        <item m="1" x="2630"/>
        <item m="1" x="3250"/>
        <item m="1" x="3867"/>
        <item m="1" x="4474"/>
        <item m="1" x="243"/>
        <item m="1" x="860"/>
        <item m="1" x="1473"/>
        <item m="1" x="2084"/>
        <item m="1" x="2705"/>
        <item m="1" x="3324"/>
        <item m="1" x="3940"/>
        <item m="1" x="4546"/>
        <item m="1" x="317"/>
        <item m="1" x="934"/>
        <item m="1" x="1546"/>
        <item m="1" x="2157"/>
        <item m="1" x="2780"/>
        <item m="1" x="3399"/>
        <item m="1" x="4014"/>
        <item m="1" x="4621"/>
        <item m="1" x="391"/>
        <item m="1" x="1008"/>
        <item m="1" x="1620"/>
        <item m="1" x="2232"/>
        <item m="1" x="2854"/>
        <item m="1" x="3473"/>
        <item m="1" x="4088"/>
        <item m="1" x="4696"/>
        <item m="1" x="465"/>
        <item m="1" x="1082"/>
        <item m="1" x="1695"/>
        <item m="1" x="2308"/>
        <item m="1" x="2929"/>
        <item m="1" x="3548"/>
        <item m="1" x="4162"/>
        <item m="1" x="4772"/>
        <item m="1" x="540"/>
        <item m="1" x="1157"/>
        <item m="1" x="1770"/>
        <item m="1" x="2384"/>
        <item m="1" x="3004"/>
        <item m="1" x="3623"/>
        <item m="1" x="4235"/>
        <item m="1" x="4846"/>
        <item m="1" x="615"/>
        <item m="1" x="1232"/>
        <item m="1" x="1844"/>
        <item m="1" x="2459"/>
        <item m="1" x="3079"/>
        <item m="1" x="3698"/>
        <item m="1" x="4309"/>
        <item m="1" x="4922"/>
        <item m="1" x="689"/>
        <item m="1" x="1306"/>
        <item m="1" x="1918"/>
        <item m="1" x="2534"/>
        <item m="1" x="3153"/>
        <item m="1" x="3772"/>
        <item m="1" x="4383"/>
        <item m="1" x="4997"/>
        <item m="1" x="763"/>
        <item m="1" x="1380"/>
        <item m="1" x="1993"/>
        <item m="1" x="2610"/>
        <item m="1" x="3228"/>
        <item m="1" x="3847"/>
        <item m="1" x="4457"/>
        <item m="1" x="223"/>
        <item m="1" x="838"/>
        <item t="default"/>
      </items>
    </pivotField>
    <pivotField dataField="1" showAll="0" defaultSubtotal="0"/>
    <pivotField dataField="1" showAll="0"/>
    <pivotField showAll="0"/>
  </pivotFields>
  <rowFields count="1">
    <field x="3"/>
  </rowFields>
  <rowItems count="1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76" firstHeaderRow="0" firstDataRow="1" firstDataCol="1"/>
  <pivotFields count="20">
    <pivotField showAll="0">
      <items count="320">
        <item m="1" x="310"/>
        <item m="1" x="276"/>
        <item m="1" x="132"/>
        <item m="1" x="31"/>
        <item m="1" x="108"/>
        <item m="1" x="283"/>
        <item m="1" x="311"/>
        <item m="1" x="12"/>
        <item m="1" x="272"/>
        <item m="1" x="80"/>
        <item m="1" x="225"/>
        <item m="1" x="137"/>
        <item m="1" x="56"/>
        <item m="1" x="75"/>
        <item m="1" x="177"/>
        <item m="1" x="306"/>
        <item m="1" x="119"/>
        <item m="1" x="18"/>
        <item m="1" x="235"/>
        <item x="0"/>
        <item m="1" x="109"/>
        <item m="1" x="169"/>
        <item m="1" x="226"/>
        <item m="1" x="143"/>
        <item m="1" x="77"/>
        <item m="1" x="86"/>
        <item m="1" x="238"/>
        <item m="1" x="277"/>
        <item m="1" x="150"/>
        <item m="1" x="194"/>
        <item m="1" x="120"/>
        <item m="1" x="236"/>
        <item m="1" x="7"/>
        <item m="1" x="58"/>
        <item m="1" x="87"/>
        <item m="1" x="267"/>
        <item m="1" x="312"/>
        <item m="1" x="95"/>
        <item m="1" x="13"/>
        <item m="1" x="303"/>
        <item m="1" x="88"/>
        <item m="1" x="144"/>
        <item m="1" x="101"/>
        <item m="1" x="157"/>
        <item m="1" x="165"/>
        <item m="1" x="70"/>
        <item m="1" x="121"/>
        <item m="1" x="38"/>
        <item m="1" x="261"/>
        <item m="1" x="170"/>
        <item m="1" x="54"/>
        <item m="1" x="59"/>
        <item m="1" x="243"/>
        <item m="1" x="171"/>
        <item m="1" x="110"/>
        <item m="1" x="212"/>
        <item m="1" x="313"/>
        <item m="1" x="244"/>
        <item m="1" x="172"/>
        <item m="1" x="284"/>
        <item m="1" x="214"/>
        <item m="1" x="133"/>
        <item m="1" x="76"/>
        <item m="1" x="19"/>
        <item m="1" x="35"/>
        <item m="1" x="215"/>
        <item m="1" x="158"/>
        <item m="1" x="184"/>
        <item m="1" x="81"/>
        <item m="1" x="102"/>
        <item m="1" x="307"/>
        <item m="1" x="159"/>
        <item m="1" x="245"/>
        <item m="1" x="248"/>
        <item m="1" x="188"/>
        <item m="1" x="268"/>
        <item m="1" x="138"/>
        <item m="1" x="160"/>
        <item m="1" x="151"/>
        <item m="1" x="51"/>
        <item m="1" x="314"/>
        <item m="1" x="117"/>
        <item m="1" x="249"/>
        <item m="1" x="189"/>
        <item m="1" x="304"/>
        <item m="1" x="14"/>
        <item m="1" x="213"/>
        <item m="1" x="9"/>
        <item m="1" x="178"/>
        <item m="1" x="315"/>
        <item m="1" x="32"/>
        <item m="1" x="152"/>
        <item m="1" x="195"/>
        <item m="1" x="10"/>
        <item m="1" x="290"/>
        <item m="1" x="145"/>
        <item m="1" x="255"/>
        <item m="1" x="122"/>
        <item m="1" x="251"/>
        <item m="1" x="239"/>
        <item m="1" x="258"/>
        <item m="1" x="36"/>
        <item m="1" x="161"/>
        <item m="1" x="227"/>
        <item m="1" x="118"/>
        <item m="1" x="259"/>
        <item m="1" x="237"/>
        <item m="1" x="71"/>
        <item m="1" x="273"/>
        <item m="1" x="293"/>
        <item m="1" x="39"/>
        <item m="1" x="200"/>
        <item m="1" x="218"/>
        <item m="1" x="231"/>
        <item m="1" x="262"/>
        <item m="1" x="285"/>
        <item m="1" x="53"/>
        <item m="1" x="269"/>
        <item m="1" x="179"/>
        <item m="1" x="316"/>
        <item m="1" x="219"/>
        <item m="1" x="278"/>
        <item m="1" x="89"/>
        <item m="1" x="60"/>
        <item m="1" x="123"/>
        <item m="1" x="33"/>
        <item m="1" x="256"/>
        <item m="1" x="180"/>
        <item m="1" x="263"/>
        <item m="1" x="173"/>
        <item m="1" x="72"/>
        <item m="1" x="250"/>
        <item m="1" x="126"/>
        <item m="1" x="61"/>
        <item m="1" x="162"/>
        <item m="1" x="206"/>
        <item m="1" x="252"/>
        <item m="1" x="127"/>
        <item m="1" x="114"/>
        <item m="1" x="294"/>
        <item m="1" x="317"/>
        <item m="1" x="1"/>
        <item m="1" x="286"/>
        <item m="1" x="111"/>
        <item m="1" x="318"/>
        <item m="1" x="220"/>
        <item m="1" x="228"/>
        <item m="1" x="232"/>
        <item m="1" x="298"/>
        <item m="1" x="45"/>
        <item m="1" x="264"/>
        <item m="1" x="223"/>
        <item m="1" x="82"/>
        <item m="1" x="128"/>
        <item m="1" x="240"/>
        <item m="1" x="196"/>
        <item m="1" x="62"/>
        <item m="1" x="216"/>
        <item m="1" x="15"/>
        <item m="1" x="103"/>
        <item m="1" x="153"/>
        <item m="1" x="134"/>
        <item m="1" x="83"/>
        <item m="1" x="24"/>
        <item m="1" x="154"/>
        <item m="1" x="197"/>
        <item m="1" x="104"/>
        <item m="1" x="265"/>
        <item m="1" x="146"/>
        <item m="1" x="129"/>
        <item m="1" x="155"/>
        <item m="1" x="96"/>
        <item m="1" x="246"/>
        <item m="1" x="163"/>
        <item m="1" x="78"/>
        <item m="1" x="46"/>
        <item m="1" x="105"/>
        <item m="1" x="2"/>
        <item m="1" x="55"/>
        <item m="1" x="37"/>
        <item m="1" x="11"/>
        <item m="1" x="221"/>
        <item m="1" x="279"/>
        <item m="1" x="40"/>
        <item m="1" x="207"/>
        <item m="1" x="147"/>
        <item m="1" x="84"/>
        <item m="1" x="49"/>
        <item m="1" x="112"/>
        <item m="1" x="25"/>
        <item m="1" x="63"/>
        <item m="1" x="217"/>
        <item m="1" x="274"/>
        <item m="1" x="97"/>
        <item m="1" x="47"/>
        <item m="1" x="106"/>
        <item m="1" x="208"/>
        <item m="1" x="20"/>
        <item m="1" x="224"/>
        <item m="1" x="287"/>
        <item m="1" x="190"/>
        <item m="1" x="3"/>
        <item m="1" x="253"/>
        <item m="1" x="73"/>
        <item m="1" x="65"/>
        <item m="1" x="29"/>
        <item m="1" x="21"/>
        <item m="1" x="174"/>
        <item m="1" x="130"/>
        <item m="1" x="131"/>
        <item m="1" x="64"/>
        <item m="1" x="135"/>
        <item m="1" x="27"/>
        <item m="1" x="295"/>
        <item m="1" x="299"/>
        <item m="1" x="185"/>
        <item m="1" x="22"/>
        <item m="1" x="34"/>
        <item m="1" x="48"/>
        <item m="1" x="241"/>
        <item m="1" x="90"/>
        <item m="1" x="41"/>
        <item m="1" x="181"/>
        <item m="1" x="247"/>
        <item m="1" x="201"/>
        <item m="1" x="66"/>
        <item m="1" x="300"/>
        <item m="1" x="4"/>
        <item m="1" x="191"/>
        <item m="1" x="91"/>
        <item m="1" x="296"/>
        <item m="1" x="202"/>
        <item m="1" x="16"/>
        <item m="1" x="280"/>
        <item m="1" x="30"/>
        <item m="1" x="79"/>
        <item m="1" x="166"/>
        <item m="1" x="124"/>
        <item m="1" x="209"/>
        <item m="1" x="266"/>
        <item m="1" x="175"/>
        <item m="1" x="192"/>
        <item m="1" x="92"/>
        <item m="1" x="254"/>
        <item m="1" x="198"/>
        <item m="1" x="28"/>
        <item m="1" x="98"/>
        <item m="1" x="26"/>
        <item m="1" x="74"/>
        <item m="1" x="291"/>
        <item m="1" x="93"/>
        <item m="1" x="113"/>
        <item m="1" x="275"/>
        <item m="1" x="42"/>
        <item m="1" x="182"/>
        <item m="1" x="203"/>
        <item m="1" x="67"/>
        <item m="1" x="222"/>
        <item m="1" x="210"/>
        <item m="1" x="156"/>
        <item m="1" x="94"/>
        <item m="1" x="115"/>
        <item m="1" x="136"/>
        <item m="1" x="164"/>
        <item m="1" x="43"/>
        <item m="1" x="99"/>
        <item m="1" x="139"/>
        <item m="1" x="281"/>
        <item m="1" x="167"/>
        <item m="1" x="148"/>
        <item m="1" x="8"/>
        <item m="1" x="57"/>
        <item m="1" x="242"/>
        <item m="1" x="308"/>
        <item m="1" x="116"/>
        <item m="1" x="199"/>
        <item m="1" x="229"/>
        <item m="1" x="44"/>
        <item m="1" x="140"/>
        <item m="1" x="282"/>
        <item m="1" x="168"/>
        <item m="1" x="233"/>
        <item m="1" x="186"/>
        <item m="1" x="125"/>
        <item m="1" x="211"/>
        <item m="1" x="50"/>
        <item m="1" x="193"/>
        <item m="1" x="204"/>
        <item m="1" x="141"/>
        <item m="1" x="301"/>
        <item m="1" x="288"/>
        <item m="1" x="205"/>
        <item m="1" x="17"/>
        <item m="1" x="234"/>
        <item m="1" x="302"/>
        <item m="1" x="100"/>
        <item m="1" x="5"/>
        <item m="1" x="305"/>
        <item m="1" x="52"/>
        <item m="1" x="230"/>
        <item m="1" x="107"/>
        <item m="1" x="23"/>
        <item m="1" x="176"/>
        <item m="1" x="270"/>
        <item m="1" x="257"/>
        <item m="1" x="292"/>
        <item m="1" x="6"/>
        <item m="1" x="289"/>
        <item m="1" x="85"/>
        <item m="1" x="260"/>
        <item m="1" x="68"/>
        <item m="1" x="69"/>
        <item m="1" x="149"/>
        <item m="1" x="309"/>
        <item m="1" x="297"/>
        <item m="1" x="183"/>
        <item m="1" x="142"/>
        <item m="1" x="187"/>
        <item m="1" x="271"/>
        <item t="default"/>
      </items>
    </pivotField>
    <pivotField showAll="0">
      <items count="679">
        <item m="1" x="490"/>
        <item m="1" x="62"/>
        <item m="1" x="205"/>
        <item m="1" x="45"/>
        <item m="1" x="540"/>
        <item m="1" x="505"/>
        <item m="1" x="67"/>
        <item m="1" x="378"/>
        <item m="1" x="268"/>
        <item m="1" x="527"/>
        <item m="1" x="359"/>
        <item m="1" x="230"/>
        <item m="1" x="400"/>
        <item m="1" x="573"/>
        <item x="1"/>
        <item m="1" x="421"/>
        <item m="1" x="74"/>
        <item m="1" x="272"/>
        <item m="1" x="291"/>
        <item m="1" x="552"/>
        <item m="1" x="213"/>
        <item m="1" x="652"/>
        <item m="1" x="109"/>
        <item m="1" x="243"/>
        <item m="1" x="617"/>
        <item m="1" x="128"/>
        <item m="1" x="487"/>
        <item m="1" x="631"/>
        <item m="1" x="30"/>
        <item m="1" x="179"/>
        <item m="1" x="224"/>
        <item m="1" x="501"/>
        <item m="1" x="661"/>
        <item m="1" x="375"/>
        <item m="1" x="460"/>
        <item m="1" x="626"/>
        <item m="1" x="648"/>
        <item m="1" x="176"/>
        <item m="1" x="517"/>
        <item m="1" x="545"/>
        <item m="1" x="100"/>
        <item m="1" x="175"/>
        <item m="1" x="189"/>
        <item m="1" x="240"/>
        <item m="1" x="281"/>
        <item m="1" x="290"/>
        <item m="1" x="500"/>
        <item m="1" x="579"/>
        <item m="1" x="667"/>
        <item m="1" x="10"/>
        <item m="1" x="53"/>
        <item m="1" x="135"/>
        <item m="1" x="206"/>
        <item m="1" x="232"/>
        <item m="1" x="288"/>
        <item m="1" x="444"/>
        <item m="1" x="529"/>
        <item m="1" x="79"/>
        <item m="1" x="147"/>
        <item m="1" x="219"/>
        <item m="1" x="279"/>
        <item m="1" x="458"/>
        <item m="1" x="480"/>
        <item m="1" x="565"/>
        <item m="1" x="643"/>
        <item m="1" x="27"/>
        <item m="1" x="50"/>
        <item m="1" x="172"/>
        <item m="1" x="186"/>
        <item m="1" x="217"/>
        <item m="1" x="564"/>
        <item m="1" x="575"/>
        <item m="1" x="64"/>
        <item m="1" x="89"/>
        <item m="1" x="185"/>
        <item m="1" x="215"/>
        <item m="1" x="542"/>
        <item m="1" x="622"/>
        <item m="1" x="658"/>
        <item m="1" x="144"/>
        <item m="1" x="156"/>
        <item m="1" x="171"/>
        <item m="1" x="246"/>
        <item m="1" x="385"/>
        <item m="1" x="476"/>
        <item m="1" x="524"/>
        <item m="1" x="634"/>
        <item m="1" x="133"/>
        <item m="1" x="275"/>
        <item m="1" x="312"/>
        <item m="1" x="358"/>
        <item m="1" x="507"/>
        <item m="1" x="553"/>
        <item m="1" x="574"/>
        <item m="1" x="597"/>
        <item m="1" x="77"/>
        <item m="1" x="132"/>
        <item m="1" x="324"/>
        <item m="1" x="333"/>
        <item m="1" x="399"/>
        <item m="1" x="76"/>
        <item m="1" x="408"/>
        <item m="1" x="98"/>
        <item m="1" x="441"/>
        <item m="1" x="117"/>
        <item m="1" x="273"/>
        <item m="1" x="323"/>
        <item m="1" x="347"/>
        <item m="1" x="370"/>
        <item m="1" x="383"/>
        <item m="1" x="112"/>
        <item m="1" x="440"/>
        <item m="1" x="229"/>
        <item m="1" x="606"/>
        <item m="1" x="654"/>
        <item m="1" x="665"/>
        <item m="1" x="24"/>
        <item m="1" x="369"/>
        <item m="1" x="75"/>
        <item m="1" x="406"/>
        <item m="1" x="131"/>
        <item m="1" x="492"/>
        <item m="1" x="538"/>
        <item m="1" x="285"/>
        <item m="1" x="59"/>
        <item m="1" x="405"/>
        <item m="1" x="439"/>
        <item m="1" x="537"/>
        <item m="1" x="194"/>
        <item m="1" x="202"/>
        <item x="0"/>
        <item m="1" x="58"/>
        <item m="1" x="96"/>
        <item m="1" x="111"/>
        <item m="1" x="182"/>
        <item m="1" x="673"/>
        <item m="1" x="7"/>
        <item m="1" x="337"/>
        <item m="1" x="21"/>
        <item m="1" x="438"/>
        <item m="1" x="130"/>
        <item m="1" x="504"/>
        <item m="1" x="562"/>
        <item m="1" x="227"/>
        <item m="1" x="585"/>
        <item m="1" x="238"/>
        <item m="1" x="309"/>
        <item m="1" x="6"/>
        <item m="1" x="86"/>
        <item m="1" x="95"/>
        <item m="1" x="464"/>
        <item m="1" x="244"/>
        <item m="1" x="271"/>
        <item m="1" x="640"/>
        <item m="1" x="298"/>
        <item m="1" x="336"/>
        <item m="1" x="32"/>
        <item m="1" x="437"/>
        <item m="1" x="143"/>
        <item m="1" x="153"/>
        <item m="1" x="503"/>
        <item m="1" x="160"/>
        <item m="1" x="549"/>
        <item m="1" x="211"/>
        <item m="1" x="571"/>
        <item m="1" x="595"/>
        <item m="1" x="257"/>
        <item m="1" x="650"/>
        <item m="1" x="354"/>
        <item m="1" x="42"/>
        <item m="1" x="85"/>
        <item m="1" x="412"/>
        <item m="1" x="436"/>
        <item m="1" x="450"/>
        <item m="1" x="512"/>
        <item m="1" x="548"/>
        <item m="1" x="639"/>
        <item m="1" x="345"/>
        <item m="1" x="57"/>
        <item m="1" x="84"/>
        <item m="1" x="426"/>
        <item m="1" x="488"/>
        <item m="1" x="199"/>
        <item m="1" x="236"/>
        <item m="1" x="255"/>
        <item m="1" x="632"/>
        <item m="1" x="662"/>
        <item m="1" x="319"/>
        <item m="1" x="4"/>
        <item m="1" x="13"/>
        <item m="1" x="379"/>
        <item m="1" x="404"/>
        <item m="1" x="411"/>
        <item m="1" x="449"/>
        <item m="1" x="462"/>
        <item m="1" x="471"/>
        <item m="1" x="180"/>
        <item m="1" x="547"/>
        <item m="1" x="558"/>
        <item m="1" x="253"/>
        <item m="1" x="392"/>
        <item m="1" x="425"/>
        <item m="1" x="150"/>
        <item m="1" x="191"/>
        <item m="1" x="210"/>
        <item m="1" x="241"/>
        <item m="1" x="307"/>
        <item m="1" x="670"/>
        <item m="1" x="83"/>
        <item m="1" x="419"/>
        <item m="1" x="149"/>
        <item m="1" x="519"/>
        <item m="1" x="178"/>
        <item m="1" x="556"/>
        <item m="1" x="209"/>
        <item m="1" x="222"/>
        <item m="1" x="628"/>
        <item m="1" x="18"/>
        <item m="1" x="391"/>
        <item m="1" x="166"/>
        <item m="1" x="197"/>
        <item m="1" x="207"/>
        <item m="1" x="582"/>
        <item m="1" x="283"/>
        <item m="1" x="295"/>
        <item m="1" x="28"/>
        <item m="1" x="390"/>
        <item m="1" x="82"/>
        <item m="1" x="409"/>
        <item m="1" x="448"/>
        <item m="1" x="119"/>
        <item m="1" x="532"/>
        <item m="1" x="581"/>
        <item m="1" x="592"/>
        <item m="1" x="282"/>
        <item m="1" x="17"/>
        <item m="1" x="363"/>
        <item m="1" x="81"/>
        <item m="1" x="434"/>
        <item m="1" x="483"/>
        <item m="1" x="190"/>
        <item m="1" x="580"/>
        <item m="1" x="305"/>
        <item m="1" x="351"/>
        <item m="1" x="563"/>
        <item m="1" x="389"/>
        <item m="1" x="403"/>
        <item m="1" x="587"/>
        <item m="1" x="608"/>
        <item m="1" x="259"/>
        <item m="1" x="274"/>
        <item m="1" x="446"/>
        <item m="1" x="656"/>
        <item m="1" x="300"/>
        <item m="1" x="311"/>
        <item m="1" x="148"/>
        <item m="1" x="8"/>
        <item m="1" x="338"/>
        <item m="1" x="357"/>
        <item m="1" x="544"/>
        <item m="1" x="555"/>
        <item m="1" x="68"/>
        <item m="1" x="398"/>
        <item m="1" x="105"/>
        <item m="1" x="267"/>
        <item m="1" x="646"/>
        <item m="1" x="468"/>
        <item m="1" x="668"/>
        <item m="1" x="317"/>
        <item m="1" x="183"/>
        <item m="1" x="54"/>
        <item m="1" x="572"/>
        <item m="1" x="402"/>
        <item m="1" x="607"/>
        <item m="1" x="286"/>
        <item m="1" x="445"/>
        <item m="1" x="655"/>
        <item m="1" x="137"/>
        <item m="1" x="346"/>
        <item m="1" x="188"/>
        <item m="1" x="356"/>
        <item m="1" x="44"/>
        <item m="1" x="397"/>
        <item m="1" x="233"/>
        <item m="1" x="407"/>
        <item m="1" x="251"/>
        <item m="1" x="420"/>
        <item m="1" x="613"/>
        <item m="1" x="645"/>
        <item m="1" x="467"/>
        <item m="1" x="660"/>
        <item m="1" x="506"/>
        <item m="1" x="362"/>
        <item m="1" x="203"/>
        <item m="1" x="374"/>
        <item m="1" x="214"/>
        <item m="1" x="92"/>
        <item m="1" x="605"/>
        <item m="1" x="620"/>
        <item m="1" x="124"/>
        <item m="1" x="136"/>
        <item m="1" x="482"/>
        <item m="1" x="23"/>
        <item m="1" x="382"/>
        <item m="1" x="567"/>
        <item m="1" x="221"/>
        <item m="1" x="413"/>
        <item m="1" x="250"/>
        <item m="1" x="637"/>
        <item m="1" x="289"/>
        <item m="1" x="644"/>
        <item m="1" x="659"/>
        <item m="1" x="330"/>
        <item m="1" x="16"/>
        <item m="1" x="361"/>
        <item m="1" x="228"/>
        <item m="1" x="586"/>
        <item m="1" x="80"/>
        <item m="1" x="596"/>
        <item m="1" x="418"/>
        <item m="1" x="284"/>
        <item m="1" x="118"/>
        <item m="1" x="322"/>
        <item m="1" x="499"/>
        <item m="1" x="174"/>
        <item m="1" x="530"/>
        <item m="1" x="35"/>
        <item m="1" x="43"/>
        <item m="1" x="566"/>
        <item m="1" x="591"/>
        <item m="1" x="97"/>
        <item m="1" x="249"/>
        <item m="1" x="266"/>
        <item m="1" x="636"/>
        <item m="1" x="453"/>
        <item m="1" x="466"/>
        <item m="1" x="473"/>
        <item m="1" x="522"/>
        <item m="1" x="39"/>
        <item m="1" x="193"/>
        <item m="1" x="360"/>
        <item m="1" x="52"/>
        <item m="1" x="373"/>
        <item m="1" x="401"/>
        <item m="1" x="604"/>
        <item m="1" x="258"/>
        <item m="1" x="424"/>
        <item m="1" x="619"/>
        <item m="1" x="433"/>
        <item m="1" x="633"/>
        <item m="1" x="116"/>
        <item m="1" x="470"/>
        <item m="1" x="310"/>
        <item m="1" x="674"/>
        <item m="1" x="321"/>
        <item m="1" x="158"/>
        <item m="1" x="14"/>
        <item m="1" x="165"/>
        <item m="1" x="22"/>
        <item m="1" x="173"/>
        <item m="1" x="187"/>
        <item m="1" x="220"/>
        <item m="1" x="396"/>
        <item m="1" x="578"/>
        <item m="1" x="239"/>
        <item m="1" x="625"/>
        <item m="1" x="110"/>
        <item m="1" x="280"/>
        <item m="1" x="294"/>
        <item m="1" x="465"/>
        <item m="1" x="304"/>
        <item m="1" x="472"/>
        <item m="1" x="677"/>
        <item m="1" x="329"/>
        <item m="1" x="342"/>
        <item m="1" x="38"/>
        <item m="1" x="66"/>
        <item m="1" x="91"/>
        <item m="1" x="603"/>
        <item m="1" x="653"/>
        <item m="1" x="469"/>
        <item m="1" x="664"/>
        <item m="1" x="481"/>
        <item m="1" x="146"/>
        <item m="1" x="498"/>
        <item m="1" x="34"/>
        <item m="1" x="395"/>
        <item m="1" x="73"/>
        <item m="1" x="590"/>
        <item m="1" x="612"/>
        <item m="1" x="104"/>
        <item m="1" x="265"/>
        <item m="1" x="429"/>
        <item m="1" x="287"/>
        <item m="1" x="129"/>
        <item m="1" x="303"/>
        <item m="1" x="491"/>
        <item m="1" x="154"/>
        <item m="1" x="328"/>
        <item m="1" x="513"/>
        <item m="1" x="170"/>
        <item m="1" x="521"/>
        <item m="1" x="551"/>
        <item m="1" x="51"/>
        <item m="1" x="201"/>
        <item m="1" x="561"/>
        <item m="1" x="65"/>
        <item m="1" x="388"/>
        <item m="1" x="226"/>
        <item m="1" x="245"/>
        <item m="1" x="417"/>
        <item m="1" x="602"/>
        <item m="1" x="618"/>
        <item m="1" x="299"/>
        <item m="1" x="145"/>
        <item m="1" x="497"/>
        <item m="1" x="332"/>
        <item m="1" x="516"/>
        <item m="1" x="20"/>
        <item m="1" x="528"/>
        <item m="1" x="33"/>
        <item m="1" x="355"/>
        <item m="1" x="554"/>
        <item m="1" x="218"/>
        <item m="1" x="394"/>
        <item m="1" x="577"/>
        <item m="1" x="611"/>
        <item m="1" x="103"/>
        <item m="1" x="264"/>
        <item m="1" x="428"/>
        <item m="1" x="624"/>
        <item m="1" x="108"/>
        <item m="1" x="452"/>
        <item m="1" x="121"/>
        <item m="1" x="302"/>
        <item m="1" x="316"/>
        <item m="1" x="676"/>
        <item m="1" x="161"/>
        <item m="1" x="169"/>
        <item m="1" x="192"/>
        <item m="1" x="550"/>
        <item m="1" x="49"/>
        <item m="1" x="212"/>
        <item m="1" x="237"/>
        <item m="1" x="90"/>
        <item m="1" x="242"/>
        <item m="1" x="416"/>
        <item m="1" x="601"/>
        <item m="1" x="443"/>
        <item m="1" x="651"/>
        <item m="1" x="479"/>
        <item m="1" x="5"/>
        <item m="1" x="157"/>
        <item m="1" x="31"/>
        <item m="1" x="196"/>
        <item m="1" x="368"/>
        <item m="1" x="381"/>
        <item m="1" x="576"/>
        <item m="1" x="231"/>
        <item m="1" x="589"/>
        <item m="1" x="248"/>
        <item m="1" x="427"/>
        <item m="1" x="278"/>
        <item m="1" x="451"/>
        <item m="1" x="293"/>
        <item m="1" x="463"/>
        <item m="1" x="142"/>
        <item m="1" x="334"/>
        <item m="1" x="168"/>
        <item m="1" x="341"/>
        <item m="1" x="520"/>
        <item m="1" x="350"/>
        <item m="1" x="37"/>
        <item m="1" x="560"/>
        <item m="1" x="387"/>
        <item m="1" x="570"/>
        <item m="1" x="70"/>
        <item m="1" x="225"/>
        <item m="1" x="99"/>
        <item m="1" x="270"/>
        <item m="1" x="115"/>
        <item m="1" x="442"/>
        <item m="1" x="457"/>
        <item m="1" x="297"/>
        <item m="1" x="663"/>
        <item m="1" x="134"/>
        <item m="1" x="308"/>
        <item m="1" x="478"/>
        <item m="1" x="164"/>
        <item m="1" x="543"/>
        <item m="1" x="41"/>
        <item m="1" x="367"/>
        <item m="1" x="216"/>
        <item m="1" x="393"/>
        <item m="1" x="72"/>
        <item m="1" x="599"/>
        <item m="1" x="102"/>
        <item m="1" x="263"/>
        <item m="1" x="435"/>
        <item m="1" x="642"/>
        <item m="1" x="292"/>
        <item m="1" x="127"/>
        <item m="1" x="489"/>
        <item m="1" x="675"/>
        <item m="1" x="167"/>
        <item m="1" x="349"/>
        <item m="1" x="200"/>
        <item m="1" x="63"/>
        <item m="1" x="584"/>
        <item m="1" x="415"/>
        <item m="1" x="256"/>
        <item m="1" x="423"/>
        <item m="1" x="114"/>
        <item m="1" x="456"/>
        <item m="1" x="649"/>
        <item m="1" x="477"/>
        <item m="1" x="672"/>
        <item m="1" x="320"/>
        <item m="1" x="496"/>
        <item m="1" x="510"/>
        <item m="1" x="344"/>
        <item m="1" x="526"/>
        <item m="1" x="184"/>
        <item m="1" x="380"/>
        <item m="1" x="94"/>
        <item m="1" x="247"/>
        <item m="1" x="610"/>
        <item m="1" x="623"/>
        <item m="1" x="107"/>
        <item m="1" x="277"/>
        <item m="1" x="141"/>
        <item m="1" x="315"/>
        <item m="1" x="486"/>
        <item m="1" x="152"/>
        <item m="1" x="502"/>
        <item m="1" x="9"/>
        <item m="1" x="181"/>
        <item m="1" x="536"/>
        <item m="1" x="36"/>
        <item m="1" x="48"/>
        <item m="1" x="198"/>
        <item m="1" x="372"/>
        <item m="1" x="559"/>
        <item m="1" x="569"/>
        <item m="1" x="594"/>
        <item m="1" x="600"/>
        <item m="1" x="254"/>
        <item m="1" x="616"/>
        <item m="1" x="638"/>
        <item m="1" x="455"/>
        <item m="1" x="123"/>
        <item m="1" x="495"/>
        <item m="1" x="509"/>
        <item m="1" x="12"/>
        <item m="1" x="163"/>
        <item m="1" x="525"/>
        <item m="1" x="29"/>
        <item m="1" x="353"/>
        <item m="1" x="366"/>
        <item m="1" x="56"/>
        <item m="1" x="93"/>
        <item m="1" x="262"/>
        <item m="1" x="641"/>
        <item m="1" x="461"/>
        <item m="1" x="140"/>
        <item m="1" x="314"/>
        <item m="1" x="151"/>
        <item m="1" x="159"/>
        <item m="1" x="511"/>
        <item m="1" x="535"/>
        <item m="1" x="546"/>
        <item m="1" x="47"/>
        <item m="1" x="371"/>
        <item m="1" x="557"/>
        <item m="1" x="61"/>
        <item m="1" x="386"/>
        <item m="1" x="568"/>
        <item m="1" x="583"/>
        <item m="1" x="235"/>
        <item m="1" x="88"/>
        <item m="1" x="615"/>
        <item m="1" x="106"/>
        <item m="1" x="269"/>
        <item m="1" x="432"/>
        <item m="1" x="630"/>
        <item m="1" x="122"/>
        <item m="1" x="296"/>
        <item m="1" x="671"/>
        <item m="1" x="318"/>
        <item m="1" x="494"/>
        <item m="1" x="3"/>
        <item m="1" x="162"/>
        <item m="1" x="19"/>
        <item m="1" x="204"/>
        <item m="1" x="377"/>
        <item m="1" x="71"/>
        <item m="1" x="410"/>
        <item m="1" x="621"/>
        <item m="1" x="635"/>
        <item m="1" x="120"/>
        <item m="1" x="327"/>
        <item m="1" x="340"/>
        <item m="1" x="26"/>
        <item m="1" x="348"/>
        <item m="1" x="534"/>
        <item m="1" x="46"/>
        <item m="1" x="223"/>
        <item m="1" x="87"/>
        <item m="1" x="414"/>
        <item m="1" x="252"/>
        <item m="1" x="614"/>
        <item m="1" x="629"/>
        <item m="1" x="454"/>
        <item m="1" x="508"/>
        <item m="1" x="541"/>
        <item m="1" x="40"/>
        <item m="1" x="55"/>
        <item m="1" x="376"/>
        <item m="1" x="609"/>
        <item m="1" x="101"/>
        <item m="1" x="261"/>
        <item m="1" x="276"/>
        <item m="1" x="126"/>
        <item m="1" x="666"/>
        <item m="1" x="139"/>
        <item m="1" x="313"/>
        <item m="1" x="485"/>
        <item m="1" x="326"/>
        <item m="1" x="15"/>
        <item m="1" x="518"/>
        <item m="1" x="208"/>
        <item m="1" x="69"/>
        <item m="1" x="78"/>
        <item m="1" x="593"/>
        <item m="1" x="431"/>
        <item m="1" x="627"/>
        <item m="1" x="306"/>
        <item m="1" x="475"/>
        <item m="1" x="155"/>
        <item m="1" x="335"/>
        <item m="1" x="515"/>
        <item m="1" x="343"/>
        <item m="1" x="365"/>
        <item m="1" x="598"/>
        <item m="1" x="260"/>
        <item m="1" x="301"/>
        <item m="1" x="484"/>
        <item m="1" x="325"/>
        <item m="1" x="339"/>
        <item m="1" x="25"/>
        <item m="1" x="177"/>
        <item m="1" x="533"/>
        <item m="1" x="60"/>
        <item m="1" x="384"/>
        <item m="1" x="234"/>
        <item m="1" x="669"/>
        <item m="1" x="2"/>
        <item m="1" x="331"/>
        <item m="1" x="11"/>
        <item m="1" x="514"/>
        <item m="1" x="523"/>
        <item m="1" x="352"/>
        <item m="1" x="539"/>
        <item m="1" x="195"/>
        <item m="1" x="364"/>
        <item m="1" x="588"/>
        <item m="1" x="447"/>
        <item m="1" x="459"/>
        <item m="1" x="657"/>
        <item m="1" x="125"/>
        <item m="1" x="138"/>
        <item m="1" x="531"/>
        <item m="1" x="422"/>
        <item m="1" x="430"/>
        <item m="1" x="113"/>
        <item m="1" x="647"/>
        <item m="1" x="474"/>
        <item m="1" x="493"/>
        <item t="default"/>
      </items>
    </pivotField>
    <pivotField showAll="0" defaultSubtotal="0"/>
    <pivotField showAll="0">
      <items count="139">
        <item m="1" x="1"/>
        <item m="1" x="132"/>
        <item m="1" x="120"/>
        <item m="1" x="8"/>
        <item m="1" x="133"/>
        <item m="1" x="4"/>
        <item m="1" x="32"/>
        <item m="1" x="100"/>
        <item m="1" x="55"/>
        <item m="1" x="22"/>
        <item m="1" x="130"/>
        <item m="1" x="46"/>
        <item m="1" x="6"/>
        <item m="1" x="101"/>
        <item m="1" x="58"/>
        <item m="1" x="63"/>
        <item m="1" x="24"/>
        <item m="1" x="134"/>
        <item m="1" x="5"/>
        <item m="1" x="128"/>
        <item m="1" x="59"/>
        <item m="1" x="66"/>
        <item m="1" x="71"/>
        <item m="1" x="47"/>
        <item m="1" x="10"/>
        <item m="1" x="114"/>
        <item m="1" x="106"/>
        <item m="1" x="74"/>
        <item m="1" x="135"/>
        <item m="1" x="75"/>
        <item m="1" x="123"/>
        <item m="1" x="95"/>
        <item m="1" x="83"/>
        <item m="1" x="108"/>
        <item m="1" x="85"/>
        <item m="1" x="56"/>
        <item m="1" x="67"/>
        <item m="1" x="64"/>
        <item m="1" x="20"/>
        <item m="1" x="44"/>
        <item m="1" x="129"/>
        <item m="1" x="136"/>
        <item m="1" x="88"/>
        <item m="1" x="111"/>
        <item m="1" x="110"/>
        <item m="1" x="9"/>
        <item m="1" x="68"/>
        <item m="1" x="45"/>
        <item m="1" x="104"/>
        <item m="1" x="28"/>
        <item m="1" x="119"/>
        <item m="1" x="11"/>
        <item m="1" x="90"/>
        <item m="1" x="102"/>
        <item m="1" x="115"/>
        <item m="1" x="124"/>
        <item m="1" x="98"/>
        <item m="1" x="25"/>
        <item m="1" x="80"/>
        <item m="1" x="76"/>
        <item m="1" x="29"/>
        <item m="1" x="109"/>
        <item m="1" x="26"/>
        <item m="1" x="69"/>
        <item m="1" x="49"/>
        <item m="1" x="42"/>
        <item m="1" x="137"/>
        <item m="1" x="2"/>
        <item m="1" x="103"/>
        <item m="1" x="14"/>
        <item m="1" x="116"/>
        <item m="1" x="50"/>
        <item m="1" x="96"/>
        <item m="1" x="65"/>
        <item m="1" x="52"/>
        <item m="1" x="33"/>
        <item m="1" x="38"/>
        <item m="1" x="117"/>
        <item m="1" x="60"/>
        <item m="1" x="36"/>
        <item m="1" x="15"/>
        <item m="1" x="39"/>
        <item m="1" x="3"/>
        <item m="1" x="92"/>
        <item m="1" x="61"/>
        <item m="1" x="18"/>
        <item m="1" x="41"/>
        <item m="1" x="27"/>
        <item m="1" x="97"/>
        <item m="1" x="16"/>
        <item m="1" x="93"/>
        <item m="1" x="30"/>
        <item m="1" x="126"/>
        <item m="1" x="77"/>
        <item m="1" x="51"/>
        <item m="1" x="53"/>
        <item m="1" x="125"/>
        <item m="1" x="84"/>
        <item m="1" x="17"/>
        <item m="1" x="105"/>
        <item m="1" x="34"/>
        <item m="1" x="12"/>
        <item m="1" x="107"/>
        <item m="1" x="91"/>
        <item m="1" x="127"/>
        <item m="1" x="86"/>
        <item m="1" x="121"/>
        <item m="1" x="7"/>
        <item m="1" x="31"/>
        <item m="1" x="72"/>
        <item m="1" x="48"/>
        <item m="1" x="94"/>
        <item m="1" x="118"/>
        <item m="1" x="78"/>
        <item m="1" x="87"/>
        <item m="1" x="35"/>
        <item m="1" x="81"/>
        <item m="1" x="99"/>
        <item m="1" x="54"/>
        <item m="1" x="70"/>
        <item m="1" x="13"/>
        <item m="1" x="37"/>
        <item m="1" x="122"/>
        <item m="1" x="23"/>
        <item m="1" x="131"/>
        <item m="1" x="43"/>
        <item m="1" x="89"/>
        <item m="1" x="57"/>
        <item m="1" x="73"/>
        <item x="0"/>
        <item m="1" x="19"/>
        <item m="1" x="21"/>
        <item m="1" x="40"/>
        <item m="1" x="79"/>
        <item m="1" x="112"/>
        <item m="1" x="113"/>
        <item m="1" x="62"/>
        <item m="1" x="82"/>
        <item t="default"/>
      </items>
    </pivotField>
    <pivotField showAll="0"/>
    <pivotField showAll="0" defaultSubtotal="0">
      <items count="6">
        <item x="0"/>
        <item m="1" x="3"/>
        <item m="1" x="2"/>
        <item m="1" x="4"/>
        <item m="1" x="5"/>
        <item m="1" x="1"/>
      </items>
    </pivotField>
    <pivotField showAll="0" defaultSubtotal="0">
      <items count="2">
        <item x="0"/>
        <item m="1" x="1"/>
      </items>
    </pivotField>
    <pivotField showAll="0">
      <items count="543">
        <item m="1" x="63"/>
        <item m="1" x="228"/>
        <item m="1" x="540"/>
        <item m="1" x="483"/>
        <item m="1" x="309"/>
        <item m="1" x="424"/>
        <item m="1" x="348"/>
        <item m="1" x="109"/>
        <item m="1" x="98"/>
        <item m="1" x="143"/>
        <item m="1" x="159"/>
        <item m="1" x="178"/>
        <item m="1" x="260"/>
        <item m="1" x="224"/>
        <item m="1" x="419"/>
        <item m="1" x="140"/>
        <item m="1" x="208"/>
        <item m="1" x="55"/>
        <item m="1" x="410"/>
        <item m="1" x="76"/>
        <item m="1" x="284"/>
        <item m="1" x="485"/>
        <item m="1" x="92"/>
        <item m="1" x="505"/>
        <item m="1" x="476"/>
        <item m="1" x="64"/>
        <item m="1" x="160"/>
        <item m="1" x="432"/>
        <item m="1" x="494"/>
        <item m="1" x="10"/>
        <item m="1" x="274"/>
        <item m="1" x="152"/>
        <item m="1" x="243"/>
        <item m="1" x="344"/>
        <item m="1" x="199"/>
        <item m="1" x="96"/>
        <item m="1" x="101"/>
        <item m="1" x="223"/>
        <item m="1" x="190"/>
        <item m="1" x="253"/>
        <item m="1" x="527"/>
        <item m="1" x="88"/>
        <item m="1" x="251"/>
        <item m="1" x="312"/>
        <item m="1" x="296"/>
        <item m="1" x="186"/>
        <item m="1" x="280"/>
        <item m="1" x="265"/>
        <item m="1" x="463"/>
        <item m="1" x="202"/>
        <item m="1" x="278"/>
        <item m="1" x="127"/>
        <item m="1" x="276"/>
        <item m="1" x="110"/>
        <item m="1" x="271"/>
        <item m="1" x="442"/>
        <item m="1" x="338"/>
        <item m="1" x="486"/>
        <item m="1" x="404"/>
        <item m="1" x="295"/>
        <item m="1" x="230"/>
        <item m="1" x="81"/>
        <item m="1" x="235"/>
        <item m="1" x="289"/>
        <item m="1" x="478"/>
        <item m="1" x="460"/>
        <item m="1" x="440"/>
        <item m="1" x="134"/>
        <item m="1" x="221"/>
        <item m="1" x="318"/>
        <item m="1" x="222"/>
        <item m="1" x="52"/>
        <item m="1" x="539"/>
        <item m="1" x="391"/>
        <item m="1" x="163"/>
        <item m="1" x="496"/>
        <item m="1" x="272"/>
        <item m="1" x="65"/>
        <item m="1" x="464"/>
        <item m="1" x="234"/>
        <item m="1" x="433"/>
        <item m="1" x="162"/>
        <item m="1" x="297"/>
        <item m="1" x="107"/>
        <item m="1" x="273"/>
        <item m="1" x="142"/>
        <item m="1" x="119"/>
        <item m="1" x="456"/>
        <item m="1" x="447"/>
        <item m="1" x="225"/>
        <item m="1" x="248"/>
        <item m="1" x="512"/>
        <item m="1" x="111"/>
        <item m="1" x="126"/>
        <item m="1" x="60"/>
        <item m="1" x="423"/>
        <item m="1" x="488"/>
        <item m="1" x="189"/>
        <item m="1" x="176"/>
        <item m="1" x="267"/>
        <item m="1" x="541"/>
        <item m="1" x="517"/>
        <item m="1" x="270"/>
        <item m="1" x="38"/>
        <item m="1" x="129"/>
        <item m="1" x="200"/>
        <item m="1" x="237"/>
        <item m="1" x="367"/>
        <item m="1" x="427"/>
        <item m="1" x="415"/>
        <item m="1" x="303"/>
        <item m="1" x="493"/>
        <item m="1" x="40"/>
        <item m="1" x="501"/>
        <item m="1" x="240"/>
        <item m="1" x="254"/>
        <item m="1" x="262"/>
        <item m="1" x="204"/>
        <item m="1" x="350"/>
        <item m="1" x="341"/>
        <item m="1" x="324"/>
        <item m="1" x="31"/>
        <item m="1" x="471"/>
        <item m="1" x="491"/>
        <item m="1" x="191"/>
        <item m="1" x="345"/>
        <item m="1" x="392"/>
        <item m="1" x="86"/>
        <item m="1" x="69"/>
        <item m="1" x="18"/>
        <item m="1" x="532"/>
        <item m="1" x="46"/>
        <item m="1" x="409"/>
        <item m="1" x="522"/>
        <item m="1" x="74"/>
        <item m="1" x="369"/>
        <item m="1" x="24"/>
        <item m="1" x="177"/>
        <item m="1" x="4"/>
        <item m="1" x="50"/>
        <item m="1" x="188"/>
        <item m="1" x="249"/>
        <item m="1" x="310"/>
        <item m="1" x="372"/>
        <item m="1" x="42"/>
        <item m="1" x="205"/>
        <item m="1" x="412"/>
        <item m="1" x="41"/>
        <item m="1" x="364"/>
        <item m="1" x="59"/>
        <item m="1" x="206"/>
        <item m="1" x="268"/>
        <item m="1" x="343"/>
        <item m="1" x="467"/>
        <item m="1" x="477"/>
        <item m="1" x="293"/>
        <item m="1" x="169"/>
        <item m="1" x="393"/>
        <item m="1" x="20"/>
        <item m="1" x="184"/>
        <item m="1" x="443"/>
        <item m="1" x="58"/>
        <item m="1" x="335"/>
        <item m="1" x="422"/>
        <item m="1" x="425"/>
        <item m="1" x="497"/>
        <item m="1" x="241"/>
        <item m="1" x="70"/>
        <item m="1" x="430"/>
        <item m="1" x="2"/>
        <item m="1" x="382"/>
        <item m="1" x="378"/>
        <item m="1" x="387"/>
        <item m="1" x="95"/>
        <item m="1" x="218"/>
        <item m="1" x="330"/>
        <item m="1" x="54"/>
        <item m="1" x="84"/>
        <item m="1" x="388"/>
        <item m="1" x="487"/>
        <item m="1" x="264"/>
        <item m="1" x="247"/>
        <item m="1" x="417"/>
        <item m="1" x="261"/>
        <item m="1" x="49"/>
        <item m="1" x="112"/>
        <item m="1" x="394"/>
        <item m="1" x="121"/>
        <item m="1" x="118"/>
        <item m="1" x="444"/>
        <item m="1" x="420"/>
        <item m="1" x="475"/>
        <item m="1" x="68"/>
        <item m="1" x="328"/>
        <item m="1" x="158"/>
        <item m="1" x="201"/>
        <item m="1" x="36"/>
        <item m="1" x="298"/>
        <item m="1" x="281"/>
        <item m="1" x="408"/>
        <item m="1" x="106"/>
        <item m="1" x="22"/>
        <item m="1" x="381"/>
        <item m="1" x="155"/>
        <item m="1" x="12"/>
        <item m="1" x="133"/>
        <item m="1" x="173"/>
        <item m="1" x="450"/>
        <item m="1" x="165"/>
        <item m="1" x="203"/>
        <item m="1" x="454"/>
        <item m="1" x="329"/>
        <item m="1" x="525"/>
        <item m="1" x="77"/>
        <item m="1" x="61"/>
        <item m="1" x="287"/>
        <item m="1" x="461"/>
        <item m="1" x="75"/>
        <item m="1" x="185"/>
        <item m="1" x="8"/>
        <item m="1" x="506"/>
        <item m="1" x="514"/>
        <item m="1" x="51"/>
        <item m="1" x="384"/>
        <item m="1" x="170"/>
        <item m="1" x="11"/>
        <item m="1" x="374"/>
        <item m="1" x="67"/>
        <item m="1" x="314"/>
        <item m="1" x="323"/>
        <item m="1" x="83"/>
        <item m="1" x="342"/>
        <item m="1" x="214"/>
        <item m="1" x="518"/>
        <item m="1" x="57"/>
        <item m="1" x="90"/>
        <item m="1" x="226"/>
        <item m="1" x="519"/>
        <item m="1" x="15"/>
        <item m="1" x="474"/>
        <item m="1" x="339"/>
        <item m="1" x="352"/>
        <item m="1" x="286"/>
        <item m="1" x="45"/>
        <item m="1" x="72"/>
        <item m="1" x="239"/>
        <item m="1" x="89"/>
        <item m="1" x="504"/>
        <item m="1" x="495"/>
        <item m="1" x="115"/>
        <item m="1" x="453"/>
        <item m="1" x="99"/>
        <item m="1" x="421"/>
        <item m="1" x="28"/>
        <item m="1" x="431"/>
        <item m="1" x="113"/>
        <item m="1" x="209"/>
        <item m="1" x="13"/>
        <item m="1" x="79"/>
        <item m="1" x="500"/>
        <item m="1" x="437"/>
        <item m="1" x="307"/>
        <item m="1" x="103"/>
        <item m="1" x="489"/>
        <item m="1" x="256"/>
        <item m="1" x="528"/>
        <item m="1" x="244"/>
        <item m="1" x="377"/>
        <item m="1" x="400"/>
        <item m="1" x="304"/>
        <item m="1" x="130"/>
        <item m="1" x="502"/>
        <item m="1" x="499"/>
        <item m="1" x="395"/>
        <item m="1" x="25"/>
        <item m="1" x="290"/>
        <item m="1" x="117"/>
        <item m="1" x="509"/>
        <item m="1" x="141"/>
        <item m="1" x="16"/>
        <item m="1" x="418"/>
        <item m="1" x="507"/>
        <item m="1" x="104"/>
        <item m="1" x="515"/>
        <item m="1" x="294"/>
        <item m="1" x="150"/>
        <item m="1" x="93"/>
        <item m="1" x="516"/>
        <item m="1" x="245"/>
        <item m="1" x="380"/>
        <item m="1" x="62"/>
        <item m="1" x="238"/>
        <item m="1" x="227"/>
        <item m="1" x="439"/>
        <item m="1" x="73"/>
        <item m="1" x="279"/>
        <item m="1" x="82"/>
        <item m="1" x="402"/>
        <item m="1" x="122"/>
        <item m="1" x="23"/>
        <item m="1" x="434"/>
        <item m="1" x="452"/>
        <item m="1" x="446"/>
        <item m="1" x="340"/>
        <item m="1" x="435"/>
        <item m="1" x="386"/>
        <item m="1" x="370"/>
        <item m="1" x="47"/>
        <item m="1" x="34"/>
        <item m="1" x="436"/>
        <item m="1" x="275"/>
        <item m="1" x="311"/>
        <item m="1" x="91"/>
        <item m="1" x="35"/>
        <item m="1" x="255"/>
        <item m="1" x="521"/>
        <item m="1" x="197"/>
        <item m="1" x="480"/>
        <item m="1" x="376"/>
        <item m="1" x="192"/>
        <item m="1" x="520"/>
        <item m="1" x="498"/>
        <item m="1" x="472"/>
        <item m="1" x="399"/>
        <item m="1" x="30"/>
        <item m="1" x="513"/>
        <item m="1" x="174"/>
        <item m="1" x="266"/>
        <item m="1" x="455"/>
        <item m="1" x="120"/>
        <item m="1" x="215"/>
        <item m="1" x="252"/>
        <item m="1" x="288"/>
        <item m="1" x="361"/>
        <item m="1" x="375"/>
        <item m="1" x="441"/>
        <item m="1" x="17"/>
        <item m="1" x="360"/>
        <item m="1" x="379"/>
        <item m="1" x="321"/>
        <item m="1" x="366"/>
        <item m="1" x="458"/>
        <item m="1" x="66"/>
        <item m="1" x="396"/>
        <item m="1" x="449"/>
        <item m="1" x="250"/>
        <item m="1" x="128"/>
        <item m="1" x="334"/>
        <item m="1" x="406"/>
        <item m="1" x="148"/>
        <item m="1" x="216"/>
        <item m="1" x="232"/>
        <item m="1" x="43"/>
        <item m="1" x="212"/>
        <item m="1" x="56"/>
        <item m="1" x="385"/>
        <item m="1" x="363"/>
        <item m="1" x="401"/>
        <item m="1" x="153"/>
        <item m="1" x="492"/>
        <item m="1" x="407"/>
        <item m="1" x="353"/>
        <item m="1" x="358"/>
        <item m="1" x="462"/>
        <item m="1" x="146"/>
        <item m="1" x="217"/>
        <item m="1" x="320"/>
        <item m="1" x="131"/>
        <item m="1" x="259"/>
        <item m="1" x="33"/>
        <item m="1" x="390"/>
        <item m="1" x="413"/>
        <item m="1" x="242"/>
        <item m="1" x="457"/>
        <item m="1" x="168"/>
        <item m="1" x="530"/>
        <item m="1" x="346"/>
        <item m="1" x="105"/>
        <item m="1" x="87"/>
        <item m="1" x="526"/>
        <item m="1" x="231"/>
        <item m="1" x="246"/>
        <item m="1" x="233"/>
        <item m="1" x="220"/>
        <item m="1" x="508"/>
        <item m="1" x="533"/>
        <item m="1" x="198"/>
        <item m="1" x="535"/>
        <item m="1" x="285"/>
        <item m="1" x="291"/>
        <item m="1" x="371"/>
        <item m="1" x="26"/>
        <item m="1" x="53"/>
        <item m="1" x="322"/>
        <item m="1" x="6"/>
        <item m="1" x="37"/>
        <item m="1" x="451"/>
        <item m="1" x="210"/>
        <item m="1" x="537"/>
        <item m="1" x="48"/>
        <item m="1" x="445"/>
        <item m="1" x="397"/>
        <item m="1" x="44"/>
        <item m="1" x="319"/>
        <item m="1" x="299"/>
        <item m="1" x="157"/>
        <item m="1" x="187"/>
        <item m="1" x="531"/>
        <item m="1" x="468"/>
        <item m="1" x="114"/>
        <item m="1" x="123"/>
        <item m="1" x="416"/>
        <item m="1" x="94"/>
        <item m="1" x="405"/>
        <item m="1" x="411"/>
        <item m="1" x="27"/>
        <item m="1" x="236"/>
        <item m="1" x="332"/>
        <item m="1" x="7"/>
        <item m="1" x="183"/>
        <item m="1" x="459"/>
        <item m="1" x="85"/>
        <item m="1" x="124"/>
        <item m="1" x="523"/>
        <item m="1" x="529"/>
        <item m="1" x="219"/>
        <item m="1" x="373"/>
        <item m="1" x="161"/>
        <item m="1" x="414"/>
        <item m="1" x="97"/>
        <item m="1" x="469"/>
        <item m="1" x="426"/>
        <item m="1" x="211"/>
        <item m="1" x="125"/>
        <item m="1" x="536"/>
        <item m="1" x="269"/>
        <item m="1" x="32"/>
        <item m="1" x="5"/>
        <item m="1" x="21"/>
        <item m="1" x="132"/>
        <item m="1" x="481"/>
        <item m="1" x="538"/>
        <item m="1" x="428"/>
        <item m="1" x="448"/>
        <item m="1" x="78"/>
        <item m="1" x="534"/>
        <item m="1" x="207"/>
        <item m="1" x="14"/>
        <item m="1" x="466"/>
        <item m="1" x="389"/>
        <item m="1" x="510"/>
        <item m="1" x="213"/>
        <item m="1" x="257"/>
        <item m="1" x="136"/>
        <item m="1" x="263"/>
        <item m="1" x="482"/>
        <item m="1" x="479"/>
        <item m="1" x="438"/>
        <item m="1" x="308"/>
        <item m="1" x="164"/>
        <item m="1" x="465"/>
        <item m="1" x="29"/>
        <item m="1" x="362"/>
        <item m="1" x="333"/>
        <item m="1" x="71"/>
        <item m="1" x="229"/>
        <item m="1" x="80"/>
        <item m="1" x="39"/>
        <item m="1" x="511"/>
        <item m="1" x="277"/>
        <item m="1" x="258"/>
        <item m="1" x="503"/>
        <item m="1" x="175"/>
        <item m="1" x="3"/>
        <item m="1" x="108"/>
        <item m="1" x="490"/>
        <item m="1" x="167"/>
        <item m="1" x="473"/>
        <item m="1" x="19"/>
        <item m="1" x="524"/>
        <item m="1" x="182"/>
        <item m="1" x="283"/>
        <item m="1" x="383"/>
        <item m="1" x="429"/>
        <item m="1" x="116"/>
        <item m="1" x="102"/>
        <item m="1" x="403"/>
        <item m="1" x="484"/>
        <item m="1" x="398"/>
        <item m="1" x="100"/>
        <item m="1" x="470"/>
        <item m="1" x="9"/>
        <item m="1" x="349"/>
        <item m="1" x="313"/>
        <item m="1" x="336"/>
        <item x="1"/>
        <item m="1" x="325"/>
        <item m="1" x="300"/>
        <item m="1" x="326"/>
        <item m="1" x="301"/>
        <item m="1" x="351"/>
        <item m="1" x="302"/>
        <item m="1" x="327"/>
        <item m="1" x="315"/>
        <item m="1" x="354"/>
        <item m="1" x="282"/>
        <item m="1" x="355"/>
        <item m="1" x="316"/>
        <item m="1" x="365"/>
        <item m="1" x="356"/>
        <item m="1" x="292"/>
        <item m="1" x="357"/>
        <item m="1" x="317"/>
        <item m="1" x="305"/>
        <item m="1" x="306"/>
        <item m="1" x="331"/>
        <item m="1" x="359"/>
        <item x="0"/>
        <item m="1" x="368"/>
        <item m="1" x="347"/>
        <item m="1" x="337"/>
        <item m="1" x="179"/>
        <item m="1" x="151"/>
        <item m="1" x="144"/>
        <item m="1" x="193"/>
        <item m="1" x="180"/>
        <item m="1" x="194"/>
        <item m="1" x="171"/>
        <item m="1" x="135"/>
        <item m="1" x="195"/>
        <item m="1" x="181"/>
        <item m="1" x="154"/>
        <item m="1" x="145"/>
        <item m="1" x="137"/>
        <item m="1" x="196"/>
        <item m="1" x="172"/>
        <item m="1" x="156"/>
        <item m="1" x="138"/>
        <item m="1" x="147"/>
        <item m="1" x="139"/>
        <item m="1" x="149"/>
        <item m="1" x="166"/>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m="1" x="2454"/>
        <item m="1" x="3440"/>
        <item m="1" x="6357"/>
        <item m="1" x="7327"/>
        <item m="1" x="2322"/>
        <item m="1" x="3305"/>
        <item m="1" x="5266"/>
        <item m="1" x="6229"/>
        <item m="1" x="1226"/>
        <item m="1" x="2193"/>
        <item m="1" x="5137"/>
        <item m="1" x="6094"/>
        <item m="1" x="116"/>
        <item m="1" x="1095"/>
        <item m="1" x="4042"/>
        <item m="1" x="5011"/>
        <item m="1" x="7913"/>
        <item m="1" x="962"/>
        <item m="1" x="2912"/>
        <item m="1" x="3909"/>
        <item m="1" x="6814"/>
        <item m="1" x="7785"/>
        <item m="1" x="2780"/>
        <item m="1" x="3773"/>
        <item m="1" x="5709"/>
        <item m="1" x="6683"/>
        <item m="1" x="1677"/>
        <item m="1" x="2652"/>
        <item m="1" x="5581"/>
        <item m="1" x="6550"/>
        <item m="1" x="573"/>
        <item m="1" x="1544"/>
        <item m="1" x="2028"/>
        <item m="1" x="4501"/>
        <item m="1" x="4978"/>
        <item m="1" x="5454"/>
        <item m="1" x="7881"/>
        <item m="1" x="443"/>
        <item m="1" x="930"/>
        <item m="1" x="1412"/>
        <item m="1" x="3375"/>
        <item m="1" x="3876"/>
        <item m="1" x="4368"/>
        <item m="1" x="4849"/>
        <item m="1" x="7268"/>
        <item m="1" x="7754"/>
        <item m="1" x="314"/>
        <item m="1" x="798"/>
        <item m="1" x="2749"/>
        <item m="1" x="3245"/>
        <item m="1" x="3744"/>
        <item m="1" x="4238"/>
        <item m="1" x="6161"/>
        <item m="1" x="6653"/>
        <item m="1" x="7138"/>
        <item m="1" x="7625"/>
        <item m="1" x="2130"/>
        <item m="1" x="2622"/>
        <item m="1" x="3114"/>
        <item m="1" x="3609"/>
        <item m="1" x="5550"/>
        <item m="1" x="6032"/>
        <item m="1" x="6522"/>
        <item m="1" x="7008"/>
        <item m="1" x="1028"/>
        <item m="1" x="1514"/>
        <item m="1" x="1998"/>
        <item m="1" x="2490"/>
        <item m="1" x="4947"/>
        <item m="1" x="5425"/>
        <item m="1" x="5904"/>
        <item m="1" x="6392"/>
        <item m="1" x="410"/>
        <item m="1" x="898"/>
        <item m="1" x="1384"/>
        <item m="1" x="1869"/>
        <item m="1" x="3842"/>
        <item m="1" x="4337"/>
        <item m="1" x="4818"/>
        <item m="1" x="5298"/>
        <item m="1" x="7722"/>
        <item m="1" x="282"/>
        <item m="1" x="768"/>
        <item m="1" x="1257"/>
        <item m="1" x="3212"/>
        <item m="1" x="3710"/>
        <item m="1" x="4207"/>
        <item m="1" x="4691"/>
        <item m="1" x="6621"/>
        <item m="1" x="7106"/>
        <item m="1" x="7591"/>
        <item m="1" x="152"/>
        <item m="1" x="2590"/>
        <item m="1" x="3081"/>
        <item m="1" x="3578"/>
        <item m="1" x="4079"/>
        <item m="1" x="6003"/>
        <item m="1" x="6491"/>
        <item m="1" x="6977"/>
        <item m="1" x="7462"/>
        <item m="1" x="1483"/>
        <item m="1" x="1730"/>
        <item m="1" x="1969"/>
        <item m="1" x="2214"/>
        <item m="1" x="2458"/>
        <item m="1" x="2706"/>
        <item m="1" x="2951"/>
        <item m="1" x="3195"/>
        <item m="1" x="5156"/>
        <item m="1" x="5395"/>
        <item m="1" x="5636"/>
        <item m="1" x="5875"/>
        <item m="1" x="6118"/>
        <item m="1" x="6363"/>
        <item m="1" x="6605"/>
        <item m="1" x="6851"/>
        <item m="1" x="868"/>
        <item m="1" x="1114"/>
        <item m="1" x="1355"/>
        <item m="1" x="1601"/>
        <item m="1" x="1840"/>
        <item m="1" x="2085"/>
        <item m="1" x="2327"/>
        <item m="1" x="4303"/>
        <item m="1" x="4550"/>
        <item m="1" x="4788"/>
        <item m="1" x="5031"/>
        <item m="1" x="5269"/>
        <item m="1" x="5510"/>
        <item m="1" x="5750"/>
        <item m="1" x="5988"/>
        <item m="1" x="7931"/>
        <item m="1" x="247"/>
        <item m="1" x="494"/>
        <item m="1" x="738"/>
        <item m="1" x="986"/>
        <item m="1" x="1232"/>
        <item m="1" x="1470"/>
        <item m="1" x="1717"/>
        <item m="1" x="3674"/>
        <item m="1" x="3927"/>
        <item m="1" x="4174"/>
        <item m="1" x="4422"/>
        <item m="1" x="4662"/>
        <item m="1" x="4905"/>
        <item m="1" x="5143"/>
        <item m="1" x="7070"/>
        <item m="1" x="7313"/>
        <item m="1" x="7557"/>
        <item m="1" x="7804"/>
        <item m="1" x="120"/>
        <item m="1" x="367"/>
        <item m="1" x="612"/>
        <item m="1" x="853"/>
        <item m="1" x="2799"/>
        <item m="1" x="3044"/>
        <item m="1" x="3293"/>
        <item m="1" x="3544"/>
        <item m="1" x="3794"/>
        <item m="1" x="4048"/>
        <item m="1" x="4290"/>
        <item m="1" x="4538"/>
        <item m="1" x="6456"/>
        <item m="1" x="6702"/>
        <item m="1" x="6943"/>
        <item m="1" x="7188"/>
        <item m="1" x="7429"/>
        <item m="1" x="7676"/>
        <item m="1" x="7918"/>
        <item m="1" x="1935"/>
        <item m="1" x="2179"/>
        <item m="1" x="2422"/>
        <item m="1" x="2672"/>
        <item m="1" x="2916"/>
        <item m="1" x="3164"/>
        <item m="1" x="3413"/>
        <item m="1" x="3660"/>
        <item m="1" x="5602"/>
        <item m="1" x="5840"/>
        <item m="1" x="6082"/>
        <item m="1" x="6327"/>
        <item m="1" x="6571"/>
        <item m="1" x="6819"/>
        <item m="1" x="7057"/>
        <item m="1" x="7301"/>
        <item m="1" x="1321"/>
        <item m="1" x="1564"/>
        <item m="1" x="1805"/>
        <item m="1" x="2050"/>
        <item m="1" x="2291"/>
        <item m="1" x="2541"/>
        <item m="1" x="2785"/>
        <item m="1" x="4755"/>
        <item m="1" x="4996"/>
        <item m="1" x="5234"/>
        <item m="1" x="5475"/>
        <item m="1" x="5713"/>
        <item m="1" x="5954"/>
        <item m="1" x="6199"/>
        <item m="1" x="6441"/>
        <item m="1" x="463"/>
        <item m="1" x="705"/>
        <item m="1" x="950"/>
        <item m="1" x="1196"/>
        <item m="1" x="1435"/>
        <item m="1" x="1683"/>
        <item m="1" x="1918"/>
        <item m="1" x="2164"/>
        <item m="1" x="4144"/>
        <item m="1" x="4387"/>
        <item m="1" x="4629"/>
        <item m="1" x="4871"/>
        <item m="1" x="5107"/>
        <item m="1" x="5348"/>
        <item m="1" x="5586"/>
        <item m="1" x="7526"/>
        <item m="1" x="7770"/>
        <item m="1" x="86"/>
        <item m="1" x="333"/>
        <item m="1" x="577"/>
        <item m="1" x="820"/>
        <item m="1" x="1064"/>
        <item m="1" x="1306"/>
        <item m="1" x="3262"/>
        <item m="1" x="3510"/>
        <item m="1" x="3761"/>
        <item m="1" x="4014"/>
        <item m="1" x="4257"/>
        <item m="1" x="4506"/>
        <item m="1" x="4739"/>
        <item m="1" x="4982"/>
        <item m="1" x="6913"/>
        <item m="1" x="7155"/>
        <item m="1" x="7397"/>
        <item m="1" x="7519"/>
        <item m="1" x="7645"/>
        <item m="1" x="7764"/>
        <item m="1" x="7885"/>
        <item m="1" x="79"/>
        <item m="1" x="203"/>
        <item m="1" x="326"/>
        <item m="1" x="447"/>
        <item m="1" x="569"/>
        <item m="1" x="2389"/>
        <item m="1" x="2516"/>
        <item m="1" x="2637"/>
        <item m="1" x="2758"/>
        <item m="1" x="2883"/>
        <item m="1" x="3006"/>
        <item m="1" x="3132"/>
        <item m="1" x="3255"/>
        <item m="1" x="3379"/>
        <item m="1" x="3504"/>
        <item m="1" x="3630"/>
        <item m="1" x="3754"/>
        <item m="1" x="3880"/>
        <item m="1" x="4006"/>
        <item m="1" x="4130"/>
        <item m="1" x="5928"/>
        <item m="1" x="6050"/>
        <item m="1" x="6171"/>
        <item m="1" x="6293"/>
        <item m="1" x="6416"/>
        <item m="1" x="6538"/>
        <item m="1" x="6662"/>
        <item m="1" x="6787"/>
        <item m="1" x="6906"/>
        <item m="1" x="7025"/>
        <item m="1" x="7149"/>
        <item m="1" x="7271"/>
        <item m="1" x="7390"/>
        <item m="1" x="7511"/>
        <item m="1" x="7636"/>
        <item m="1" x="7757"/>
        <item m="1" x="1655"/>
        <item m="1" x="1774"/>
        <item m="1" x="1891"/>
        <item m="1" x="2015"/>
        <item m="1" x="2140"/>
        <item m="1" x="2259"/>
        <item m="1" x="2382"/>
        <item m="1" x="2509"/>
        <item m="1" x="2631"/>
        <item m="1" x="2752"/>
        <item m="1" x="2877"/>
        <item m="1" x="3000"/>
        <item m="1" x="3126"/>
        <item m="1" x="3248"/>
        <item m="1" x="3372"/>
        <item m="1" x="5201"/>
        <item m="1" x="5323"/>
        <item m="1" x="5440"/>
        <item m="1" x="5559"/>
        <item m="1" x="5680"/>
        <item m="1" x="5801"/>
        <item m="1" x="5921"/>
        <item m="1" x="6043"/>
        <item m="1" x="6164"/>
        <item m="1" x="6287"/>
        <item m="1" x="6410"/>
        <item m="1" x="6532"/>
        <item m="1" x="6656"/>
        <item m="1" x="6780"/>
        <item m="1" x="6901"/>
        <item m="1" x="793"/>
        <item m="1" x="916"/>
        <item m="1" x="1038"/>
        <item m="1" x="1160"/>
        <item m="1" x="1281"/>
        <item m="1" x="1400"/>
        <item m="1" x="1523"/>
        <item m="1" x="1648"/>
        <item m="1" x="1767"/>
        <item m="1" x="1885"/>
        <item m="1" x="2009"/>
        <item m="1" x="2133"/>
        <item m="1" x="2253"/>
        <item m="1" x="2375"/>
        <item m="1" x="2501"/>
        <item m="1" x="2626"/>
        <item m="1" x="4480"/>
        <item m="1" x="4598"/>
        <item m="1" x="4714"/>
        <item m="1" x="4836"/>
        <item m="1" x="4957"/>
        <item m="1" x="5075"/>
        <item m="1" x="5194"/>
        <item m="1" x="5316"/>
        <item m="1" x="5434"/>
        <item m="1" x="5553"/>
        <item m="1" x="5674"/>
        <item m="1" x="5795"/>
        <item m="1" x="5915"/>
        <item m="1" x="6036"/>
        <item m="1" x="6158"/>
        <item m="1" x="7982"/>
        <item m="1" x="179"/>
        <item m="1" x="299"/>
        <item m="1" x="421"/>
        <item m="1" x="543"/>
        <item m="1" x="665"/>
        <item m="1" x="786"/>
        <item m="1" x="909"/>
        <item m="1" x="1031"/>
        <item m="1" x="1154"/>
        <item m="1" x="1275"/>
        <item m="1" x="1394"/>
        <item m="1" x="1517"/>
        <item m="1" x="1641"/>
        <item m="1" x="1762"/>
        <item m="1" x="3729"/>
        <item m="1" x="3853"/>
        <item m="1" x="3981"/>
        <item m="1" x="4106"/>
        <item m="1" x="4225"/>
        <item m="1" x="4348"/>
        <item m="1" x="4473"/>
        <item m="1" x="4591"/>
        <item m="1" x="4708"/>
        <item m="1" x="4830"/>
        <item m="1" x="4951"/>
        <item m="1" x="5069"/>
        <item m="1" x="5188"/>
        <item m="1" x="5309"/>
        <item m="1" x="5429"/>
        <item m="1" x="7248"/>
        <item m="1" x="7368"/>
        <item m="1" x="7488"/>
        <item m="1" x="7612"/>
        <item m="1" x="7734"/>
        <item m="1" x="7855"/>
        <item m="1" x="7976"/>
        <item m="1" x="173"/>
        <item m="1" x="293"/>
        <item m="1" x="414"/>
        <item m="1" x="537"/>
        <item m="1" x="659"/>
        <item m="1" x="780"/>
        <item m="1" x="902"/>
        <item m="1" x="1025"/>
        <item m="1" x="2854"/>
        <item m="1" x="2977"/>
        <item m="1" x="3100"/>
        <item m="1" x="3223"/>
        <item m="1" x="3347"/>
        <item m="1" x="3473"/>
        <item m="1" x="3598"/>
        <item m="1" x="3722"/>
        <item m="1" x="3846"/>
        <item m="1" x="3974"/>
        <item m="1" x="4099"/>
        <item m="1" x="4218"/>
        <item m="1" x="4341"/>
        <item m="1" x="4465"/>
        <item m="1" x="4585"/>
        <item m="1" x="6510"/>
        <item m="1" x="6631"/>
        <item m="1" x="6755"/>
        <item m="1" x="6877"/>
        <item m="1" x="6995"/>
        <item m="1" x="7117"/>
        <item m="1" x="7240"/>
        <item m="1" x="7360"/>
        <item m="1" x="7480"/>
        <item m="1" x="7604"/>
        <item m="1" x="7726"/>
        <item m="1" x="7847"/>
        <item m="1" x="7968"/>
        <item m="1" x="163"/>
        <item m="1" x="286"/>
        <item m="1" x="2112"/>
        <item m="1" x="2232"/>
        <item m="1" x="2353"/>
        <item m="1" x="2478"/>
        <item m="1" x="2603"/>
        <item m="1" x="2724"/>
        <item m="1" x="2846"/>
        <item m="1" x="2970"/>
        <item m="1" x="3093"/>
        <item m="1" x="3215"/>
        <item m="1" x="3340"/>
        <item m="1" x="3466"/>
        <item m="1" x="3591"/>
        <item m="1" x="3714"/>
        <item m="1" x="3838"/>
        <item m="1" x="5653"/>
        <item m="1" x="5774"/>
        <item m="1" x="5893"/>
        <item m="1" x="6014"/>
        <item m="1" x="6136"/>
        <item m="1" x="6260"/>
        <item m="1" x="6382"/>
        <item m="1" x="6504"/>
        <item m="1" x="6625"/>
        <item m="1" x="6749"/>
        <item m="1" x="6871"/>
        <item m="1" x="6989"/>
        <item m="1" x="7111"/>
        <item m="1" x="7233"/>
        <item m="1" x="7354"/>
        <item m="1" x="7474"/>
        <item m="1" x="1373"/>
        <item m="1" x="1493"/>
        <item m="1" x="1618"/>
        <item m="1" x="1741"/>
        <item m="1" x="1857"/>
        <item m="1" x="1980"/>
        <item m="1" x="2105"/>
        <item m="1" x="2225"/>
        <item m="1" x="2346"/>
        <item m="1" x="2471"/>
        <item m="1" x="2595"/>
        <item m="1" x="2717"/>
        <item m="1" x="2839"/>
        <item m="1" x="2962"/>
        <item m="1" x="3086"/>
        <item m="1" x="4929"/>
        <item m="1" x="5048"/>
        <item m="1" x="5167"/>
        <item m="1" x="5287"/>
        <item m="1" x="5406"/>
        <item m="1" x="5526"/>
        <item m="1" x="5646"/>
        <item m="1" x="5766"/>
        <item m="1" x="5885"/>
        <item m="1" x="6006"/>
        <item m="1" x="6128"/>
        <item m="1" x="6252"/>
        <item m="1" x="6374"/>
        <item m="1" x="6495"/>
        <item m="1" x="6616"/>
        <item m="1" x="515"/>
        <item m="1" x="637"/>
        <item m="1" x="756"/>
        <item m="1" x="880"/>
        <item m="1" x="1002"/>
        <item m="1" x="1125"/>
        <item m="1" x="1247"/>
        <item m="1" x="1366"/>
        <item m="1" x="1486"/>
        <item m="1" x="1611"/>
        <item m="1" x="1734"/>
        <item m="1" x="1850"/>
        <item m="1" x="1973"/>
        <item m="1" x="2097"/>
        <item m="1" x="2218"/>
        <item m="1" x="2338"/>
        <item m="1" x="4195"/>
        <item m="1" x="4317"/>
        <item m="1" x="4442"/>
        <item m="1" x="4564"/>
        <item m="1" x="4679"/>
        <item m="1" x="4800"/>
        <item m="1" x="4922"/>
        <item m="1" x="5041"/>
        <item m="1" x="5160"/>
        <item m="1" x="5280"/>
        <item m="1" x="5400"/>
        <item m="1" x="5520"/>
        <item m="1" x="5640"/>
        <item m="1" x="5759"/>
        <item m="1" x="5879"/>
        <item m="1" x="3694"/>
        <item m="1" x="7703"/>
        <item m="1" x="3817"/>
        <item m="1" x="7824"/>
        <item m="1" x="3945"/>
        <item m="1" x="7945"/>
        <item m="1" x="4071"/>
        <item m="1" x="140"/>
        <item m="1" x="4190"/>
        <item m="1" x="262"/>
        <item m="1" x="4312"/>
        <item m="1" x="384"/>
        <item m="1" x="4437"/>
        <item m="1" x="506"/>
        <item m="1" x="4559"/>
        <item m="1" x="628"/>
        <item m="1" x="4674"/>
        <item m="1" x="748"/>
        <item m="1" x="4795"/>
        <item m="1" x="872"/>
        <item m="1" x="4918"/>
        <item m="1" x="995"/>
        <item m="1" x="5038"/>
        <item m="1" x="1119"/>
        <item m="1" x="5157"/>
        <item m="1" x="1241"/>
        <item m="1" x="5276"/>
        <item m="1" x="1359"/>
        <item m="1" x="5396"/>
        <item m="1" x="1479"/>
        <item m="1" x="5516"/>
        <item m="1" x="3317"/>
        <item m="1" x="7333"/>
        <item m="1" x="3441"/>
        <item m="1" x="7451"/>
        <item m="1" x="3564"/>
        <item m="1" x="7574"/>
        <item m="1" x="3688"/>
        <item m="1" x="7698"/>
        <item m="1" x="3812"/>
        <item m="1" x="7819"/>
        <item m="1" x="3940"/>
        <item m="1" x="7940"/>
        <item m="1" x="4066"/>
        <item m="1" x="135"/>
        <item m="1" x="4185"/>
        <item m="1" x="256"/>
        <item m="1" x="4307"/>
        <item m="1" x="379"/>
        <item m="1" x="4432"/>
        <item m="1" x="501"/>
        <item m="1" x="4555"/>
        <item m="1" x="624"/>
        <item m="1" x="4671"/>
        <item m="1" x="745"/>
        <item m="1" x="4792"/>
        <item m="1" x="869"/>
        <item m="1" x="4914"/>
        <item m="1" x="991"/>
        <item m="1" x="5034"/>
        <item m="1" x="1115"/>
        <item m="1" x="5152"/>
        <item m="1" x="2941"/>
        <item m="1" x="6964"/>
        <item m="1" x="3064"/>
        <item m="1" x="7084"/>
        <item m="1" x="3186"/>
        <item m="1" x="7208"/>
        <item m="1" x="3311"/>
        <item m="1" x="7328"/>
        <item m="1" x="3434"/>
        <item m="1" x="7446"/>
        <item m="1" x="3559"/>
        <item m="1" x="7569"/>
        <item m="1" x="3683"/>
        <item m="1" x="7693"/>
        <item m="1" x="3807"/>
        <item m="1" x="7814"/>
        <item m="1" x="3935"/>
        <item m="1" x="7935"/>
        <item m="1" x="4061"/>
        <item m="1" x="131"/>
        <item m="1" x="4181"/>
        <item m="1" x="252"/>
        <item m="1" x="4304"/>
        <item m="1" x="376"/>
        <item m="1" x="4429"/>
        <item m="1" x="498"/>
        <item m="1" x="4551"/>
        <item m="1" x="620"/>
        <item m="1" x="4667"/>
        <item m="1" x="741"/>
        <item m="1" x="6476"/>
        <item m="1" x="2572"/>
        <item m="1" x="6596"/>
        <item m="1" x="2692"/>
        <item m="1" x="6720"/>
        <item m="1" x="2814"/>
        <item m="1" x="6842"/>
        <item m="1" x="2936"/>
        <item m="1" x="6959"/>
        <item m="1" x="3059"/>
        <item m="1" x="7079"/>
        <item m="1" x="3181"/>
        <item m="1" x="7203"/>
        <item m="1" x="3306"/>
        <item m="1" x="7322"/>
        <item m="1" x="3429"/>
        <item m="1" x="7441"/>
        <item m="1" x="3554"/>
        <item m="1" x="7564"/>
        <item m="1" x="3678"/>
        <item m="1" x="7689"/>
        <item m="1" x="3803"/>
        <item m="1" x="7811"/>
        <item m="1" x="3932"/>
        <item m="1" x="7932"/>
        <item m="1" x="4058"/>
        <item m="1" x="127"/>
        <item m="1" x="4177"/>
        <item m="1" x="248"/>
        <item m="1" x="4299"/>
        <item m="1" x="372"/>
        <item m="1" x="6107"/>
        <item m="1" x="2200"/>
        <item m="1" x="6230"/>
        <item m="1" x="2317"/>
        <item m="1" x="6349"/>
        <item m="1" x="2441"/>
        <item m="1" x="6471"/>
        <item m="1" x="2567"/>
        <item m="1" x="6591"/>
        <item m="1" x="2687"/>
        <item m="1" x="6715"/>
        <item m="1" x="2809"/>
        <item m="1" x="6837"/>
        <item m="1" x="2931"/>
        <item m="1" x="6954"/>
        <item m="1" x="3053"/>
        <item m="1" x="7074"/>
        <item m="1" x="3176"/>
        <item m="1" x="7198"/>
        <item m="1" x="3300"/>
        <item m="1" x="7318"/>
        <item m="1" x="3425"/>
        <item m="1" x="7438"/>
        <item m="1" x="3551"/>
        <item m="1" x="7561"/>
        <item m="1" x="3675"/>
        <item m="1" x="7685"/>
        <item m="1" x="3799"/>
        <item m="1" x="7807"/>
        <item m="1" x="3928"/>
        <item m="1" x="7927"/>
        <item m="1" x="5741"/>
        <item m="1" x="1828"/>
        <item m="1" x="5859"/>
        <item m="1" x="1949"/>
        <item m="1" x="5979"/>
        <item m="1" x="2072"/>
        <item m="1" x="6101"/>
        <item m="1" x="2194"/>
        <item m="1" x="6222"/>
        <item m="1" x="2311"/>
        <item m="1" x="6343"/>
        <item m="1" x="2435"/>
        <item m="1" x="6465"/>
        <item m="1" x="2561"/>
        <item m="1" x="6585"/>
        <item m="1" x="2682"/>
        <item m="1" x="6710"/>
        <item m="1" x="2804"/>
        <item m="1" x="6832"/>
        <item m="1" x="2927"/>
        <item m="1" x="6950"/>
        <item m="1" x="3049"/>
        <item m="1" x="7071"/>
        <item m="1" x="3173"/>
        <item m="1" x="7195"/>
        <item m="1" x="3297"/>
        <item m="1" x="7314"/>
        <item m="1" x="3421"/>
        <item m="1" x="7434"/>
        <item m="1" x="3547"/>
        <item m="1" x="1341"/>
        <item m="1" x="5378"/>
        <item m="1" x="1460"/>
        <item m="1" x="5496"/>
        <item m="1" x="1583"/>
        <item m="1" x="5616"/>
        <item m="1" x="1707"/>
        <item m="1" x="5735"/>
        <item m="1" x="1822"/>
        <item m="1" x="5853"/>
        <item m="1" x="1943"/>
        <item m="1" x="5973"/>
        <item m="1" x="2066"/>
        <item m="1" x="6095"/>
        <item m="1" x="2187"/>
        <item m="1" x="6216"/>
        <item m="1" x="2306"/>
        <item m="1" x="6338"/>
        <item m="1" x="2430"/>
        <item m="1" x="6460"/>
        <item m="1" x="2557"/>
        <item m="1" x="6581"/>
        <item m="1" x="2679"/>
        <item m="1" x="6707"/>
        <item m="1" x="2800"/>
        <item m="1" x="6829"/>
        <item m="1" x="2923"/>
        <item m="1" x="6946"/>
        <item m="1" x="3045"/>
        <item m="1" x="7066"/>
        <item m="1" x="3169"/>
        <item m="1" x="974"/>
        <item m="1" x="5017"/>
        <item m="1" x="1096"/>
        <item m="1" x="5132"/>
        <item m="1" x="1217"/>
        <item m="1" x="5252"/>
        <item m="1" x="1336"/>
        <item m="1" x="5373"/>
        <item m="1" x="1455"/>
        <item m="1" x="5491"/>
        <item m="1" x="1578"/>
        <item m="1" x="5611"/>
        <item m="1" x="1702"/>
        <item m="1" x="5730"/>
        <item m="1" x="1817"/>
        <item m="1" x="5849"/>
        <item m="1" x="1939"/>
        <item m="1" x="5969"/>
        <item m="1" x="2062"/>
        <item m="1" x="6090"/>
        <item m="1" x="2184"/>
        <item m="1" x="6213"/>
        <item m="1" x="2303"/>
        <item m="1" x="6335"/>
        <item m="1" x="2426"/>
        <item m="1" x="6457"/>
        <item m="1" x="2553"/>
        <item m="1" x="6577"/>
        <item m="1" x="2675"/>
        <item m="1" x="6703"/>
        <item m="1" x="2795"/>
        <item m="1" x="604"/>
        <item m="1" x="4651"/>
        <item m="1" x="723"/>
        <item m="1" x="4769"/>
        <item m="1" x="845"/>
        <item m="1" x="4892"/>
        <item m="1" x="969"/>
        <item m="1" x="5012"/>
        <item m="1" x="1089"/>
        <item m="1" x="5127"/>
        <item m="1" x="1212"/>
        <item m="1" x="5247"/>
        <item m="1" x="1331"/>
        <item m="1" x="5368"/>
        <item m="1" x="1450"/>
        <item m="1" x="5487"/>
        <item m="1" x="1574"/>
        <item m="1" x="5607"/>
        <item m="1" x="1698"/>
        <item m="1" x="5726"/>
        <item m="1" x="1814"/>
        <item m="1" x="5846"/>
        <item m="1" x="1936"/>
        <item m="1" x="5966"/>
        <item m="1" x="2059"/>
        <item m="1" x="6087"/>
        <item m="1" x="2180"/>
        <item m="1" x="6209"/>
        <item m="1" x="2299"/>
        <item m="1" x="6331"/>
        <item m="1" x="232"/>
        <item m="1" x="4282"/>
        <item m="1" x="354"/>
        <item m="1" x="4405"/>
        <item m="1" x="476"/>
        <item m="1" x="4530"/>
        <item m="1" x="599"/>
        <item m="1" x="4646"/>
        <item m="1" x="718"/>
        <item m="1" x="4764"/>
        <item m="1" x="840"/>
        <item m="1" x="4887"/>
        <item m="1" x="963"/>
        <item m="1" x="5005"/>
        <item m="1" x="1083"/>
        <item m="1" x="5122"/>
        <item m="1" x="1207"/>
        <item m="1" x="5242"/>
        <item m="1" x="1326"/>
        <item m="1" x="5364"/>
        <item m="1" x="1446"/>
        <item m="1" x="5483"/>
        <item m="1" x="1570"/>
        <item m="1" x="5603"/>
        <item m="1" x="1694"/>
        <item m="1" x="5721"/>
        <item m="1" x="1809"/>
        <item m="1" x="5841"/>
        <item m="1" x="1930"/>
        <item m="1" x="5961"/>
        <item m="1" x="3783"/>
        <item m="1" x="7791"/>
        <item m="1" x="3910"/>
        <item m="1" x="7908"/>
        <item m="1" x="4034"/>
        <item m="1" x="104"/>
        <item m="1" x="4157"/>
        <item m="1" x="227"/>
        <item m="1" x="4277"/>
        <item m="1" x="349"/>
        <item m="1" x="4400"/>
        <item m="1" x="471"/>
        <item m="1" x="4525"/>
        <item m="1" x="593"/>
        <item m="1" x="4640"/>
        <item m="1" x="713"/>
        <item m="1" x="4759"/>
        <item m="1" x="835"/>
        <item m="1" x="4882"/>
        <item m="1" x="957"/>
        <item m="1" x="5001"/>
        <item m="1" x="1079"/>
        <item m="1" x="5118"/>
        <item m="1" x="1203"/>
        <item m="1" x="5238"/>
        <item m="1" x="1322"/>
        <item m="1" x="5359"/>
        <item m="1" x="1441"/>
        <item m="1" x="5478"/>
        <item m="1" x="1565"/>
        <item m="1" x="5597"/>
        <item m="1" x="3405"/>
        <item m="1" x="7418"/>
        <item m="1" x="3529"/>
        <item m="1" x="7539"/>
        <item m="1" x="3652"/>
        <item m="1" x="7664"/>
        <item m="1" x="3778"/>
        <item m="1" x="7786"/>
        <item m="1" x="3903"/>
        <item m="1" x="7904"/>
        <item m="1" x="4030"/>
        <item m="1" x="100"/>
        <item m="1" x="4153"/>
        <item m="1" x="222"/>
        <item m="1" x="4272"/>
        <item m="1" x="345"/>
        <item m="1" x="4396"/>
        <item m="1" x="467"/>
        <item m="1" x="4521"/>
        <item m="1" x="589"/>
        <item m="1" x="4637"/>
        <item m="1" x="710"/>
        <item m="1" x="4756"/>
        <item m="1" x="832"/>
        <item m="1" x="4879"/>
        <item m="1" x="954"/>
        <item m="1" x="4997"/>
        <item m="1" x="1075"/>
        <item m="1" x="5114"/>
        <item m="1" x="1199"/>
        <item m="1" x="3029"/>
        <item m="1" x="7049"/>
        <item m="1" x="3151"/>
        <item m="1" x="7172"/>
        <item m="1" x="3275"/>
        <item m="1" x="7293"/>
        <item m="1" x="3400"/>
        <item m="1" x="7413"/>
        <item m="1" x="3524"/>
        <item m="1" x="7535"/>
        <item m="1" x="3648"/>
        <item m="1" x="7660"/>
        <item m="1" x="3774"/>
        <item m="1" x="7780"/>
        <item m="1" x="3898"/>
        <item m="1" x="7900"/>
        <item m="1" x="4026"/>
        <item m="1" x="96"/>
        <item m="1" x="4149"/>
        <item m="1" x="219"/>
        <item m="1" x="4269"/>
        <item m="1" x="342"/>
        <item m="1" x="4393"/>
        <item m="1" x="464"/>
        <item m="1" x="4518"/>
        <item m="1" x="586"/>
        <item m="1" x="4633"/>
        <item m="1" x="706"/>
        <item m="1" x="4751"/>
        <item m="1" x="828"/>
        <item m="1" x="6560"/>
        <item m="1" x="2658"/>
        <item m="1" x="6684"/>
        <item m="1" x="2775"/>
        <item m="1" x="6806"/>
        <item m="1" x="2900"/>
        <item m="1" x="6926"/>
        <item m="1" x="3024"/>
        <item m="1" x="7044"/>
        <item m="1" x="3147"/>
        <item m="1" x="7168"/>
        <item m="1" x="3271"/>
        <item m="1" x="7289"/>
        <item m="1" x="3395"/>
        <item m="1" x="7408"/>
        <item m="1" x="3519"/>
        <item m="1" x="7531"/>
        <item m="1" x="3644"/>
        <item m="1" x="7656"/>
        <item m="1" x="3769"/>
        <item m="1" x="7776"/>
        <item m="1" x="3894"/>
        <item m="1" x="7896"/>
        <item m="1" x="4022"/>
        <item m="1" x="92"/>
        <item m="1" x="4145"/>
        <item m="1" x="214"/>
        <item m="1" x="4264"/>
        <item m="1" x="337"/>
        <item m="1" x="4388"/>
        <item m="1" x="458"/>
        <item m="1" x="6191"/>
        <item m="1" x="2280"/>
        <item m="1" x="6311"/>
        <item m="1" x="2402"/>
        <item m="1" x="6433"/>
        <item m="1" x="2529"/>
        <item m="1" x="6555"/>
        <item m="1" x="2653"/>
        <item m="1" x="6678"/>
        <item m="1" x="2771"/>
        <item m="1" x="6802"/>
        <item m="1" x="2896"/>
        <item m="1" x="6922"/>
        <item m="1" x="3019"/>
        <item m="1" x="7039"/>
        <item m="1" x="3143"/>
        <item m="1" x="7164"/>
        <item m="1" x="3267"/>
        <item m="1" x="7285"/>
        <item m="1" x="3390"/>
        <item m="1" x="7404"/>
        <item m="1" x="3515"/>
        <item m="1" x="7527"/>
        <item m="1" x="3640"/>
        <item m="1" x="7652"/>
        <item m="1" x="3765"/>
        <item m="1" x="7771"/>
        <item m="1" x="3889"/>
        <item m="1" x="7891"/>
        <item m="1" x="4017"/>
        <item m="1" x="87"/>
        <item m="1" x="5823"/>
        <item m="1" x="1910"/>
        <item m="1" x="5941"/>
        <item m="1" x="2033"/>
        <item m="1" x="6063"/>
        <item m="1" x="2156"/>
        <item m="1" x="6186"/>
        <item m="1" x="2275"/>
        <item m="1" x="6307"/>
        <item m="1" x="2398"/>
        <item m="1" x="6429"/>
        <item m="1" x="2525"/>
        <item m="1" x="6551"/>
        <item m="1" x="2647"/>
        <item m="1" x="6673"/>
        <item m="1" x="2767"/>
        <item m="1" x="6798"/>
        <item m="1" x="2892"/>
        <item m="1" x="6918"/>
        <item m="1" x="3015"/>
        <item m="1" x="7035"/>
        <item m="1" x="3139"/>
        <item m="1" x="7160"/>
        <item m="1" x="3263"/>
        <item m="1" x="7281"/>
        <item m="1" x="3386"/>
        <item m="1" x="7400"/>
        <item m="1" x="3511"/>
        <item m="1" x="7522"/>
        <item m="1" x="3636"/>
        <item m="1" x="1422"/>
        <item m="1" x="5460"/>
        <item m="1" x="1545"/>
        <item m="1" x="5576"/>
        <item m="1" x="1668"/>
        <item m="1" x="5697"/>
        <item m="1" x="1787"/>
        <item m="1" x="5818"/>
        <item m="1" x="1905"/>
        <item m="1" x="5937"/>
        <item m="1" x="2029"/>
        <item m="1" x="6059"/>
        <item m="1" x="2152"/>
        <item m="1" x="6181"/>
        <item m="1" x="2270"/>
        <item m="1" x="6302"/>
        <item m="1" x="2394"/>
        <item m="1" x="6425"/>
        <item m="1" x="2521"/>
        <item m="1" x="6546"/>
        <item m="1" x="2643"/>
        <item m="1" x="6669"/>
        <item m="1" x="2763"/>
        <item m="1" x="6794"/>
        <item m="1" x="2888"/>
        <item m="1" x="6914"/>
        <item m="1" x="3010"/>
        <item m="1" x="7031"/>
        <item m="1" x="3135"/>
        <item m="1" x="7156"/>
        <item m="1" x="3258"/>
        <item m="1" x="1057"/>
        <item m="1" x="5096"/>
        <item m="1" x="1179"/>
        <item m="1" x="5214"/>
        <item m="1" x="1298"/>
        <item m="1" x="5336"/>
        <item m="1" x="7338"/>
        <item m="1" x="1417"/>
        <item m="1" x="3447"/>
        <item m="1" x="5455"/>
        <item m="1" x="7457"/>
        <item m="1" x="1539"/>
        <item m="1" x="3569"/>
        <item m="1" x="5572"/>
        <item m="1" x="7579"/>
        <item m="1" x="1664"/>
        <item m="1" x="3695"/>
        <item m="1" x="5693"/>
        <item m="1" x="7704"/>
        <item m="1" x="1783"/>
        <item m="1" x="3818"/>
        <item m="1" x="5813"/>
        <item m="1" x="7825"/>
        <item m="1" x="1900"/>
        <item m="1" x="3946"/>
        <item m="1" x="5933"/>
        <item m="1" x="7946"/>
        <item m="1" x="2024"/>
        <item m="1" x="4072"/>
        <item m="1" x="6055"/>
        <item m="1" x="141"/>
        <item m="1" x="2148"/>
        <item m="1" x="4191"/>
        <item m="1" x="6176"/>
        <item m="1" x="263"/>
        <item m="1" x="2266"/>
        <item m="1" x="4313"/>
        <item m="1" x="6298"/>
        <item m="1" x="385"/>
        <item m="1" x="2390"/>
        <item m="1" x="4438"/>
        <item m="1" x="6421"/>
        <item m="1" x="507"/>
        <item m="1" x="2517"/>
        <item m="1" x="4560"/>
        <item m="1" x="6542"/>
        <item m="1" x="629"/>
        <item m="1" x="2638"/>
        <item m="1" x="4675"/>
        <item m="1" x="6665"/>
        <item m="1" x="749"/>
        <item m="1" x="2759"/>
        <item m="1" x="4796"/>
        <item m="1" x="6790"/>
        <item m="1" x="873"/>
        <item m="1" x="2884"/>
        <item m="1" x="6606"/>
        <item m="1" x="688"/>
        <item m="1" x="2702"/>
        <item m="1" x="4732"/>
        <item m="1" x="6730"/>
        <item m="1" x="808"/>
        <item m="1" x="2823"/>
        <item m="1" x="4854"/>
        <item m="1" x="6852"/>
        <item m="1" x="931"/>
        <item m="1" x="2946"/>
        <item m="1" x="4973"/>
        <item m="1" x="6969"/>
        <item m="1" x="1052"/>
        <item m="1" x="3070"/>
        <item m="1" x="5091"/>
        <item m="1" x="7090"/>
        <item m="1" x="1174"/>
        <item m="1" x="3191"/>
        <item m="1" x="5210"/>
        <item m="1" x="7213"/>
        <item m="1" x="1294"/>
        <item m="1" x="3318"/>
        <item m="1" x="5332"/>
        <item m="1" x="7334"/>
        <item m="1" x="1413"/>
        <item m="1" x="3442"/>
        <item m="1" x="5449"/>
        <item m="1" x="7452"/>
        <item m="1" x="1534"/>
        <item m="1" x="3565"/>
        <item m="1" x="5568"/>
        <item m="1" x="7575"/>
        <item m="1" x="1660"/>
        <item m="1" x="3689"/>
        <item m="1" x="5689"/>
        <item m="1" x="7699"/>
        <item m="1" x="1779"/>
        <item m="1" x="3813"/>
        <item m="1" x="5809"/>
        <item m="1" x="7820"/>
        <item m="1" x="1896"/>
        <item m="1" x="3941"/>
        <item m="1" x="5929"/>
        <item m="1" x="7941"/>
        <item m="1" x="2020"/>
        <item m="1" x="4067"/>
        <item m="1" x="6051"/>
        <item m="1" x="136"/>
        <item m="1" x="2144"/>
        <item m="1" x="4186"/>
        <item m="1" x="6172"/>
        <item m="1" x="257"/>
        <item m="1" x="2262"/>
        <item m="1" x="4308"/>
        <item m="1" x="6294"/>
        <item m="1" x="380"/>
        <item m="1" x="2385"/>
        <item m="1" x="4433"/>
        <item m="1" x="6417"/>
        <item m="1" x="502"/>
        <item m="1" x="4246"/>
        <item m="1" x="6239"/>
        <item m="1" x="319"/>
        <item m="1" x="2328"/>
        <item m="1" x="4369"/>
        <item m="1" x="6358"/>
        <item m="1" x="438"/>
        <item m="1" x="2449"/>
        <item m="1" x="4493"/>
        <item m="1" x="6480"/>
        <item m="1" x="561"/>
        <item m="1" x="2576"/>
        <item m="1" x="4611"/>
        <item m="1" x="6600"/>
        <item m="1" x="683"/>
        <item m="1" x="2697"/>
        <item m="1" x="4727"/>
        <item m="1" x="6725"/>
        <item m="1" x="803"/>
        <item m="1" x="2819"/>
        <item m="1" x="4850"/>
        <item m="1" x="6847"/>
        <item m="1" x="926"/>
        <item m="1" x="2942"/>
        <item m="1" x="4969"/>
        <item m="1" x="6965"/>
        <item m="1" x="1047"/>
        <item m="1" x="3065"/>
        <item m="1" x="5086"/>
        <item m="1" x="7085"/>
        <item m="1" x="1169"/>
        <item m="1" x="3187"/>
        <item m="1" x="5206"/>
        <item m="1" x="7209"/>
        <item m="1" x="1290"/>
        <item m="1" x="3312"/>
        <item m="1" x="5328"/>
        <item m="1" x="7329"/>
        <item m="1" x="1408"/>
        <item m="1" x="3435"/>
        <item m="1" x="5445"/>
        <item m="1" x="7447"/>
        <item m="1" x="1530"/>
        <item m="1" x="3560"/>
        <item m="1" x="5564"/>
        <item m="1" x="7570"/>
        <item m="1" x="1656"/>
        <item m="1" x="3684"/>
        <item m="1" x="5685"/>
        <item m="1" x="7694"/>
        <item m="1" x="1775"/>
        <item m="1" x="3808"/>
        <item m="1" x="5805"/>
        <item m="1" x="7815"/>
        <item m="1" x="1892"/>
        <item m="1" x="3936"/>
        <item m="1" x="5924"/>
        <item m="1" x="7936"/>
        <item m="1" x="2016"/>
        <item m="1" x="4062"/>
        <item m="1" x="6046"/>
        <item m="1" x="3872"/>
        <item m="1" x="5869"/>
        <item m="1" x="7875"/>
        <item m="1" x="1959"/>
        <item m="1" x="3999"/>
        <item m="1" x="5989"/>
        <item m="1" x="7996"/>
        <item m="1" x="2081"/>
        <item m="1" x="4123"/>
        <item m="1" x="6111"/>
        <item m="1" x="193"/>
        <item m="1" x="2204"/>
        <item m="1" x="4242"/>
        <item m="1" x="6235"/>
        <item m="1" x="315"/>
        <item m="1" x="2323"/>
        <item m="1" x="4364"/>
        <item m="1" x="6354"/>
        <item m="1" x="435"/>
        <item m="1" x="2446"/>
        <item m="1" x="4490"/>
        <item m="1" x="6477"/>
        <item m="1" x="558"/>
        <item m="1" x="2573"/>
        <item m="1" x="4608"/>
        <item m="1" x="6597"/>
        <item m="1" x="679"/>
        <item m="1" x="2693"/>
        <item m="1" x="4723"/>
        <item m="1" x="6721"/>
        <item m="1" x="799"/>
        <item m="1" x="2815"/>
        <item m="1" x="4845"/>
        <item m="1" x="6843"/>
        <item m="1" x="921"/>
        <item m="1" x="2937"/>
        <item m="1" x="4965"/>
        <item m="1" x="6960"/>
        <item m="1" x="1043"/>
        <item m="1" x="3060"/>
        <item m="1" x="5082"/>
        <item m="1" x="7080"/>
        <item m="1" x="1165"/>
        <item m="1" x="3182"/>
        <item m="1" x="5202"/>
        <item m="1" x="7204"/>
        <item m="1" x="1286"/>
        <item m="1" x="3307"/>
        <item m="1" x="5324"/>
        <item m="1" x="7323"/>
        <item m="1" x="1404"/>
        <item m="1" x="3430"/>
        <item m="1" x="5441"/>
        <item m="1" x="7442"/>
        <item m="1" x="1526"/>
        <item m="1" x="3555"/>
        <item m="1" x="5560"/>
        <item m="1" x="7565"/>
        <item m="1" x="1651"/>
        <item m="1" x="3679"/>
        <item m="1" x="5681"/>
        <item m="1" x="1471"/>
        <item m="1" x="3496"/>
        <item m="1" x="5507"/>
        <item m="1" x="7506"/>
        <item m="1" x="1595"/>
        <item m="1" x="3620"/>
        <item m="1" x="5626"/>
        <item m="1" x="7630"/>
        <item m="1" x="1718"/>
        <item m="1" x="3745"/>
        <item m="1" x="5746"/>
        <item m="1" x="7750"/>
        <item m="1" x="1833"/>
        <item m="1" x="3868"/>
        <item m="1" x="5865"/>
        <item m="1" x="7871"/>
        <item m="1" x="1955"/>
        <item m="1" x="3995"/>
        <item m="1" x="5985"/>
        <item m="1" x="7993"/>
        <item m="1" x="2078"/>
        <item m="1" x="4120"/>
        <item m="1" x="6108"/>
        <item m="1" x="190"/>
        <item m="1" x="2201"/>
        <item m="1" x="4239"/>
        <item m="1" x="6231"/>
        <item m="1" x="310"/>
        <item m="1" x="2318"/>
        <item m="1" x="4360"/>
        <item m="1" x="6350"/>
        <item m="1" x="431"/>
        <item m="1" x="2442"/>
        <item m="1" x="4486"/>
        <item m="1" x="6472"/>
        <item m="1" x="553"/>
        <item m="1" x="2568"/>
        <item m="1" x="4604"/>
        <item m="1" x="6592"/>
        <item m="1" x="675"/>
        <item m="1" x="2688"/>
        <item m="1" x="4719"/>
        <item m="1" x="6716"/>
        <item m="1" x="794"/>
        <item m="1" x="2810"/>
        <item m="1" x="4841"/>
        <item m="1" x="6838"/>
        <item m="1" x="917"/>
        <item m="1" x="2932"/>
        <item m="1" x="4961"/>
        <item m="1" x="6955"/>
        <item m="1" x="1039"/>
        <item m="1" x="3054"/>
        <item m="1" x="5078"/>
        <item m="1" x="7075"/>
        <item m="1" x="1161"/>
        <item m="1" x="3177"/>
        <item m="1" x="5197"/>
        <item m="1" x="7199"/>
        <item m="1" x="1282"/>
        <item m="1" x="3301"/>
        <item m="1" x="7017"/>
        <item m="1" x="1106"/>
        <item m="1" x="3120"/>
        <item m="1" x="5144"/>
        <item m="1" x="7139"/>
        <item m="1" x="1227"/>
        <item m="1" x="3240"/>
        <item m="1" x="5261"/>
        <item m="1" x="7261"/>
        <item m="1" x="1346"/>
        <item m="1" x="3365"/>
        <item m="1" x="5383"/>
        <item m="1" x="7381"/>
        <item m="1" x="1465"/>
        <item m="1" x="3491"/>
        <item m="1" x="5502"/>
        <item m="1" x="7501"/>
        <item m="1" x="1589"/>
        <item m="1" x="3615"/>
        <item m="1" x="5622"/>
        <item m="1" x="7626"/>
        <item m="1" x="1713"/>
        <item m="1" x="3740"/>
        <item m="1" x="5742"/>
        <item m="1" x="7746"/>
        <item m="1" x="1829"/>
        <item m="1" x="3863"/>
        <item m="1" x="5860"/>
        <item m="1" x="7866"/>
        <item m="1" x="1950"/>
        <item m="1" x="3990"/>
        <item m="1" x="5980"/>
        <item m="1" x="7988"/>
        <item m="1" x="2073"/>
        <item m="1" x="4115"/>
        <item m="1" x="6102"/>
        <item m="1" x="185"/>
        <item m="1" x="2195"/>
        <item m="1" x="4233"/>
        <item m="1" x="6223"/>
        <item m="1" x="305"/>
        <item m="1" x="2312"/>
        <item m="1" x="4355"/>
        <item m="1" x="6344"/>
        <item m="1" x="426"/>
        <item m="1" x="2436"/>
        <item m="1" x="4481"/>
        <item m="1" x="6466"/>
        <item m="1" x="548"/>
        <item m="1" x="2562"/>
        <item m="1" x="4599"/>
        <item m="1" x="6586"/>
        <item m="1" x="669"/>
        <item m="1" x="2683"/>
        <item m="1" x="4715"/>
        <item m="1" x="6711"/>
        <item m="1" x="789"/>
        <item m="1" x="2805"/>
        <item m="1" x="4837"/>
        <item m="1" x="6833"/>
        <item m="1" x="912"/>
        <item m="1" x="6649"/>
        <item m="1" x="732"/>
        <item m="1" x="2743"/>
        <item m="1" x="4778"/>
        <item m="1" x="6772"/>
        <item m="1" x="854"/>
        <item m="1" x="2866"/>
        <item m="1" x="4900"/>
        <item m="1" x="6893"/>
        <item m="1" x="978"/>
        <item m="1" x="2990"/>
        <item m="1" x="5021"/>
        <item m="1" x="7012"/>
        <item m="1" x="1101"/>
        <item m="1" x="3115"/>
        <item m="1" x="5138"/>
        <item m="1" x="7133"/>
        <item m="1" x="1222"/>
        <item m="1" x="3236"/>
        <item m="1" x="5257"/>
        <item m="1" x="7257"/>
        <item m="1" x="1342"/>
        <item m="1" x="3361"/>
        <item m="1" x="5379"/>
        <item m="1" x="7377"/>
        <item m="1" x="1461"/>
        <item m="1" x="3486"/>
        <item m="1" x="5497"/>
        <item m="1" x="7496"/>
        <item m="1" x="1584"/>
        <item m="1" x="3610"/>
        <item m="1" x="5617"/>
        <item m="1" x="7620"/>
        <item m="1" x="1708"/>
        <item m="1" x="3734"/>
        <item m="1" x="5736"/>
        <item m="1" x="7741"/>
        <item m="1" x="1823"/>
        <item m="1" x="3858"/>
        <item m="1" x="5854"/>
        <item m="1" x="7861"/>
        <item m="1" x="1944"/>
        <item m="1" x="3985"/>
        <item m="1" x="5974"/>
        <item m="1" x="7983"/>
        <item m="1" x="2067"/>
        <item m="1" x="4110"/>
        <item m="1" x="6096"/>
        <item m="1" x="180"/>
        <item m="1" x="2188"/>
        <item m="1" x="4228"/>
        <item m="1" x="6217"/>
        <item m="1" x="300"/>
        <item m="1" x="2307"/>
        <item m="1" x="4351"/>
        <item m="1" x="6339"/>
        <item m="1" x="422"/>
        <item m="1" x="2431"/>
        <item m="1" x="4476"/>
        <item m="1" x="6461"/>
        <item m="1" x="544"/>
        <item m="1" x="4291"/>
        <item m="1" x="6279"/>
        <item m="1" x="363"/>
        <item m="1" x="2369"/>
        <item m="1" x="4414"/>
        <item m="1" x="6400"/>
        <item m="1" x="484"/>
        <item m="1" x="2494"/>
        <item m="1" x="4539"/>
        <item m="1" x="6523"/>
        <item m="1" x="608"/>
        <item m="1" x="2618"/>
        <item m="1" x="4655"/>
        <item m="1" x="6645"/>
        <item m="1" x="728"/>
        <item m="1" x="2739"/>
        <item m="1" x="4774"/>
        <item m="1" x="6768"/>
        <item m="1" x="850"/>
        <item m="1" x="2863"/>
        <item m="1" x="4897"/>
        <item m="1" x="6890"/>
        <item m="1" x="975"/>
        <item m="1" x="2987"/>
        <item m="1" x="5018"/>
        <item m="1" x="7009"/>
        <item m="1" x="1097"/>
        <item m="1" x="3110"/>
        <item m="1" x="5133"/>
        <item m="1" x="7129"/>
        <item m="1" x="1218"/>
        <item m="1" x="3232"/>
        <item m="1" x="5253"/>
        <item m="1" x="7253"/>
        <item m="1" x="1337"/>
        <item m="1" x="3356"/>
        <item m="1" x="5374"/>
        <item m="1" x="7373"/>
        <item m="1" x="1456"/>
        <item m="1" x="3482"/>
        <item m="1" x="5492"/>
        <item m="1" x="7492"/>
        <item m="1" x="1579"/>
        <item m="1" x="3605"/>
        <item m="1" x="5612"/>
        <item m="1" x="7616"/>
        <item m="1" x="1703"/>
        <item m="1" x="3730"/>
        <item m="1" x="5731"/>
        <item m="1" x="7737"/>
        <item m="1" x="1818"/>
        <item m="1" x="3854"/>
        <item m="1" x="5850"/>
        <item m="1" x="7858"/>
        <item m="1" x="1940"/>
        <item m="1" x="3982"/>
        <item m="1" x="5970"/>
        <item m="1" x="7979"/>
        <item m="1" x="2063"/>
        <item m="1" x="4107"/>
        <item m="1" x="6091"/>
        <item m="1" x="1877"/>
        <item m="1" x="3919"/>
        <item m="1" x="5909"/>
        <item m="1" x="7919"/>
        <item m="1" x="1999"/>
        <item m="1" x="4043"/>
        <item m="1" x="6028"/>
        <item m="1" x="112"/>
        <item m="1" x="2123"/>
        <item m="1" x="4165"/>
        <item m="1" x="6151"/>
        <item m="1" x="236"/>
        <item m="1" x="2244"/>
        <item m="1" x="4286"/>
        <item m="1" x="6275"/>
        <item m="1" x="359"/>
        <item m="1" x="2365"/>
        <item m="1" x="4410"/>
        <item m="1" x="6397"/>
        <item m="1" x="481"/>
        <item m="1" x="2491"/>
        <item m="1" x="4535"/>
        <item m="1" x="6519"/>
        <item m="1" x="605"/>
        <item m="1" x="2615"/>
        <item m="1" x="4652"/>
        <item m="1" x="6641"/>
        <item m="1" x="724"/>
        <item m="1" x="2735"/>
        <item m="1" x="4770"/>
        <item m="1" x="6764"/>
        <item m="1" x="846"/>
        <item m="1" x="2859"/>
        <item m="1" x="4893"/>
        <item m="1" x="6886"/>
        <item m="1" x="970"/>
        <item m="1" x="2983"/>
        <item m="1" x="5013"/>
        <item m="1" x="7004"/>
        <item m="1" x="1090"/>
        <item m="1" x="3106"/>
        <item m="1" x="5128"/>
        <item m="1" x="7125"/>
        <item m="1" x="1213"/>
        <item m="1" x="3228"/>
        <item m="1" x="5248"/>
        <item m="1" x="7249"/>
        <item m="1" x="1332"/>
        <item m="1" x="3352"/>
        <item m="1" x="5369"/>
        <item m="1" x="7369"/>
        <item m="1" x="1451"/>
        <item m="1" x="3477"/>
        <item m="1" x="5488"/>
        <item m="1" x="7489"/>
        <item m="1" x="1575"/>
        <item m="1" x="3602"/>
        <item m="1" x="5608"/>
        <item m="1" x="7613"/>
        <item m="1" x="1699"/>
        <item m="1" x="3726"/>
        <item m="1" x="5727"/>
        <item m="1" x="1510"/>
        <item m="1" x="3538"/>
        <item m="1" x="5544"/>
        <item m="1" x="7548"/>
        <item m="1" x="1633"/>
        <item m="1" x="3661"/>
        <item m="1" x="5664"/>
        <item m="1" x="7672"/>
        <item m="1" x="1755"/>
        <item m="1" x="3787"/>
        <item m="1" x="5786"/>
        <item m="1" x="7795"/>
        <item m="1" x="1873"/>
        <item m="1" x="3915"/>
        <item m="1" x="5905"/>
        <item m="1" x="7914"/>
        <item m="1" x="1994"/>
        <item m="1" x="4039"/>
        <item m="1" x="6025"/>
        <item m="1" x="109"/>
        <item m="1" x="2120"/>
        <item m="1" x="4162"/>
        <item m="1" x="6148"/>
        <item m="1" x="233"/>
        <item m="1" x="2241"/>
        <item m="1" x="4283"/>
        <item m="1" x="6271"/>
        <item m="1" x="355"/>
        <item m="1" x="2361"/>
        <item m="1" x="4406"/>
        <item m="1" x="6393"/>
        <item m="1" x="477"/>
        <item m="1" x="2486"/>
        <item m="1" x="4531"/>
        <item m="1" x="6515"/>
        <item m="1" x="600"/>
        <item m="1" x="2611"/>
        <item m="1" x="4647"/>
        <item m="1" x="6637"/>
        <item m="1" x="719"/>
        <item m="1" x="2731"/>
        <item m="1" x="4765"/>
        <item m="1" x="6760"/>
        <item m="1" x="841"/>
        <item m="1" x="2855"/>
        <item m="1" x="4888"/>
        <item m="1" x="6882"/>
        <item m="1" x="964"/>
        <item m="1" x="2978"/>
        <item m="1" x="5006"/>
        <item m="1" x="6999"/>
        <item m="1" x="1084"/>
        <item m="1" x="3101"/>
        <item m="1" x="5123"/>
        <item m="1" x="7121"/>
        <item m="1" x="1208"/>
        <item m="1" x="3224"/>
        <item m="1" x="5243"/>
        <item m="1" x="7244"/>
        <item m="1" x="1327"/>
        <item m="1" x="3348"/>
        <item m="1" x="7058"/>
        <item m="1" x="1146"/>
        <item m="1" x="3160"/>
        <item m="1" x="5182"/>
        <item m="1" x="7181"/>
        <item m="1" x="1265"/>
        <item m="1" x="3283"/>
        <item m="1" x="5302"/>
        <item m="1" x="7302"/>
        <item m="1" x="1385"/>
        <item m="1" x="3409"/>
        <item m="1" x="5421"/>
        <item m="1" x="7422"/>
        <item m="1" x="1506"/>
        <item m="1" x="3534"/>
        <item m="1" x="5540"/>
        <item m="1" x="7544"/>
        <item m="1" x="1629"/>
        <item m="1" x="3657"/>
        <item m="1" x="5661"/>
        <item m="1" x="7669"/>
        <item m="1" x="1752"/>
        <item m="1" x="3784"/>
        <item m="1" x="5783"/>
        <item m="1" x="7792"/>
        <item m="1" x="1870"/>
        <item m="1" x="3911"/>
        <item m="1" x="5900"/>
        <item m="1" x="7909"/>
        <item m="1" x="1990"/>
        <item m="1" x="4035"/>
        <item m="1" x="6021"/>
        <item m="1" x="105"/>
        <item m="1" x="2116"/>
        <item m="1" x="4158"/>
        <item m="1" x="6144"/>
        <item m="1" x="228"/>
        <item m="1" x="2237"/>
        <item m="1" x="4278"/>
        <item m="1" x="6267"/>
        <item m="1" x="350"/>
        <item m="1" x="2357"/>
        <item m="1" x="4401"/>
        <item m="1" x="6388"/>
        <item m="1" x="472"/>
        <item m="1" x="2482"/>
        <item m="1" x="4526"/>
        <item m="1" x="6511"/>
        <item m="1" x="594"/>
        <item m="1" x="2606"/>
        <item m="1" x="4641"/>
        <item m="1" x="6632"/>
        <item m="1" x="714"/>
        <item m="1" x="2727"/>
        <item m="1" x="4760"/>
        <item m="1" x="6756"/>
        <item m="1" x="836"/>
        <item m="1" x="2850"/>
        <item m="1" x="4883"/>
        <item m="1" x="6878"/>
        <item m="1" x="958"/>
        <item m="1" x="4699"/>
        <item m="1" x="6693"/>
        <item m="1" x="773"/>
        <item m="1" x="2786"/>
        <item m="1" x="4819"/>
        <item m="1" x="6815"/>
        <item m="1" x="894"/>
        <item m="1" x="2908"/>
        <item m="1" x="4940"/>
        <item m="1" x="6934"/>
        <item m="1" x="1018"/>
        <item m="1" x="3033"/>
        <item m="1" x="5060"/>
        <item m="1" x="7053"/>
        <item m="1" x="1142"/>
        <item m="1" x="3156"/>
        <item m="1" x="5178"/>
        <item m="1" x="7177"/>
        <item m="1" x="1262"/>
        <item m="1" x="3280"/>
        <item m="1" x="5299"/>
        <item m="1" x="7298"/>
        <item m="1" x="1381"/>
        <item m="1" x="3406"/>
        <item m="1" x="5418"/>
        <item m="1" x="7419"/>
        <item m="1" x="1502"/>
        <item m="1" x="3530"/>
        <item m="1" x="5536"/>
        <item m="1" x="7540"/>
        <item m="1" x="1625"/>
        <item m="1" x="3653"/>
        <item m="1" x="5657"/>
        <item m="1" x="7665"/>
        <item m="1" x="1748"/>
        <item m="1" x="3779"/>
        <item m="1" x="5779"/>
        <item m="1" x="7787"/>
        <item m="1" x="1865"/>
        <item m="1" x="3904"/>
        <item m="1" x="5897"/>
        <item m="1" x="7905"/>
        <item m="1" x="1987"/>
        <item m="1" x="4031"/>
        <item m="1" x="6018"/>
        <item m="1" x="101"/>
        <item m="1" x="2113"/>
        <item m="1" x="4154"/>
        <item m="1" x="6140"/>
        <item m="1" x="223"/>
        <item m="1" x="2233"/>
        <item m="1" x="4273"/>
        <item m="1" x="6263"/>
        <item m="1" x="346"/>
        <item m="1" x="2354"/>
        <item m="1" x="4397"/>
        <item m="1" x="6385"/>
        <item m="1" x="468"/>
        <item m="1" x="2479"/>
        <item m="1" x="4522"/>
        <item m="1" x="6507"/>
        <item m="1" x="590"/>
        <item m="1" x="4333"/>
        <item m="1" x="6320"/>
        <item m="1" x="403"/>
        <item m="1" x="2411"/>
        <item m="1" x="4457"/>
        <item m="1" x="6442"/>
        <item m="1" x="526"/>
        <item m="1" x="2537"/>
        <item m="1" x="4578"/>
        <item m="1" x="6564"/>
        <item m="1" x="649"/>
        <item m="1" x="2662"/>
        <item m="1" x="4695"/>
        <item m="1" x="6689"/>
        <item m="1" x="769"/>
        <item m="1" x="2781"/>
        <item m="1" x="4814"/>
        <item m="1" x="6811"/>
        <item m="1" x="891"/>
        <item m="1" x="2905"/>
        <item m="1" x="4937"/>
        <item m="1" x="6931"/>
        <item m="1" x="1014"/>
        <item m="1" x="3030"/>
        <item m="1" x="5057"/>
        <item m="1" x="7050"/>
        <item m="1" x="1138"/>
        <item m="1" x="3152"/>
        <item m="1" x="5174"/>
        <item m="1" x="7173"/>
        <item m="1" x="1258"/>
        <item m="1" x="3276"/>
        <item m="1" x="5294"/>
        <item m="1" x="7294"/>
        <item m="1" x="1377"/>
        <item m="1" x="3401"/>
        <item m="1" x="5414"/>
        <item m="1" x="7414"/>
        <item m="1" x="1498"/>
        <item m="1" x="3525"/>
        <item m="1" x="5533"/>
        <item m="1" x="7536"/>
        <item m="1" x="1622"/>
        <item m="1" x="3649"/>
        <item m="1" x="5654"/>
        <item m="1" x="7661"/>
        <item m="1" x="1745"/>
        <item m="1" x="3775"/>
        <item m="1" x="5775"/>
        <item m="1" x="7781"/>
        <item m="1" x="1861"/>
        <item m="1" x="3899"/>
        <item m="1" x="5894"/>
        <item m="1" x="7901"/>
        <item m="1" x="1984"/>
        <item m="1" x="4027"/>
        <item m="1" x="6015"/>
        <item m="1" x="97"/>
        <item m="1" x="2109"/>
        <item m="1" x="4150"/>
        <item m="1" x="6137"/>
        <item m="1" x="1919"/>
        <item m="1" x="3964"/>
        <item m="1" x="5950"/>
        <item m="1" x="7961"/>
        <item m="1" x="2042"/>
        <item m="1" x="4087"/>
        <item m="1" x="6071"/>
        <item m="1" x="156"/>
        <item m="1" x="2165"/>
        <item m="1" x="4208"/>
        <item m="1" x="6195"/>
        <item m="1" x="278"/>
        <item m="1" x="2284"/>
        <item m="1" x="4329"/>
        <item m="1" x="6316"/>
        <item m="1" x="399"/>
        <item m="1" x="2407"/>
        <item m="1" x="4453"/>
        <item m="1" x="6438"/>
        <item m="1" x="523"/>
        <item m="1" x="2534"/>
        <item m="1" x="4575"/>
        <item m="1" x="6561"/>
        <item m="1" x="646"/>
        <item m="1" x="2659"/>
        <item m="1" x="4692"/>
        <item m="1" x="6685"/>
        <item m="1" x="764"/>
        <item m="1" x="2776"/>
        <item m="1" x="4810"/>
        <item m="1" x="6807"/>
        <item m="1" x="887"/>
        <item m="1" x="2901"/>
        <item m="1" x="4933"/>
        <item m="1" x="6927"/>
        <item m="1" x="1010"/>
        <item m="1" x="3025"/>
        <item m="1" x="5053"/>
        <item m="1" x="7045"/>
        <item m="1" x="1133"/>
        <item m="1" x="3148"/>
        <item m="1" x="5171"/>
        <item m="1" x="7169"/>
        <item m="1" x="1254"/>
        <item m="1" x="3272"/>
        <item m="1" x="5291"/>
        <item m="1" x="7290"/>
        <item m="1" x="1374"/>
        <item m="1" x="3396"/>
        <item m="1" x="5410"/>
        <item m="1" x="7409"/>
        <item m="1" x="1494"/>
        <item m="1" x="3520"/>
        <item m="1" x="5530"/>
        <item m="1" x="7532"/>
        <item m="1" x="1619"/>
        <item m="1" x="3645"/>
        <item m="1" x="5650"/>
        <item m="1" x="7657"/>
        <item m="1" x="1742"/>
        <item m="1" x="3770"/>
        <item m="1" x="1554"/>
        <item m="1" x="3583"/>
        <item m="1" x="5587"/>
        <item m="1" x="7592"/>
        <item m="1" x="1678"/>
        <item m="1" x="3706"/>
        <item m="1" x="5705"/>
        <item m="1" x="7715"/>
        <item m="1" x="1795"/>
        <item m="1" x="3831"/>
        <item m="1" x="5827"/>
        <item m="1" x="7837"/>
        <item m="1" x="1914"/>
        <item m="1" x="3960"/>
        <item m="1" x="5946"/>
        <item m="1" x="7957"/>
        <item m="1" x="2038"/>
        <item m="1" x="4084"/>
        <item m="1" x="6068"/>
        <item m="1" x="153"/>
        <item m="1" x="2161"/>
        <item m="1" x="4203"/>
        <item m="1" x="6192"/>
        <item m="1" x="275"/>
        <item m="1" x="2281"/>
        <item m="1" x="4326"/>
        <item m="1" x="6312"/>
        <item m="1" x="395"/>
        <item m="1" x="2403"/>
        <item m="1" x="4449"/>
        <item m="1" x="6434"/>
        <item m="1" x="519"/>
        <item m="1" x="2530"/>
        <item m="1" x="4571"/>
        <item m="1" x="6556"/>
        <item m="1" x="642"/>
        <item m="1" x="2654"/>
        <item m="1" x="4687"/>
        <item m="1" x="6679"/>
        <item m="1" x="760"/>
        <item m="1" x="2772"/>
        <item m="1" x="4807"/>
        <item m="1" x="6803"/>
        <item m="1" x="884"/>
        <item m="1" x="2897"/>
        <item m="1" x="4930"/>
        <item m="1" x="6923"/>
        <item m="1" x="1006"/>
        <item m="1" x="3020"/>
        <item m="1" x="5049"/>
        <item m="1" x="7040"/>
        <item m="1" x="1129"/>
        <item m="1" x="3144"/>
        <item m="1" x="5168"/>
        <item m="1" x="7165"/>
        <item m="1" x="1251"/>
        <item m="1" x="3268"/>
        <item m="1" x="5288"/>
        <item m="1" x="7286"/>
        <item m="1" x="1370"/>
        <item m="1" x="3391"/>
        <item m="1" x="7101"/>
        <item m="1" x="1187"/>
        <item m="1" x="3203"/>
        <item m="1" x="5222"/>
        <item m="1" x="7224"/>
        <item m="1" x="1307"/>
        <item m="1" x="3329"/>
        <item m="1" x="5344"/>
        <item m="1" x="7346"/>
        <item m="1" x="1427"/>
        <item m="1" x="3455"/>
        <item m="1" x="5464"/>
        <item m="1" x="7466"/>
        <item m="1" x="1550"/>
        <item m="1" x="3579"/>
        <item m="1" x="5582"/>
        <item m="1" x="7587"/>
        <item m="1" x="1673"/>
        <item m="1" x="3703"/>
        <item m="1" x="5702"/>
        <item m="1" x="7712"/>
        <item m="1" x="1792"/>
        <item m="1" x="3827"/>
        <item m="1" x="5824"/>
        <item m="1" x="7834"/>
        <item m="1" x="1911"/>
        <item m="1" x="3956"/>
        <item m="1" x="5942"/>
        <item m="1" x="7953"/>
        <item m="1" x="2034"/>
        <item m="1" x="4080"/>
        <item m="1" x="6064"/>
        <item m="1" x="148"/>
        <item m="1" x="2157"/>
        <item m="1" x="4199"/>
        <item m="1" x="6187"/>
        <item m="1" x="271"/>
        <item m="1" x="2276"/>
        <item m="1" x="4322"/>
        <item m="1" x="6308"/>
        <item m="1" x="392"/>
        <item m="1" x="2399"/>
        <item m="1" x="4446"/>
        <item m="1" x="6430"/>
        <item m="1" x="516"/>
        <item m="1" x="2526"/>
        <item m="1" x="4568"/>
        <item m="1" x="6552"/>
        <item m="1" x="638"/>
        <item m="1" x="2648"/>
        <item m="1" x="4683"/>
        <item m="1" x="6674"/>
        <item m="1" x="757"/>
        <item m="1" x="2768"/>
        <item m="1" x="4804"/>
        <item m="1" x="6799"/>
        <item m="1" x="881"/>
        <item m="1" x="2893"/>
        <item m="1" x="4926"/>
        <item m="1" x="6919"/>
        <item m="1" x="1003"/>
        <item m="1" x="4740"/>
        <item m="1" x="6738"/>
        <item m="1" x="816"/>
        <item m="1" x="2831"/>
        <item m="1" x="4862"/>
        <item m="1" x="6860"/>
        <item m="1" x="939"/>
        <item m="1" x="2955"/>
        <item m="1" x="4983"/>
        <item m="1" x="6978"/>
        <item m="1" x="1061"/>
        <item m="1" x="3078"/>
        <item m="1" x="5100"/>
        <item m="1" x="7098"/>
        <item m="1" x="1184"/>
        <item m="1" x="3200"/>
        <item m="1" x="5219"/>
        <item m="1" x="7221"/>
        <item m="1" x="1303"/>
        <item m="1" x="3326"/>
        <item m="1" x="5341"/>
        <item m="1" x="7343"/>
        <item m="1" x="1423"/>
        <item m="1" x="3452"/>
        <item m="1" x="5461"/>
        <item m="1" x="7463"/>
        <item m="1" x="1546"/>
        <item m="1" x="3574"/>
        <item m="1" x="5577"/>
        <item m="1" x="7583"/>
        <item m="1" x="1669"/>
        <item m="1" x="3699"/>
        <item m="1" x="5698"/>
        <item m="1" x="7708"/>
        <item m="1" x="1788"/>
        <item m="1" x="3823"/>
        <item m="1" x="5819"/>
        <item m="1" x="7830"/>
        <item m="1" x="1906"/>
        <item m="1" x="3951"/>
        <item m="1" x="5938"/>
        <item m="1" x="7950"/>
        <item m="1" x="2030"/>
        <item m="1" x="4076"/>
        <item m="1" x="6060"/>
        <item m="1" x="145"/>
        <item m="1" x="2153"/>
        <item m="1" x="4196"/>
        <item m="1" x="6182"/>
        <item m="1" x="267"/>
        <item m="1" x="2271"/>
        <item m="1" x="4318"/>
        <item m="1" x="6303"/>
        <item m="1" x="389"/>
        <item m="1" x="2395"/>
        <item m="1" x="4443"/>
        <item m="1" x="6426"/>
        <item m="1" x="511"/>
        <item m="1" x="2522"/>
        <item m="1" x="4565"/>
        <item m="1" x="6547"/>
        <item m="1" x="4377"/>
        <item m="1" x="6367"/>
        <item m="1" x="448"/>
        <item m="1" x="2459"/>
        <item m="1" x="4502"/>
        <item m="1" x="6488"/>
        <item m="1" x="570"/>
        <item m="1" x="2584"/>
        <item m="1" x="4619"/>
        <item m="1" x="6610"/>
        <item m="1" x="692"/>
        <item m="1" x="2707"/>
        <item m="1" x="4736"/>
        <item m="1" x="6735"/>
        <item m="1" x="813"/>
        <item m="1" x="2828"/>
        <item m="1" x="4859"/>
        <item m="1" x="6857"/>
        <item m="1" x="936"/>
        <item m="1" x="2952"/>
        <item m="1" x="4979"/>
        <item m="1" x="6974"/>
        <item m="1" x="1058"/>
        <item m="1" x="3075"/>
        <item m="1" x="5097"/>
        <item m="1" x="7095"/>
        <item m="1" x="1180"/>
        <item m="1" x="3196"/>
        <item m="1" x="5215"/>
        <item m="1" x="7217"/>
        <item m="1" x="1299"/>
        <item m="1" x="3322"/>
        <item m="1" x="5337"/>
        <item m="1" x="7339"/>
        <item m="1" x="1418"/>
        <item m="1" x="3448"/>
        <item m="1" x="5456"/>
        <item m="1" x="7458"/>
        <item m="1" x="1540"/>
        <item m="1" x="3570"/>
        <item m="1" x="5573"/>
        <item m="1" x="7580"/>
        <item m="1" x="1665"/>
        <item m="1" x="3696"/>
        <item m="1" x="5694"/>
        <item m="1" x="7705"/>
        <item m="1" x="1784"/>
        <item m="1" x="3819"/>
        <item m="1" x="5814"/>
        <item m="1" x="7826"/>
        <item m="1" x="1901"/>
        <item m="1" x="3947"/>
        <item m="1" x="5934"/>
        <item m="1" x="7947"/>
        <item m="1" x="2025"/>
        <item m="1" x="4073"/>
        <item m="1" x="6056"/>
        <item m="1" x="142"/>
        <item m="1" x="2149"/>
        <item m="1" x="4192"/>
        <item m="1" x="6177"/>
        <item m="1" x="965"/>
        <item m="1" x="1965"/>
        <item m="1" x="2979"/>
        <item m="1" x="4007"/>
        <item m="1" x="5007"/>
        <item m="1" x="5996"/>
        <item m="1" x="7000"/>
        <item m="1" x="75"/>
        <item m="1" x="1085"/>
        <item m="1" x="2089"/>
        <item m="1" x="3102"/>
        <item m="1" x="4131"/>
        <item m="1" x="5124"/>
        <item m="1" x="6119"/>
        <item m="1" x="7122"/>
        <item m="1" x="200"/>
        <item m="1" x="1209"/>
        <item m="1" x="2211"/>
        <item m="1" x="3225"/>
        <item m="1" x="4251"/>
        <item m="1" x="5244"/>
        <item m="1" x="6243"/>
        <item m="1" x="7245"/>
        <item m="1" x="323"/>
        <item m="1" x="1328"/>
        <item m="1" x="2332"/>
        <item m="1" x="3349"/>
        <item m="1" x="4374"/>
        <item m="1" x="5365"/>
        <item m="1" x="6364"/>
        <item m="1" x="7365"/>
        <item m="1" x="444"/>
        <item m="1" x="1447"/>
        <item m="1" x="2455"/>
        <item m="1" x="3474"/>
        <item m="1" x="4498"/>
        <item m="1" x="5484"/>
        <item m="1" x="6485"/>
        <item m="1" x="7485"/>
        <item m="1" x="566"/>
        <item m="1" x="1571"/>
        <item m="1" x="2581"/>
        <item m="1" x="3599"/>
        <item m="1" x="4616"/>
        <item m="1" x="5604"/>
        <item m="1" x="6607"/>
        <item m="1" x="7609"/>
        <item m="1" x="689"/>
        <item m="1" x="1695"/>
        <item m="1" x="2703"/>
        <item m="1" x="3723"/>
        <item m="1" x="4733"/>
        <item m="1" x="5722"/>
        <item m="1" x="6731"/>
        <item m="1" x="7730"/>
        <item m="1" x="809"/>
        <item m="1" x="1810"/>
        <item m="1" x="2824"/>
        <item m="1" x="3847"/>
        <item m="1" x="4855"/>
        <item m="1" x="5842"/>
        <item m="1" x="6853"/>
        <item m="1" x="7851"/>
        <item m="1" x="932"/>
        <item m="1" x="1931"/>
        <item m="1" x="2947"/>
        <item m="1" x="3975"/>
        <item m="1" x="4974"/>
        <item m="1" x="5962"/>
        <item m="1" x="6970"/>
        <item m="1" x="7972"/>
        <item m="1" x="1053"/>
        <item m="1" x="2055"/>
        <item m="1" x="3071"/>
        <item m="1" x="4100"/>
        <item m="1" x="5092"/>
        <item m="1" x="6083"/>
        <item m="1" x="7091"/>
        <item m="1" x="168"/>
        <item m="1" x="1175"/>
        <item m="1" x="2175"/>
        <item m="1" x="3192"/>
        <item m="1" x="4219"/>
        <item m="1" x="5211"/>
        <item m="1" x="6206"/>
        <item m="1" x="7214"/>
        <item m="1" x="290"/>
        <item m="1" x="1295"/>
        <item m="1" x="2296"/>
        <item m="1" x="3319"/>
        <item m="1" x="4342"/>
        <item m="1" x="5333"/>
        <item m="1" x="6328"/>
        <item m="1" x="7335"/>
        <item m="1" x="411"/>
        <item m="1" x="1414"/>
        <item m="1" x="2418"/>
        <item m="1" x="3443"/>
        <item m="1" x="4466"/>
        <item m="1" x="5450"/>
        <item m="1" x="6449"/>
        <item m="1" x="7453"/>
        <item m="1" x="533"/>
        <item m="1" x="1535"/>
        <item m="1" x="2545"/>
        <item m="1" x="3566"/>
        <item m="1" x="4586"/>
        <item m="1" x="5569"/>
        <item m="1" x="6572"/>
        <item m="1" x="7576"/>
        <item m="1" x="656"/>
        <item m="1" x="1661"/>
        <item m="1" x="2669"/>
        <item m="1" x="3690"/>
        <item m="1" x="4703"/>
        <item m="1" x="5690"/>
        <item m="1" x="6697"/>
        <item m="1" x="7700"/>
        <item m="1" x="777"/>
        <item m="1" x="1780"/>
        <item m="1" x="2790"/>
        <item m="1" x="3814"/>
        <item m="1" x="4823"/>
        <item m="1" x="7512"/>
        <item m="1" x="595"/>
        <item m="1" x="1602"/>
        <item m="1" x="2607"/>
        <item m="1" x="3626"/>
        <item m="1" x="4642"/>
        <item m="1" x="5632"/>
        <item m="1" x="6633"/>
        <item m="1" x="7637"/>
        <item m="1" x="715"/>
        <item m="1" x="1724"/>
        <item m="1" x="2728"/>
        <item m="1" x="3751"/>
        <item m="1" x="4761"/>
        <item m="1" x="5753"/>
        <item m="1" x="6757"/>
        <item m="1" x="7758"/>
        <item m="1" x="837"/>
        <item m="1" x="1841"/>
        <item m="1" x="2851"/>
        <item m="1" x="3877"/>
        <item m="1" x="4884"/>
        <item m="1" x="5872"/>
        <item m="1" x="6879"/>
        <item m="1" x="7878"/>
        <item m="1" x="959"/>
        <item m="1" x="1962"/>
        <item m="1" x="2974"/>
        <item m="1" x="4003"/>
        <item m="1" x="5002"/>
        <item m="1" x="5993"/>
        <item m="1" x="6996"/>
        <item m="1" x="72"/>
        <item m="1" x="1080"/>
        <item m="1" x="2086"/>
        <item m="1" x="3097"/>
        <item m="1" x="4127"/>
        <item m="1" x="5119"/>
        <item m="1" x="6115"/>
        <item m="1" x="7118"/>
        <item m="1" x="197"/>
        <item m="1" x="1204"/>
        <item m="1" x="2208"/>
        <item m="1" x="3219"/>
        <item m="1" x="4247"/>
        <item m="1" x="5239"/>
        <item m="1" x="6240"/>
        <item m="1" x="7241"/>
        <item m="1" x="320"/>
        <item m="1" x="1323"/>
        <item m="1" x="2329"/>
        <item m="1" x="3344"/>
        <item m="1" x="4370"/>
        <item m="1" x="5360"/>
        <item m="1" x="6359"/>
        <item m="1" x="7361"/>
        <item m="1" x="439"/>
        <item m="1" x="1442"/>
        <item m="1" x="2450"/>
        <item m="1" x="3469"/>
        <item m="1" x="4494"/>
        <item m="1" x="5479"/>
        <item m="1" x="6481"/>
        <item m="1" x="7481"/>
        <item m="1" x="562"/>
        <item m="1" x="1566"/>
        <item m="1" x="2577"/>
        <item m="1" x="3594"/>
        <item m="1" x="4612"/>
        <item m="1" x="5598"/>
        <item m="1" x="6601"/>
        <item m="1" x="7605"/>
        <item m="1" x="684"/>
        <item m="1" x="1690"/>
        <item m="1" x="2698"/>
        <item m="1" x="3718"/>
        <item m="1" x="4728"/>
        <item m="1" x="5717"/>
        <item m="1" x="6726"/>
        <item m="1" x="7727"/>
        <item m="1" x="804"/>
        <item m="1" x="1806"/>
        <item m="1" x="2820"/>
        <item m="1" x="3843"/>
        <item m="1" x="4851"/>
        <item m="1" x="5837"/>
        <item m="1" x="6848"/>
        <item m="1" x="7848"/>
        <item m="1" x="927"/>
        <item m="1" x="1927"/>
        <item m="1" x="2943"/>
        <item m="1" x="3971"/>
        <item m="1" x="4970"/>
        <item m="1" x="5958"/>
        <item m="1" x="6966"/>
        <item m="1" x="7969"/>
        <item m="1" x="1048"/>
        <item m="1" x="2051"/>
        <item m="1" x="3066"/>
        <item m="1" x="4095"/>
        <item m="1" x="5087"/>
        <item m="1" x="6078"/>
        <item m="1" x="7086"/>
        <item m="1" x="164"/>
        <item m="1" x="1170"/>
        <item m="1" x="2172"/>
        <item m="1" x="3188"/>
        <item m="1" x="4215"/>
        <item m="1" x="5207"/>
        <item m="1" x="6203"/>
        <item m="1" x="7210"/>
        <item m="1" x="287"/>
        <item m="1" x="1291"/>
        <item m="1" x="2292"/>
        <item m="1" x="3313"/>
        <item m="1" x="4338"/>
        <item m="1" x="5329"/>
        <item m="1" x="6324"/>
        <item m="1" x="7330"/>
        <item m="1" x="407"/>
        <item m="1" x="1409"/>
        <item m="1" x="2415"/>
        <item m="1" x="3436"/>
        <item m="1" x="6141"/>
        <item m="1" x="7146"/>
        <item m="1" x="224"/>
        <item m="1" x="1235"/>
        <item m="1" x="2234"/>
        <item m="1" x="3249"/>
        <item m="1" x="4274"/>
        <item m="1" x="5270"/>
        <item m="1" x="6264"/>
        <item m="1" x="7269"/>
        <item m="1" x="347"/>
        <item m="1" x="1353"/>
        <item m="1" x="2355"/>
        <item m="1" x="3373"/>
        <item m="1" x="4398"/>
        <item m="1" x="5390"/>
        <item m="1" x="6386"/>
        <item m="1" x="7388"/>
        <item m="1" x="469"/>
        <item m="1" x="1474"/>
        <item m="1" x="2480"/>
        <item m="1" x="3499"/>
        <item m="1" x="4523"/>
        <item m="1" x="5511"/>
        <item m="1" x="6508"/>
        <item m="1" x="7509"/>
        <item m="1" x="591"/>
        <item m="1" x="1599"/>
        <item m="1" x="2604"/>
        <item m="1" x="3624"/>
        <item m="1" x="4638"/>
        <item m="1" x="5630"/>
        <item m="1" x="6629"/>
        <item m="1" x="7634"/>
        <item m="1" x="711"/>
        <item m="1" x="1722"/>
        <item m="1" x="2725"/>
        <item m="1" x="3749"/>
        <item m="1" x="4757"/>
        <item m="1" x="5751"/>
        <item m="1" x="6753"/>
        <item m="1" x="7755"/>
        <item m="1" x="833"/>
        <item m="1" x="1837"/>
        <item m="1" x="2847"/>
        <item m="1" x="3873"/>
        <item m="1" x="4880"/>
        <item m="1" x="5870"/>
        <item m="1" x="6875"/>
        <item m="1" x="7876"/>
        <item m="1" x="955"/>
        <item m="1" x="1960"/>
        <item m="1" x="2971"/>
        <item m="1" x="4000"/>
        <item m="1" x="4998"/>
        <item m="1" x="5990"/>
        <item m="1" x="6992"/>
        <item m="1" x="7997"/>
        <item m="1" x="1076"/>
        <item m="1" x="2082"/>
        <item m="1" x="3094"/>
        <item m="1" x="4124"/>
        <item m="1" x="5115"/>
        <item m="1" x="6112"/>
        <item m="1" x="7114"/>
        <item m="1" x="194"/>
        <item m="1" x="1200"/>
        <item m="1" x="2205"/>
        <item m="1" x="3216"/>
        <item m="1" x="4243"/>
        <item m="1" x="5235"/>
        <item m="1" x="6236"/>
        <item m="1" x="7237"/>
        <item m="1" x="316"/>
        <item m="1" x="1318"/>
        <item m="1" x="2324"/>
        <item m="1" x="3341"/>
        <item m="1" x="4365"/>
        <item m="1" x="5356"/>
        <item m="1" x="6355"/>
        <item m="1" x="7358"/>
        <item m="1" x="436"/>
        <item m="1" x="1439"/>
        <item m="1" x="2447"/>
        <item m="1" x="3467"/>
        <item m="1" x="4491"/>
        <item m="1" x="5476"/>
        <item m="1" x="6478"/>
        <item m="1" x="7478"/>
        <item m="1" x="559"/>
        <item m="1" x="1562"/>
        <item m="1" x="2574"/>
        <item m="1" x="3592"/>
        <item m="1" x="4609"/>
        <item m="1" x="5595"/>
        <item m="1" x="6598"/>
        <item m="1" x="7601"/>
        <item m="1" x="680"/>
        <item m="1" x="1687"/>
        <item m="1" x="2694"/>
        <item m="1" x="3715"/>
        <item m="1" x="4724"/>
        <item m="1" x="5714"/>
        <item m="1" x="6722"/>
        <item m="1" x="7723"/>
        <item m="1" x="800"/>
        <item m="1" x="1802"/>
        <item m="1" x="2816"/>
        <item m="1" x="3839"/>
        <item m="1" x="4846"/>
        <item m="1" x="5834"/>
        <item m="1" x="6844"/>
        <item m="1" x="7844"/>
        <item m="1" x="922"/>
        <item m="1" x="1923"/>
        <item m="1" x="2938"/>
        <item m="1" x="3968"/>
        <item m="1" x="4966"/>
        <item m="1" x="5955"/>
        <item m="1" x="6961"/>
        <item m="1" x="7965"/>
        <item m="1" x="1044"/>
        <item m="1" x="4785"/>
        <item m="1" x="5776"/>
        <item m="1" x="6781"/>
        <item m="1" x="7782"/>
        <item m="1" x="862"/>
        <item m="1" x="1862"/>
        <item m="1" x="2874"/>
        <item m="1" x="3900"/>
        <item m="1" x="4909"/>
        <item m="1" x="5895"/>
        <item m="1" x="6902"/>
        <item m="1" x="7902"/>
        <item m="1" x="987"/>
        <item m="1" x="1985"/>
        <item m="1" x="2998"/>
        <item m="1" x="4028"/>
        <item m="1" x="5029"/>
        <item m="1" x="6016"/>
        <item m="1" x="7021"/>
        <item m="1" x="98"/>
        <item m="1" x="1110"/>
        <item m="1" x="2110"/>
        <item m="1" x="3124"/>
        <item m="1" x="4151"/>
        <item m="1" x="5148"/>
        <item m="1" x="6138"/>
        <item m="1" x="7144"/>
        <item m="1" x="220"/>
        <item m="1" x="1233"/>
        <item m="1" x="2230"/>
        <item m="1" x="3246"/>
        <item m="1" x="4270"/>
        <item m="1" x="5267"/>
        <item m="1" x="6261"/>
        <item m="1" x="7266"/>
        <item m="1" x="343"/>
        <item m="1" x="1351"/>
        <item m="1" x="2351"/>
        <item m="1" x="3370"/>
        <item m="1" x="4394"/>
        <item m="1" x="5388"/>
        <item m="1" x="6383"/>
        <item m="1" x="7386"/>
        <item m="1" x="465"/>
        <item m="1" x="1472"/>
        <item m="1" x="2476"/>
        <item m="1" x="3497"/>
        <item m="1" x="4519"/>
        <item m="1" x="5508"/>
        <item m="1" x="6505"/>
        <item m="1" x="7507"/>
        <item m="1" x="587"/>
        <item m="1" x="1596"/>
        <item m="1" x="2600"/>
        <item m="1" x="3621"/>
        <item m="1" x="4634"/>
        <item m="1" x="5627"/>
        <item m="1" x="6626"/>
        <item m="1" x="7631"/>
        <item m="1" x="707"/>
        <item m="1" x="1719"/>
        <item m="1" x="2721"/>
        <item m="1" x="3746"/>
        <item m="1" x="4752"/>
        <item m="1" x="5747"/>
        <item m="1" x="6750"/>
        <item m="1" x="7751"/>
        <item m="1" x="829"/>
        <item m="1" x="1834"/>
        <item m="1" x="2843"/>
        <item m="1" x="3869"/>
        <item m="1" x="4876"/>
        <item m="1" x="5866"/>
        <item m="1" x="6872"/>
        <item m="1" x="7872"/>
        <item m="1" x="951"/>
        <item m="1" x="1956"/>
        <item m="1" x="2967"/>
        <item m="1" x="3996"/>
        <item m="1" x="4994"/>
        <item m="1" x="5986"/>
        <item m="1" x="6990"/>
        <item m="1" x="7994"/>
        <item m="1" x="1073"/>
        <item m="1" x="2079"/>
        <item m="1" x="3091"/>
        <item m="1" x="4121"/>
        <item m="1" x="5112"/>
        <item m="1" x="6109"/>
        <item m="1" x="7112"/>
        <item m="1" x="191"/>
        <item m="1" x="1197"/>
        <item m="1" x="2202"/>
        <item m="1" x="3213"/>
        <item m="1" x="4240"/>
        <item m="1" x="5231"/>
        <item m="1" x="6232"/>
        <item m="1" x="7234"/>
        <item m="1" x="311"/>
        <item m="1" x="1315"/>
        <item m="1" x="2319"/>
        <item m="1" x="3337"/>
        <item m="1" x="4361"/>
        <item m="1" x="5353"/>
        <item m="1" x="6351"/>
        <item m="1" x="7355"/>
        <item m="1" x="432"/>
        <item m="1" x="1436"/>
        <item m="1" x="2443"/>
        <item m="1" x="3463"/>
        <item m="1" x="4487"/>
        <item m="1" x="5472"/>
        <item m="1" x="6473"/>
        <item m="1" x="7475"/>
        <item m="1" x="554"/>
        <item m="1" x="1559"/>
        <item m="1" x="2569"/>
        <item m="1" x="3588"/>
        <item m="1" x="4605"/>
        <item m="1" x="5592"/>
        <item m="1" x="6593"/>
        <item m="1" x="7597"/>
        <item m="1" x="2376"/>
        <item m="1" x="3397"/>
        <item m="1" x="4423"/>
        <item m="1" x="5411"/>
        <item m="1" x="6407"/>
        <item m="1" x="7410"/>
        <item m="1" x="491"/>
        <item m="1" x="1495"/>
        <item m="1" x="2502"/>
        <item m="1" x="3521"/>
        <item m="1" x="4546"/>
        <item m="1" x="5531"/>
        <item m="1" x="6530"/>
        <item m="1" x="7533"/>
        <item m="1" x="616"/>
        <item m="1" x="1620"/>
        <item m="1" x="2627"/>
        <item m="1" x="3646"/>
        <item m="1" x="4663"/>
        <item m="1" x="5651"/>
        <item m="1" x="6654"/>
        <item m="1" x="7658"/>
        <item m="1" x="736"/>
        <item m="1" x="1743"/>
        <item m="1" x="2747"/>
        <item m="1" x="3771"/>
        <item m="1" x="4782"/>
        <item m="1" x="5771"/>
        <item m="1" x="6777"/>
        <item m="1" x="7777"/>
        <item m="1" x="859"/>
        <item m="1" x="1858"/>
        <item m="1" x="2871"/>
        <item m="1" x="3895"/>
        <item m="1" x="4906"/>
        <item m="1" x="5890"/>
        <item m="1" x="6898"/>
        <item m="1" x="7897"/>
        <item m="1" x="983"/>
        <item m="1" x="1981"/>
        <item m="1" x="2995"/>
        <item m="1" x="4023"/>
        <item m="1" x="5026"/>
        <item m="1" x="6011"/>
        <item m="1" x="7018"/>
        <item m="1" x="93"/>
        <item m="1" x="1107"/>
        <item m="1" x="2106"/>
        <item m="1" x="3121"/>
        <item m="1" x="4146"/>
        <item m="1" x="5145"/>
        <item m="1" x="6133"/>
        <item m="1" x="7140"/>
        <item m="1" x="215"/>
        <item m="1" x="1228"/>
        <item m="1" x="2226"/>
        <item m="1" x="3241"/>
        <item m="1" x="4265"/>
        <item m="1" x="5262"/>
        <item m="1" x="6256"/>
        <item m="1" x="7262"/>
        <item m="1" x="338"/>
        <item m="1" x="1347"/>
        <item m="1" x="2347"/>
        <item m="1" x="3366"/>
        <item m="1" x="4389"/>
        <item m="1" x="5384"/>
        <item m="1" x="6378"/>
        <item m="1" x="7382"/>
        <item m="1" x="459"/>
        <item m="1" x="1466"/>
        <item m="1" x="2472"/>
        <item m="1" x="3492"/>
        <item m="1" x="4514"/>
        <item m="1" x="5503"/>
        <item m="1" x="6500"/>
        <item m="1" x="7502"/>
        <item m="1" x="582"/>
        <item m="1" x="1590"/>
        <item m="1" x="2596"/>
        <item m="1" x="3616"/>
        <item m="1" x="4630"/>
        <item m="1" x="5623"/>
        <item m="1" x="6622"/>
        <item m="1" x="7627"/>
        <item m="1" x="702"/>
        <item m="1" x="1714"/>
        <item m="1" x="2718"/>
        <item m="1" x="3741"/>
        <item m="1" x="4748"/>
        <item m="1" x="5743"/>
        <item m="1" x="6746"/>
        <item m="1" x="7747"/>
        <item m="1" x="825"/>
        <item m="1" x="1830"/>
        <item m="1" x="2840"/>
        <item m="1" x="3864"/>
        <item m="1" x="4872"/>
        <item m="1" x="5861"/>
        <item m="1" x="6867"/>
        <item m="1" x="7867"/>
        <item m="1" x="946"/>
        <item m="1" x="1951"/>
        <item m="1" x="2963"/>
        <item m="1" x="3991"/>
        <item m="1" x="4990"/>
        <item m="1" x="5981"/>
        <item m="1" x="6985"/>
        <item m="1" x="7989"/>
        <item m="1" x="1069"/>
        <item m="1" x="2074"/>
        <item m="1" x="3087"/>
        <item m="1" x="4116"/>
        <item m="1" x="5108"/>
        <item m="1" x="6103"/>
        <item m="1" x="7107"/>
        <item m="1" x="186"/>
        <item m="1" x="1192"/>
        <item m="1" x="2196"/>
        <item m="1" x="3208"/>
        <item m="1" x="4234"/>
        <item m="1" x="5227"/>
        <item m="1" x="6224"/>
        <item m="1" x="1007"/>
        <item m="1" x="2006"/>
        <item m="1" x="3021"/>
        <item m="1" x="4052"/>
        <item m="1" x="5050"/>
        <item m="1" x="6037"/>
        <item m="1" x="7041"/>
        <item m="1" x="121"/>
        <item m="1" x="1130"/>
        <item m="1" x="2131"/>
        <item m="1" x="3145"/>
        <item m="1" x="4172"/>
        <item m="1" x="5169"/>
        <item m="1" x="6159"/>
        <item m="1" x="7166"/>
        <item m="1" x="243"/>
        <item m="1" x="1252"/>
        <item m="1" x="2251"/>
        <item m="1" x="3269"/>
        <item m="1" x="4295"/>
        <item m="1" x="5289"/>
        <item m="1" x="6283"/>
        <item m="1" x="7287"/>
        <item m="1" x="368"/>
        <item m="1" x="1371"/>
        <item m="1" x="2373"/>
        <item m="1" x="3392"/>
        <item m="1" x="4419"/>
        <item m="1" x="5407"/>
        <item m="1" x="6404"/>
        <item m="1" x="7405"/>
        <item m="1" x="488"/>
        <item m="1" x="1490"/>
        <item m="1" x="2498"/>
        <item m="1" x="3516"/>
        <item m="1" x="4543"/>
        <item m="1" x="5527"/>
        <item m="1" x="6527"/>
        <item m="1" x="7528"/>
        <item m="1" x="613"/>
        <item m="1" x="1615"/>
        <item m="1" x="2623"/>
        <item m="1" x="3641"/>
        <item m="1" x="4659"/>
        <item m="1" x="5647"/>
        <item m="1" x="6650"/>
        <item m="1" x="7653"/>
        <item m="1" x="733"/>
        <item m="1" x="1738"/>
        <item m="1" x="2744"/>
        <item m="1" x="3766"/>
        <item m="1" x="4779"/>
        <item m="1" x="5767"/>
        <item m="1" x="6773"/>
        <item m="1" x="7772"/>
        <item m="1" x="855"/>
        <item m="1" x="1853"/>
        <item m="1" x="2867"/>
        <item m="1" x="3890"/>
        <item m="1" x="4901"/>
        <item m="1" x="5886"/>
        <item m="1" x="6894"/>
        <item m="1" x="7892"/>
        <item m="1" x="979"/>
        <item m="1" x="1976"/>
        <item m="1" x="2991"/>
        <item m="1" x="4018"/>
        <item m="1" x="5022"/>
        <item m="1" x="6007"/>
        <item m="1" x="7013"/>
        <item m="1" x="88"/>
        <item m="1" x="1102"/>
        <item m="1" x="2101"/>
        <item m="1" x="3116"/>
        <item m="1" x="4140"/>
        <item m="1" x="5139"/>
        <item m="1" x="6129"/>
        <item m="1" x="7134"/>
        <item m="1" x="210"/>
        <item m="1" x="1223"/>
        <item m="1" x="2222"/>
        <item m="1" x="3237"/>
        <item m="1" x="4261"/>
        <item m="1" x="5258"/>
        <item m="1" x="6253"/>
        <item m="1" x="7258"/>
        <item m="1" x="334"/>
        <item m="1" x="1343"/>
        <item m="1" x="2343"/>
        <item m="1" x="3362"/>
        <item m="1" x="4384"/>
        <item m="1" x="5380"/>
        <item m="1" x="6375"/>
        <item m="1" x="7378"/>
        <item m="1" x="455"/>
        <item m="1" x="1462"/>
        <item m="1" x="2467"/>
        <item m="1" x="3487"/>
        <item m="1" x="4510"/>
        <item m="1" x="5498"/>
        <item m="1" x="6496"/>
        <item m="1" x="7497"/>
        <item m="1" x="578"/>
        <item m="1" x="1585"/>
        <item m="1" x="2591"/>
        <item m="1" x="3611"/>
        <item m="1" x="4625"/>
        <item m="1" x="5618"/>
        <item m="1" x="6617"/>
        <item m="1" x="7621"/>
        <item m="1" x="698"/>
        <item m="1" x="1709"/>
        <item m="1" x="2713"/>
        <item m="1" x="3735"/>
        <item m="1" x="4744"/>
        <item m="1" x="5737"/>
        <item m="1" x="6742"/>
        <item m="1" x="7742"/>
        <item m="1" x="821"/>
        <item m="1" x="1824"/>
        <item m="1" x="2835"/>
        <item m="1" x="3859"/>
        <item m="1" x="4866"/>
        <item m="1" x="7554"/>
        <item m="1" x="639"/>
        <item m="1" x="1642"/>
        <item m="1" x="2649"/>
        <item m="1" x="3668"/>
        <item m="1" x="4684"/>
        <item m="1" x="5671"/>
        <item m="1" x="6675"/>
        <item m="1" x="7680"/>
        <item m="1" x="758"/>
        <item m="1" x="1763"/>
        <item m="1" x="2769"/>
        <item m="1" x="3795"/>
        <item m="1" x="4805"/>
        <item m="1" x="5793"/>
        <item m="1" x="6800"/>
        <item m="1" x="7802"/>
        <item m="1" x="882"/>
        <item m="1" x="1881"/>
        <item m="1" x="2894"/>
        <item m="1" x="3923"/>
        <item m="1" x="4927"/>
        <item m="1" x="5913"/>
        <item m="1" x="6920"/>
        <item m="1" x="7923"/>
        <item m="1" x="1004"/>
        <item m="1" x="2003"/>
        <item m="1" x="3016"/>
        <item m="1" x="4049"/>
        <item m="1" x="5045"/>
        <item m="1" x="6033"/>
        <item m="1" x="7036"/>
        <item m="1" x="117"/>
        <item m="1" x="1126"/>
        <item m="1" x="2127"/>
        <item m="1" x="3140"/>
        <item m="1" x="4169"/>
        <item m="1" x="5164"/>
        <item m="1" x="6155"/>
        <item m="1" x="7161"/>
        <item m="1" x="240"/>
        <item m="1" x="1248"/>
        <item m="1" x="2248"/>
        <item m="1" x="3264"/>
        <item m="1" x="4292"/>
        <item m="1" x="5284"/>
        <item m="1" x="6280"/>
        <item m="1" x="7282"/>
        <item m="1" x="364"/>
        <item m="1" x="1367"/>
        <item m="1" x="2370"/>
        <item m="1" x="3387"/>
        <item m="1" x="4415"/>
        <item m="1" x="5403"/>
        <item m="1" x="6401"/>
        <item m="1" x="7401"/>
        <item m="1" x="485"/>
        <item m="1" x="1487"/>
        <item m="1" x="2495"/>
        <item m="1" x="3512"/>
        <item m="1" x="4540"/>
        <item m="1" x="5523"/>
        <item m="1" x="6524"/>
        <item m="1" x="7523"/>
        <item m="1" x="609"/>
        <item m="1" x="1612"/>
        <item m="1" x="2619"/>
        <item m="1" x="3637"/>
        <item m="1" x="4656"/>
        <item m="1" x="5643"/>
        <item m="1" x="6646"/>
        <item m="1" x="7649"/>
        <item m="1" x="729"/>
        <item m="1" x="1735"/>
        <item m="1" x="2740"/>
        <item m="1" x="3762"/>
        <item m="1" x="4775"/>
        <item m="1" x="5763"/>
        <item m="1" x="6769"/>
        <item m="1" x="7768"/>
        <item m="1" x="851"/>
        <item m="1" x="1851"/>
        <item m="1" x="2864"/>
        <item m="1" x="3887"/>
        <item m="1" x="4898"/>
        <item m="1" x="5883"/>
        <item m="1" x="6891"/>
        <item m="1" x="7889"/>
        <item m="1" x="976"/>
        <item m="1" x="1974"/>
        <item m="1" x="2988"/>
        <item m="1" x="4015"/>
        <item m="1" x="5019"/>
        <item m="1" x="6004"/>
        <item m="1" x="7010"/>
        <item m="1" x="83"/>
        <item m="1" x="1098"/>
        <item m="1" x="2098"/>
        <item m="1" x="3111"/>
        <item m="1" x="4137"/>
        <item m="1" x="5134"/>
        <item m="1" x="6125"/>
        <item m="1" x="7130"/>
        <item m="1" x="207"/>
        <item m="1" x="1219"/>
        <item m="1" x="2219"/>
        <item m="1" x="3233"/>
        <item m="1" x="4258"/>
        <item m="1" x="5254"/>
        <item m="1" x="6249"/>
        <item m="1" x="7254"/>
        <item m="1" x="330"/>
        <item m="1" x="1338"/>
        <item m="1" x="2339"/>
        <item m="1" x="3357"/>
        <item m="1" x="4381"/>
        <item m="1" x="5375"/>
        <item m="1" x="6371"/>
        <item m="1" x="7374"/>
        <item m="1" x="452"/>
        <item m="1" x="1457"/>
        <item m="1" x="2463"/>
        <item m="1" x="6183"/>
        <item m="1" x="7189"/>
        <item m="1" x="268"/>
        <item m="1" x="1272"/>
        <item m="1" x="2272"/>
        <item m="1" x="3290"/>
        <item m="1" x="4319"/>
        <item m="1" x="5310"/>
        <item m="1" x="6304"/>
        <item m="1" x="7309"/>
        <item m="1" x="390"/>
        <item m="1" x="1392"/>
        <item m="1" x="2396"/>
        <item m="1" x="3417"/>
        <item m="1" x="4444"/>
        <item m="1" x="5430"/>
        <item m="1" x="6427"/>
        <item m="1" x="7430"/>
        <item m="1" x="512"/>
        <item m="1" x="1515"/>
        <item m="1" x="2523"/>
        <item m="1" x="3542"/>
        <item m="1" x="4566"/>
        <item m="1" x="5548"/>
        <item m="1" x="6548"/>
        <item m="1" x="7552"/>
        <item m="1" x="634"/>
        <item m="1" x="1638"/>
        <item m="1" x="2644"/>
        <item m="1" x="3665"/>
        <item m="1" x="4680"/>
        <item m="1" x="5668"/>
        <item m="1" x="6670"/>
        <item m="1" x="7677"/>
        <item m="1" x="753"/>
        <item m="1" x="1759"/>
        <item m="1" x="2764"/>
        <item m="1" x="3791"/>
        <item m="1" x="4801"/>
        <item m="1" x="5790"/>
        <item m="1" x="6795"/>
        <item m="1" x="7799"/>
        <item m="1" x="877"/>
        <item m="1" x="1878"/>
        <item m="1" x="2889"/>
        <item m="1" x="3920"/>
        <item m="1" x="4923"/>
        <item m="1" x="5910"/>
        <item m="1" x="6915"/>
        <item m="1" x="7920"/>
        <item m="1" x="999"/>
        <item m="1" x="2000"/>
        <item m="1" x="3011"/>
        <item m="1" x="4044"/>
        <item m="1" x="5042"/>
        <item m="1" x="6029"/>
        <item m="1" x="7032"/>
        <item m="1" x="113"/>
        <item m="1" x="1122"/>
        <item m="1" x="2124"/>
        <item m="1" x="3136"/>
        <item m="1" x="4166"/>
        <item m="1" x="5161"/>
        <item m="1" x="6152"/>
        <item m="1" x="7157"/>
        <item m="1" x="237"/>
        <item m="1" x="1244"/>
        <item m="1" x="2245"/>
        <item m="1" x="3259"/>
        <item m="1" x="4287"/>
        <item m="1" x="5281"/>
        <item m="1" x="6276"/>
        <item m="1" x="7278"/>
        <item m="1" x="360"/>
        <item m="1" x="1363"/>
        <item m="1" x="2366"/>
        <item m="1" x="3383"/>
        <item m="1" x="4411"/>
        <item m="1" x="5401"/>
        <item m="1" x="6398"/>
        <item m="1" x="7398"/>
        <item m="1" x="482"/>
        <item m="1" x="1484"/>
        <item m="1" x="2492"/>
        <item m="1" x="3508"/>
        <item m="1" x="4536"/>
        <item m="1" x="5521"/>
        <item m="1" x="6520"/>
        <item m="1" x="7520"/>
        <item m="1" x="606"/>
        <item m="1" x="1609"/>
        <item m="1" x="2616"/>
        <item m="1" x="3634"/>
        <item m="1" x="4653"/>
        <item m="1" x="5641"/>
        <item m="1" x="6642"/>
        <item m="1" x="7646"/>
        <item m="1" x="725"/>
        <item m="1" x="1731"/>
        <item m="1" x="2736"/>
        <item m="1" x="3758"/>
        <item m="1" x="4771"/>
        <item m="1" x="5760"/>
        <item m="1" x="6765"/>
        <item m="1" x="7765"/>
        <item m="1" x="847"/>
        <item m="1" x="1847"/>
        <item m="1" x="2860"/>
        <item m="1" x="3884"/>
        <item m="1" x="4894"/>
        <item m="1" x="5880"/>
        <item m="1" x="6887"/>
        <item m="1" x="7886"/>
        <item m="1" x="971"/>
        <item m="1" x="1970"/>
        <item m="1" x="2984"/>
        <item m="1" x="4011"/>
        <item m="1" x="5014"/>
        <item m="1" x="6000"/>
        <item m="1" x="7005"/>
        <item m="1" x="80"/>
        <item m="1" x="1091"/>
        <item m="1" x="3820"/>
        <item m="1" x="4827"/>
        <item m="1" x="5815"/>
        <item m="1" x="6823"/>
        <item m="1" x="7827"/>
        <item m="1" x="903"/>
        <item m="1" x="1902"/>
        <item m="1" x="2917"/>
        <item m="1" x="3948"/>
        <item m="1" x="4948"/>
        <item m="1" x="5935"/>
        <item m="1" x="6941"/>
        <item m="1" x="7948"/>
        <item m="1" x="1026"/>
        <item m="1" x="2026"/>
        <item m="1" x="3040"/>
        <item m="1" x="4074"/>
        <item m="1" x="5067"/>
        <item m="1" x="6057"/>
        <item m="1" x="7062"/>
        <item m="1" x="143"/>
        <item m="1" x="1150"/>
        <item m="1" x="2150"/>
        <item m="1" x="3165"/>
        <item m="1" x="4193"/>
        <item m="1" x="5186"/>
        <item m="1" x="6178"/>
        <item m="1" x="7185"/>
        <item m="1" x="264"/>
        <item m="1" x="1269"/>
        <item m="1" x="2267"/>
        <item m="1" x="3287"/>
        <item m="1" x="4314"/>
        <item m="1" x="5306"/>
        <item m="1" x="6299"/>
        <item m="1" x="7306"/>
        <item m="1" x="386"/>
        <item m="1" x="1389"/>
        <item m="1" x="2391"/>
        <item m="1" x="3414"/>
        <item m="1" x="4439"/>
        <item m="1" x="5426"/>
        <item m="1" x="6422"/>
        <item m="1" x="7426"/>
        <item m="1" x="508"/>
        <item m="1" x="1511"/>
        <item m="1" x="2518"/>
        <item m="1" x="3539"/>
        <item m="1" x="4561"/>
        <item m="1" x="5545"/>
        <item m="1" x="6543"/>
        <item m="1" x="7549"/>
        <item m="1" x="630"/>
        <item m="1" x="1634"/>
        <item m="1" x="2639"/>
        <item m="1" x="3662"/>
        <item m="1" x="4676"/>
        <item m="1" x="5665"/>
        <item m="1" x="6666"/>
        <item m="1" x="7673"/>
        <item m="1" x="750"/>
        <item m="1" x="1756"/>
        <item m="1" x="2760"/>
        <item m="1" x="3788"/>
        <item m="1" x="4797"/>
        <item m="1" x="5787"/>
        <item m="1" x="6791"/>
        <item m="1" x="7796"/>
        <item m="1" x="874"/>
        <item m="1" x="1874"/>
        <item m="1" x="2885"/>
        <item m="1" x="3916"/>
        <item m="1" x="4919"/>
        <item m="1" x="5906"/>
        <item m="1" x="6910"/>
        <item m="1" x="7915"/>
        <item m="1" x="996"/>
        <item m="1" x="1995"/>
        <item m="1" x="3007"/>
        <item m="1" x="4040"/>
        <item m="1" x="5039"/>
        <item m="1" x="6026"/>
        <item m="1" x="7029"/>
        <item m="1" x="110"/>
        <item m="1" x="1120"/>
        <item m="1" x="2121"/>
        <item m="1" x="3133"/>
        <item m="1" x="4163"/>
        <item m="1" x="5158"/>
        <item m="1" x="6149"/>
        <item m="1" x="7153"/>
        <item m="1" x="234"/>
        <item m="1" x="1242"/>
        <item m="1" x="2242"/>
        <item m="1" x="3256"/>
        <item m="1" x="4284"/>
        <item m="1" x="5277"/>
        <item m="1" x="6272"/>
        <item m="1" x="7275"/>
        <item m="1" x="356"/>
        <item m="1" x="1360"/>
        <item m="1" x="2362"/>
        <item m="1" x="3380"/>
        <item m="1" x="4407"/>
        <item m="1" x="5397"/>
        <item m="1" x="6394"/>
        <item m="1" x="7394"/>
        <item m="1" x="478"/>
        <item m="1" x="1480"/>
        <item m="1" x="2487"/>
        <item m="1" x="3505"/>
        <item m="1" x="4532"/>
        <item m="1" x="5517"/>
        <item m="1" x="6516"/>
        <item m="1" x="7516"/>
        <item m="1" x="601"/>
        <item m="1" x="1606"/>
        <item m="1" x="2612"/>
        <item m="1" x="3631"/>
        <item m="1" x="4648"/>
        <item m="1" x="5637"/>
        <item m="1" x="6638"/>
        <item m="1" x="7641"/>
        <item m="1" x="2419"/>
        <item m="1" x="3444"/>
        <item m="1" x="4467"/>
        <item m="1" x="5451"/>
        <item m="1" x="6450"/>
        <item m="1" x="7454"/>
        <item m="1" x="534"/>
        <item m="1" x="1536"/>
        <item m="1" x="2546"/>
        <item m="1" x="3567"/>
        <item m="1" x="4587"/>
        <item m="1" x="5570"/>
        <item m="1" x="6573"/>
        <item m="1" x="7577"/>
        <item m="1" x="657"/>
        <item m="1" x="1662"/>
        <item m="1" x="2670"/>
        <item m="1" x="3691"/>
        <item m="1" x="4704"/>
        <item m="1" x="5691"/>
        <item m="1" x="6698"/>
        <item m="1" x="7701"/>
        <item m="1" x="778"/>
        <item m="1" x="1781"/>
        <item m="1" x="2791"/>
        <item m="1" x="3815"/>
        <item m="1" x="4824"/>
        <item m="1" x="5810"/>
        <item m="1" x="6820"/>
        <item m="1" x="7821"/>
        <item m="1" x="899"/>
        <item m="1" x="1897"/>
        <item m="1" x="2913"/>
        <item m="1" x="3942"/>
        <item m="1" x="4944"/>
        <item m="1" x="5930"/>
        <item m="1" x="6938"/>
        <item m="1" x="7942"/>
        <item m="1" x="1022"/>
        <item m="1" x="2021"/>
        <item m="1" x="3037"/>
        <item m="1" x="4068"/>
        <item m="1" x="5064"/>
        <item m="1" x="6052"/>
        <item m="1" x="7059"/>
        <item m="1" x="137"/>
        <item m="1" x="1147"/>
        <item m="1" x="2145"/>
        <item m="1" x="3161"/>
        <item m="1" x="4187"/>
        <item m="1" x="5183"/>
        <item m="1" x="6173"/>
        <item m="1" x="7182"/>
        <item m="1" x="258"/>
        <item m="1" x="1266"/>
        <item m="1" x="2263"/>
        <item m="1" x="3284"/>
        <item m="1" x="4309"/>
        <item m="1" x="5303"/>
        <item m="1" x="6295"/>
        <item m="1" x="7303"/>
        <item m="1" x="381"/>
        <item m="1" x="1386"/>
        <item m="1" x="2386"/>
        <item m="1" x="3410"/>
        <item m="1" x="4434"/>
        <item m="1" x="5422"/>
        <item m="1" x="6418"/>
        <item m="1" x="7423"/>
        <item m="1" x="503"/>
        <item m="1" x="1507"/>
        <item m="1" x="2513"/>
        <item m="1" x="3535"/>
        <item m="1" x="4556"/>
        <item m="1" x="5541"/>
        <item m="1" x="6539"/>
        <item m="1" x="7545"/>
        <item m="1" x="625"/>
        <item m="1" x="1630"/>
        <item m="1" x="2635"/>
        <item m="1" x="3658"/>
        <item m="1" x="4672"/>
        <item m="1" x="5662"/>
        <item m="1" x="6663"/>
        <item m="1" x="7670"/>
        <item m="1" x="746"/>
        <item m="1" x="1753"/>
        <item m="1" x="2756"/>
        <item m="1" x="3785"/>
        <item m="1" x="4793"/>
        <item m="1" x="5784"/>
        <item m="1" x="6788"/>
        <item m="1" x="7793"/>
        <item m="1" x="870"/>
        <item m="1" x="1871"/>
        <item m="1" x="2881"/>
        <item m="1" x="3912"/>
        <item m="1" x="4915"/>
        <item m="1" x="5901"/>
        <item m="1" x="6907"/>
        <item m="1" x="7910"/>
        <item m="1" x="992"/>
        <item m="1" x="1991"/>
        <item m="1" x="3003"/>
        <item m="1" x="4036"/>
        <item m="1" x="5035"/>
        <item m="1" x="6022"/>
        <item m="1" x="7026"/>
        <item m="1" x="106"/>
        <item m="1" x="1116"/>
        <item m="1" x="2117"/>
        <item m="1" x="3129"/>
        <item m="1" x="4159"/>
        <item m="1" x="5153"/>
        <item m="1" x="6145"/>
        <item m="1" x="7150"/>
        <item m="1" x="229"/>
        <item m="1" x="1238"/>
        <item m="1" x="2238"/>
        <item m="1" x="3252"/>
        <item m="1" x="4279"/>
        <item m="1" x="5273"/>
        <item m="1" x="1049"/>
        <item m="1" x="2052"/>
        <item m="1" x="3067"/>
        <item m="1" x="4096"/>
        <item m="1" x="5088"/>
        <item m="1" x="6079"/>
        <item m="1" x="7087"/>
        <item m="1" x="165"/>
        <item m="1" x="1171"/>
        <item m="1" x="2173"/>
        <item m="1" x="3189"/>
        <item m="1" x="4216"/>
        <item m="1" x="5208"/>
        <item m="1" x="6204"/>
        <item m="1" x="7211"/>
        <item m="1" x="288"/>
        <item m="1" x="1292"/>
        <item m="1" x="2293"/>
        <item m="1" x="3314"/>
        <item m="1" x="4339"/>
        <item m="1" x="5330"/>
        <item m="1" x="6325"/>
        <item m="1" x="7331"/>
        <item m="1" x="408"/>
        <item m="1" x="1410"/>
        <item m="1" x="2416"/>
        <item m="1" x="3437"/>
        <item m="1" x="4462"/>
        <item m="1" x="5446"/>
        <item m="1" x="6446"/>
        <item m="1" x="7448"/>
        <item m="1" x="530"/>
        <item m="1" x="1531"/>
        <item m="1" x="2542"/>
        <item m="1" x="3561"/>
        <item m="1" x="4582"/>
        <item m="1" x="5565"/>
        <item m="1" x="6568"/>
        <item m="1" x="7571"/>
        <item m="1" x="653"/>
        <item m="1" x="1657"/>
        <item m="1" x="2666"/>
        <item m="1" x="3685"/>
        <item m="1" x="4700"/>
        <item m="1" x="5686"/>
        <item m="1" x="6694"/>
        <item m="1" x="7695"/>
        <item m="1" x="774"/>
        <item m="1" x="1776"/>
        <item m="1" x="2787"/>
        <item m="1" x="3809"/>
        <item m="1" x="4820"/>
        <item m="1" x="5806"/>
        <item m="1" x="6816"/>
        <item m="1" x="7816"/>
        <item m="1" x="895"/>
        <item m="1" x="1893"/>
        <item m="1" x="2909"/>
        <item m="1" x="3937"/>
        <item m="1" x="4941"/>
        <item m="1" x="5925"/>
        <item m="1" x="6935"/>
        <item m="1" x="7937"/>
        <item m="1" x="1019"/>
        <item m="1" x="2017"/>
        <item m="1" x="3034"/>
        <item m="1" x="4063"/>
        <item m="1" x="5061"/>
        <item m="1" x="6047"/>
        <item m="1" x="7054"/>
        <item m="1" x="132"/>
        <item m="1" x="1143"/>
        <item m="1" x="2141"/>
        <item m="1" x="3157"/>
        <item m="1" x="4182"/>
        <item m="1" x="5179"/>
        <item m="1" x="6168"/>
        <item m="1" x="7178"/>
        <item m="1" x="253"/>
        <item m="1" x="1263"/>
        <item m="1" x="2260"/>
        <item m="1" x="3281"/>
        <item m="1" x="4305"/>
        <item m="1" x="5300"/>
        <item m="1" x="6291"/>
        <item m="1" x="7299"/>
        <item m="1" x="377"/>
        <item m="1" x="1382"/>
        <item m="1" x="2383"/>
        <item m="1" x="3407"/>
        <item m="1" x="4430"/>
        <item m="1" x="5419"/>
        <item m="1" x="6414"/>
        <item m="1" x="7420"/>
        <item m="1" x="499"/>
        <item m="1" x="1503"/>
        <item m="1" x="2510"/>
        <item m="1" x="3531"/>
        <item m="1" x="4552"/>
        <item m="1" x="5537"/>
        <item m="1" x="6535"/>
        <item m="1" x="7541"/>
        <item m="1" x="621"/>
        <item m="1" x="1626"/>
        <item m="1" x="2632"/>
        <item m="1" x="3654"/>
        <item m="1" x="4668"/>
        <item m="1" x="5658"/>
        <item m="1" x="6659"/>
        <item m="1" x="7666"/>
        <item m="1" x="742"/>
        <item m="1" x="1749"/>
        <item m="1" x="2753"/>
        <item m="1" x="3780"/>
        <item m="1" x="4789"/>
        <item m="1" x="5780"/>
        <item m="1" x="6784"/>
        <item m="1" x="7788"/>
        <item m="1" x="865"/>
        <item m="1" x="1866"/>
        <item m="1" x="2878"/>
        <item m="1" x="3905"/>
        <item m="1" x="7602"/>
        <item m="1" x="681"/>
        <item m="1" x="1688"/>
        <item m="1" x="2695"/>
        <item m="1" x="3716"/>
        <item m="1" x="4725"/>
        <item m="1" x="5715"/>
        <item m="1" x="6723"/>
        <item m="1" x="7724"/>
        <item m="1" x="801"/>
        <item m="1" x="1803"/>
        <item m="1" x="2817"/>
        <item m="1" x="3840"/>
        <item m="1" x="4847"/>
        <item m="1" x="5835"/>
        <item m="1" x="6845"/>
        <item m="1" x="7845"/>
        <item m="1" x="923"/>
        <item m="1" x="1924"/>
        <item m="1" x="2939"/>
        <item m="1" x="3969"/>
        <item m="1" x="4967"/>
        <item m="1" x="5956"/>
        <item m="1" x="6962"/>
        <item m="1" x="7966"/>
        <item m="1" x="1045"/>
        <item m="1" x="2047"/>
        <item m="1" x="3061"/>
        <item m="1" x="4092"/>
        <item m="1" x="5083"/>
        <item m="1" x="6075"/>
        <item m="1" x="7081"/>
        <item m="1" x="160"/>
        <item m="1" x="1166"/>
        <item m="1" x="2169"/>
        <item m="1" x="3183"/>
        <item m="1" x="4212"/>
        <item m="1" x="5203"/>
        <item m="1" x="6200"/>
        <item m="1" x="7205"/>
        <item m="1" x="283"/>
        <item m="1" x="1287"/>
        <item m="1" x="2288"/>
        <item m="1" x="3308"/>
        <item m="1" x="4334"/>
        <item m="1" x="5325"/>
        <item m="1" x="6321"/>
        <item m="1" x="7324"/>
        <item m="1" x="404"/>
        <item m="1" x="1405"/>
        <item m="1" x="2412"/>
        <item m="1" x="3431"/>
        <item m="1" x="4458"/>
        <item m="1" x="5442"/>
        <item m="1" x="6443"/>
        <item m="1" x="7443"/>
        <item m="1" x="527"/>
        <item m="1" x="1527"/>
        <item m="1" x="2538"/>
        <item m="1" x="3556"/>
        <item m="1" x="4579"/>
        <item m="1" x="5561"/>
        <item m="1" x="6565"/>
        <item m="1" x="7566"/>
        <item m="1" x="650"/>
        <item m="1" x="1652"/>
        <item m="1" x="2663"/>
        <item m="1" x="3680"/>
        <item m="1" x="4696"/>
        <item m="1" x="5682"/>
        <item m="1" x="6690"/>
        <item m="1" x="7690"/>
        <item m="1" x="770"/>
        <item m="1" x="1771"/>
        <item m="1" x="2782"/>
        <item m="1" x="3804"/>
        <item m="1" x="4815"/>
        <item m="1" x="5802"/>
        <item m="1" x="6812"/>
        <item m="1" x="7812"/>
        <item m="1" x="892"/>
        <item m="1" x="1889"/>
        <item m="1" x="2906"/>
        <item m="1" x="3933"/>
        <item m="1" x="4938"/>
        <item m="1" x="5922"/>
        <item m="1" x="6932"/>
        <item m="1" x="7933"/>
        <item m="1" x="1015"/>
        <item m="1" x="2013"/>
        <item m="1" x="3031"/>
        <item m="1" x="4059"/>
        <item m="1" x="5058"/>
        <item m="1" x="6044"/>
        <item m="1" x="7051"/>
        <item m="1" x="128"/>
        <item m="1" x="1139"/>
        <item m="1" x="2137"/>
        <item m="1" x="3153"/>
        <item m="1" x="4178"/>
        <item m="1" x="5175"/>
        <item m="1" x="6165"/>
        <item m="1" x="7174"/>
        <item m="1" x="249"/>
        <item m="1" x="1259"/>
        <item m="1" x="2256"/>
        <item m="1" x="3277"/>
        <item m="1" x="4300"/>
        <item m="1" x="5295"/>
        <item m="1" x="6288"/>
        <item m="1" x="7295"/>
        <item m="1" x="373"/>
        <item m="1" x="1378"/>
        <item m="1" x="2379"/>
        <item m="1" x="3402"/>
        <item m="1" x="4426"/>
        <item m="1" x="5415"/>
        <item m="1" x="6411"/>
        <item m="1" x="7415"/>
        <item m="1" x="495"/>
        <item m="1" x="1499"/>
        <item m="1" x="2505"/>
        <item m="1" x="5232"/>
        <item m="1" x="6233"/>
        <item m="1" x="7235"/>
        <item m="1" x="312"/>
        <item m="1" x="1316"/>
        <item m="1" x="2320"/>
        <item m="1" x="3338"/>
        <item m="1" x="4362"/>
        <item m="1" x="5354"/>
        <item m="1" x="6352"/>
        <item m="1" x="7356"/>
        <item m="1" x="433"/>
        <item m="1" x="1437"/>
        <item m="1" x="2444"/>
        <item m="1" x="3464"/>
        <item m="1" x="4488"/>
        <item m="1" x="5473"/>
        <item m="1" x="6474"/>
        <item m="1" x="7476"/>
        <item m="1" x="555"/>
        <item m="1" x="1560"/>
        <item m="1" x="2570"/>
        <item m="1" x="3589"/>
        <item m="1" x="4606"/>
        <item m="1" x="5593"/>
        <item m="1" x="6594"/>
        <item m="1" x="7598"/>
        <item m="1" x="676"/>
        <item m="1" x="1684"/>
        <item m="1" x="2689"/>
        <item m="1" x="3711"/>
        <item m="1" x="4720"/>
        <item m="1" x="5710"/>
        <item m="1" x="6717"/>
        <item m="1" x="7719"/>
        <item m="1" x="795"/>
        <item m="1" x="1799"/>
        <item m="1" x="2811"/>
        <item m="1" x="3835"/>
        <item m="1" x="4842"/>
        <item m="1" x="5831"/>
        <item m="1" x="6839"/>
        <item m="1" x="7841"/>
        <item m="1" x="918"/>
        <item m="1" x="1920"/>
        <item m="1" x="2933"/>
        <item m="1" x="3965"/>
        <item m="1" x="4962"/>
        <item m="1" x="5951"/>
        <item m="1" x="6956"/>
        <item m="1" x="7962"/>
        <item m="1" x="1040"/>
        <item m="1" x="2043"/>
        <item m="1" x="3055"/>
        <item m="1" x="4088"/>
        <item m="1" x="5079"/>
        <item m="1" x="6072"/>
        <item m="1" x="7076"/>
        <item m="1" x="157"/>
        <item m="1" x="1162"/>
        <item m="1" x="2166"/>
        <item m="1" x="3178"/>
        <item m="1" x="4209"/>
        <item m="1" x="5198"/>
        <item m="1" x="6196"/>
        <item m="1" x="7200"/>
        <item m="1" x="279"/>
        <item m="1" x="1283"/>
        <item m="1" x="2285"/>
        <item m="1" x="3302"/>
        <item m="1" x="4330"/>
        <item m="1" x="5320"/>
        <item m="1" x="6317"/>
        <item m="1" x="7319"/>
        <item m="1" x="400"/>
        <item m="1" x="1401"/>
        <item m="1" x="2408"/>
        <item m="1" x="3426"/>
        <item m="1" x="4454"/>
        <item m="1" x="5438"/>
        <item m="1" x="6439"/>
        <item m="1" x="7439"/>
        <item m="1" x="524"/>
        <item m="1" x="1524"/>
        <item m="1" x="2535"/>
        <item m="1" x="3552"/>
        <item m="1" x="4576"/>
        <item m="1" x="5557"/>
        <item m="1" x="6562"/>
        <item m="1" x="7562"/>
        <item m="1" x="647"/>
        <item m="1" x="1649"/>
        <item m="1" x="2660"/>
        <item m="1" x="3676"/>
        <item m="1" x="4693"/>
        <item m="1" x="5678"/>
        <item m="1" x="6686"/>
        <item m="1" x="7686"/>
        <item m="1" x="765"/>
        <item m="1" x="1768"/>
        <item m="1" x="2777"/>
        <item m="1" x="3800"/>
        <item m="1" x="4811"/>
        <item m="1" x="5798"/>
        <item m="1" x="6808"/>
        <item m="1" x="7808"/>
        <item m="1" x="888"/>
        <item m="1" x="1886"/>
        <item m="1" x="2902"/>
        <item m="1" x="3929"/>
        <item m="1" x="4934"/>
        <item m="1" x="5918"/>
        <item m="1" x="6928"/>
        <item m="1" x="7928"/>
        <item m="1" x="1011"/>
        <item m="1" x="2010"/>
        <item m="1" x="3026"/>
        <item m="1" x="4055"/>
        <item m="1" x="5054"/>
        <item m="1" x="6040"/>
        <item m="1" x="7046"/>
        <item m="1" x="124"/>
        <item m="1" x="1134"/>
        <item m="1" x="3865"/>
        <item m="1" x="4873"/>
        <item m="1" x="5862"/>
        <item m="1" x="6868"/>
        <item m="1" x="7868"/>
        <item m="1" x="947"/>
        <item m="1" x="1952"/>
        <item m="1" x="2964"/>
        <item m="1" x="3992"/>
        <item m="1" x="4991"/>
        <item m="1" x="5982"/>
        <item m="1" x="6986"/>
        <item m="1" x="7990"/>
        <item m="1" x="1070"/>
        <item m="1" x="2075"/>
        <item m="1" x="3088"/>
        <item m="1" x="4117"/>
        <item m="1" x="5109"/>
        <item m="1" x="6104"/>
        <item m="1" x="7108"/>
        <item m="1" x="187"/>
        <item m="1" x="1193"/>
        <item m="1" x="2197"/>
        <item m="1" x="3209"/>
        <item m="1" x="4235"/>
        <item m="1" x="5228"/>
        <item m="1" x="6225"/>
        <item m="1" x="7229"/>
        <item m="1" x="306"/>
        <item m="1" x="1311"/>
        <item m="1" x="2313"/>
        <item m="1" x="3333"/>
        <item m="1" x="4356"/>
        <item m="1" x="5349"/>
        <item m="1" x="6345"/>
        <item m="1" x="7350"/>
        <item m="1" x="427"/>
        <item m="1" x="1431"/>
        <item m="1" x="2437"/>
        <item m="1" x="3459"/>
        <item m="1" x="4482"/>
        <item m="1" x="5468"/>
        <item m="1" x="6467"/>
        <item m="1" x="7470"/>
        <item m="1" x="549"/>
        <item m="1" x="1555"/>
        <item m="1" x="2563"/>
        <item m="1" x="3584"/>
        <item m="1" x="4600"/>
        <item m="1" x="5588"/>
        <item m="1" x="6587"/>
        <item m="1" x="7593"/>
        <item m="1" x="670"/>
        <item m="1" x="1679"/>
        <item m="1" x="2684"/>
        <item m="1" x="3707"/>
        <item m="1" x="4716"/>
        <item m="1" x="5706"/>
        <item m="1" x="6712"/>
        <item m="1" x="7716"/>
        <item m="1" x="790"/>
        <item m="1" x="1796"/>
        <item m="1" x="2806"/>
        <item m="1" x="3832"/>
        <item m="1" x="4838"/>
        <item m="1" x="5828"/>
        <item m="1" x="6834"/>
        <item m="1" x="7838"/>
        <item m="1" x="913"/>
        <item m="1" x="1915"/>
        <item m="1" x="2928"/>
        <item m="1" x="3961"/>
        <item m="1" x="4958"/>
        <item m="1" x="5947"/>
        <item m="1" x="6951"/>
        <item m="1" x="7958"/>
        <item m="1" x="1035"/>
        <item m="1" x="2039"/>
        <item m="1" x="3050"/>
        <item m="1" x="4085"/>
        <item m="1" x="5076"/>
        <item m="1" x="6069"/>
        <item m="1" x="7072"/>
        <item m="1" x="154"/>
        <item m="1" x="1158"/>
        <item m="1" x="2162"/>
        <item m="1" x="3174"/>
        <item m="1" x="4204"/>
        <item m="1" x="5195"/>
        <item m="1" x="6193"/>
        <item m="1" x="7196"/>
        <item m="1" x="276"/>
        <item m="1" x="1279"/>
        <item m="1" x="2282"/>
        <item m="1" x="3298"/>
        <item m="1" x="4327"/>
        <item m="1" x="5317"/>
        <item m="1" x="6313"/>
        <item m="1" x="7315"/>
        <item m="1" x="396"/>
        <item m="1" x="1397"/>
        <item m="1" x="2404"/>
        <item m="1" x="3422"/>
        <item m="1" x="4450"/>
        <item m="1" x="5435"/>
        <item m="1" x="6435"/>
        <item m="1" x="7435"/>
        <item m="1" x="520"/>
        <item m="1" x="1520"/>
        <item m="1" x="2531"/>
        <item m="1" x="3548"/>
        <item m="1" x="4572"/>
        <item m="1" x="5554"/>
        <item m="1" x="6557"/>
        <item m="1" x="7558"/>
        <item m="1" x="643"/>
        <item m="1" x="1645"/>
        <item m="1" x="2655"/>
        <item m="1" x="3671"/>
        <item m="1" x="4688"/>
        <item m="1" x="5675"/>
        <item m="1" x="6680"/>
        <item m="1" x="2468"/>
        <item m="1" x="3488"/>
        <item m="1" x="4511"/>
        <item m="1" x="5499"/>
        <item m="1" x="6497"/>
        <item m="1" x="7498"/>
        <item m="1" x="579"/>
        <item m="1" x="1586"/>
        <item m="1" x="2592"/>
        <item m="1" x="3612"/>
        <item m="1" x="4626"/>
        <item m="1" x="5619"/>
        <item m="1" x="6618"/>
        <item m="1" x="7622"/>
        <item m="1" x="699"/>
        <item m="1" x="1710"/>
        <item m="1" x="2714"/>
        <item m="1" x="3736"/>
        <item m="1" x="4745"/>
        <item m="1" x="5738"/>
        <item m="1" x="6743"/>
        <item m="1" x="7743"/>
        <item m="1" x="822"/>
        <item m="1" x="1825"/>
        <item m="1" x="2836"/>
        <item m="1" x="3860"/>
        <item m="1" x="4867"/>
        <item m="1" x="5855"/>
        <item m="1" x="6863"/>
        <item m="1" x="7862"/>
        <item m="1" x="942"/>
        <item m="1" x="1945"/>
        <item m="1" x="2958"/>
        <item m="1" x="3986"/>
        <item m="1" x="4986"/>
        <item m="1" x="5975"/>
        <item m="1" x="6981"/>
        <item m="1" x="7984"/>
        <item m="1" x="1065"/>
        <item m="1" x="2068"/>
        <item m="1" x="3082"/>
        <item m="1" x="4111"/>
        <item m="1" x="5103"/>
        <item m="1" x="6097"/>
        <item m="1" x="7102"/>
        <item m="1" x="181"/>
        <item m="1" x="1188"/>
        <item m="1" x="2189"/>
        <item m="1" x="3204"/>
        <item m="1" x="4229"/>
        <item m="1" x="5223"/>
        <item m="1" x="6218"/>
        <item m="1" x="7225"/>
        <item m="1" x="301"/>
        <item m="1" x="1308"/>
        <item m="1" x="2308"/>
        <item m="1" x="3330"/>
        <item m="1" x="4352"/>
        <item m="1" x="5345"/>
        <item m="1" x="6340"/>
        <item m="1" x="7347"/>
        <item m="1" x="423"/>
        <item m="1" x="1428"/>
        <item m="1" x="2432"/>
        <item m="1" x="3456"/>
        <item m="1" x="4477"/>
        <item m="1" x="5465"/>
        <item m="1" x="6462"/>
        <item m="1" x="7467"/>
        <item m="1" x="545"/>
        <item m="1" x="1551"/>
        <item m="1" x="2558"/>
        <item m="1" x="3580"/>
        <item m="1" x="4595"/>
        <item m="1" x="5583"/>
        <item m="1" x="6582"/>
        <item m="1" x="7588"/>
        <item m="1" x="666"/>
        <item m="1" x="1674"/>
        <item m="1" x="2680"/>
        <item m="1" x="3704"/>
        <item m="1" x="4712"/>
        <item m="1" x="5703"/>
        <item m="1" x="6708"/>
        <item m="1" x="7713"/>
        <item m="1" x="787"/>
        <item m="1" x="1793"/>
        <item m="1" x="2801"/>
        <item m="1" x="3828"/>
        <item m="1" x="4834"/>
        <item m="1" x="5825"/>
        <item m="1" x="6830"/>
        <item m="1" x="7835"/>
        <item m="1" x="910"/>
        <item m="1" x="1912"/>
        <item m="1" x="2924"/>
        <item m="1" x="3957"/>
        <item m="1" x="4954"/>
        <item m="1" x="5943"/>
        <item m="1" x="6947"/>
        <item m="1" x="7954"/>
        <item m="1" x="1032"/>
        <item m="1" x="2035"/>
        <item m="1" x="3046"/>
        <item m="1" x="4081"/>
        <item m="1" x="5072"/>
        <item m="1" x="6065"/>
        <item m="1" x="7067"/>
        <item m="1" x="149"/>
        <item m="1" x="1155"/>
        <item m="1" x="2158"/>
        <item m="1" x="3170"/>
        <item m="1" x="4200"/>
        <item m="1" x="5191"/>
        <item m="1" x="6188"/>
        <item m="1" x="7192"/>
        <item m="1" x="272"/>
        <item m="1" x="1276"/>
        <item m="1" x="2277"/>
        <item m="1" x="3294"/>
        <item m="1" x="4323"/>
        <item m="1" x="5313"/>
        <item m="1" x="84"/>
        <item m="1" x="1099"/>
        <item m="1" x="2099"/>
        <item m="1" x="3112"/>
        <item m="1" x="4138"/>
        <item m="1" x="5135"/>
        <item m="1" x="6126"/>
        <item m="1" x="7131"/>
        <item m="1" x="208"/>
        <item m="1" x="1220"/>
        <item m="1" x="2220"/>
        <item m="1" x="3234"/>
        <item m="1" x="4259"/>
        <item m="1" x="5255"/>
        <item m="1" x="6250"/>
        <item m="1" x="7255"/>
        <item m="1" x="331"/>
        <item m="1" x="1339"/>
        <item m="1" x="2340"/>
        <item m="1" x="3358"/>
        <item m="1" x="4382"/>
        <item m="1" x="5376"/>
        <item m="1" x="6372"/>
        <item m="1" x="7375"/>
        <item m="1" x="453"/>
        <item m="1" x="1458"/>
        <item m="1" x="2464"/>
        <item m="1" x="3483"/>
        <item m="1" x="4507"/>
        <item m="1" x="5493"/>
        <item m="1" x="6492"/>
        <item m="1" x="7493"/>
        <item m="1" x="574"/>
        <item m="1" x="1580"/>
        <item m="1" x="2587"/>
        <item m="1" x="3606"/>
        <item m="1" x="4622"/>
        <item m="1" x="5613"/>
        <item m="1" x="6613"/>
        <item m="1" x="7617"/>
        <item m="1" x="695"/>
        <item m="1" x="1704"/>
        <item m="1" x="2710"/>
        <item m="1" x="3731"/>
        <item m="1" x="4741"/>
        <item m="1" x="5732"/>
        <item m="1" x="6739"/>
        <item m="1" x="7738"/>
        <item m="1" x="817"/>
        <item m="1" x="1819"/>
        <item m="1" x="2832"/>
        <item m="1" x="3855"/>
        <item m="1" x="4863"/>
        <item m="1" x="5851"/>
        <item m="1" x="6861"/>
        <item m="1" x="7859"/>
        <item m="1" x="940"/>
        <item m="1" x="1941"/>
        <item m="1" x="2956"/>
        <item m="1" x="3983"/>
        <item m="1" x="4984"/>
        <item m="1" x="5971"/>
        <item m="1" x="6979"/>
        <item m="1" x="7980"/>
        <item m="1" x="1062"/>
        <item m="1" x="2064"/>
        <item m="1" x="3079"/>
        <item m="1" x="4108"/>
        <item m="1" x="5101"/>
        <item m="1" x="6092"/>
        <item m="1" x="7099"/>
        <item m="1" x="177"/>
        <item m="1" x="1185"/>
        <item m="1" x="2185"/>
        <item m="1" x="3201"/>
        <item m="1" x="4226"/>
        <item m="1" x="5220"/>
        <item m="1" x="6214"/>
        <item m="1" x="7222"/>
        <item m="1" x="297"/>
        <item m="1" x="1304"/>
        <item m="1" x="2304"/>
        <item m="1" x="3327"/>
        <item m="1" x="4349"/>
        <item m="1" x="5342"/>
        <item m="1" x="6336"/>
        <item m="1" x="7344"/>
        <item m="1" x="418"/>
        <item m="1" x="1424"/>
        <item m="1" x="2427"/>
        <item m="1" x="3453"/>
        <item m="1" x="4474"/>
        <item m="1" x="5462"/>
        <item m="1" x="6458"/>
        <item m="1" x="7464"/>
        <item m="1" x="541"/>
        <item m="1" x="1547"/>
        <item m="1" x="2554"/>
        <item m="1" x="3575"/>
        <item m="1" x="4592"/>
        <item m="1" x="5578"/>
        <item m="1" x="6578"/>
        <item m="1" x="7584"/>
        <item m="1" x="662"/>
        <item m="1" x="1670"/>
        <item m="1" x="2676"/>
        <item m="1" x="3700"/>
        <item m="1" x="4709"/>
        <item m="1" x="5699"/>
        <item m="1" x="6704"/>
        <item m="1" x="7709"/>
        <item m="1" x="783"/>
        <item m="1" x="1789"/>
        <item m="1" x="2796"/>
        <item m="1" x="3824"/>
        <item m="1" x="4831"/>
        <item m="1" x="5820"/>
        <item m="1" x="6826"/>
        <item m="1" x="7831"/>
        <item m="1" x="906"/>
        <item m="1" x="1907"/>
        <item m="1" x="2920"/>
        <item m="1" x="3952"/>
        <item m="1" x="6643"/>
        <item m="1" x="7647"/>
        <item m="1" x="726"/>
        <item m="1" x="1732"/>
        <item m="1" x="2737"/>
        <item m="1" x="3759"/>
        <item m="1" x="4772"/>
        <item m="1" x="5761"/>
        <item m="1" x="6766"/>
        <item m="1" x="7766"/>
        <item m="1" x="848"/>
        <item m="1" x="1848"/>
        <item m="1" x="2861"/>
        <item m="1" x="3885"/>
        <item m="1" x="4895"/>
        <item m="1" x="5881"/>
        <item m="1" x="6888"/>
        <item m="1" x="7887"/>
        <item m="1" x="972"/>
        <item m="1" x="1971"/>
        <item m="1" x="2985"/>
        <item m="1" x="4012"/>
        <item m="1" x="5015"/>
        <item m="1" x="6001"/>
        <item m="1" x="7006"/>
        <item m="1" x="81"/>
        <item m="1" x="1092"/>
        <item m="1" x="2094"/>
        <item m="1" x="3107"/>
        <item m="1" x="4134"/>
        <item m="1" x="5129"/>
        <item m="1" x="6122"/>
        <item m="1" x="7126"/>
        <item m="1" x="204"/>
        <item m="1" x="1214"/>
        <item m="1" x="2215"/>
        <item m="1" x="3229"/>
        <item m="1" x="4254"/>
        <item m="1" x="5249"/>
        <item m="1" x="6246"/>
        <item m="1" x="7250"/>
        <item m="1" x="327"/>
        <item m="1" x="1333"/>
        <item m="1" x="2335"/>
        <item m="1" x="3353"/>
        <item m="1" x="4378"/>
        <item m="1" x="5370"/>
        <item m="1" x="6368"/>
        <item m="1" x="7370"/>
        <item m="1" x="449"/>
        <item m="1" x="1452"/>
        <item m="1" x="2460"/>
        <item m="1" x="3478"/>
        <item m="1" x="4503"/>
        <item m="1" x="5489"/>
        <item m="1" x="6489"/>
        <item m="1" x="7490"/>
        <item m="1" x="571"/>
        <item m="1" x="1576"/>
        <item m="1" x="2585"/>
        <item m="1" x="3603"/>
        <item m="1" x="4620"/>
        <item m="1" x="5609"/>
        <item m="1" x="6611"/>
        <item m="1" x="7614"/>
        <item m="1" x="693"/>
        <item m="1" x="1700"/>
        <item m="1" x="2708"/>
        <item m="1" x="3727"/>
        <item m="1" x="4737"/>
        <item m="1" x="5728"/>
        <item m="1" x="6736"/>
        <item m="1" x="7735"/>
        <item m="1" x="814"/>
        <item m="1" x="1815"/>
        <item m="1" x="2829"/>
        <item m="1" x="3851"/>
        <item m="1" x="4860"/>
        <item m="1" x="5847"/>
        <item m="1" x="6858"/>
        <item m="1" x="7856"/>
        <item m="1" x="937"/>
        <item m="1" x="1937"/>
        <item m="1" x="2953"/>
        <item m="1" x="3979"/>
        <item m="1" x="4980"/>
        <item m="1" x="5967"/>
        <item m="1" x="6975"/>
        <item m="1" x="7977"/>
        <item m="1" x="1059"/>
        <item m="1" x="2060"/>
        <item m="1" x="3076"/>
        <item m="1" x="4104"/>
        <item m="1" x="5098"/>
        <item m="1" x="6088"/>
        <item m="1" x="7096"/>
        <item m="1" x="174"/>
        <item m="1" x="1181"/>
        <item m="1" x="2181"/>
        <item m="1" x="3197"/>
        <item m="1" x="4222"/>
        <item m="1" x="5216"/>
        <item m="1" x="6210"/>
        <item m="1" x="7218"/>
        <item m="1" x="294"/>
        <item m="1" x="1300"/>
        <item m="1" x="2300"/>
        <item m="1" x="3323"/>
        <item m="1" x="4345"/>
        <item m="1" x="5338"/>
        <item m="1" x="6332"/>
        <item m="1" x="7340"/>
        <item m="1" x="415"/>
        <item m="1" x="1419"/>
        <item m="1" x="2423"/>
        <item m="1" x="3449"/>
        <item m="1" x="4470"/>
        <item m="1" x="5457"/>
        <item m="1" x="6453"/>
        <item m="1" x="7459"/>
        <item m="1" x="538"/>
        <item m="1" x="1541"/>
        <item m="1" x="2549"/>
        <item m="1" x="4783"/>
        <item m="1" x="5278"/>
        <item m="1" x="5772"/>
        <item m="1" x="6273"/>
        <item m="1" x="6778"/>
        <item m="1" x="7276"/>
        <item m="1" x="7778"/>
        <item m="1" x="357"/>
        <item m="1" x="860"/>
        <item m="1" x="1361"/>
        <item m="1" x="1859"/>
        <item m="1" x="2363"/>
        <item m="1" x="2872"/>
        <item m="1" x="3381"/>
        <item m="1" x="3896"/>
        <item m="1" x="4408"/>
        <item m="1" x="4907"/>
        <item m="1" x="5398"/>
        <item m="1" x="5891"/>
        <item m="1" x="6395"/>
        <item m="1" x="6899"/>
        <item m="1" x="7395"/>
        <item m="1" x="7898"/>
        <item m="1" x="479"/>
        <item m="1" x="984"/>
        <item m="1" x="1481"/>
        <item m="1" x="1982"/>
        <item m="1" x="2488"/>
        <item m="1" x="2996"/>
        <item m="1" x="3506"/>
        <item m="1" x="4024"/>
        <item m="1" x="4533"/>
        <item m="1" x="5027"/>
        <item m="1" x="5518"/>
        <item m="1" x="6012"/>
        <item m="1" x="6517"/>
        <item m="1" x="7019"/>
        <item m="1" x="7517"/>
        <item m="1" x="94"/>
        <item m="1" x="602"/>
        <item m="1" x="1108"/>
        <item m="1" x="1607"/>
        <item m="1" x="2107"/>
        <item m="1" x="2613"/>
        <item m="1" x="3122"/>
        <item m="1" x="3632"/>
        <item m="1" x="4147"/>
        <item m="1" x="4649"/>
        <item m="1" x="5146"/>
        <item m="1" x="5638"/>
        <item m="1" x="6134"/>
        <item m="1" x="6639"/>
        <item m="1" x="7141"/>
        <item m="1" x="7642"/>
        <item m="1" x="216"/>
        <item m="1" x="720"/>
        <item m="1" x="1229"/>
        <item m="1" x="1727"/>
        <item m="1" x="2227"/>
        <item m="1" x="2732"/>
        <item m="1" x="3242"/>
        <item m="1" x="3755"/>
        <item m="1" x="4266"/>
        <item m="1" x="4766"/>
        <item m="1" x="5263"/>
        <item m="1" x="5756"/>
        <item m="1" x="6257"/>
        <item m="1" x="6761"/>
        <item m="1" x="7263"/>
        <item m="1" x="7761"/>
        <item m="1" x="339"/>
        <item m="1" x="842"/>
        <item m="1" x="1348"/>
        <item m="1" x="1844"/>
        <item m="1" x="2348"/>
        <item m="1" x="2856"/>
        <item m="1" x="3367"/>
        <item m="1" x="3881"/>
        <item m="1" x="4390"/>
        <item m="1" x="4889"/>
        <item m="1" x="5385"/>
        <item m="1" x="5876"/>
        <item m="1" x="6379"/>
        <item m="1" x="6883"/>
        <item m="1" x="7383"/>
        <item m="1" x="7882"/>
        <item m="1" x="460"/>
        <item m="1" x="966"/>
        <item m="1" x="1467"/>
        <item m="1" x="1966"/>
        <item m="1" x="2473"/>
        <item m="1" x="2980"/>
        <item m="1" x="3493"/>
        <item m="1" x="4008"/>
        <item m="1" x="4515"/>
        <item m="1" x="5008"/>
        <item m="1" x="5504"/>
        <item m="1" x="5997"/>
        <item m="1" x="6501"/>
        <item m="1" x="7001"/>
        <item m="1" x="7503"/>
        <item m="1" x="76"/>
        <item m="1" x="583"/>
        <item m="1" x="1086"/>
        <item m="1" x="1591"/>
        <item m="1" x="2090"/>
        <item m="1" x="2597"/>
        <item m="1" x="3103"/>
        <item m="1" x="3617"/>
        <item m="1" x="4132"/>
        <item m="1" x="4631"/>
        <item m="1" x="5125"/>
        <item m="1" x="5624"/>
        <item m="1" x="6120"/>
        <item m="1" x="6623"/>
        <item m="1" x="7123"/>
        <item m="1" x="7628"/>
        <item m="1" x="201"/>
        <item m="1" x="703"/>
        <item m="1" x="1210"/>
        <item m="1" x="1715"/>
        <item m="1" x="2212"/>
        <item m="1" x="2719"/>
        <item m="1" x="3226"/>
        <item m="1" x="3742"/>
        <item m="1" x="4252"/>
        <item m="1" x="4749"/>
        <item m="1" x="5245"/>
        <item m="1" x="5744"/>
        <item m="1" x="6244"/>
        <item m="1" x="6747"/>
        <item m="1" x="7246"/>
        <item m="1" x="7748"/>
        <item m="1" x="324"/>
        <item m="1" x="826"/>
        <item m="1" x="1329"/>
        <item m="1" x="1831"/>
        <item m="1" x="2333"/>
        <item m="1" x="2841"/>
        <item m="1" x="3350"/>
        <item m="1" x="3866"/>
        <item m="1" x="4375"/>
        <item m="1" x="4874"/>
        <item m="1" x="5366"/>
        <item m="1" x="5863"/>
        <item m="1" x="6365"/>
        <item m="1" x="6869"/>
        <item m="1" x="7366"/>
        <item m="1" x="7869"/>
        <item m="1" x="445"/>
        <item m="1" x="948"/>
        <item m="1" x="1448"/>
        <item m="1" x="1953"/>
        <item m="1" x="2456"/>
        <item m="1" x="2965"/>
        <item m="1" x="3475"/>
        <item m="1" x="3993"/>
        <item m="1" x="4499"/>
        <item m="1" x="4992"/>
        <item m="1" x="5485"/>
        <item m="1" x="5983"/>
        <item m="1" x="6486"/>
        <item m="1" x="6987"/>
        <item m="1" x="7486"/>
        <item m="1" x="7991"/>
        <item m="1" x="567"/>
        <item m="1" x="1071"/>
        <item m="1" x="1572"/>
        <item m="1" x="2076"/>
        <item m="1" x="2582"/>
        <item m="1" x="3089"/>
        <item m="1" x="3600"/>
        <item m="1" x="4118"/>
        <item m="1" x="4617"/>
        <item m="1" x="5110"/>
        <item m="1" x="5605"/>
        <item m="1" x="6105"/>
        <item m="1" x="6608"/>
        <item m="1" x="7109"/>
        <item m="1" x="7610"/>
        <item m="1" x="188"/>
        <item m="1" x="690"/>
        <item m="1" x="1194"/>
        <item m="1" x="1696"/>
        <item m="1" x="2198"/>
        <item m="1" x="2704"/>
        <item m="1" x="3210"/>
        <item m="1" x="3724"/>
        <item m="1" x="4236"/>
        <item m="1" x="4734"/>
        <item m="1" x="5229"/>
        <item m="1" x="5723"/>
        <item m="1" x="6226"/>
        <item m="1" x="6732"/>
        <item m="1" x="7230"/>
        <item m="1" x="7731"/>
        <item m="1" x="307"/>
        <item m="1" x="810"/>
        <item m="1" x="1312"/>
        <item m="1" x="1811"/>
        <item m="1" x="2314"/>
        <item m="1" x="2825"/>
        <item m="1" x="3334"/>
        <item m="1" x="3848"/>
        <item m="1" x="4357"/>
        <item m="1" x="4856"/>
        <item m="1" x="5350"/>
        <item m="1" x="5843"/>
        <item m="1" x="6346"/>
        <item m="1" x="6854"/>
        <item m="1" x="7351"/>
        <item m="1" x="7852"/>
        <item m="1" x="428"/>
        <item m="1" x="933"/>
        <item m="1" x="1432"/>
        <item m="1" x="1932"/>
        <item m="1" x="2438"/>
        <item m="1" x="2948"/>
        <item m="1" x="3460"/>
        <item m="1" x="3976"/>
        <item m="1" x="4483"/>
        <item m="1" x="4975"/>
        <item m="1" x="5469"/>
        <item m="1" x="5963"/>
        <item m="1" x="6468"/>
        <item m="1" x="6971"/>
        <item m="1" x="7471"/>
        <item m="1" x="7973"/>
        <item m="1" x="550"/>
        <item m="1" x="1054"/>
        <item m="1" x="1556"/>
        <item m="1" x="2056"/>
        <item m="1" x="2564"/>
        <item m="1" x="3072"/>
        <item m="1" x="3585"/>
        <item m="1" x="4101"/>
        <item m="1" x="4601"/>
        <item m="1" x="5093"/>
        <item m="1" x="5589"/>
        <item m="1" x="6084"/>
        <item m="1" x="6588"/>
        <item m="1" x="7092"/>
        <item m="1" x="7594"/>
        <item m="1" x="169"/>
        <item m="1" x="671"/>
        <item m="1" x="3393"/>
        <item m="1" x="3913"/>
        <item m="1" x="4420"/>
        <item m="1" x="4916"/>
        <item m="1" x="5408"/>
        <item m="1" x="5902"/>
        <item m="1" x="6405"/>
        <item m="1" x="6908"/>
        <item m="1" x="7406"/>
        <item m="1" x="7911"/>
        <item m="1" x="489"/>
        <item m="1" x="993"/>
        <item m="1" x="1491"/>
        <item m="1" x="1992"/>
        <item m="1" x="2499"/>
        <item m="1" x="3004"/>
        <item m="1" x="3517"/>
        <item m="1" x="4037"/>
        <item m="1" x="4544"/>
        <item m="1" x="5036"/>
        <item m="1" x="5528"/>
        <item m="1" x="6023"/>
        <item m="1" x="6528"/>
        <item m="1" x="7027"/>
        <item m="1" x="7529"/>
        <item m="1" x="107"/>
        <item m="1" x="614"/>
        <item m="1" x="1117"/>
        <item m="1" x="1616"/>
        <item m="1" x="2118"/>
        <item m="1" x="2624"/>
        <item m="1" x="3130"/>
        <item m="1" x="3642"/>
        <item m="1" x="4160"/>
        <item m="1" x="4660"/>
        <item m="1" x="5154"/>
        <item m="1" x="5648"/>
        <item m="1" x="6146"/>
        <item m="1" x="6651"/>
        <item m="1" x="7151"/>
        <item m="1" x="7654"/>
        <item m="1" x="230"/>
        <item m="1" x="734"/>
        <item m="1" x="1239"/>
        <item m="1" x="1739"/>
        <item m="1" x="2239"/>
        <item m="1" x="2745"/>
        <item m="1" x="3253"/>
        <item m="1" x="3767"/>
        <item m="1" x="4280"/>
        <item m="1" x="4780"/>
        <item m="1" x="5274"/>
        <item m="1" x="5768"/>
        <item m="1" x="6268"/>
        <item m="1" x="6774"/>
        <item m="1" x="7272"/>
        <item m="1" x="7773"/>
        <item m="1" x="351"/>
        <item m="1" x="856"/>
        <item m="1" x="1356"/>
        <item m="1" x="1854"/>
        <item m="1" x="2358"/>
        <item m="1" x="2868"/>
        <item m="1" x="3376"/>
        <item m="1" x="3891"/>
        <item m="1" x="4402"/>
        <item m="1" x="4902"/>
        <item m="1" x="5392"/>
        <item m="1" x="5887"/>
        <item m="1" x="6389"/>
        <item m="1" x="6895"/>
        <item m="1" x="7391"/>
        <item m="1" x="7893"/>
        <item m="1" x="473"/>
        <item m="1" x="980"/>
        <item m="1" x="1476"/>
        <item m="1" x="1977"/>
        <item m="1" x="2483"/>
        <item m="1" x="2992"/>
        <item m="1" x="3501"/>
        <item m="1" x="4019"/>
        <item m="1" x="4527"/>
        <item m="1" x="5023"/>
        <item m="1" x="5513"/>
        <item m="1" x="6008"/>
        <item m="1" x="6512"/>
        <item m="1" x="7014"/>
        <item m="1" x="7513"/>
        <item m="1" x="89"/>
        <item m="1" x="596"/>
        <item m="1" x="1103"/>
        <item m="1" x="1603"/>
        <item m="1" x="2102"/>
        <item m="1" x="2608"/>
        <item m="1" x="3117"/>
        <item m="1" x="3627"/>
        <item m="1" x="4141"/>
        <item m="1" x="4643"/>
        <item m="1" x="5140"/>
        <item m="1" x="5633"/>
        <item m="1" x="6130"/>
        <item m="1" x="6634"/>
        <item m="1" x="7135"/>
        <item m="1" x="7638"/>
        <item m="1" x="211"/>
        <item m="1" x="716"/>
        <item m="1" x="1224"/>
        <item m="1" x="1725"/>
        <item m="1" x="2223"/>
        <item m="1" x="2729"/>
        <item m="1" x="3238"/>
        <item m="1" x="3752"/>
        <item m="1" x="4262"/>
        <item m="1" x="4762"/>
        <item m="1" x="5259"/>
        <item m="1" x="5754"/>
        <item m="1" x="6254"/>
        <item m="1" x="6758"/>
        <item m="1" x="7259"/>
        <item m="1" x="7759"/>
        <item m="1" x="335"/>
        <item m="1" x="838"/>
        <item m="1" x="1344"/>
        <item m="1" x="1842"/>
        <item m="1" x="2344"/>
        <item m="1" x="2852"/>
        <item m="1" x="3363"/>
        <item m="1" x="3878"/>
        <item m="1" x="4385"/>
        <item m="1" x="4885"/>
        <item m="1" x="5381"/>
        <item m="1" x="5873"/>
        <item m="1" x="6376"/>
        <item m="1" x="6880"/>
        <item m="1" x="7379"/>
        <item m="1" x="7879"/>
        <item m="1" x="456"/>
        <item m="1" x="960"/>
        <item m="1" x="1463"/>
        <item m="1" x="1963"/>
        <item m="1" x="2469"/>
        <item m="1" x="2975"/>
        <item m="1" x="3489"/>
        <item m="1" x="4004"/>
        <item m="1" x="4512"/>
        <item m="1" x="5003"/>
        <item m="1" x="5500"/>
        <item m="1" x="5994"/>
        <item m="1" x="6498"/>
        <item m="1" x="6997"/>
        <item m="1" x="7499"/>
        <item m="1" x="73"/>
        <item m="1" x="580"/>
        <item m="1" x="1081"/>
        <item m="1" x="1587"/>
        <item m="1" x="2087"/>
        <item m="1" x="2593"/>
        <item m="1" x="3098"/>
        <item m="1" x="3613"/>
        <item m="1" x="4128"/>
        <item m="1" x="4627"/>
        <item m="1" x="5120"/>
        <item m="1" x="5620"/>
        <item m="1" x="6116"/>
        <item m="1" x="6619"/>
        <item m="1" x="7119"/>
        <item m="1" x="7623"/>
        <item m="1" x="198"/>
        <item m="1" x="700"/>
        <item m="1" x="1205"/>
        <item m="1" x="1711"/>
        <item m="1" x="2209"/>
        <item m="1" x="2715"/>
        <item m="1" x="3220"/>
        <item m="1" x="3737"/>
        <item m="1" x="4248"/>
        <item m="1" x="4746"/>
        <item m="1" x="5240"/>
        <item m="1" x="5739"/>
        <item m="1" x="6241"/>
        <item m="1" x="6744"/>
        <item m="1" x="7242"/>
        <item m="1" x="7744"/>
        <item m="1" x="321"/>
        <item m="1" x="823"/>
        <item m="1" x="1324"/>
        <item m="1" x="1826"/>
        <item m="1" x="2330"/>
        <item m="1" x="2837"/>
        <item m="1" x="3345"/>
        <item m="1" x="3861"/>
        <item m="1" x="4371"/>
        <item m="1" x="4868"/>
        <item m="1" x="5361"/>
        <item m="1" x="5856"/>
        <item m="1" x="6360"/>
        <item m="1" x="6864"/>
        <item m="1" x="7362"/>
        <item m="1" x="7863"/>
        <item m="1" x="440"/>
        <item m="1" x="943"/>
        <item m="1" x="1443"/>
        <item m="1" x="1946"/>
        <item m="1" x="2451"/>
        <item m="1" x="2959"/>
        <item m="1" x="3470"/>
        <item m="1" x="3987"/>
        <item m="1" x="4495"/>
        <item m="1" x="4987"/>
        <item m="1" x="5480"/>
        <item m="1" x="5976"/>
        <item m="1" x="6482"/>
        <item m="1" x="6982"/>
        <item m="1" x="7482"/>
        <item m="1" x="7985"/>
        <item m="1" x="563"/>
        <item m="1" x="1066"/>
        <item m="1" x="1567"/>
        <item m="1" x="2069"/>
        <item m="1" x="2578"/>
        <item m="1" x="3083"/>
        <item m="1" x="3595"/>
        <item m="1" x="4112"/>
        <item m="1" x="4613"/>
        <item m="1" x="5104"/>
        <item m="1" x="5599"/>
        <item m="1" x="6098"/>
        <item m="1" x="6602"/>
        <item m="1" x="7103"/>
        <item m="1" x="7606"/>
        <item m="1" x="182"/>
        <item m="1" x="685"/>
        <item m="1" x="1189"/>
        <item m="1" x="1691"/>
        <item m="1" x="2190"/>
        <item m="1" x="2699"/>
        <item m="1" x="3205"/>
        <item m="1" x="3719"/>
        <item m="1" x="4230"/>
        <item m="1" x="4729"/>
        <item m="1" x="5224"/>
        <item m="1" x="5718"/>
        <item m="1" x="6219"/>
        <item m="1" x="6727"/>
        <item m="1" x="7226"/>
        <item m="1" x="1504"/>
        <item m="1" x="2004"/>
        <item m="1" x="2511"/>
        <item m="1" x="3017"/>
        <item m="1" x="3532"/>
        <item m="1" x="4050"/>
        <item m="1" x="4553"/>
        <item m="1" x="5046"/>
        <item m="1" x="5538"/>
        <item m="1" x="6034"/>
        <item m="1" x="6536"/>
        <item m="1" x="7037"/>
        <item m="1" x="7542"/>
        <item m="1" x="118"/>
        <item m="1" x="622"/>
        <item m="1" x="1127"/>
        <item m="1" x="1627"/>
        <item m="1" x="2128"/>
        <item m="1" x="2633"/>
        <item m="1" x="3141"/>
        <item m="1" x="3655"/>
        <item m="1" x="4170"/>
        <item m="1" x="4669"/>
        <item m="1" x="5165"/>
        <item m="1" x="5659"/>
        <item m="1" x="6156"/>
        <item m="1" x="6660"/>
        <item m="1" x="7162"/>
        <item m="1" x="7667"/>
        <item m="1" x="241"/>
        <item m="1" x="743"/>
        <item m="1" x="1249"/>
        <item m="1" x="1750"/>
        <item m="1" x="2249"/>
        <item m="1" x="2754"/>
        <item m="1" x="3265"/>
        <item m="1" x="3781"/>
        <item m="1" x="4293"/>
        <item m="1" x="4790"/>
        <item m="1" x="5285"/>
        <item m="1" x="5781"/>
        <item m="1" x="6281"/>
        <item m="1" x="6785"/>
        <item m="1" x="7283"/>
        <item m="1" x="7789"/>
        <item m="1" x="365"/>
        <item m="1" x="866"/>
        <item m="1" x="1368"/>
        <item m="1" x="1867"/>
        <item m="1" x="2371"/>
        <item m="1" x="2879"/>
        <item m="1" x="3388"/>
        <item m="1" x="3906"/>
        <item m="1" x="4416"/>
        <item m="1" x="4912"/>
        <item m="1" x="5404"/>
        <item m="1" x="5898"/>
        <item m="1" x="6402"/>
        <item m="1" x="6904"/>
        <item m="1" x="7402"/>
        <item m="1" x="7906"/>
        <item m="1" x="486"/>
        <item m="1" x="989"/>
        <item m="1" x="1488"/>
        <item m="1" x="1988"/>
        <item m="1" x="2496"/>
        <item m="1" x="3001"/>
        <item m="1" x="3513"/>
        <item m="1" x="4032"/>
        <item m="1" x="4541"/>
        <item m="1" x="5032"/>
        <item m="1" x="5524"/>
        <item m="1" x="6019"/>
        <item m="1" x="6525"/>
        <item m="1" x="7023"/>
        <item m="1" x="7524"/>
        <item m="1" x="102"/>
        <item m="1" x="610"/>
        <item m="1" x="1112"/>
        <item m="1" x="1613"/>
        <item m="1" x="2114"/>
        <item m="1" x="2620"/>
        <item m="1" x="3127"/>
        <item m="1" x="3638"/>
        <item m="1" x="4155"/>
        <item m="1" x="4657"/>
        <item m="1" x="5150"/>
        <item m="1" x="5644"/>
        <item m="1" x="6142"/>
        <item m="1" x="6647"/>
        <item m="1" x="7147"/>
        <item m="1" x="7650"/>
        <item m="1" x="225"/>
        <item m="1" x="730"/>
        <item m="1" x="1236"/>
        <item m="1" x="1736"/>
        <item m="1" x="2235"/>
        <item m="1" x="2741"/>
        <item m="1" x="3250"/>
        <item m="1" x="3763"/>
        <item m="1" x="4275"/>
        <item m="1" x="4776"/>
        <item m="1" x="5271"/>
        <item m="1" x="5764"/>
        <item m="1" x="6265"/>
        <item m="1" x="6770"/>
        <item m="1" x="7270"/>
        <item m="1" x="7769"/>
        <item m="1" x="348"/>
        <item m="1" x="852"/>
        <item m="1" x="1354"/>
        <item m="1" x="1852"/>
        <item m="1" x="2356"/>
        <item m="1" x="2865"/>
        <item m="1" x="3374"/>
        <item m="1" x="3888"/>
        <item m="1" x="4399"/>
        <item m="1" x="4899"/>
        <item m="1" x="5391"/>
        <item m="1" x="5884"/>
        <item m="1" x="6387"/>
        <item m="1" x="6892"/>
        <item m="1" x="7389"/>
        <item m="1" x="7890"/>
        <item m="1" x="470"/>
        <item m="1" x="977"/>
        <item m="1" x="1475"/>
        <item m="1" x="1975"/>
        <item m="1" x="2481"/>
        <item m="1" x="2989"/>
        <item m="1" x="3500"/>
        <item m="1" x="4016"/>
        <item m="1" x="4524"/>
        <item m="1" x="5020"/>
        <item m="1" x="5512"/>
        <item m="1" x="6005"/>
        <item m="1" x="6509"/>
        <item m="1" x="7011"/>
        <item m="1" x="7510"/>
        <item m="1" x="85"/>
        <item m="1" x="592"/>
        <item m="1" x="1100"/>
        <item m="1" x="1600"/>
        <item m="1" x="2100"/>
        <item m="1" x="2605"/>
        <item m="1" x="3113"/>
        <item m="1" x="3625"/>
        <item m="1" x="4139"/>
        <item m="1" x="4639"/>
        <item m="1" x="5136"/>
        <item m="1" x="5631"/>
        <item m="1" x="6127"/>
        <item m="1" x="6630"/>
        <item m="1" x="7132"/>
        <item m="1" x="7635"/>
        <item m="1" x="209"/>
        <item m="1" x="712"/>
        <item m="1" x="1221"/>
        <item m="1" x="1723"/>
        <item m="1" x="2221"/>
        <item m="1" x="2726"/>
        <item m="1" x="3235"/>
        <item m="1" x="3750"/>
        <item m="1" x="4260"/>
        <item m="1" x="4758"/>
        <item m="1" x="5256"/>
        <item m="1" x="5752"/>
        <item m="1" x="6251"/>
        <item m="1" x="6754"/>
        <item m="1" x="7256"/>
        <item m="1" x="7756"/>
        <item m="1" x="332"/>
        <item m="1" x="834"/>
        <item m="1" x="1340"/>
        <item m="1" x="1838"/>
        <item m="1" x="2341"/>
        <item m="1" x="2848"/>
        <item m="1" x="3359"/>
        <item m="1" x="3874"/>
        <item m="1" x="4383"/>
        <item m="1" x="4881"/>
        <item m="1" x="5377"/>
        <item m="1" x="5871"/>
        <item m="1" x="6373"/>
        <item m="1" x="6876"/>
        <item m="1" x="7376"/>
        <item m="1" x="7877"/>
        <item m="1" x="454"/>
        <item m="1" x="956"/>
        <item m="1" x="1459"/>
        <item m="1" x="1961"/>
        <item m="1" x="2465"/>
        <item m="1" x="2972"/>
        <item m="1" x="3484"/>
        <item m="1" x="4001"/>
        <item m="1" x="4508"/>
        <item m="1" x="4999"/>
        <item m="1" x="5494"/>
        <item m="1" x="5991"/>
        <item m="1" x="6493"/>
        <item m="1" x="6993"/>
        <item m="1" x="7494"/>
        <item m="1" x="7998"/>
        <item m="1" x="575"/>
        <item m="1" x="1077"/>
        <item m="1" x="1581"/>
        <item m="1" x="2083"/>
        <item m="1" x="2588"/>
        <item m="1" x="3095"/>
        <item m="1" x="3607"/>
        <item m="1" x="4125"/>
        <item m="1" x="4623"/>
        <item m="1" x="5116"/>
        <item m="1" x="5614"/>
        <item m="1" x="6113"/>
        <item m="1" x="6614"/>
        <item m="1" x="7115"/>
        <item m="1" x="7618"/>
        <item m="1" x="195"/>
        <item m="1" x="696"/>
        <item m="1" x="1201"/>
        <item m="1" x="1705"/>
        <item m="1" x="2206"/>
        <item m="1" x="2711"/>
        <item m="1" x="3217"/>
        <item m="1" x="3732"/>
        <item m="1" x="4244"/>
        <item m="1" x="4742"/>
        <item m="1" x="5236"/>
        <item m="1" x="5733"/>
        <item m="1" x="6237"/>
        <item m="1" x="6740"/>
        <item m="1" x="7238"/>
        <item m="1" x="7739"/>
        <item m="1" x="317"/>
        <item m="1" x="818"/>
        <item m="1" x="1319"/>
        <item m="1" x="1820"/>
        <item m="1" x="2325"/>
        <item m="1" x="2833"/>
        <item m="1" x="3342"/>
        <item m="1" x="3856"/>
        <item m="1" x="4366"/>
        <item m="1" x="4864"/>
        <item m="1" x="5357"/>
        <item m="1" x="129"/>
        <item m="1" x="635"/>
        <item m="1" x="1140"/>
        <item m="1" x="1639"/>
        <item m="1" x="2138"/>
        <item m="1" x="2645"/>
        <item m="1" x="3154"/>
        <item m="1" x="3666"/>
        <item m="1" x="4179"/>
        <item m="1" x="4681"/>
        <item m="1" x="5176"/>
        <item m="1" x="5669"/>
        <item m="1" x="6166"/>
        <item m="1" x="6671"/>
        <item m="1" x="7175"/>
        <item m="1" x="7678"/>
        <item m="1" x="250"/>
        <item m="1" x="754"/>
        <item m="1" x="1260"/>
        <item m="1" x="1760"/>
        <item m="1" x="2257"/>
        <item m="1" x="2765"/>
        <item m="1" x="3278"/>
        <item m="1" x="3792"/>
        <item m="1" x="4301"/>
        <item m="1" x="4802"/>
        <item m="1" x="5296"/>
        <item m="1" x="5791"/>
        <item m="1" x="6289"/>
        <item m="1" x="6796"/>
        <item m="1" x="7296"/>
        <item m="1" x="7800"/>
        <item m="1" x="374"/>
        <item m="1" x="878"/>
        <item m="1" x="1379"/>
        <item m="1" x="1879"/>
        <item m="1" x="2380"/>
        <item m="1" x="2890"/>
        <item m="1" x="3403"/>
        <item m="1" x="3921"/>
        <item m="1" x="4427"/>
        <item m="1" x="4924"/>
        <item m="1" x="5416"/>
        <item m="1" x="5911"/>
        <item m="1" x="6412"/>
        <item m="1" x="6916"/>
        <item m="1" x="7416"/>
        <item m="1" x="7921"/>
        <item m="1" x="496"/>
        <item m="1" x="1000"/>
        <item m="1" x="1500"/>
        <item m="1" x="2001"/>
        <item m="1" x="2506"/>
        <item m="1" x="3012"/>
        <item m="1" x="3526"/>
        <item m="1" x="4045"/>
        <item m="1" x="4548"/>
        <item m="1" x="5043"/>
        <item m="1" x="5534"/>
        <item m="1" x="6030"/>
        <item m="1" x="6533"/>
        <item m="1" x="7033"/>
        <item m="1" x="7537"/>
        <item m="1" x="114"/>
        <item m="1" x="618"/>
        <item m="1" x="1123"/>
        <item m="1" x="1623"/>
        <item m="1" x="2125"/>
        <item m="1" x="2629"/>
        <item m="1" x="3137"/>
        <item m="1" x="3650"/>
        <item m="1" x="4167"/>
        <item m="1" x="4665"/>
        <item m="1" x="5162"/>
        <item m="1" x="5655"/>
        <item m="1" x="6153"/>
        <item m="1" x="6657"/>
        <item m="1" x="7158"/>
        <item m="1" x="7662"/>
        <item m="1" x="238"/>
        <item m="1" x="739"/>
        <item m="1" x="1245"/>
        <item m="1" x="1746"/>
        <item m="1" x="2246"/>
        <item m="1" x="2750"/>
        <item m="1" x="3260"/>
        <item m="1" x="3776"/>
        <item m="1" x="4288"/>
        <item m="1" x="4786"/>
        <item m="1" x="5282"/>
        <item m="1" x="5777"/>
        <item m="1" x="6277"/>
        <item m="1" x="6782"/>
        <item m="1" x="7279"/>
        <item m="1" x="7783"/>
        <item m="1" x="361"/>
        <item m="1" x="863"/>
        <item m="1" x="1364"/>
        <item m="1" x="1863"/>
        <item m="1" x="2367"/>
        <item m="1" x="2875"/>
        <item m="1" x="3384"/>
        <item m="1" x="3901"/>
        <item m="1" x="4412"/>
        <item m="1" x="4910"/>
        <item m="1" x="5402"/>
        <item m="1" x="5896"/>
        <item m="1" x="6399"/>
        <item m="1" x="6903"/>
        <item m="1" x="7399"/>
        <item m="1" x="7903"/>
        <item m="1" x="483"/>
        <item m="1" x="988"/>
        <item m="1" x="1485"/>
        <item m="1" x="1986"/>
        <item m="1" x="2493"/>
        <item m="1" x="2999"/>
        <item m="1" x="3509"/>
        <item m="1" x="4029"/>
        <item m="1" x="4537"/>
        <item m="1" x="5030"/>
        <item m="1" x="5522"/>
        <item m="1" x="6017"/>
        <item m="1" x="6521"/>
        <item m="1" x="7022"/>
        <item m="1" x="7521"/>
        <item m="1" x="99"/>
        <item m="1" x="607"/>
        <item m="1" x="1111"/>
        <item m="1" x="1610"/>
        <item m="1" x="2111"/>
        <item m="1" x="2617"/>
        <item m="1" x="3125"/>
        <item m="1" x="3635"/>
        <item m="1" x="4152"/>
        <item m="1" x="4654"/>
        <item m="1" x="5149"/>
        <item m="1" x="5642"/>
        <item m="1" x="6139"/>
        <item m="1" x="6644"/>
        <item m="1" x="7145"/>
        <item m="1" x="7648"/>
        <item m="1" x="221"/>
        <item m="1" x="727"/>
        <item m="1" x="1234"/>
        <item m="1" x="1733"/>
        <item m="1" x="2231"/>
        <item m="1" x="2738"/>
        <item m="1" x="3247"/>
        <item m="1" x="3760"/>
        <item m="1" x="4271"/>
        <item m="1" x="4773"/>
        <item m="1" x="5268"/>
        <item m="1" x="5762"/>
        <item m="1" x="6262"/>
        <item m="1" x="6767"/>
        <item m="1" x="7267"/>
        <item m="1" x="7767"/>
        <item m="1" x="344"/>
        <item m="1" x="849"/>
        <item m="1" x="1352"/>
        <item m="1" x="1849"/>
        <item m="1" x="2352"/>
        <item m="1" x="2862"/>
        <item m="1" x="3371"/>
        <item m="1" x="3886"/>
        <item m="1" x="4395"/>
        <item m="1" x="4896"/>
        <item m="1" x="5389"/>
        <item m="1" x="5882"/>
        <item m="1" x="6384"/>
        <item m="1" x="6889"/>
        <item m="1" x="7387"/>
        <item m="1" x="7888"/>
        <item m="1" x="466"/>
        <item m="1" x="973"/>
        <item m="1" x="1473"/>
        <item m="1" x="1972"/>
        <item m="1" x="2477"/>
        <item m="1" x="2986"/>
        <item m="1" x="3498"/>
        <item m="1" x="4013"/>
        <item m="1" x="4520"/>
        <item m="1" x="5016"/>
        <item m="1" x="5509"/>
        <item m="1" x="6002"/>
        <item m="1" x="6506"/>
        <item m="1" x="7007"/>
        <item m="1" x="7508"/>
        <item m="1" x="82"/>
        <item m="1" x="588"/>
        <item m="1" x="1093"/>
        <item m="1" x="1597"/>
        <item m="1" x="2095"/>
        <item m="1" x="2601"/>
        <item m="1" x="3108"/>
        <item m="1" x="3622"/>
        <item m="1" x="4135"/>
        <item m="1" x="4635"/>
        <item m="1" x="5130"/>
        <item m="1" x="5628"/>
        <item m="1" x="6123"/>
        <item m="1" x="6627"/>
        <item m="1" x="7127"/>
        <item m="1" x="7632"/>
        <item m="1" x="205"/>
        <item m="1" x="708"/>
        <item m="1" x="1215"/>
        <item m="1" x="1720"/>
        <item m="1" x="2216"/>
        <item m="1" x="2722"/>
        <item m="1" x="3230"/>
        <item m="1" x="3747"/>
        <item m="1" x="4255"/>
        <item m="1" x="4753"/>
        <item m="1" x="5250"/>
        <item m="1" x="5748"/>
        <item m="1" x="6247"/>
        <item m="1" x="6751"/>
        <item m="1" x="7251"/>
        <item m="1" x="7752"/>
        <item m="1" x="328"/>
        <item m="1" x="830"/>
        <item m="1" x="1334"/>
        <item m="1" x="1835"/>
        <item m="1" x="2336"/>
        <item m="1" x="2844"/>
        <item m="1" x="3354"/>
        <item m="1" x="3870"/>
        <item m="1" x="4379"/>
        <item m="1" x="4877"/>
        <item m="1" x="5371"/>
        <item m="1" x="5867"/>
        <item m="1" x="6369"/>
        <item m="1" x="6873"/>
        <item m="1" x="7371"/>
        <item m="1" x="7873"/>
        <item m="1" x="450"/>
        <item m="1" x="952"/>
        <item m="1" x="1453"/>
        <item m="1" x="1957"/>
        <item m="1" x="2461"/>
        <item m="1" x="2968"/>
        <item m="1" x="3479"/>
        <item m="1" x="6179"/>
        <item m="1" x="6687"/>
        <item m="1" x="7186"/>
        <item m="1" x="7687"/>
        <item m="1" x="265"/>
        <item m="1" x="766"/>
        <item m="1" x="1270"/>
        <item m="1" x="1769"/>
        <item m="1" x="2268"/>
        <item m="1" x="2778"/>
        <item m="1" x="3288"/>
        <item m="1" x="3801"/>
        <item m="1" x="4315"/>
        <item m="1" x="4812"/>
        <item m="1" x="5307"/>
        <item m="1" x="5799"/>
        <item m="1" x="6300"/>
        <item m="1" x="6809"/>
        <item m="1" x="7307"/>
        <item m="1" x="7809"/>
        <item m="1" x="387"/>
        <item m="1" x="889"/>
        <item m="1" x="1390"/>
        <item m="1" x="1887"/>
        <item m="1" x="2392"/>
        <item m="1" x="2903"/>
        <item m="1" x="3415"/>
        <item m="1" x="3930"/>
        <item m="1" x="4440"/>
        <item m="1" x="4935"/>
        <item m="1" x="5427"/>
        <item m="1" x="5919"/>
        <item m="1" x="6423"/>
        <item m="1" x="6929"/>
        <item m="1" x="7427"/>
        <item m="1" x="7929"/>
        <item m="1" x="509"/>
        <item m="1" x="1012"/>
        <item m="1" x="1512"/>
        <item m="1" x="2011"/>
        <item m="1" x="2519"/>
        <item m="1" x="3027"/>
        <item m="1" x="3540"/>
        <item m="1" x="4056"/>
        <item m="1" x="4562"/>
        <item m="1" x="5055"/>
        <item m="1" x="5546"/>
        <item m="1" x="6041"/>
        <item m="1" x="6544"/>
        <item m="1" x="7047"/>
        <item m="1" x="7550"/>
        <item m="1" x="125"/>
        <item m="1" x="631"/>
        <item m="1" x="1135"/>
        <item m="1" x="1635"/>
        <item m="1" x="2134"/>
        <item m="1" x="2640"/>
        <item m="1" x="3149"/>
        <item m="1" x="3663"/>
        <item m="1" x="4175"/>
        <item m="1" x="4677"/>
        <item m="1" x="5172"/>
        <item m="1" x="5666"/>
        <item m="1" x="6162"/>
        <item m="1" x="6667"/>
        <item m="1" x="7170"/>
        <item m="1" x="7674"/>
        <item m="1" x="245"/>
        <item m="1" x="751"/>
        <item m="1" x="1255"/>
        <item m="1" x="1757"/>
        <item m="1" x="2254"/>
        <item m="1" x="2761"/>
        <item m="1" x="3273"/>
        <item m="1" x="3789"/>
        <item m="1" x="4297"/>
        <item m="1" x="4798"/>
        <item m="1" x="5292"/>
        <item m="1" x="5788"/>
        <item m="1" x="6285"/>
        <item m="1" x="6792"/>
        <item m="1" x="7291"/>
        <item m="1" x="7797"/>
        <item m="1" x="370"/>
        <item m="1" x="875"/>
        <item m="1" x="1375"/>
        <item m="1" x="1875"/>
        <item m="1" x="2377"/>
        <item m="1" x="2886"/>
        <item m="1" x="3398"/>
        <item m="1" x="3917"/>
        <item m="1" x="4424"/>
        <item m="1" x="4920"/>
        <item m="1" x="5412"/>
        <item m="1" x="5907"/>
        <item m="1" x="6408"/>
        <item m="1" x="6911"/>
        <item m="1" x="7411"/>
        <item m="1" x="7916"/>
        <item m="1" x="492"/>
        <item m="1" x="997"/>
        <item m="1" x="1496"/>
        <item m="1" x="1996"/>
        <item m="1" x="2503"/>
        <item m="1" x="3008"/>
        <item m="1" x="3522"/>
        <item m="1" x="4041"/>
        <item m="1" x="4547"/>
        <item m="1" x="5040"/>
        <item m="1" x="5532"/>
        <item m="1" x="6027"/>
        <item m="1" x="6531"/>
        <item m="1" x="7030"/>
        <item m="1" x="7534"/>
        <item m="1" x="111"/>
        <item m="1" x="617"/>
        <item m="1" x="1121"/>
        <item m="1" x="1621"/>
        <item m="1" x="2122"/>
        <item m="1" x="2628"/>
        <item m="1" x="3134"/>
        <item m="1" x="3647"/>
        <item m="1" x="4164"/>
        <item m="1" x="4664"/>
        <item m="1" x="5159"/>
        <item m="1" x="5652"/>
        <item m="1" x="6150"/>
        <item m="1" x="6655"/>
        <item m="1" x="7154"/>
        <item m="1" x="7659"/>
        <item m="1" x="235"/>
        <item m="1" x="737"/>
        <item m="1" x="1243"/>
        <item m="1" x="1744"/>
        <item m="1" x="2243"/>
        <item m="1" x="2748"/>
        <item m="1" x="3257"/>
        <item m="1" x="3772"/>
        <item m="1" x="4285"/>
        <item m="1" x="4784"/>
        <item m="1" x="5279"/>
        <item m="1" x="5773"/>
        <item m="1" x="6274"/>
        <item m="1" x="6779"/>
        <item m="1" x="7277"/>
        <item m="1" x="7779"/>
        <item m="1" x="358"/>
        <item m="1" x="861"/>
        <item m="1" x="1362"/>
        <item m="1" x="1860"/>
        <item m="1" x="2364"/>
        <item m="1" x="2873"/>
        <item m="1" x="3382"/>
        <item m="1" x="3897"/>
        <item m="1" x="4409"/>
        <item m="1" x="4908"/>
        <item m="1" x="5399"/>
        <item m="1" x="5892"/>
        <item m="1" x="6396"/>
        <item m="1" x="6900"/>
        <item m="1" x="7396"/>
        <item m="1" x="7899"/>
        <item m="1" x="480"/>
        <item m="1" x="985"/>
        <item m="1" x="1482"/>
        <item m="1" x="1983"/>
        <item m="1" x="2489"/>
        <item m="1" x="2997"/>
        <item m="1" x="3507"/>
        <item m="1" x="4025"/>
        <item m="1" x="4534"/>
        <item m="1" x="5028"/>
        <item m="1" x="5519"/>
        <item m="1" x="6013"/>
        <item m="1" x="6518"/>
        <item m="1" x="7020"/>
        <item m="1" x="7518"/>
        <item m="1" x="95"/>
        <item m="1" x="603"/>
        <item m="1" x="1109"/>
        <item m="1" x="1608"/>
        <item m="1" x="2108"/>
        <item m="1" x="2614"/>
        <item m="1" x="3123"/>
        <item m="1" x="3633"/>
        <item m="1" x="4148"/>
        <item m="1" x="4650"/>
        <item m="1" x="5147"/>
        <item m="1" x="5639"/>
        <item m="1" x="6135"/>
        <item m="1" x="6640"/>
        <item m="1" x="7142"/>
        <item m="1" x="7643"/>
        <item m="1" x="217"/>
        <item m="1" x="721"/>
        <item m="1" x="1230"/>
        <item m="1" x="1728"/>
        <item m="1" x="2228"/>
        <item m="1" x="2733"/>
        <item m="1" x="3243"/>
        <item m="1" x="3756"/>
        <item m="1" x="4267"/>
        <item m="1" x="4767"/>
        <item m="1" x="5264"/>
        <item m="1" x="5757"/>
        <item m="1" x="6258"/>
        <item m="1" x="6762"/>
        <item m="1" x="7264"/>
        <item m="1" x="7762"/>
        <item m="1" x="340"/>
        <item m="1" x="843"/>
        <item m="1" x="1349"/>
        <item m="1" x="1845"/>
        <item m="1" x="2349"/>
        <item m="1" x="2857"/>
        <item m="1" x="3368"/>
        <item m="1" x="3882"/>
        <item m="1" x="4391"/>
        <item m="1" x="4890"/>
        <item m="1" x="5386"/>
        <item m="1" x="5877"/>
        <item m="1" x="6380"/>
        <item m="1" x="6884"/>
        <item m="1" x="7384"/>
        <item m="1" x="7883"/>
        <item m="1" x="461"/>
        <item m="1" x="967"/>
        <item m="1" x="1468"/>
        <item m="1" x="1967"/>
        <item m="1" x="2474"/>
        <item m="1" x="2981"/>
        <item m="1" x="3494"/>
        <item m="1" x="4009"/>
        <item m="1" x="4516"/>
        <item m="1" x="5009"/>
        <item m="1" x="5505"/>
        <item m="1" x="5998"/>
        <item m="1" x="6502"/>
        <item m="1" x="7002"/>
        <item m="1" x="7504"/>
        <item m="1" x="77"/>
        <item m="1" x="584"/>
        <item m="1" x="1087"/>
        <item m="1" x="1592"/>
        <item m="1" x="2091"/>
        <item m="1" x="4825"/>
        <item m="1" x="5318"/>
        <item m="1" x="5811"/>
        <item m="1" x="6314"/>
        <item m="1" x="6821"/>
        <item m="1" x="7316"/>
        <item m="1" x="7822"/>
        <item m="1" x="397"/>
        <item m="1" x="900"/>
        <item m="1" x="1398"/>
        <item m="1" x="1898"/>
        <item m="1" x="2405"/>
        <item m="1" x="2914"/>
        <item m="1" x="3423"/>
        <item m="1" x="3943"/>
        <item m="1" x="4451"/>
        <item m="1" x="4945"/>
        <item m="1" x="5436"/>
        <item m="1" x="5931"/>
        <item m="1" x="6436"/>
        <item m="1" x="6939"/>
        <item m="1" x="7436"/>
        <item m="1" x="7943"/>
        <item m="1" x="521"/>
        <item m="1" x="1023"/>
        <item m="1" x="1521"/>
        <item m="1" x="2022"/>
        <item m="1" x="2532"/>
        <item m="1" x="3038"/>
        <item m="1" x="3549"/>
        <item m="1" x="4069"/>
        <item m="1" x="4573"/>
        <item m="1" x="5065"/>
        <item m="1" x="5555"/>
        <item m="1" x="6053"/>
        <item m="1" x="6558"/>
        <item m="1" x="7060"/>
        <item m="1" x="7559"/>
        <item m="1" x="138"/>
        <item m="1" x="644"/>
        <item m="1" x="1148"/>
        <item m="1" x="1646"/>
        <item m="1" x="2146"/>
        <item m="1" x="2656"/>
        <item m="1" x="3162"/>
        <item m="1" x="3672"/>
        <item m="1" x="4188"/>
        <item m="1" x="4689"/>
        <item m="1" x="5184"/>
        <item m="1" x="5676"/>
        <item m="1" x="6174"/>
        <item m="1" x="6681"/>
        <item m="1" x="7183"/>
        <item m="1" x="7683"/>
        <item m="1" x="259"/>
        <item m="1" x="761"/>
        <item m="1" x="1267"/>
        <item m="1" x="1765"/>
        <item m="1" x="2264"/>
        <item m="1" x="2773"/>
        <item m="1" x="3285"/>
        <item m="1" x="3797"/>
        <item m="1" x="4310"/>
        <item m="1" x="4808"/>
        <item m="1" x="5304"/>
        <item m="1" x="5796"/>
        <item m="1" x="6296"/>
        <item m="1" x="6804"/>
        <item m="1" x="7304"/>
        <item m="1" x="7805"/>
        <item m="1" x="382"/>
        <item m="1" x="885"/>
        <item m="1" x="1387"/>
        <item m="1" x="1883"/>
        <item m="1" x="2387"/>
        <item m="1" x="2898"/>
        <item m="1" x="3411"/>
        <item m="1" x="3925"/>
        <item m="1" x="4435"/>
        <item m="1" x="4931"/>
        <item m="1" x="5423"/>
        <item m="1" x="5916"/>
        <item m="1" x="6419"/>
        <item m="1" x="6924"/>
        <item m="1" x="7424"/>
        <item m="1" x="7925"/>
        <item m="1" x="504"/>
        <item m="1" x="1008"/>
        <item m="1" x="1508"/>
        <item m="1" x="2007"/>
        <item m="1" x="2514"/>
        <item m="1" x="3022"/>
        <item m="1" x="3536"/>
        <item m="1" x="4053"/>
        <item m="1" x="4557"/>
        <item m="1" x="5051"/>
        <item m="1" x="5542"/>
        <item m="1" x="6038"/>
        <item m="1" x="6540"/>
        <item m="1" x="7042"/>
        <item m="1" x="7546"/>
        <item m="1" x="122"/>
        <item m="1" x="626"/>
        <item m="1" x="1131"/>
        <item m="1" x="1631"/>
        <item m="1" x="2132"/>
        <item m="1" x="2636"/>
        <item m="1" x="3146"/>
        <item m="1" x="3659"/>
        <item m="1" x="4173"/>
        <item m="1" x="4673"/>
        <item m="1" x="5170"/>
        <item m="1" x="5663"/>
        <item m="1" x="6160"/>
        <item m="1" x="6664"/>
        <item m="1" x="7167"/>
        <item m="1" x="7671"/>
        <item m="1" x="244"/>
        <item m="1" x="747"/>
        <item m="1" x="1253"/>
        <item m="1" x="1754"/>
        <item m="1" x="2252"/>
        <item m="1" x="2757"/>
        <item m="1" x="3270"/>
        <item m="1" x="3786"/>
        <item m="1" x="4296"/>
        <item m="1" x="4794"/>
        <item m="1" x="5290"/>
        <item m="1" x="5785"/>
        <item m="1" x="6284"/>
        <item m="1" x="6789"/>
        <item m="1" x="7288"/>
        <item m="1" x="7794"/>
        <item m="1" x="369"/>
        <item m="1" x="871"/>
        <item m="1" x="1372"/>
        <item m="1" x="1872"/>
        <item m="1" x="2374"/>
        <item m="1" x="2882"/>
        <item m="1" x="3394"/>
        <item m="1" x="3914"/>
        <item m="1" x="4421"/>
        <item m="1" x="4917"/>
        <item m="1" x="5409"/>
        <item m="1" x="5903"/>
        <item m="1" x="6406"/>
        <item m="1" x="6909"/>
        <item m="1" x="7407"/>
        <item m="1" x="7912"/>
        <item m="1" x="490"/>
        <item m="1" x="994"/>
        <item m="1" x="1492"/>
        <item m="1" x="1993"/>
        <item m="1" x="2500"/>
        <item m="1" x="3005"/>
        <item m="1" x="3518"/>
        <item m="1" x="4038"/>
        <item m="1" x="4545"/>
        <item m="1" x="5037"/>
        <item m="1" x="5529"/>
        <item m="1" x="6024"/>
        <item m="1" x="6529"/>
        <item m="1" x="7028"/>
        <item m="1" x="7530"/>
        <item m="1" x="108"/>
        <item m="1" x="615"/>
        <item m="1" x="1118"/>
        <item m="1" x="1617"/>
        <item m="1" x="2119"/>
        <item m="1" x="2625"/>
        <item m="1" x="3131"/>
        <item m="1" x="3643"/>
        <item m="1" x="4161"/>
        <item m="1" x="4661"/>
        <item m="1" x="5155"/>
        <item m="1" x="5649"/>
        <item m="1" x="6147"/>
        <item m="1" x="6652"/>
        <item m="1" x="7152"/>
        <item m="1" x="7655"/>
        <item m="1" x="231"/>
        <item m="1" x="735"/>
        <item m="1" x="1240"/>
        <item m="1" x="1740"/>
        <item m="1" x="2240"/>
        <item m="1" x="2746"/>
        <item m="1" x="3254"/>
        <item m="1" x="3768"/>
        <item m="1" x="4281"/>
        <item m="1" x="4781"/>
        <item m="1" x="5275"/>
        <item m="1" x="5769"/>
        <item m="1" x="6269"/>
        <item m="1" x="6775"/>
        <item m="1" x="7273"/>
        <item m="1" x="7774"/>
        <item m="1" x="352"/>
        <item m="1" x="857"/>
        <item m="1" x="1357"/>
        <item m="1" x="1855"/>
        <item m="1" x="2359"/>
        <item m="1" x="2869"/>
        <item m="1" x="3377"/>
        <item m="1" x="3892"/>
        <item m="1" x="4403"/>
        <item m="1" x="4903"/>
        <item m="1" x="5393"/>
        <item m="1" x="5888"/>
        <item m="1" x="6390"/>
        <item m="1" x="6896"/>
        <item m="1" x="7392"/>
        <item m="1" x="7894"/>
        <item m="1" x="474"/>
        <item m="1" x="981"/>
        <item m="1" x="1477"/>
        <item m="1" x="1978"/>
        <item m="1" x="2484"/>
        <item m="1" x="2993"/>
        <item m="1" x="3502"/>
        <item m="1" x="4020"/>
        <item m="1" x="4528"/>
        <item m="1" x="5024"/>
        <item m="1" x="5514"/>
        <item m="1" x="6009"/>
        <item m="1" x="6513"/>
        <item m="1" x="7015"/>
        <item m="1" x="7514"/>
        <item m="1" x="90"/>
        <item m="1" x="597"/>
        <item m="1" x="1104"/>
        <item m="1" x="1604"/>
        <item m="1" x="2103"/>
        <item m="1" x="2609"/>
        <item m="1" x="3118"/>
        <item m="1" x="3628"/>
        <item m="1" x="4142"/>
        <item m="1" x="4644"/>
        <item m="1" x="5141"/>
        <item m="1" x="5634"/>
        <item m="1" x="6131"/>
        <item m="1" x="6635"/>
        <item m="1" x="7136"/>
        <item m="1" x="7639"/>
        <item m="1" x="212"/>
        <item m="1" x="2925"/>
        <item m="1" x="3438"/>
        <item m="1" x="3958"/>
        <item m="1" x="4463"/>
        <item m="1" x="4955"/>
        <item m="1" x="5447"/>
        <item m="1" x="5944"/>
        <item m="1" x="6447"/>
        <item m="1" x="6948"/>
        <item m="1" x="7449"/>
        <item m="1" x="7955"/>
        <item m="1" x="531"/>
        <item m="1" x="1033"/>
        <item m="1" x="1532"/>
        <item m="1" x="2036"/>
        <item m="1" x="2543"/>
        <item m="1" x="3047"/>
        <item m="1" x="3562"/>
        <item m="1" x="4082"/>
        <item m="1" x="4583"/>
        <item m="1" x="5073"/>
        <item m="1" x="5566"/>
        <item m="1" x="6066"/>
        <item m="1" x="6569"/>
        <item m="1" x="7068"/>
        <item m="1" x="7572"/>
        <item m="1" x="150"/>
        <item m="1" x="654"/>
        <item m="1" x="1156"/>
        <item m="1" x="1658"/>
        <item m="1" x="2159"/>
        <item m="1" x="2667"/>
        <item m="1" x="3171"/>
        <item m="1" x="3686"/>
        <item m="1" x="4201"/>
        <item m="1" x="4701"/>
        <item m="1" x="5192"/>
        <item m="1" x="5687"/>
        <item m="1" x="6189"/>
        <item m="1" x="6695"/>
        <item m="1" x="7193"/>
        <item m="1" x="7696"/>
        <item m="1" x="273"/>
        <item m="1" x="775"/>
        <item m="1" x="1277"/>
        <item m="1" x="1777"/>
        <item m="1" x="2278"/>
        <item m="1" x="2788"/>
        <item m="1" x="3295"/>
        <item m="1" x="3810"/>
        <item m="1" x="4324"/>
        <item m="1" x="4821"/>
        <item m="1" x="5314"/>
        <item m="1" x="5807"/>
        <item m="1" x="6309"/>
        <item m="1" x="6817"/>
        <item m="1" x="7311"/>
        <item m="1" x="7817"/>
        <item m="1" x="393"/>
        <item m="1" x="896"/>
        <item m="1" x="1395"/>
        <item m="1" x="1894"/>
        <item m="1" x="2400"/>
        <item m="1" x="2910"/>
        <item m="1" x="3419"/>
        <item m="1" x="3938"/>
        <item m="1" x="4447"/>
        <item m="1" x="4942"/>
        <item m="1" x="5432"/>
        <item m="1" x="5926"/>
        <item m="1" x="6431"/>
        <item m="1" x="6936"/>
        <item m="1" x="7432"/>
        <item m="1" x="7938"/>
        <item m="1" x="517"/>
        <item m="1" x="1020"/>
        <item m="1" x="1518"/>
        <item m="1" x="2018"/>
        <item m="1" x="2527"/>
        <item m="1" x="3035"/>
        <item m="1" x="3545"/>
        <item m="1" x="4064"/>
        <item m="1" x="4569"/>
        <item m="1" x="5062"/>
        <item m="1" x="5551"/>
        <item m="1" x="6048"/>
        <item m="1" x="6553"/>
        <item m="1" x="7055"/>
        <item m="1" x="7555"/>
        <item m="1" x="133"/>
        <item m="1" x="640"/>
        <item m="1" x="1144"/>
        <item m="1" x="1643"/>
        <item m="1" x="2142"/>
        <item m="1" x="2650"/>
        <item m="1" x="3158"/>
        <item m="1" x="3669"/>
        <item m="1" x="4183"/>
        <item m="1" x="4685"/>
        <item m="1" x="5180"/>
        <item m="1" x="5672"/>
        <item m="1" x="6169"/>
        <item m="1" x="6676"/>
        <item m="1" x="7179"/>
        <item m="1" x="7681"/>
        <item m="1" x="254"/>
        <item m="1" x="759"/>
        <item m="1" x="1264"/>
        <item m="1" x="1764"/>
        <item m="1" x="2261"/>
        <item m="1" x="2770"/>
        <item m="1" x="3282"/>
        <item m="1" x="3796"/>
        <item m="1" x="4306"/>
        <item m="1" x="4806"/>
        <item m="1" x="5301"/>
        <item m="1" x="5794"/>
        <item m="1" x="6292"/>
        <item m="1" x="6801"/>
        <item m="1" x="7300"/>
        <item m="1" x="7803"/>
        <item m="1" x="378"/>
        <item m="1" x="883"/>
        <item m="1" x="1383"/>
        <item m="1" x="1882"/>
        <item m="1" x="2384"/>
        <item m="1" x="2895"/>
        <item m="1" x="3408"/>
        <item m="1" x="3924"/>
        <item m="1" x="4431"/>
        <item m="1" x="4928"/>
        <item m="1" x="5420"/>
        <item m="1" x="5914"/>
        <item m="1" x="6415"/>
        <item m="1" x="6921"/>
        <item m="1" x="7421"/>
        <item m="1" x="7924"/>
        <item m="1" x="500"/>
        <item m="1" x="1005"/>
        <item m="1" x="1505"/>
        <item m="1" x="2005"/>
        <item m="1" x="2512"/>
        <item m="1" x="3018"/>
        <item m="1" x="3533"/>
        <item m="1" x="4051"/>
        <item m="1" x="4554"/>
        <item m="1" x="5047"/>
        <item m="1" x="5539"/>
        <item m="1" x="6035"/>
        <item m="1" x="6537"/>
        <item m="1" x="7038"/>
        <item m="1" x="7543"/>
        <item m="1" x="119"/>
        <item m="1" x="623"/>
        <item m="1" x="1128"/>
        <item m="1" x="1628"/>
        <item m="1" x="2129"/>
        <item m="1" x="2634"/>
        <item m="1" x="3142"/>
        <item m="1" x="3656"/>
        <item m="1" x="4171"/>
        <item m="1" x="4670"/>
        <item m="1" x="5166"/>
        <item m="1" x="5660"/>
        <item m="1" x="6157"/>
        <item m="1" x="6661"/>
        <item m="1" x="7163"/>
        <item m="1" x="7668"/>
        <item m="1" x="242"/>
        <item m="1" x="744"/>
        <item m="1" x="1250"/>
        <item m="1" x="1751"/>
        <item m="1" x="2250"/>
        <item m="1" x="2755"/>
        <item m="1" x="3266"/>
        <item m="1" x="3782"/>
        <item m="1" x="4294"/>
        <item m="1" x="4791"/>
        <item m="1" x="5286"/>
        <item m="1" x="5782"/>
        <item m="1" x="6282"/>
        <item m="1" x="6786"/>
        <item m="1" x="7284"/>
        <item m="1" x="7790"/>
        <item m="1" x="366"/>
        <item m="1" x="867"/>
        <item m="1" x="1369"/>
        <item m="1" x="1868"/>
        <item m="1" x="2372"/>
        <item m="1" x="2880"/>
        <item m="1" x="3389"/>
        <item m="1" x="3907"/>
        <item m="1" x="4417"/>
        <item m="1" x="4913"/>
        <item m="1" x="5405"/>
        <item m="1" x="5899"/>
        <item m="1" x="6403"/>
        <item m="1" x="6905"/>
        <item m="1" x="7403"/>
        <item m="1" x="7907"/>
        <item m="1" x="487"/>
        <item m="1" x="990"/>
        <item m="1" x="1489"/>
        <item m="1" x="1989"/>
        <item m="1" x="2497"/>
        <item m="1" x="3002"/>
        <item m="1" x="3514"/>
        <item m="1" x="4033"/>
        <item m="1" x="4542"/>
        <item m="1" x="5033"/>
        <item m="1" x="5525"/>
        <item m="1" x="6020"/>
        <item m="1" x="6526"/>
        <item m="1" x="7024"/>
        <item m="1" x="7525"/>
        <item m="1" x="103"/>
        <item m="1" x="611"/>
        <item m="1" x="1113"/>
        <item m="1" x="1614"/>
        <item m="1" x="2115"/>
        <item m="1" x="2621"/>
        <item m="1" x="3128"/>
        <item m="1" x="3639"/>
        <item m="1" x="4156"/>
        <item m="1" x="4658"/>
        <item m="1" x="5151"/>
        <item m="1" x="5645"/>
        <item m="1" x="6143"/>
        <item m="1" x="6648"/>
        <item m="1" x="7148"/>
        <item m="1" x="7651"/>
        <item m="1" x="226"/>
        <item m="1" x="731"/>
        <item m="1" x="1237"/>
        <item m="1" x="1737"/>
        <item m="1" x="2236"/>
        <item m="1" x="2742"/>
        <item m="1" x="3251"/>
        <item m="1" x="3764"/>
        <item m="1" x="4276"/>
        <item m="1" x="4777"/>
        <item m="1" x="5272"/>
        <item m="1" x="5765"/>
        <item m="1" x="6266"/>
        <item m="1" x="6771"/>
        <item m="1" x="1548"/>
        <item m="1" x="2048"/>
        <item m="1" x="2555"/>
        <item m="1" x="3062"/>
        <item m="1" x="3576"/>
        <item m="1" x="4093"/>
        <item m="1" x="4593"/>
        <item m="1" x="5084"/>
        <item m="1" x="5579"/>
        <item m="1" x="6076"/>
        <item m="1" x="6579"/>
        <item m="1" x="7082"/>
        <item m="1" x="7585"/>
        <item m="1" x="161"/>
        <item m="1" x="663"/>
        <item m="1" x="1167"/>
        <item m="1" x="1671"/>
        <item m="1" x="2170"/>
        <item m="1" x="2677"/>
        <item m="1" x="3184"/>
        <item m="1" x="3701"/>
        <item m="1" x="4213"/>
        <item m="1" x="4710"/>
        <item m="1" x="5204"/>
        <item m="1" x="5700"/>
        <item m="1" x="6201"/>
        <item m="1" x="6705"/>
        <item m="1" x="7206"/>
        <item m="1" x="7710"/>
        <item m="1" x="284"/>
        <item m="1" x="784"/>
        <item m="1" x="1288"/>
        <item m="1" x="1790"/>
        <item m="1" x="2289"/>
        <item m="1" x="2797"/>
        <item m="1" x="3309"/>
        <item m="1" x="3825"/>
        <item m="1" x="4335"/>
        <item m="1" x="4832"/>
        <item m="1" x="5326"/>
        <item m="1" x="5821"/>
        <item m="1" x="6322"/>
        <item m="1" x="6827"/>
        <item m="1" x="7325"/>
        <item m="1" x="7832"/>
        <item m="1" x="405"/>
        <item m="1" x="907"/>
        <item m="1" x="1406"/>
        <item m="1" x="1908"/>
        <item m="1" x="2413"/>
        <item m="1" x="2921"/>
        <item m="1" x="3432"/>
        <item m="1" x="3953"/>
        <item m="1" x="4459"/>
        <item m="1" x="4952"/>
        <item m="1" x="5443"/>
        <item m="1" x="5939"/>
        <item m="1" x="6444"/>
        <item m="1" x="6944"/>
        <item m="1" x="7444"/>
        <item m="1" x="7951"/>
        <item m="1" x="528"/>
        <item m="1" x="1029"/>
        <item m="1" x="1528"/>
        <item m="1" x="2031"/>
        <item m="1" x="2539"/>
        <item m="1" x="3042"/>
        <item m="1" x="3557"/>
        <item m="1" x="4077"/>
        <item m="1" x="4580"/>
        <item m="1" x="5070"/>
        <item m="1" x="5562"/>
        <item m="1" x="6061"/>
        <item m="1" x="6566"/>
        <item m="1" x="7064"/>
        <item m="1" x="7567"/>
        <item m="1" x="146"/>
        <item m="1" x="651"/>
        <item m="1" x="1152"/>
        <item m="1" x="1653"/>
        <item m="1" x="2154"/>
        <item m="1" x="2664"/>
        <item m="1" x="3167"/>
        <item m="1" x="3681"/>
        <item m="1" x="4197"/>
        <item m="1" x="4697"/>
        <item m="1" x="5189"/>
        <item m="1" x="5683"/>
        <item m="1" x="6184"/>
        <item m="1" x="6691"/>
        <item m="1" x="7190"/>
        <item m="1" x="7691"/>
        <item m="1" x="269"/>
        <item m="1" x="771"/>
        <item m="1" x="1273"/>
        <item m="1" x="1772"/>
        <item m="1" x="2273"/>
        <item m="1" x="2783"/>
        <item m="1" x="3291"/>
        <item m="1" x="3805"/>
        <item m="1" x="4320"/>
        <item m="1" x="4816"/>
        <item m="1" x="5311"/>
        <item m="1" x="5803"/>
        <item m="1" x="6305"/>
        <item m="1" x="6813"/>
        <item m="1" x="7310"/>
        <item m="1" x="7813"/>
        <item m="1" x="391"/>
        <item m="1" x="893"/>
        <item m="1" x="1393"/>
        <item m="1" x="1890"/>
        <item m="1" x="2397"/>
        <item m="1" x="2907"/>
        <item m="1" x="3418"/>
        <item m="1" x="3934"/>
        <item m="1" x="4445"/>
        <item m="1" x="4939"/>
        <item m="1" x="5431"/>
        <item m="1" x="5923"/>
        <item m="1" x="6428"/>
        <item m="1" x="6933"/>
        <item m="1" x="7431"/>
        <item m="1" x="7934"/>
        <item m="1" x="513"/>
        <item m="1" x="1016"/>
        <item m="1" x="1516"/>
        <item m="1" x="2014"/>
        <item m="1" x="2524"/>
        <item m="1" x="3032"/>
        <item m="1" x="3543"/>
        <item m="1" x="4060"/>
        <item m="1" x="4567"/>
        <item m="1" x="5059"/>
        <item m="1" x="5549"/>
        <item m="1" x="6045"/>
        <item m="1" x="6549"/>
        <item m="1" x="7052"/>
        <item m="1" x="7553"/>
        <item m="1" x="130"/>
        <item m="1" x="636"/>
        <item m="1" x="1141"/>
        <item m="1" x="1640"/>
        <item m="1" x="2139"/>
        <item m="1" x="2646"/>
        <item m="1" x="3155"/>
        <item m="1" x="3667"/>
        <item m="1" x="4180"/>
        <item m="1" x="4682"/>
        <item m="1" x="5177"/>
        <item m="1" x="5670"/>
        <item m="1" x="6167"/>
        <item m="1" x="6672"/>
        <item m="1" x="7176"/>
        <item m="1" x="7679"/>
        <item m="1" x="251"/>
        <item m="1" x="755"/>
        <item m="1" x="1261"/>
        <item m="1" x="1761"/>
        <item m="1" x="2258"/>
        <item m="1" x="2766"/>
        <item m="1" x="3279"/>
        <item m="1" x="3793"/>
        <item m="1" x="4302"/>
        <item m="1" x="4803"/>
        <item m="1" x="5297"/>
        <item m="1" x="5792"/>
        <item m="1" x="6290"/>
        <item m="1" x="6797"/>
        <item m="1" x="7297"/>
        <item m="1" x="7801"/>
        <item m="1" x="375"/>
        <item m="1" x="879"/>
        <item m="1" x="1380"/>
        <item m="1" x="1880"/>
        <item m="1" x="2381"/>
        <item m="1" x="2891"/>
        <item m="1" x="3404"/>
        <item m="1" x="3922"/>
        <item m="1" x="4428"/>
        <item m="1" x="4925"/>
        <item m="1" x="5417"/>
        <item m="1" x="5912"/>
        <item m="1" x="6413"/>
        <item m="1" x="6917"/>
        <item m="1" x="7417"/>
        <item m="1" x="7922"/>
        <item m="1" x="497"/>
        <item m="1" x="1001"/>
        <item m="1" x="1501"/>
        <item m="1" x="2002"/>
        <item m="1" x="2507"/>
        <item m="1" x="3013"/>
        <item m="1" x="3527"/>
        <item m="1" x="4046"/>
        <item m="1" x="4549"/>
        <item m="1" x="5044"/>
        <item m="1" x="5535"/>
        <item m="1" x="6031"/>
        <item m="1" x="6534"/>
        <item m="1" x="7034"/>
        <item m="1" x="7538"/>
        <item m="1" x="115"/>
        <item m="1" x="619"/>
        <item m="1" x="1124"/>
        <item m="1" x="1624"/>
        <item m="1" x="2126"/>
        <item m="1" x="2630"/>
        <item m="1" x="3138"/>
        <item m="1" x="3651"/>
        <item m="1" x="4168"/>
        <item m="1" x="4666"/>
        <item m="1" x="5163"/>
        <item m="1" x="5656"/>
        <item m="1" x="6154"/>
        <item m="1" x="6658"/>
        <item m="1" x="7159"/>
        <item m="1" x="7663"/>
        <item m="1" x="239"/>
        <item m="1" x="740"/>
        <item m="1" x="1246"/>
        <item m="1" x="1747"/>
        <item m="1" x="2247"/>
        <item m="1" x="2751"/>
        <item m="1" x="3261"/>
        <item m="1" x="3777"/>
        <item m="1" x="4289"/>
        <item m="1" x="4787"/>
        <item m="1" x="5283"/>
        <item m="1" x="5778"/>
        <item m="1" x="6278"/>
        <item m="1" x="6783"/>
        <item m="1" x="7280"/>
        <item m="1" x="7784"/>
        <item m="1" x="362"/>
        <item m="1" x="864"/>
        <item m="1" x="1365"/>
        <item m="1" x="1864"/>
        <item m="1" x="2368"/>
        <item m="1" x="2876"/>
        <item m="1" x="3385"/>
        <item m="1" x="3902"/>
        <item m="1" x="4413"/>
        <item m="1" x="4911"/>
        <item m="1" x="7599"/>
        <item m="1" x="175"/>
        <item m="1" x="677"/>
        <item m="1" x="1182"/>
        <item m="1" x="1685"/>
        <item m="1" x="2182"/>
        <item m="1" x="2690"/>
        <item m="1" x="3198"/>
        <item m="1" x="3712"/>
        <item m="1" x="4223"/>
        <item m="1" x="4721"/>
        <item m="1" x="5217"/>
        <item m="1" x="5711"/>
        <item m="1" x="6211"/>
        <item m="1" x="6718"/>
        <item m="1" x="7219"/>
        <item m="1" x="7720"/>
        <item m="1" x="295"/>
        <item m="1" x="796"/>
        <item m="1" x="1301"/>
        <item m="1" x="1800"/>
        <item m="1" x="2301"/>
        <item m="1" x="2812"/>
        <item m="1" x="3324"/>
        <item m="1" x="3836"/>
        <item m="1" x="4346"/>
        <item m="1" x="4843"/>
        <item m="1" x="5339"/>
        <item m="1" x="5832"/>
        <item m="1" x="6333"/>
        <item m="1" x="6840"/>
        <item m="1" x="7341"/>
        <item m="1" x="7842"/>
        <item m="1" x="416"/>
        <item m="1" x="919"/>
        <item m="1" x="1420"/>
        <item m="1" x="1921"/>
        <item m="1" x="2424"/>
        <item m="1" x="2934"/>
        <item m="1" x="3450"/>
        <item m="1" x="3966"/>
        <item m="1" x="4471"/>
        <item m="1" x="4963"/>
        <item m="1" x="5458"/>
        <item m="1" x="5952"/>
        <item m="1" x="6454"/>
        <item m="1" x="6957"/>
        <item m="1" x="7460"/>
        <item m="1" x="7963"/>
        <item m="1" x="539"/>
        <item m="1" x="1041"/>
        <item m="1" x="1542"/>
        <item m="1" x="2044"/>
        <item m="1" x="2550"/>
        <item m="1" x="3056"/>
        <item m="1" x="3571"/>
        <item m="1" x="4089"/>
        <item m="1" x="4589"/>
        <item m="1" x="5080"/>
        <item m="1" x="5574"/>
        <item m="1" x="6073"/>
        <item m="1" x="6575"/>
        <item m="1" x="7077"/>
        <item m="1" x="7581"/>
        <item m="1" x="158"/>
        <item m="1" x="660"/>
        <item m="1" x="1163"/>
        <item m="1" x="1666"/>
        <item m="1" x="2167"/>
        <item m="1" x="2673"/>
        <item m="1" x="3179"/>
        <item m="1" x="3697"/>
        <item m="1" x="4210"/>
        <item m="1" x="4706"/>
        <item m="1" x="5199"/>
        <item m="1" x="5695"/>
        <item m="1" x="6197"/>
        <item m="1" x="6700"/>
        <item m="1" x="7201"/>
        <item m="1" x="7706"/>
        <item m="1" x="280"/>
        <item m="1" x="781"/>
        <item m="1" x="1284"/>
        <item m="1" x="1785"/>
        <item m="1" x="2286"/>
        <item m="1" x="2793"/>
        <item m="1" x="3303"/>
        <item m="1" x="3821"/>
        <item m="1" x="4331"/>
        <item m="1" x="4828"/>
        <item m="1" x="5321"/>
        <item m="1" x="5816"/>
        <item m="1" x="6318"/>
        <item m="1" x="6824"/>
        <item m="1" x="7320"/>
        <item m="1" x="7828"/>
        <item m="1" x="401"/>
        <item m="1" x="904"/>
        <item m="1" x="1402"/>
        <item m="1" x="1903"/>
        <item m="1" x="2409"/>
        <item m="1" x="2918"/>
        <item m="1" x="3427"/>
        <item m="1" x="3949"/>
        <item m="1" x="4455"/>
        <item m="1" x="4949"/>
        <item m="1" x="5439"/>
        <item m="1" x="5936"/>
        <item m="1" x="6440"/>
        <item m="1" x="6942"/>
        <item m="1" x="7440"/>
        <item m="1" x="7949"/>
        <item m="1" x="525"/>
        <item m="1" x="1027"/>
        <item m="1" x="1525"/>
        <item m="1" x="2027"/>
        <item m="1" x="2536"/>
        <item m="1" x="3041"/>
        <item m="1" x="3553"/>
        <item m="1" x="4075"/>
        <item m="1" x="4577"/>
        <item m="1" x="5068"/>
        <item m="1" x="5558"/>
        <item m="1" x="6058"/>
        <item m="1" x="6563"/>
        <item m="1" x="7063"/>
        <item m="1" x="7563"/>
        <item m="1" x="144"/>
        <item m="1" x="648"/>
        <item m="1" x="1151"/>
        <item m="1" x="1650"/>
        <item m="1" x="2151"/>
        <item m="1" x="2661"/>
        <item m="1" x="3166"/>
        <item m="1" x="3677"/>
        <item m="1" x="4194"/>
        <item m="1" x="4694"/>
        <item m="1" x="5187"/>
        <item m="1" x="5679"/>
        <item m="1" x="6180"/>
        <item m="1" x="6688"/>
        <item m="1" x="7187"/>
        <item m="1" x="7688"/>
        <item m="1" x="266"/>
        <item m="1" x="767"/>
        <item m="1" x="1271"/>
        <item m="1" x="1770"/>
        <item m="1" x="2269"/>
        <item m="1" x="2779"/>
        <item m="1" x="3289"/>
        <item m="1" x="3802"/>
        <item m="1" x="4316"/>
        <item m="1" x="4813"/>
        <item m="1" x="5308"/>
        <item m="1" x="5800"/>
        <item m="1" x="6301"/>
        <item m="1" x="6810"/>
        <item m="1" x="7308"/>
        <item m="1" x="7810"/>
        <item m="1" x="388"/>
        <item m="1" x="890"/>
        <item m="1" x="1391"/>
        <item m="1" x="1888"/>
        <item m="1" x="2393"/>
        <item m="1" x="2904"/>
        <item m="1" x="3416"/>
        <item m="1" x="3931"/>
        <item m="1" x="4441"/>
        <item m="1" x="4936"/>
        <item m="1" x="5428"/>
        <item m="1" x="5920"/>
        <item m="1" x="6424"/>
        <item m="1" x="6930"/>
        <item m="1" x="7428"/>
        <item m="1" x="7930"/>
        <item m="1" x="510"/>
        <item m="1" x="1013"/>
        <item m="1" x="1513"/>
        <item m="1" x="2012"/>
        <item m="1" x="2520"/>
        <item m="1" x="3028"/>
        <item m="1" x="3541"/>
        <item m="1" x="4057"/>
        <item m="1" x="4563"/>
        <item m="1" x="5056"/>
        <item m="1" x="5547"/>
        <item m="1" x="6042"/>
        <item m="1" x="6545"/>
        <item m="1" x="7048"/>
        <item m="1" x="7551"/>
        <item m="1" x="126"/>
        <item m="1" x="632"/>
        <item m="1" x="1136"/>
        <item m="1" x="1636"/>
        <item m="1" x="2135"/>
        <item m="1" x="2641"/>
        <item m="1" x="3150"/>
        <item m="1" x="3664"/>
        <item m="1" x="4176"/>
        <item m="1" x="4678"/>
        <item m="1" x="5173"/>
        <item m="1" x="5667"/>
        <item m="1" x="6163"/>
        <item m="1" x="6668"/>
        <item m="1" x="7171"/>
        <item m="1" x="7675"/>
        <item m="1" x="246"/>
        <item m="1" x="752"/>
        <item m="1" x="1256"/>
        <item m="1" x="1758"/>
        <item m="1" x="2255"/>
        <item m="1" x="2762"/>
        <item m="1" x="3274"/>
        <item m="1" x="3790"/>
        <item m="1" x="4298"/>
        <item m="1" x="4799"/>
        <item m="1" x="5293"/>
        <item m="1" x="5789"/>
        <item m="1" x="6286"/>
        <item m="1" x="6793"/>
        <item m="1" x="7292"/>
        <item m="1" x="7798"/>
        <item m="1" x="371"/>
        <item m="1" x="876"/>
        <item m="1" x="1376"/>
        <item m="1" x="1876"/>
        <item m="1" x="2378"/>
        <item m="1" x="2887"/>
        <item m="1" x="3399"/>
        <item m="1" x="3918"/>
        <item m="1" x="4425"/>
        <item m="1" x="4921"/>
        <item m="1" x="5413"/>
        <item m="1" x="5908"/>
        <item m="1" x="6409"/>
        <item m="1" x="6912"/>
        <item m="1" x="7412"/>
        <item m="1" x="7917"/>
        <item m="1" x="493"/>
        <item m="1" x="998"/>
        <item m="1" x="1497"/>
        <item m="1" x="1997"/>
        <item m="1" x="2504"/>
        <item m="1" x="3009"/>
        <item m="1" x="3523"/>
        <item m="1" x="5724"/>
        <item m="1" x="6227"/>
        <item m="1" x="6733"/>
        <item m="1" x="7231"/>
        <item m="1" x="7732"/>
        <item m="1" x="308"/>
        <item m="1" x="811"/>
        <item m="1" x="1313"/>
        <item m="1" x="1812"/>
        <item m="1" x="2315"/>
        <item m="1" x="2826"/>
        <item m="1" x="3335"/>
        <item m="1" x="3849"/>
        <item m="1" x="4358"/>
        <item m="1" x="4857"/>
        <item m="1" x="5351"/>
        <item m="1" x="5844"/>
        <item m="1" x="6347"/>
        <item m="1" x="6855"/>
        <item m="1" x="7352"/>
        <item m="1" x="7853"/>
        <item m="1" x="429"/>
        <item m="1" x="934"/>
        <item m="1" x="1433"/>
        <item m="1" x="1933"/>
        <item m="1" x="2439"/>
        <item m="1" x="2949"/>
        <item m="1" x="3461"/>
        <item m="1" x="3977"/>
        <item m="1" x="4484"/>
        <item m="1" x="4976"/>
        <item m="1" x="5470"/>
        <item m="1" x="5964"/>
        <item m="1" x="6469"/>
        <item m="1" x="6972"/>
        <item m="1" x="7472"/>
        <item m="1" x="7974"/>
        <item m="1" x="551"/>
        <item m="1" x="1055"/>
        <item m="1" x="1557"/>
        <item m="1" x="2057"/>
        <item m="1" x="2565"/>
        <item m="1" x="3073"/>
        <item m="1" x="3586"/>
        <item m="1" x="4102"/>
        <item m="1" x="4602"/>
        <item m="1" x="5094"/>
        <item m="1" x="5590"/>
        <item m="1" x="6085"/>
        <item m="1" x="6589"/>
        <item m="1" x="7093"/>
        <item m="1" x="7595"/>
        <item m="1" x="170"/>
        <item m="1" x="672"/>
        <item m="1" x="1176"/>
        <item m="1" x="1680"/>
        <item m="1" x="2176"/>
        <item m="1" x="2685"/>
        <item m="1" x="3193"/>
        <item m="1" x="3708"/>
        <item m="1" x="4220"/>
        <item m="1" x="4717"/>
        <item m="1" x="5212"/>
        <item m="1" x="5707"/>
        <item m="1" x="6207"/>
        <item m="1" x="6713"/>
        <item m="1" x="7215"/>
        <item m="1" x="7717"/>
        <item m="1" x="291"/>
        <item m="1" x="791"/>
        <item m="1" x="1296"/>
        <item m="1" x="1797"/>
        <item m="1" x="2297"/>
        <item m="1" x="2807"/>
        <item m="1" x="3320"/>
        <item m="1" x="3833"/>
        <item m="1" x="4343"/>
        <item m="1" x="4839"/>
        <item m="1" x="5334"/>
        <item m="1" x="5829"/>
        <item m="1" x="6329"/>
        <item m="1" x="6835"/>
        <item m="1" x="7336"/>
        <item m="1" x="7839"/>
        <item m="1" x="412"/>
        <item m="1" x="914"/>
        <item m="1" x="1415"/>
        <item m="1" x="1916"/>
        <item m="1" x="2420"/>
        <item m="1" x="2929"/>
        <item m="1" x="3445"/>
        <item m="1" x="3962"/>
        <item m="1" x="4468"/>
        <item m="1" x="4959"/>
        <item m="1" x="5452"/>
        <item m="1" x="5948"/>
        <item m="1" x="6451"/>
        <item m="1" x="6952"/>
        <item m="1" x="7455"/>
        <item m="1" x="7959"/>
        <item m="1" x="535"/>
        <item m="1" x="1036"/>
        <item m="1" x="1537"/>
        <item m="1" x="2040"/>
        <item m="1" x="2547"/>
        <item m="1" x="3051"/>
        <item m="1" x="3568"/>
        <item m="1" x="4086"/>
        <item m="1" x="4588"/>
        <item m="1" x="5077"/>
        <item m="1" x="5571"/>
        <item m="1" x="6070"/>
        <item m="1" x="6574"/>
        <item m="1" x="7073"/>
        <item m="1" x="7578"/>
        <item m="1" x="155"/>
        <item m="1" x="658"/>
        <item m="1" x="1159"/>
        <item m="1" x="1663"/>
        <item m="1" x="2163"/>
        <item m="1" x="2671"/>
        <item m="1" x="3175"/>
        <item m="1" x="3692"/>
        <item m="1" x="4205"/>
        <item m="1" x="4705"/>
        <item m="1" x="5196"/>
        <item m="1" x="5692"/>
        <item m="1" x="6194"/>
        <item m="1" x="6699"/>
        <item m="1" x="7197"/>
        <item m="1" x="7702"/>
        <item m="1" x="277"/>
        <item m="1" x="779"/>
        <item m="1" x="1280"/>
        <item m="1" x="1782"/>
        <item m="1" x="2283"/>
        <item m="1" x="2792"/>
        <item m="1" x="3299"/>
        <item m="1" x="3816"/>
        <item m="1" x="4328"/>
        <item m="1" x="4826"/>
        <item m="1" x="5319"/>
        <item m="1" x="5812"/>
        <item m="1" x="6315"/>
        <item m="1" x="6822"/>
        <item m="1" x="7317"/>
        <item m="1" x="7823"/>
        <item m="1" x="398"/>
        <item m="1" x="901"/>
        <item m="1" x="1399"/>
        <item m="1" x="1899"/>
        <item m="1" x="2406"/>
        <item m="1" x="2915"/>
        <item m="1" x="3424"/>
        <item m="1" x="3944"/>
        <item m="1" x="4452"/>
        <item m="1" x="4946"/>
        <item m="1" x="5437"/>
        <item m="1" x="5932"/>
        <item m="1" x="6437"/>
        <item m="1" x="6940"/>
        <item m="1" x="7437"/>
        <item m="1" x="7944"/>
        <item m="1" x="522"/>
        <item m="1" x="1024"/>
        <item m="1" x="1522"/>
        <item m="1" x="2023"/>
        <item m="1" x="2533"/>
        <item m="1" x="3039"/>
        <item m="1" x="3550"/>
        <item m="1" x="4070"/>
        <item m="1" x="4574"/>
        <item m="1" x="5066"/>
        <item m="1" x="5556"/>
        <item m="1" x="6054"/>
        <item m="1" x="6559"/>
        <item m="1" x="7061"/>
        <item m="1" x="7560"/>
        <item m="1" x="139"/>
        <item m="1" x="645"/>
        <item m="1" x="1149"/>
        <item m="1" x="1647"/>
        <item m="1" x="2147"/>
        <item m="1" x="2657"/>
        <item m="1" x="3163"/>
        <item m="1" x="3673"/>
        <item m="1" x="4189"/>
        <item m="1" x="4690"/>
        <item m="1" x="5185"/>
        <item m="1" x="5677"/>
        <item m="1" x="6175"/>
        <item m="1" x="6682"/>
        <item m="1" x="7184"/>
        <item m="1" x="7684"/>
        <item m="1" x="260"/>
        <item m="1" x="762"/>
        <item m="1" x="1268"/>
        <item m="1" x="1766"/>
        <item m="1" x="2265"/>
        <item m="1" x="2774"/>
        <item m="1" x="3286"/>
        <item m="1" x="3798"/>
        <item m="1" x="4311"/>
        <item m="1" x="4809"/>
        <item m="1" x="5305"/>
        <item m="1" x="5797"/>
        <item m="1" x="6297"/>
        <item m="1" x="6805"/>
        <item m="1" x="7305"/>
        <item m="1" x="7806"/>
        <item m="1" x="383"/>
        <item m="1" x="886"/>
        <item m="1" x="1388"/>
        <item m="1" x="1884"/>
        <item m="1" x="2388"/>
        <item m="1" x="2899"/>
        <item m="1" x="3412"/>
        <item m="1" x="3926"/>
        <item m="1" x="4436"/>
        <item m="1" x="4932"/>
        <item m="1" x="5424"/>
        <item m="1" x="5917"/>
        <item m="1" x="6420"/>
        <item m="1" x="6925"/>
        <item m="1" x="7425"/>
        <item m="1" x="7926"/>
        <item m="1" x="505"/>
        <item m="1" x="1009"/>
        <item m="1" x="1509"/>
        <item m="1" x="2008"/>
        <item m="1" x="2515"/>
        <item m="1" x="3023"/>
        <item m="1" x="3537"/>
        <item m="1" x="4054"/>
        <item m="1" x="4558"/>
        <item m="1" x="5052"/>
        <item m="1" x="5543"/>
        <item m="1" x="6039"/>
        <item m="1" x="6541"/>
        <item m="1" x="7043"/>
        <item m="1" x="7547"/>
        <item m="1" x="123"/>
        <item m="1" x="627"/>
        <item m="1" x="1132"/>
        <item m="1" x="1632"/>
        <item m="1" x="4372"/>
        <item m="1" x="4869"/>
        <item m="1" x="5362"/>
        <item m="1" x="5857"/>
        <item m="1" x="6361"/>
        <item m="1" x="6865"/>
        <item m="1" x="7363"/>
        <item m="1" x="7864"/>
        <item m="1" x="441"/>
        <item m="1" x="944"/>
        <item m="1" x="1444"/>
        <item m="1" x="1947"/>
        <item m="1" x="2452"/>
        <item m="1" x="2960"/>
        <item m="1" x="3471"/>
        <item m="1" x="3988"/>
        <item m="1" x="4496"/>
        <item m="1" x="4988"/>
        <item m="1" x="5481"/>
        <item m="1" x="5977"/>
        <item m="1" x="6483"/>
        <item m="1" x="6983"/>
        <item m="1" x="7483"/>
        <item m="1" x="7986"/>
        <item m="1" x="564"/>
        <item m="1" x="1067"/>
        <item m="1" x="1568"/>
        <item m="1" x="2070"/>
        <item m="1" x="2579"/>
        <item m="1" x="3084"/>
        <item m="1" x="3596"/>
        <item m="1" x="4113"/>
        <item m="1" x="4614"/>
        <item m="1" x="5105"/>
        <item m="1" x="5600"/>
        <item m="1" x="6099"/>
        <item m="1" x="6603"/>
        <item m="1" x="7104"/>
        <item m="1" x="7607"/>
        <item m="1" x="183"/>
        <item m="1" x="686"/>
        <item m="1" x="1190"/>
        <item m="1" x="1692"/>
        <item m="1" x="2191"/>
        <item m="1" x="2700"/>
        <item m="1" x="3206"/>
        <item m="1" x="3720"/>
        <item m="1" x="4231"/>
        <item m="1" x="4730"/>
        <item m="1" x="5225"/>
        <item m="1" x="5719"/>
        <item m="1" x="6220"/>
        <item m="1" x="6728"/>
        <item m="1" x="7227"/>
        <item m="1" x="7728"/>
        <item m="1" x="302"/>
        <item m="1" x="805"/>
        <item m="1" x="1309"/>
        <item m="1" x="1807"/>
        <item m="1" x="2309"/>
        <item m="1" x="2821"/>
        <item m="1" x="3331"/>
        <item m="1" x="3844"/>
        <item m="1" x="4353"/>
        <item m="1" x="4852"/>
        <item m="1" x="5346"/>
        <item m="1" x="5838"/>
        <item m="1" x="6341"/>
        <item m="1" x="6849"/>
        <item m="1" x="7348"/>
        <item m="1" x="7849"/>
        <item m="1" x="424"/>
        <item m="1" x="928"/>
        <item m="1" x="1429"/>
        <item m="1" x="1928"/>
        <item m="1" x="2433"/>
        <item m="1" x="2944"/>
        <item m="1" x="3457"/>
        <item m="1" x="3972"/>
        <item m="1" x="4478"/>
        <item m="1" x="4971"/>
        <item m="1" x="5466"/>
        <item m="1" x="5959"/>
        <item m="1" x="6463"/>
        <item m="1" x="6967"/>
        <item m="1" x="7468"/>
        <item m="1" x="7970"/>
        <item m="1" x="546"/>
        <item m="1" x="1050"/>
        <item m="1" x="1552"/>
        <item m="1" x="2053"/>
        <item m="1" x="2559"/>
        <item m="1" x="3068"/>
        <item m="1" x="3581"/>
        <item m="1" x="4097"/>
        <item m="1" x="4596"/>
        <item m="1" x="5089"/>
        <item m="1" x="5584"/>
        <item m="1" x="6080"/>
        <item m="1" x="6583"/>
        <item m="1" x="7088"/>
        <item m="1" x="7589"/>
        <item m="1" x="166"/>
        <item m="1" x="667"/>
        <item m="1" x="1172"/>
        <item m="1" x="1675"/>
        <item m="1" x="2174"/>
        <item m="1" x="2681"/>
        <item m="1" x="3190"/>
        <item m="1" x="3705"/>
        <item m="1" x="4217"/>
        <item m="1" x="4713"/>
        <item m="1" x="5209"/>
        <item m="1" x="5704"/>
        <item m="1" x="6205"/>
        <item m="1" x="6709"/>
        <item m="1" x="7212"/>
        <item m="1" x="7714"/>
        <item m="1" x="289"/>
        <item m="1" x="788"/>
        <item m="1" x="1293"/>
        <item m="1" x="1794"/>
        <item m="1" x="2294"/>
        <item m="1" x="2802"/>
        <item m="1" x="3315"/>
        <item m="1" x="3829"/>
        <item m="1" x="4340"/>
        <item m="1" x="4835"/>
        <item m="1" x="5331"/>
        <item m="1" x="5826"/>
        <item m="1" x="6326"/>
        <item m="1" x="6831"/>
        <item m="1" x="7332"/>
        <item m="1" x="7836"/>
        <item m="1" x="409"/>
        <item m="1" x="911"/>
        <item m="1" x="1411"/>
        <item m="1" x="1913"/>
        <item m="1" x="2417"/>
        <item m="1" x="2926"/>
        <item m="1" x="3439"/>
        <item m="1" x="3959"/>
        <item m="1" x="4464"/>
        <item m="1" x="4956"/>
        <item m="1" x="5448"/>
        <item m="1" x="5945"/>
        <item m="1" x="6448"/>
        <item m="1" x="6949"/>
        <item m="1" x="7450"/>
        <item m="1" x="7956"/>
        <item m="1" x="532"/>
        <item m="1" x="1034"/>
        <item m="1" x="1533"/>
        <item m="1" x="2037"/>
        <item m="1" x="2544"/>
        <item m="1" x="3048"/>
        <item m="1" x="3563"/>
        <item m="1" x="4083"/>
        <item m="1" x="4584"/>
        <item m="1" x="5074"/>
        <item m="1" x="5567"/>
        <item m="1" x="6067"/>
        <item m="1" x="6570"/>
        <item m="1" x="7069"/>
        <item m="1" x="7573"/>
        <item m="1" x="151"/>
        <item m="1" x="655"/>
        <item m="1" x="1157"/>
        <item m="1" x="1659"/>
        <item m="1" x="2160"/>
        <item m="1" x="2668"/>
        <item m="1" x="3172"/>
        <item m="1" x="3687"/>
        <item m="1" x="4202"/>
        <item m="1" x="4702"/>
        <item m="1" x="5193"/>
        <item m="1" x="5688"/>
        <item m="1" x="6190"/>
        <item m="1" x="6696"/>
        <item m="1" x="7194"/>
        <item m="1" x="7697"/>
        <item m="1" x="274"/>
        <item m="1" x="776"/>
        <item m="1" x="1278"/>
        <item m="1" x="1778"/>
        <item m="1" x="2279"/>
        <item m="1" x="2789"/>
        <item m="1" x="3296"/>
        <item m="1" x="3811"/>
        <item m="1" x="4325"/>
        <item m="1" x="4822"/>
        <item m="1" x="5315"/>
        <item m="1" x="5808"/>
        <item m="1" x="6310"/>
        <item m="1" x="6818"/>
        <item m="1" x="7312"/>
        <item m="1" x="7818"/>
        <item m="1" x="394"/>
        <item m="1" x="897"/>
        <item m="1" x="1396"/>
        <item m="1" x="1895"/>
        <item m="1" x="2401"/>
        <item m="1" x="2911"/>
        <item m="1" x="3420"/>
        <item m="1" x="3939"/>
        <item m="1" x="4448"/>
        <item m="1" x="4943"/>
        <item m="1" x="5433"/>
        <item m="1" x="5927"/>
        <item m="1" x="6432"/>
        <item m="1" x="6937"/>
        <item m="1" x="7433"/>
        <item m="1" x="7939"/>
        <item m="1" x="518"/>
        <item m="1" x="1021"/>
        <item m="1" x="1519"/>
        <item m="1" x="2019"/>
        <item m="1" x="2528"/>
        <item m="1" x="3036"/>
        <item m="1" x="3546"/>
        <item m="1" x="4065"/>
        <item m="1" x="4570"/>
        <item m="1" x="5063"/>
        <item m="1" x="5552"/>
        <item m="1" x="6049"/>
        <item m="1" x="6554"/>
        <item m="1" x="7056"/>
        <item m="1" x="7556"/>
        <item m="1" x="134"/>
        <item m="1" x="641"/>
        <item m="1" x="1145"/>
        <item m="1" x="1644"/>
        <item m="1" x="2143"/>
        <item m="1" x="2651"/>
        <item m="1" x="3159"/>
        <item m="1" x="3670"/>
        <item m="1" x="4184"/>
        <item m="1" x="4686"/>
        <item m="1" x="5181"/>
        <item m="1" x="5673"/>
        <item m="1" x="6170"/>
        <item m="1" x="6677"/>
        <item m="1" x="7180"/>
        <item m="1" x="7682"/>
        <item m="1" x="255"/>
        <item m="1" x="2466"/>
        <item m="1" x="2973"/>
        <item m="1" x="3485"/>
        <item m="1" x="4002"/>
        <item m="1" x="4509"/>
        <item m="1" x="5000"/>
        <item m="1" x="5495"/>
        <item m="1" x="5992"/>
        <item m="1" x="6494"/>
        <item m="1" x="6994"/>
        <item m="1" x="7495"/>
        <item m="1" x="7999"/>
        <item m="1" x="576"/>
        <item m="1" x="1078"/>
        <item m="1" x="1582"/>
        <item m="1" x="2084"/>
        <item m="1" x="2589"/>
        <item m="1" x="3096"/>
        <item m="1" x="3608"/>
        <item m="1" x="4126"/>
        <item m="1" x="4624"/>
        <item m="1" x="5117"/>
        <item m="1" x="5615"/>
        <item m="1" x="6114"/>
        <item m="1" x="6615"/>
        <item m="1" x="7116"/>
        <item m="1" x="7619"/>
        <item m="1" x="196"/>
        <item m="1" x="697"/>
        <item m="1" x="1202"/>
        <item m="1" x="1706"/>
        <item m="1" x="2207"/>
        <item m="1" x="2712"/>
        <item m="1" x="3218"/>
        <item m="1" x="3733"/>
        <item m="1" x="4245"/>
        <item m="1" x="4743"/>
        <item m="1" x="5237"/>
        <item m="1" x="5734"/>
        <item m="1" x="6238"/>
        <item m="1" x="6741"/>
        <item m="1" x="7239"/>
        <item m="1" x="7740"/>
        <item m="1" x="318"/>
        <item m="1" x="819"/>
        <item m="1" x="1320"/>
        <item m="1" x="1821"/>
        <item m="1" x="2326"/>
        <item m="1" x="2834"/>
        <item m="1" x="3343"/>
        <item m="1" x="3857"/>
        <item m="1" x="4367"/>
        <item m="1" x="4865"/>
        <item m="1" x="5358"/>
        <item m="1" x="5852"/>
        <item m="1" x="6356"/>
        <item m="1" x="6862"/>
        <item m="1" x="7359"/>
        <item m="1" x="7860"/>
        <item m="1" x="437"/>
        <item m="1" x="941"/>
        <item m="1" x="1440"/>
        <item m="1" x="1942"/>
        <item m="1" x="2448"/>
        <item m="1" x="2957"/>
        <item m="1" x="3468"/>
        <item m="1" x="3984"/>
        <item m="1" x="4492"/>
        <item m="1" x="4985"/>
        <item m="1" x="5477"/>
        <item m="1" x="5972"/>
        <item m="1" x="6479"/>
        <item m="1" x="6980"/>
        <item m="1" x="7479"/>
        <item m="1" x="7981"/>
        <item m="1" x="560"/>
        <item m="1" x="1063"/>
        <item m="1" x="1563"/>
        <item m="1" x="2065"/>
        <item m="1" x="2575"/>
        <item m="1" x="3080"/>
        <item m="1" x="3593"/>
        <item m="1" x="4109"/>
        <item m="1" x="4610"/>
        <item m="1" x="5102"/>
        <item m="1" x="5596"/>
        <item m="1" x="6093"/>
        <item m="1" x="6599"/>
        <item m="1" x="7100"/>
        <item m="1" x="7603"/>
        <item m="1" x="178"/>
        <item m="1" x="682"/>
        <item m="1" x="1186"/>
        <item m="1" x="1689"/>
        <item m="1" x="2186"/>
        <item m="1" x="2696"/>
        <item m="1" x="3202"/>
        <item m="1" x="3717"/>
        <item m="1" x="4227"/>
        <item m="1" x="4726"/>
        <item m="1" x="5221"/>
        <item m="1" x="5716"/>
        <item m="1" x="6215"/>
        <item m="1" x="6724"/>
        <item m="1" x="7223"/>
        <item m="1" x="7725"/>
        <item m="1" x="298"/>
        <item m="1" x="802"/>
        <item m="1" x="1305"/>
        <item m="1" x="1804"/>
        <item m="1" x="2305"/>
        <item m="1" x="2818"/>
        <item m="1" x="3328"/>
        <item m="1" x="3841"/>
        <item m="1" x="4350"/>
        <item m="1" x="4848"/>
        <item m="1" x="5343"/>
        <item m="1" x="5836"/>
        <item m="1" x="6337"/>
        <item m="1" x="6846"/>
        <item m="1" x="7345"/>
        <item m="1" x="7846"/>
        <item m="1" x="419"/>
        <item m="1" x="924"/>
        <item m="1" x="1425"/>
        <item m="1" x="1925"/>
        <item m="1" x="2428"/>
        <item m="1" x="2940"/>
        <item m="1" x="3454"/>
        <item m="1" x="3970"/>
        <item m="1" x="4475"/>
        <item m="1" x="4968"/>
        <item m="1" x="5463"/>
        <item m="1" x="5957"/>
        <item m="1" x="6459"/>
        <item m="1" x="6963"/>
        <item m="1" x="7465"/>
        <item m="1" x="7967"/>
        <item m="1" x="542"/>
        <item m="1" x="1046"/>
        <item m="1" x="1549"/>
        <item m="1" x="2049"/>
        <item m="1" x="2556"/>
        <item m="1" x="3063"/>
        <item m="1" x="3577"/>
        <item m="1" x="4094"/>
        <item m="1" x="4594"/>
        <item m="1" x="5085"/>
        <item m="1" x="5580"/>
        <item m="1" x="6077"/>
        <item m="1" x="6580"/>
        <item m="1" x="7083"/>
        <item m="1" x="7586"/>
        <item m="1" x="162"/>
        <item m="1" x="664"/>
        <item m="1" x="1168"/>
        <item m="1" x="1672"/>
        <item m="1" x="2171"/>
        <item m="1" x="2678"/>
        <item m="1" x="3185"/>
        <item m="1" x="3702"/>
        <item m="1" x="4214"/>
        <item m="1" x="4711"/>
        <item m="1" x="5205"/>
        <item m="1" x="5701"/>
        <item m="1" x="6202"/>
        <item m="1" x="6706"/>
        <item m="1" x="7207"/>
        <item m="1" x="7711"/>
        <item m="1" x="285"/>
        <item m="1" x="785"/>
        <item m="1" x="1289"/>
        <item m="1" x="1791"/>
        <item m="1" x="2290"/>
        <item m="1" x="2798"/>
        <item m="1" x="3310"/>
        <item m="1" x="3826"/>
        <item m="1" x="4336"/>
        <item m="1" x="4833"/>
        <item m="1" x="5327"/>
        <item m="1" x="5822"/>
        <item m="1" x="6323"/>
        <item m="1" x="6828"/>
        <item m="1" x="7326"/>
        <item m="1" x="7833"/>
        <item m="1" x="406"/>
        <item m="1" x="908"/>
        <item m="1" x="1407"/>
        <item m="1" x="1909"/>
        <item m="1" x="2414"/>
        <item m="1" x="2922"/>
        <item m="1" x="3433"/>
        <item m="1" x="3954"/>
        <item m="1" x="4460"/>
        <item m="1" x="4953"/>
        <item m="1" x="5444"/>
        <item m="1" x="5940"/>
        <item m="1" x="6445"/>
        <item m="1" x="6945"/>
        <item m="1" x="7445"/>
        <item m="1" x="7952"/>
        <item m="1" x="529"/>
        <item m="1" x="1030"/>
        <item m="1" x="1529"/>
        <item m="1" x="2032"/>
        <item m="1" x="2540"/>
        <item m="1" x="3043"/>
        <item m="1" x="3558"/>
        <item m="1" x="4078"/>
        <item m="1" x="4581"/>
        <item m="1" x="5071"/>
        <item m="1" x="5563"/>
        <item m="1" x="6062"/>
        <item m="1" x="6567"/>
        <item m="1" x="7065"/>
        <item m="1" x="7568"/>
        <item m="1" x="147"/>
        <item m="1" x="652"/>
        <item m="1" x="1153"/>
        <item m="1" x="1654"/>
        <item m="1" x="2155"/>
        <item m="1" x="2665"/>
        <item m="1" x="3168"/>
        <item m="1" x="3682"/>
        <item m="1" x="4198"/>
        <item m="1" x="4698"/>
        <item m="1" x="5190"/>
        <item m="1" x="5684"/>
        <item m="1" x="6185"/>
        <item m="1" x="6692"/>
        <item m="1" x="7191"/>
        <item m="1" x="7692"/>
        <item m="1" x="270"/>
        <item m="1" x="772"/>
        <item m="1" x="1274"/>
        <item m="1" x="1773"/>
        <item m="1" x="2274"/>
        <item m="1" x="2784"/>
        <item m="1" x="3292"/>
        <item m="1" x="3806"/>
        <item m="1" x="4321"/>
        <item m="1" x="4817"/>
        <item m="1" x="5312"/>
        <item m="1" x="5804"/>
        <item m="1" x="6306"/>
        <item m="1" x="1094"/>
        <item m="1" x="1598"/>
        <item m="1" x="2096"/>
        <item m="1" x="2602"/>
        <item m="1" x="3109"/>
        <item m="1" x="3623"/>
        <item m="1" x="4136"/>
        <item m="1" x="4636"/>
        <item m="1" x="5131"/>
        <item m="1" x="5629"/>
        <item m="1" x="6124"/>
        <item m="1" x="6628"/>
        <item m="1" x="7128"/>
        <item m="1" x="7633"/>
        <item m="1" x="206"/>
        <item m="1" x="709"/>
        <item m="1" x="1216"/>
        <item m="1" x="1721"/>
        <item m="1" x="2217"/>
        <item m="1" x="2723"/>
        <item m="1" x="3231"/>
        <item m="1" x="3748"/>
        <item m="1" x="4256"/>
        <item m="1" x="4754"/>
        <item m="1" x="5251"/>
        <item m="1" x="5749"/>
        <item m="1" x="6248"/>
        <item m="1" x="6752"/>
        <item m="1" x="7252"/>
        <item m="1" x="7753"/>
        <item m="1" x="329"/>
        <item m="1" x="831"/>
        <item m="1" x="1335"/>
        <item m="1" x="1836"/>
        <item m="1" x="2337"/>
        <item m="1" x="2845"/>
        <item m="1" x="3355"/>
        <item m="1" x="3871"/>
        <item m="1" x="4380"/>
        <item m="1" x="4878"/>
        <item m="1" x="5372"/>
        <item m="1" x="5868"/>
        <item m="1" x="6370"/>
        <item m="1" x="6874"/>
        <item m="1" x="7372"/>
        <item m="1" x="7874"/>
        <item m="1" x="451"/>
        <item m="1" x="953"/>
        <item m="1" x="1454"/>
        <item m="1" x="1958"/>
        <item m="1" x="2462"/>
        <item m="1" x="2969"/>
        <item m="1" x="3480"/>
        <item m="1" x="3997"/>
        <item m="1" x="4504"/>
        <item m="1" x="4995"/>
        <item m="1" x="5490"/>
        <item m="1" x="5987"/>
        <item m="1" x="6490"/>
        <item m="1" x="6991"/>
        <item m="1" x="7491"/>
        <item m="1" x="7995"/>
        <item m="1" x="572"/>
        <item m="1" x="1074"/>
        <item m="1" x="1577"/>
        <item m="1" x="2080"/>
        <item m="1" x="2586"/>
        <item m="1" x="3092"/>
        <item m="1" x="3604"/>
        <item m="1" x="4122"/>
        <item m="1" x="4621"/>
        <item m="1" x="5113"/>
        <item m="1" x="5610"/>
        <item m="1" x="6110"/>
        <item m="1" x="6612"/>
        <item m="1" x="7113"/>
        <item m="1" x="7615"/>
        <item m="1" x="192"/>
        <item m="1" x="694"/>
        <item m="1" x="1198"/>
        <item m="1" x="1701"/>
        <item m="1" x="2203"/>
        <item m="1" x="2709"/>
        <item m="1" x="3214"/>
        <item m="1" x="3728"/>
        <item m="1" x="4241"/>
        <item m="1" x="4738"/>
        <item m="1" x="5233"/>
        <item m="1" x="5729"/>
        <item m="1" x="6234"/>
        <item m="1" x="6737"/>
        <item m="1" x="7236"/>
        <item m="1" x="7736"/>
        <item m="1" x="313"/>
        <item m="1" x="815"/>
        <item m="1" x="1317"/>
        <item m="1" x="1816"/>
        <item m="1" x="2321"/>
        <item m="1" x="2830"/>
        <item m="1" x="3339"/>
        <item m="1" x="3852"/>
        <item m="1" x="4363"/>
        <item m="1" x="4861"/>
        <item m="1" x="5355"/>
        <item m="1" x="5848"/>
        <item m="1" x="6353"/>
        <item m="1" x="6859"/>
        <item m="1" x="7357"/>
        <item m="1" x="7857"/>
        <item m="1" x="434"/>
        <item m="1" x="938"/>
        <item m="1" x="1438"/>
        <item m="1" x="1938"/>
        <item m="1" x="2445"/>
        <item m="1" x="2954"/>
        <item m="1" x="3465"/>
        <item m="1" x="3980"/>
        <item m="1" x="4489"/>
        <item m="1" x="4981"/>
        <item m="1" x="5474"/>
        <item m="1" x="5968"/>
        <item m="1" x="6475"/>
        <item m="1" x="6976"/>
        <item m="1" x="7477"/>
        <item m="1" x="7978"/>
        <item m="1" x="556"/>
        <item m="1" x="1060"/>
        <item m="1" x="1561"/>
        <item m="1" x="2061"/>
        <item m="1" x="2571"/>
        <item m="1" x="3077"/>
        <item m="1" x="3590"/>
        <item m="1" x="4105"/>
        <item m="1" x="4607"/>
        <item m="1" x="5099"/>
        <item m="1" x="5594"/>
        <item m="1" x="6089"/>
        <item m="1" x="6595"/>
        <item m="1" x="7097"/>
        <item m="1" x="7600"/>
        <item m="1" x="176"/>
        <item m="1" x="678"/>
        <item m="1" x="1183"/>
        <item m="1" x="1686"/>
        <item m="1" x="2183"/>
        <item m="1" x="2691"/>
        <item m="1" x="3199"/>
        <item m="1" x="3713"/>
        <item m="1" x="4224"/>
        <item m="1" x="4722"/>
        <item m="1" x="5218"/>
        <item m="1" x="5712"/>
        <item m="1" x="6212"/>
        <item m="1" x="6719"/>
        <item m="1" x="7220"/>
        <item m="1" x="7721"/>
        <item m="1" x="296"/>
        <item m="1" x="797"/>
        <item m="1" x="1302"/>
        <item m="1" x="1801"/>
        <item m="1" x="2302"/>
        <item m="1" x="2813"/>
        <item m="1" x="3325"/>
        <item m="1" x="3837"/>
        <item m="1" x="4347"/>
        <item m="1" x="4844"/>
        <item m="1" x="5340"/>
        <item m="1" x="5833"/>
        <item m="1" x="6334"/>
        <item m="1" x="6841"/>
        <item m="1" x="7342"/>
        <item m="1" x="7843"/>
        <item m="1" x="417"/>
        <item m="1" x="920"/>
        <item m="1" x="1421"/>
        <item m="1" x="1922"/>
        <item m="1" x="2425"/>
        <item m="1" x="2935"/>
        <item m="1" x="3451"/>
        <item m="1" x="3967"/>
        <item m="1" x="4472"/>
        <item m="1" x="4964"/>
        <item m="1" x="5459"/>
        <item m="1" x="5953"/>
        <item m="1" x="6455"/>
        <item m="1" x="6958"/>
        <item m="1" x="7461"/>
        <item m="1" x="7964"/>
        <item m="1" x="540"/>
        <item m="1" x="1042"/>
        <item m="1" x="1543"/>
        <item m="1" x="2045"/>
        <item m="1" x="2551"/>
        <item m="1" x="3057"/>
        <item m="1" x="3572"/>
        <item m="1" x="4090"/>
        <item m="1" x="4590"/>
        <item m="1" x="5081"/>
        <item m="1" x="5575"/>
        <item m="1" x="6074"/>
        <item m="1" x="6576"/>
        <item m="1" x="7078"/>
        <item m="1" x="7582"/>
        <item m="1" x="159"/>
        <item m="1" x="661"/>
        <item m="1" x="1164"/>
        <item m="1" x="1667"/>
        <item m="1" x="2168"/>
        <item m="1" x="2674"/>
        <item m="1" x="3180"/>
        <item m="1" x="3698"/>
        <item m="1" x="4211"/>
        <item m="1" x="4707"/>
        <item m="1" x="5200"/>
        <item m="1" x="5696"/>
        <item m="1" x="6198"/>
        <item m="1" x="6701"/>
        <item m="1" x="7202"/>
        <item m="1" x="7707"/>
        <item m="1" x="281"/>
        <item m="1" x="782"/>
        <item m="1" x="1285"/>
        <item m="1" x="1786"/>
        <item m="1" x="2287"/>
        <item m="1" x="2794"/>
        <item m="1" x="3304"/>
        <item m="1" x="3822"/>
        <item m="1" x="4332"/>
        <item m="1" x="4829"/>
        <item m="1" x="5322"/>
        <item m="1" x="5817"/>
        <item m="1" x="6319"/>
        <item m="1" x="6825"/>
        <item m="1" x="7321"/>
        <item m="1" x="7829"/>
        <item m="1" x="402"/>
        <item m="1" x="905"/>
        <item m="1" x="1403"/>
        <item m="1" x="1904"/>
        <item m="1" x="2410"/>
        <item m="1" x="2919"/>
        <item m="1" x="3428"/>
        <item m="1" x="3950"/>
        <item m="1" x="4456"/>
        <item m="1" x="4950"/>
        <item m="1" x="7143"/>
        <item m="1" x="7644"/>
        <item m="1" x="218"/>
        <item m="1" x="722"/>
        <item m="1" x="1231"/>
        <item m="1" x="1729"/>
        <item m="1" x="2229"/>
        <item m="1" x="2734"/>
        <item m="1" x="3244"/>
        <item m="1" x="3757"/>
        <item m="1" x="4268"/>
        <item m="1" x="4768"/>
        <item m="1" x="5265"/>
        <item m="1" x="5758"/>
        <item m="1" x="6259"/>
        <item m="1" x="6763"/>
        <item m="1" x="7265"/>
        <item m="1" x="7763"/>
        <item m="1" x="341"/>
        <item m="1" x="844"/>
        <item m="1" x="1350"/>
        <item m="1" x="1846"/>
        <item m="1" x="2350"/>
        <item m="1" x="2858"/>
        <item m="1" x="3369"/>
        <item m="1" x="3883"/>
        <item m="1" x="4392"/>
        <item m="1" x="4891"/>
        <item m="1" x="5387"/>
        <item m="1" x="5878"/>
        <item m="1" x="6381"/>
        <item m="1" x="6885"/>
        <item m="1" x="7385"/>
        <item m="1" x="7884"/>
        <item m="1" x="462"/>
        <item m="1" x="968"/>
        <item m="1" x="1469"/>
        <item m="1" x="1968"/>
        <item m="1" x="2475"/>
        <item m="1" x="2982"/>
        <item m="1" x="3495"/>
        <item m="1" x="4010"/>
        <item m="1" x="4517"/>
        <item m="1" x="5010"/>
        <item m="1" x="5506"/>
        <item m="1" x="5999"/>
        <item m="1" x="6503"/>
        <item m="1" x="7003"/>
        <item m="1" x="7505"/>
        <item m="1" x="78"/>
        <item m="1" x="585"/>
        <item m="1" x="1088"/>
        <item m="1" x="1593"/>
        <item m="1" x="2092"/>
        <item m="1" x="2598"/>
        <item m="1" x="3104"/>
        <item m="1" x="3618"/>
        <item m="1" x="4133"/>
        <item m="1" x="4632"/>
        <item m="1" x="5126"/>
        <item m="1" x="5625"/>
        <item m="1" x="6121"/>
        <item m="1" x="6624"/>
        <item m="1" x="7124"/>
        <item m="1" x="7629"/>
        <item m="1" x="202"/>
        <item m="1" x="704"/>
        <item m="1" x="1211"/>
        <item m="1" x="1716"/>
        <item m="1" x="2213"/>
        <item m="1" x="2720"/>
        <item m="1" x="3227"/>
        <item m="1" x="3743"/>
        <item m="1" x="4253"/>
        <item m="1" x="4750"/>
        <item m="1" x="5246"/>
        <item m="1" x="5745"/>
        <item m="1" x="6245"/>
        <item m="1" x="6748"/>
        <item m="1" x="7247"/>
        <item m="1" x="7749"/>
        <item m="1" x="325"/>
        <item m="1" x="827"/>
        <item m="1" x="1330"/>
        <item m="1" x="1832"/>
        <item m="1" x="2334"/>
        <item m="1" x="2842"/>
        <item m="1" x="3351"/>
        <item m="1" x="3867"/>
        <item m="1" x="4376"/>
        <item m="1" x="4875"/>
        <item m="1" x="5367"/>
        <item m="1" x="5864"/>
        <item m="1" x="6366"/>
        <item m="1" x="6870"/>
        <item m="1" x="7367"/>
        <item m="1" x="7870"/>
        <item m="1" x="446"/>
        <item m="1" x="949"/>
        <item m="1" x="1449"/>
        <item m="1" x="1954"/>
        <item m="1" x="2457"/>
        <item m="1" x="2966"/>
        <item m="1" x="3476"/>
        <item m="1" x="3994"/>
        <item m="1" x="4500"/>
        <item m="1" x="4993"/>
        <item m="1" x="5486"/>
        <item m="1" x="5984"/>
        <item m="1" x="6487"/>
        <item m="1" x="6988"/>
        <item m="1" x="7487"/>
        <item m="1" x="7992"/>
        <item m="1" x="568"/>
        <item m="1" x="1072"/>
        <item m="1" x="1573"/>
        <item m="1" x="2077"/>
        <item m="1" x="2583"/>
        <item m="1" x="3090"/>
        <item m="1" x="3601"/>
        <item m="1" x="4119"/>
        <item m="1" x="4618"/>
        <item m="1" x="5111"/>
        <item m="1" x="5606"/>
        <item m="1" x="6106"/>
        <item m="1" x="6609"/>
        <item m="1" x="7110"/>
        <item m="1" x="7611"/>
        <item m="1" x="189"/>
        <item m="1" x="691"/>
        <item m="1" x="1195"/>
        <item m="1" x="1697"/>
        <item m="1" x="2199"/>
        <item m="1" x="2705"/>
        <item m="1" x="3211"/>
        <item m="1" x="3725"/>
        <item m="1" x="4237"/>
        <item m="1" x="4735"/>
        <item m="1" x="5230"/>
        <item m="1" x="5725"/>
        <item m="1" x="6228"/>
        <item m="1" x="6734"/>
        <item m="1" x="7232"/>
        <item m="1" x="7733"/>
        <item m="1" x="309"/>
        <item m="1" x="812"/>
        <item m="1" x="1314"/>
        <item m="1" x="1813"/>
        <item m="1" x="2316"/>
        <item m="1" x="2827"/>
        <item m="1" x="3336"/>
        <item m="1" x="3850"/>
        <item m="1" x="4359"/>
        <item m="1" x="4858"/>
        <item m="1" x="5352"/>
        <item m="1" x="5845"/>
        <item m="1" x="6348"/>
        <item m="1" x="6856"/>
        <item m="1" x="7353"/>
        <item m="1" x="7854"/>
        <item m="1" x="430"/>
        <item m="1" x="935"/>
        <item m="1" x="1434"/>
        <item m="1" x="1934"/>
        <item m="1" x="2440"/>
        <item m="1" x="2950"/>
        <item m="1" x="3462"/>
        <item m="1" x="3978"/>
        <item m="1" x="4485"/>
        <item m="1" x="4977"/>
        <item m="1" x="5471"/>
        <item m="1" x="5965"/>
        <item m="1" x="6470"/>
        <item m="1" x="6973"/>
        <item m="1" x="7473"/>
        <item m="1" x="7975"/>
        <item m="1" x="552"/>
        <item m="1" x="1056"/>
        <item m="1" x="1558"/>
        <item m="1" x="2058"/>
        <item m="1" x="2566"/>
        <item m="1" x="3074"/>
        <item m="1" x="3587"/>
        <item m="1" x="4103"/>
        <item m="1" x="4603"/>
        <item m="1" x="5095"/>
        <item m="1" x="5591"/>
        <item m="1" x="6086"/>
        <item m="1" x="6590"/>
        <item m="1" x="7094"/>
        <item m="1" x="7596"/>
        <item m="1" x="171"/>
        <item m="1" x="673"/>
        <item m="1" x="1177"/>
        <item m="1" x="1681"/>
        <item m="1" x="2177"/>
        <item m="1" x="2686"/>
        <item m="1" x="3194"/>
        <item m="1" x="3709"/>
        <item m="1" x="4221"/>
        <item m="1" x="4718"/>
        <item m="1" x="5213"/>
        <item m="1" x="5708"/>
        <item m="1" x="6208"/>
        <item m="1" x="6714"/>
        <item m="1" x="7216"/>
        <item m="1" x="7718"/>
        <item m="1" x="292"/>
        <item m="1" x="792"/>
        <item m="1" x="1297"/>
        <item m="1" x="1798"/>
        <item m="1" x="2298"/>
        <item m="1" x="2808"/>
        <item m="1" x="3321"/>
        <item m="1" x="3834"/>
        <item m="1" x="4344"/>
        <item m="1" x="4840"/>
        <item m="1" x="5335"/>
        <item m="1" x="5830"/>
        <item m="1" x="6330"/>
        <item m="1" x="6836"/>
        <item m="1" x="7337"/>
        <item m="1" x="7840"/>
        <item m="1" x="413"/>
        <item m="1" x="915"/>
        <item m="1" x="1416"/>
        <item m="1" x="1917"/>
        <item m="1" x="2421"/>
        <item m="1" x="2930"/>
        <item m="1" x="3446"/>
        <item m="1" x="3963"/>
        <item m="1" x="4469"/>
        <item m="1" x="4960"/>
        <item m="1" x="5453"/>
        <item m="1" x="5949"/>
        <item m="1" x="6452"/>
        <item m="1" x="6953"/>
        <item m="1" x="7456"/>
        <item m="1" x="7960"/>
        <item m="1" x="536"/>
        <item m="1" x="1037"/>
        <item m="1" x="1538"/>
        <item m="1" x="2041"/>
        <item m="1" x="2548"/>
        <item m="1" x="3052"/>
        <item m="1" x="5770"/>
        <item m="1" x="6270"/>
        <item m="1" x="6776"/>
        <item m="1" x="7274"/>
        <item m="1" x="7775"/>
        <item m="1" x="353"/>
        <item m="1" x="858"/>
        <item m="1" x="1358"/>
        <item m="1" x="1856"/>
        <item m="1" x="2360"/>
        <item m="1" x="2870"/>
        <item m="1" x="3378"/>
        <item m="1" x="3893"/>
        <item m="1" x="4404"/>
        <item m="1" x="4904"/>
        <item m="1" x="5394"/>
        <item m="1" x="5889"/>
        <item m="1" x="6391"/>
        <item m="1" x="6897"/>
        <item m="1" x="7393"/>
        <item m="1" x="7895"/>
        <item m="1" x="475"/>
        <item m="1" x="982"/>
        <item m="1" x="1478"/>
        <item m="1" x="1979"/>
        <item m="1" x="2485"/>
        <item m="1" x="2994"/>
        <item m="1" x="3503"/>
        <item m="1" x="4021"/>
        <item m="1" x="4529"/>
        <item m="1" x="5025"/>
        <item m="1" x="5515"/>
        <item m="1" x="6010"/>
        <item m="1" x="6514"/>
        <item m="1" x="7016"/>
        <item m="1" x="7515"/>
        <item m="1" x="91"/>
        <item m="1" x="598"/>
        <item m="1" x="1105"/>
        <item m="1" x="1605"/>
        <item m="1" x="2104"/>
        <item m="1" x="2610"/>
        <item m="1" x="3119"/>
        <item m="1" x="3629"/>
        <item m="1" x="4143"/>
        <item m="1" x="4645"/>
        <item m="1" x="5142"/>
        <item m="1" x="5635"/>
        <item m="1" x="6132"/>
        <item m="1" x="6636"/>
        <item m="1" x="7137"/>
        <item m="1" x="7640"/>
        <item m="1" x="213"/>
        <item m="1" x="717"/>
        <item m="1" x="1225"/>
        <item m="1" x="1726"/>
        <item m="1" x="2224"/>
        <item m="1" x="2730"/>
        <item m="1" x="3239"/>
        <item m="1" x="3753"/>
        <item m="1" x="4263"/>
        <item m="1" x="4763"/>
        <item m="1" x="5260"/>
        <item m="1" x="5755"/>
        <item m="1" x="6255"/>
        <item m="1" x="6759"/>
        <item m="1" x="7260"/>
        <item m="1" x="7760"/>
        <item m="1" x="336"/>
        <item m="1" x="839"/>
        <item m="1" x="1345"/>
        <item m="1" x="1843"/>
        <item m="1" x="2345"/>
        <item m="1" x="2853"/>
        <item m="1" x="3364"/>
        <item m="1" x="3879"/>
        <item m="1" x="4386"/>
        <item m="1" x="4886"/>
        <item m="1" x="5382"/>
        <item m="1" x="5874"/>
        <item m="1" x="6377"/>
        <item m="1" x="6881"/>
        <item m="1" x="7380"/>
        <item m="1" x="7880"/>
        <item m="1" x="457"/>
        <item m="1" x="961"/>
        <item m="1" x="1464"/>
        <item m="1" x="1964"/>
        <item m="1" x="2470"/>
        <item m="1" x="2976"/>
        <item m="1" x="3490"/>
        <item m="1" x="4005"/>
        <item m="1" x="4513"/>
        <item m="1" x="5004"/>
        <item m="1" x="5501"/>
        <item m="1" x="5995"/>
        <item m="1" x="6499"/>
        <item m="1" x="6998"/>
        <item m="1" x="7500"/>
        <item m="1" x="74"/>
        <item m="1" x="581"/>
        <item m="1" x="1082"/>
        <item m="1" x="1588"/>
        <item m="1" x="2088"/>
        <item m="1" x="2594"/>
        <item m="1" x="3099"/>
        <item m="1" x="3614"/>
        <item m="1" x="4129"/>
        <item m="1" x="4628"/>
        <item m="1" x="5121"/>
        <item m="1" x="5621"/>
        <item m="1" x="6117"/>
        <item m="1" x="6620"/>
        <item m="1" x="7120"/>
        <item m="1" x="7624"/>
        <item m="1" x="199"/>
        <item m="1" x="701"/>
        <item m="1" x="1206"/>
        <item m="1" x="1712"/>
        <item m="1" x="2210"/>
        <item m="1" x="2716"/>
        <item m="1" x="3221"/>
        <item m="1" x="3738"/>
        <item m="1" x="4249"/>
        <item m="1" x="4747"/>
        <item m="1" x="5241"/>
        <item m="1" x="5740"/>
        <item m="1" x="6242"/>
        <item m="1" x="6745"/>
        <item m="1" x="7243"/>
        <item m="1" x="7745"/>
        <item m="1" x="322"/>
        <item m="1" x="824"/>
        <item m="1" x="1325"/>
        <item m="1" x="1827"/>
        <item m="1" x="2331"/>
        <item m="1" x="2838"/>
        <item m="1" x="3346"/>
        <item m="1" x="3862"/>
        <item m="1" x="4373"/>
        <item m="1" x="4870"/>
        <item m="1" x="5363"/>
        <item m="1" x="5858"/>
        <item m="1" x="6362"/>
        <item m="1" x="6866"/>
        <item m="1" x="7364"/>
        <item m="1" x="7865"/>
        <item m="1" x="442"/>
        <item m="1" x="945"/>
        <item m="1" x="1445"/>
        <item m="1" x="1948"/>
        <item m="1" x="2453"/>
        <item m="1" x="2961"/>
        <item m="1" x="3472"/>
        <item m="1" x="3989"/>
        <item m="1" x="4497"/>
        <item m="1" x="4989"/>
        <item m="1" x="5482"/>
        <item m="1" x="5978"/>
        <item m="1" x="6484"/>
        <item m="1" x="6984"/>
        <item m="1" x="7484"/>
        <item m="1" x="7987"/>
        <item m="1" x="565"/>
        <item m="1" x="1068"/>
        <item m="1" x="1569"/>
        <item m="1" x="2071"/>
        <item m="1" x="2580"/>
        <item m="1" x="3085"/>
        <item m="1" x="3597"/>
        <item m="1" x="4114"/>
        <item m="1" x="4615"/>
        <item m="1" x="5106"/>
        <item m="1" x="5601"/>
        <item m="1" x="6100"/>
        <item m="1" x="6604"/>
        <item m="1" x="7105"/>
        <item m="1" x="7608"/>
        <item m="1" x="184"/>
        <item m="1" x="687"/>
        <item m="1" x="1191"/>
        <item m="1" x="1693"/>
        <item m="1" x="2192"/>
        <item m="1" x="2701"/>
        <item m="1" x="3207"/>
        <item m="1" x="3721"/>
        <item m="1" x="4232"/>
        <item m="1" x="4731"/>
        <item m="1" x="5226"/>
        <item m="1" x="5720"/>
        <item m="1" x="6221"/>
        <item m="1" x="6729"/>
        <item m="1" x="7228"/>
        <item m="1" x="7729"/>
        <item m="1" x="303"/>
        <item m="1" x="806"/>
        <item m="1" x="1310"/>
        <item m="1" x="1808"/>
        <item m="1" x="2310"/>
        <item m="1" x="2822"/>
        <item m="1" x="3332"/>
        <item m="1" x="3845"/>
        <item m="1" x="4354"/>
        <item m="1" x="4853"/>
        <item m="1" x="5347"/>
        <item m="1" x="5839"/>
        <item m="1" x="6342"/>
        <item m="1" x="6850"/>
        <item m="1" x="7349"/>
        <item m="1" x="7850"/>
        <item m="1" x="425"/>
        <item m="1" x="929"/>
        <item m="1" x="1430"/>
        <item m="1" x="1929"/>
        <item m="1" x="2434"/>
        <item m="1" x="2945"/>
        <item m="1" x="3458"/>
        <item m="1" x="3973"/>
        <item m="1" x="4479"/>
        <item m="1" x="4972"/>
        <item m="1" x="5467"/>
        <item m="1" x="5960"/>
        <item m="1" x="6464"/>
        <item m="1" x="6968"/>
        <item m="1" x="7469"/>
        <item m="1" x="7971"/>
        <item m="1" x="547"/>
        <item m="1" x="1051"/>
        <item m="1" x="1553"/>
        <item m="1" x="2054"/>
        <item m="1" x="2560"/>
        <item m="1" x="3069"/>
        <item m="1" x="3582"/>
        <item m="1" x="4098"/>
        <item m="1" x="4597"/>
        <item m="1" x="5090"/>
        <item m="1" x="5585"/>
        <item m="1" x="6081"/>
        <item m="1" x="6584"/>
        <item m="1" x="7089"/>
        <item m="1" x="7590"/>
        <item m="1" x="167"/>
        <item m="1" x="668"/>
        <item m="1" x="1173"/>
        <item m="1" x="1676"/>
        <item m="1" x="3908"/>
        <item m="1" x="4418"/>
        <item m="1" x="2508"/>
        <item m="1" x="3014"/>
        <item m="1" x="3528"/>
        <item m="1" x="4047"/>
        <item m="1" x="633"/>
        <item m="1" x="1137"/>
        <item m="1" x="1637"/>
        <item m="1" x="2136"/>
        <item m="1" x="2642"/>
        <item m="1" x="261"/>
        <item m="1" x="514"/>
        <item m="1" x="763"/>
        <item m="1" x="1017"/>
        <item m="1" x="3693"/>
        <item m="1" x="3955"/>
        <item m="1" x="4206"/>
        <item m="1" x="4461"/>
        <item m="1" x="2046"/>
        <item m="1" x="2295"/>
        <item m="1" x="2552"/>
        <item m="1" x="2803"/>
        <item m="1" x="3058"/>
        <item m="1" x="3316"/>
        <item m="1" x="3573"/>
        <item m="1" x="3830"/>
        <item m="1" x="4091"/>
        <item m="1" x="172"/>
        <item m="1" x="420"/>
        <item m="1" x="674"/>
        <item m="1" x="925"/>
        <item m="1" x="1178"/>
        <item m="1" x="1426"/>
        <item m="1" x="1682"/>
        <item m="1" x="1926"/>
        <item m="1" x="2178"/>
        <item m="1" x="2429"/>
        <item m="1" x="304"/>
        <item m="1" x="557"/>
        <item m="1" x="807"/>
        <item m="1" x="3222"/>
        <item m="1" x="3481"/>
        <item m="1" x="3739"/>
        <item m="1" x="3998"/>
        <item m="1" x="4250"/>
        <item m="1" x="4505"/>
        <item m="1" x="1594"/>
        <item m="1" x="1839"/>
        <item m="1" x="2093"/>
        <item m="1" x="2342"/>
        <item m="1" x="2599"/>
        <item m="1" x="2849"/>
        <item m="1" x="3105"/>
        <item m="1" x="3360"/>
        <item m="1" x="3619"/>
        <item m="1" x="3875"/>
        <item t="default"/>
      </items>
    </pivotField>
    <pivotField showAll="0" sortType="ascending"/>
    <pivotField showAll="0">
      <items count="11">
        <item x="0"/>
        <item x="1"/>
        <item x="2"/>
        <item x="3"/>
        <item m="1" x="9"/>
        <item m="1" x="4"/>
        <item m="1" x="5"/>
        <item m="1" x="6"/>
        <item m="1" x="7"/>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7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t="grand">
      <x/>
    </i>
  </rowItems>
  <colFields count="1">
    <field x="-2"/>
  </colFields>
  <colItems count="3">
    <i>
      <x/>
    </i>
    <i i="1">
      <x v="1"/>
    </i>
    <i i="2">
      <x v="2"/>
    </i>
  </colItems>
  <dataFields count="3">
    <dataField name="Average of ACTUALTRS" fld="11" subtotal="average" baseField="5" baseItem="0"/>
    <dataField name="Average of PREDICTEDTRS" fld="12" subtotal="average" baseField="5" baseItem="25"/>
    <dataField name="Average of ERRORTRS" fld="13" subtotal="average" baseField="7" baseItem="6"/>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fieldListSortAscending="1">
  <location ref="A1:D74" firstHeaderRow="0" firstDataRow="1" firstDataCol="1"/>
  <pivotFields count="20">
    <pivotField showAll="0">
      <items count="320">
        <item m="1" x="310"/>
        <item m="1" x="276"/>
        <item m="1" x="132"/>
        <item m="1" x="31"/>
        <item m="1" x="108"/>
        <item m="1" x="283"/>
        <item m="1" x="311"/>
        <item m="1" x="12"/>
        <item m="1" x="272"/>
        <item m="1" x="80"/>
        <item m="1" x="225"/>
        <item m="1" x="137"/>
        <item m="1" x="56"/>
        <item m="1" x="75"/>
        <item m="1" x="177"/>
        <item m="1" x="306"/>
        <item m="1" x="119"/>
        <item m="1" x="18"/>
        <item m="1" x="235"/>
        <item x="0"/>
        <item m="1" x="109"/>
        <item m="1" x="169"/>
        <item m="1" x="226"/>
        <item m="1" x="143"/>
        <item m="1" x="77"/>
        <item m="1" x="86"/>
        <item m="1" x="238"/>
        <item m="1" x="277"/>
        <item m="1" x="150"/>
        <item m="1" x="194"/>
        <item m="1" x="120"/>
        <item m="1" x="236"/>
        <item m="1" x="7"/>
        <item m="1" x="58"/>
        <item m="1" x="87"/>
        <item m="1" x="267"/>
        <item m="1" x="312"/>
        <item m="1" x="95"/>
        <item m="1" x="13"/>
        <item m="1" x="303"/>
        <item m="1" x="88"/>
        <item m="1" x="144"/>
        <item m="1" x="101"/>
        <item m="1" x="157"/>
        <item m="1" x="165"/>
        <item m="1" x="70"/>
        <item m="1" x="121"/>
        <item m="1" x="38"/>
        <item m="1" x="261"/>
        <item m="1" x="170"/>
        <item m="1" x="54"/>
        <item m="1" x="59"/>
        <item m="1" x="243"/>
        <item m="1" x="171"/>
        <item m="1" x="110"/>
        <item m="1" x="212"/>
        <item m="1" x="313"/>
        <item m="1" x="244"/>
        <item m="1" x="172"/>
        <item m="1" x="284"/>
        <item m="1" x="214"/>
        <item m="1" x="133"/>
        <item m="1" x="76"/>
        <item m="1" x="19"/>
        <item m="1" x="35"/>
        <item m="1" x="215"/>
        <item m="1" x="158"/>
        <item m="1" x="184"/>
        <item m="1" x="81"/>
        <item m="1" x="102"/>
        <item m="1" x="307"/>
        <item m="1" x="159"/>
        <item m="1" x="245"/>
        <item m="1" x="248"/>
        <item m="1" x="188"/>
        <item m="1" x="268"/>
        <item m="1" x="138"/>
        <item m="1" x="160"/>
        <item m="1" x="151"/>
        <item m="1" x="51"/>
        <item m="1" x="314"/>
        <item m="1" x="117"/>
        <item m="1" x="249"/>
        <item m="1" x="189"/>
        <item m="1" x="304"/>
        <item m="1" x="14"/>
        <item m="1" x="213"/>
        <item m="1" x="9"/>
        <item m="1" x="178"/>
        <item m="1" x="315"/>
        <item m="1" x="32"/>
        <item m="1" x="152"/>
        <item m="1" x="195"/>
        <item m="1" x="10"/>
        <item m="1" x="290"/>
        <item m="1" x="145"/>
        <item m="1" x="255"/>
        <item m="1" x="122"/>
        <item m="1" x="251"/>
        <item m="1" x="239"/>
        <item m="1" x="258"/>
        <item m="1" x="36"/>
        <item m="1" x="161"/>
        <item m="1" x="227"/>
        <item m="1" x="118"/>
        <item m="1" x="259"/>
        <item m="1" x="237"/>
        <item m="1" x="71"/>
        <item m="1" x="273"/>
        <item m="1" x="293"/>
        <item m="1" x="39"/>
        <item m="1" x="200"/>
        <item m="1" x="218"/>
        <item m="1" x="231"/>
        <item m="1" x="262"/>
        <item m="1" x="285"/>
        <item m="1" x="53"/>
        <item m="1" x="269"/>
        <item m="1" x="179"/>
        <item m="1" x="316"/>
        <item m="1" x="219"/>
        <item m="1" x="278"/>
        <item m="1" x="89"/>
        <item m="1" x="60"/>
        <item m="1" x="123"/>
        <item m="1" x="33"/>
        <item m="1" x="256"/>
        <item m="1" x="180"/>
        <item m="1" x="263"/>
        <item m="1" x="173"/>
        <item m="1" x="72"/>
        <item m="1" x="250"/>
        <item m="1" x="126"/>
        <item m="1" x="61"/>
        <item m="1" x="162"/>
        <item m="1" x="206"/>
        <item m="1" x="252"/>
        <item m="1" x="127"/>
        <item m="1" x="114"/>
        <item m="1" x="294"/>
        <item m="1" x="317"/>
        <item m="1" x="1"/>
        <item m="1" x="286"/>
        <item m="1" x="111"/>
        <item m="1" x="318"/>
        <item m="1" x="220"/>
        <item m="1" x="228"/>
        <item m="1" x="232"/>
        <item m="1" x="298"/>
        <item m="1" x="45"/>
        <item m="1" x="264"/>
        <item m="1" x="223"/>
        <item m="1" x="82"/>
        <item m="1" x="128"/>
        <item m="1" x="240"/>
        <item m="1" x="196"/>
        <item m="1" x="62"/>
        <item m="1" x="216"/>
        <item m="1" x="15"/>
        <item m="1" x="103"/>
        <item m="1" x="153"/>
        <item m="1" x="134"/>
        <item m="1" x="83"/>
        <item m="1" x="24"/>
        <item m="1" x="154"/>
        <item m="1" x="197"/>
        <item m="1" x="104"/>
        <item m="1" x="265"/>
        <item m="1" x="146"/>
        <item m="1" x="129"/>
        <item m="1" x="155"/>
        <item m="1" x="96"/>
        <item m="1" x="246"/>
        <item m="1" x="163"/>
        <item m="1" x="78"/>
        <item m="1" x="46"/>
        <item m="1" x="105"/>
        <item m="1" x="2"/>
        <item m="1" x="55"/>
        <item m="1" x="37"/>
        <item m="1" x="11"/>
        <item m="1" x="221"/>
        <item m="1" x="279"/>
        <item m="1" x="40"/>
        <item m="1" x="207"/>
        <item m="1" x="147"/>
        <item m="1" x="84"/>
        <item m="1" x="49"/>
        <item m="1" x="112"/>
        <item m="1" x="25"/>
        <item m="1" x="63"/>
        <item m="1" x="217"/>
        <item m="1" x="274"/>
        <item m="1" x="97"/>
        <item m="1" x="47"/>
        <item m="1" x="106"/>
        <item m="1" x="208"/>
        <item m="1" x="20"/>
        <item m="1" x="224"/>
        <item m="1" x="287"/>
        <item m="1" x="190"/>
        <item m="1" x="3"/>
        <item m="1" x="253"/>
        <item m="1" x="73"/>
        <item m="1" x="65"/>
        <item m="1" x="29"/>
        <item m="1" x="21"/>
        <item m="1" x="174"/>
        <item m="1" x="130"/>
        <item m="1" x="131"/>
        <item m="1" x="64"/>
        <item m="1" x="135"/>
        <item m="1" x="27"/>
        <item m="1" x="295"/>
        <item m="1" x="299"/>
        <item m="1" x="185"/>
        <item m="1" x="22"/>
        <item m="1" x="34"/>
        <item m="1" x="48"/>
        <item m="1" x="241"/>
        <item m="1" x="90"/>
        <item m="1" x="41"/>
        <item m="1" x="181"/>
        <item m="1" x="247"/>
        <item m="1" x="201"/>
        <item m="1" x="66"/>
        <item m="1" x="300"/>
        <item m="1" x="4"/>
        <item m="1" x="191"/>
        <item m="1" x="91"/>
        <item m="1" x="296"/>
        <item m="1" x="202"/>
        <item m="1" x="16"/>
        <item m="1" x="280"/>
        <item m="1" x="30"/>
        <item m="1" x="79"/>
        <item m="1" x="166"/>
        <item m="1" x="124"/>
        <item m="1" x="209"/>
        <item m="1" x="266"/>
        <item m="1" x="175"/>
        <item m="1" x="192"/>
        <item m="1" x="92"/>
        <item m="1" x="254"/>
        <item m="1" x="198"/>
        <item m="1" x="28"/>
        <item m="1" x="98"/>
        <item m="1" x="26"/>
        <item m="1" x="74"/>
        <item m="1" x="291"/>
        <item m="1" x="93"/>
        <item m="1" x="113"/>
        <item m="1" x="275"/>
        <item m="1" x="42"/>
        <item m="1" x="182"/>
        <item m="1" x="203"/>
        <item m="1" x="67"/>
        <item m="1" x="222"/>
        <item m="1" x="210"/>
        <item m="1" x="156"/>
        <item m="1" x="94"/>
        <item m="1" x="115"/>
        <item m="1" x="136"/>
        <item m="1" x="164"/>
        <item m="1" x="43"/>
        <item m="1" x="99"/>
        <item m="1" x="139"/>
        <item m="1" x="281"/>
        <item m="1" x="167"/>
        <item m="1" x="148"/>
        <item m="1" x="8"/>
        <item m="1" x="57"/>
        <item m="1" x="242"/>
        <item m="1" x="308"/>
        <item m="1" x="116"/>
        <item m="1" x="199"/>
        <item m="1" x="229"/>
        <item m="1" x="44"/>
        <item m="1" x="140"/>
        <item m="1" x="282"/>
        <item m="1" x="168"/>
        <item m="1" x="233"/>
        <item m="1" x="186"/>
        <item m="1" x="125"/>
        <item m="1" x="211"/>
        <item m="1" x="50"/>
        <item m="1" x="193"/>
        <item m="1" x="204"/>
        <item m="1" x="141"/>
        <item m="1" x="301"/>
        <item m="1" x="288"/>
        <item m="1" x="205"/>
        <item m="1" x="17"/>
        <item m="1" x="234"/>
        <item m="1" x="302"/>
        <item m="1" x="100"/>
        <item m="1" x="5"/>
        <item m="1" x="305"/>
        <item m="1" x="52"/>
        <item m="1" x="230"/>
        <item m="1" x="107"/>
        <item m="1" x="23"/>
        <item m="1" x="176"/>
        <item m="1" x="270"/>
        <item m="1" x="257"/>
        <item m="1" x="292"/>
        <item m="1" x="6"/>
        <item m="1" x="289"/>
        <item m="1" x="85"/>
        <item m="1" x="260"/>
        <item m="1" x="68"/>
        <item m="1" x="69"/>
        <item m="1" x="149"/>
        <item m="1" x="309"/>
        <item m="1" x="297"/>
        <item m="1" x="183"/>
        <item m="1" x="142"/>
        <item m="1" x="187"/>
        <item m="1" x="271"/>
        <item t="default"/>
      </items>
    </pivotField>
    <pivotField showAll="0">
      <items count="679">
        <item m="1" x="490"/>
        <item m="1" x="62"/>
        <item m="1" x="205"/>
        <item m="1" x="45"/>
        <item m="1" x="540"/>
        <item m="1" x="505"/>
        <item m="1" x="67"/>
        <item m="1" x="378"/>
        <item m="1" x="268"/>
        <item m="1" x="527"/>
        <item m="1" x="359"/>
        <item m="1" x="230"/>
        <item m="1" x="400"/>
        <item m="1" x="573"/>
        <item x="1"/>
        <item m="1" x="421"/>
        <item m="1" x="74"/>
        <item m="1" x="272"/>
        <item m="1" x="291"/>
        <item m="1" x="552"/>
        <item m="1" x="213"/>
        <item m="1" x="652"/>
        <item m="1" x="109"/>
        <item m="1" x="243"/>
        <item m="1" x="617"/>
        <item m="1" x="128"/>
        <item m="1" x="487"/>
        <item m="1" x="631"/>
        <item m="1" x="30"/>
        <item m="1" x="179"/>
        <item m="1" x="224"/>
        <item m="1" x="501"/>
        <item m="1" x="661"/>
        <item m="1" x="375"/>
        <item m="1" x="460"/>
        <item m="1" x="626"/>
        <item m="1" x="648"/>
        <item m="1" x="176"/>
        <item m="1" x="517"/>
        <item m="1" x="545"/>
        <item m="1" x="100"/>
        <item m="1" x="175"/>
        <item m="1" x="189"/>
        <item m="1" x="240"/>
        <item m="1" x="281"/>
        <item m="1" x="290"/>
        <item m="1" x="500"/>
        <item m="1" x="579"/>
        <item m="1" x="667"/>
        <item m="1" x="10"/>
        <item m="1" x="53"/>
        <item m="1" x="135"/>
        <item m="1" x="206"/>
        <item m="1" x="232"/>
        <item m="1" x="288"/>
        <item m="1" x="444"/>
        <item m="1" x="529"/>
        <item m="1" x="79"/>
        <item m="1" x="147"/>
        <item m="1" x="219"/>
        <item m="1" x="279"/>
        <item m="1" x="458"/>
        <item m="1" x="480"/>
        <item m="1" x="565"/>
        <item m="1" x="643"/>
        <item m="1" x="27"/>
        <item m="1" x="50"/>
        <item m="1" x="172"/>
        <item m="1" x="186"/>
        <item m="1" x="217"/>
        <item m="1" x="564"/>
        <item m="1" x="575"/>
        <item m="1" x="64"/>
        <item m="1" x="89"/>
        <item m="1" x="185"/>
        <item m="1" x="215"/>
        <item m="1" x="542"/>
        <item m="1" x="622"/>
        <item m="1" x="658"/>
        <item m="1" x="144"/>
        <item m="1" x="156"/>
        <item m="1" x="171"/>
        <item m="1" x="246"/>
        <item m="1" x="385"/>
        <item m="1" x="476"/>
        <item m="1" x="524"/>
        <item m="1" x="634"/>
        <item m="1" x="133"/>
        <item m="1" x="275"/>
        <item m="1" x="312"/>
        <item m="1" x="358"/>
        <item m="1" x="507"/>
        <item m="1" x="553"/>
        <item m="1" x="574"/>
        <item m="1" x="597"/>
        <item m="1" x="77"/>
        <item m="1" x="132"/>
        <item m="1" x="324"/>
        <item m="1" x="333"/>
        <item m="1" x="399"/>
        <item m="1" x="76"/>
        <item m="1" x="408"/>
        <item m="1" x="98"/>
        <item m="1" x="441"/>
        <item m="1" x="117"/>
        <item m="1" x="273"/>
        <item m="1" x="323"/>
        <item m="1" x="347"/>
        <item m="1" x="370"/>
        <item m="1" x="383"/>
        <item m="1" x="112"/>
        <item m="1" x="440"/>
        <item m="1" x="229"/>
        <item m="1" x="606"/>
        <item m="1" x="654"/>
        <item m="1" x="665"/>
        <item m="1" x="24"/>
        <item m="1" x="369"/>
        <item m="1" x="75"/>
        <item m="1" x="406"/>
        <item m="1" x="131"/>
        <item m="1" x="492"/>
        <item m="1" x="538"/>
        <item m="1" x="285"/>
        <item m="1" x="59"/>
        <item m="1" x="405"/>
        <item m="1" x="439"/>
        <item m="1" x="537"/>
        <item m="1" x="194"/>
        <item m="1" x="202"/>
        <item x="0"/>
        <item m="1" x="58"/>
        <item m="1" x="96"/>
        <item m="1" x="111"/>
        <item m="1" x="182"/>
        <item m="1" x="673"/>
        <item m="1" x="7"/>
        <item m="1" x="337"/>
        <item m="1" x="21"/>
        <item m="1" x="438"/>
        <item m="1" x="130"/>
        <item m="1" x="504"/>
        <item m="1" x="562"/>
        <item m="1" x="227"/>
        <item m="1" x="585"/>
        <item m="1" x="238"/>
        <item m="1" x="309"/>
        <item m="1" x="6"/>
        <item m="1" x="86"/>
        <item m="1" x="95"/>
        <item m="1" x="464"/>
        <item m="1" x="244"/>
        <item m="1" x="271"/>
        <item m="1" x="640"/>
        <item m="1" x="298"/>
        <item m="1" x="336"/>
        <item m="1" x="32"/>
        <item m="1" x="437"/>
        <item m="1" x="143"/>
        <item m="1" x="153"/>
        <item m="1" x="503"/>
        <item m="1" x="160"/>
        <item m="1" x="549"/>
        <item m="1" x="211"/>
        <item m="1" x="571"/>
        <item m="1" x="595"/>
        <item m="1" x="257"/>
        <item m="1" x="650"/>
        <item m="1" x="354"/>
        <item m="1" x="42"/>
        <item m="1" x="85"/>
        <item m="1" x="412"/>
        <item m="1" x="436"/>
        <item m="1" x="450"/>
        <item m="1" x="512"/>
        <item m="1" x="548"/>
        <item m="1" x="639"/>
        <item m="1" x="345"/>
        <item m="1" x="57"/>
        <item m="1" x="84"/>
        <item m="1" x="426"/>
        <item m="1" x="488"/>
        <item m="1" x="199"/>
        <item m="1" x="236"/>
        <item m="1" x="255"/>
        <item m="1" x="632"/>
        <item m="1" x="662"/>
        <item m="1" x="319"/>
        <item m="1" x="4"/>
        <item m="1" x="13"/>
        <item m="1" x="379"/>
        <item m="1" x="404"/>
        <item m="1" x="411"/>
        <item m="1" x="449"/>
        <item m="1" x="462"/>
        <item m="1" x="471"/>
        <item m="1" x="180"/>
        <item m="1" x="547"/>
        <item m="1" x="558"/>
        <item m="1" x="253"/>
        <item m="1" x="392"/>
        <item m="1" x="425"/>
        <item m="1" x="150"/>
        <item m="1" x="191"/>
        <item m="1" x="210"/>
        <item m="1" x="241"/>
        <item m="1" x="307"/>
        <item m="1" x="670"/>
        <item m="1" x="83"/>
        <item m="1" x="419"/>
        <item m="1" x="149"/>
        <item m="1" x="519"/>
        <item m="1" x="178"/>
        <item m="1" x="556"/>
        <item m="1" x="209"/>
        <item m="1" x="222"/>
        <item m="1" x="628"/>
        <item m="1" x="18"/>
        <item m="1" x="391"/>
        <item m="1" x="166"/>
        <item m="1" x="197"/>
        <item m="1" x="207"/>
        <item m="1" x="582"/>
        <item m="1" x="283"/>
        <item m="1" x="295"/>
        <item m="1" x="28"/>
        <item m="1" x="390"/>
        <item m="1" x="82"/>
        <item m="1" x="409"/>
        <item m="1" x="448"/>
        <item m="1" x="119"/>
        <item m="1" x="532"/>
        <item m="1" x="581"/>
        <item m="1" x="592"/>
        <item m="1" x="282"/>
        <item m="1" x="17"/>
        <item m="1" x="363"/>
        <item m="1" x="81"/>
        <item m="1" x="434"/>
        <item m="1" x="483"/>
        <item m="1" x="190"/>
        <item m="1" x="580"/>
        <item m="1" x="305"/>
        <item m="1" x="351"/>
        <item m="1" x="563"/>
        <item m="1" x="389"/>
        <item m="1" x="403"/>
        <item m="1" x="587"/>
        <item m="1" x="608"/>
        <item m="1" x="259"/>
        <item m="1" x="274"/>
        <item m="1" x="446"/>
        <item m="1" x="656"/>
        <item m="1" x="300"/>
        <item m="1" x="311"/>
        <item m="1" x="148"/>
        <item m="1" x="8"/>
        <item m="1" x="338"/>
        <item m="1" x="357"/>
        <item m="1" x="544"/>
        <item m="1" x="555"/>
        <item m="1" x="68"/>
        <item m="1" x="398"/>
        <item m="1" x="105"/>
        <item m="1" x="267"/>
        <item m="1" x="646"/>
        <item m="1" x="468"/>
        <item m="1" x="668"/>
        <item m="1" x="317"/>
        <item m="1" x="183"/>
        <item m="1" x="54"/>
        <item m="1" x="572"/>
        <item m="1" x="402"/>
        <item m="1" x="607"/>
        <item m="1" x="286"/>
        <item m="1" x="445"/>
        <item m="1" x="655"/>
        <item m="1" x="137"/>
        <item m="1" x="346"/>
        <item m="1" x="188"/>
        <item m="1" x="356"/>
        <item m="1" x="44"/>
        <item m="1" x="397"/>
        <item m="1" x="233"/>
        <item m="1" x="407"/>
        <item m="1" x="251"/>
        <item m="1" x="420"/>
        <item m="1" x="613"/>
        <item m="1" x="645"/>
        <item m="1" x="467"/>
        <item m="1" x="660"/>
        <item m="1" x="506"/>
        <item m="1" x="362"/>
        <item m="1" x="203"/>
        <item m="1" x="374"/>
        <item m="1" x="214"/>
        <item m="1" x="92"/>
        <item m="1" x="605"/>
        <item m="1" x="620"/>
        <item m="1" x="124"/>
        <item m="1" x="136"/>
        <item m="1" x="482"/>
        <item m="1" x="23"/>
        <item m="1" x="382"/>
        <item m="1" x="567"/>
        <item m="1" x="221"/>
        <item m="1" x="413"/>
        <item m="1" x="250"/>
        <item m="1" x="637"/>
        <item m="1" x="289"/>
        <item m="1" x="644"/>
        <item m="1" x="659"/>
        <item m="1" x="330"/>
        <item m="1" x="16"/>
        <item m="1" x="361"/>
        <item m="1" x="228"/>
        <item m="1" x="586"/>
        <item m="1" x="80"/>
        <item m="1" x="596"/>
        <item m="1" x="418"/>
        <item m="1" x="284"/>
        <item m="1" x="118"/>
        <item m="1" x="322"/>
        <item m="1" x="499"/>
        <item m="1" x="174"/>
        <item m="1" x="530"/>
        <item m="1" x="35"/>
        <item m="1" x="43"/>
        <item m="1" x="566"/>
        <item m="1" x="591"/>
        <item m="1" x="97"/>
        <item m="1" x="249"/>
        <item m="1" x="266"/>
        <item m="1" x="636"/>
        <item m="1" x="453"/>
        <item m="1" x="466"/>
        <item m="1" x="473"/>
        <item m="1" x="522"/>
        <item m="1" x="39"/>
        <item m="1" x="193"/>
        <item m="1" x="360"/>
        <item m="1" x="52"/>
        <item m="1" x="373"/>
        <item m="1" x="401"/>
        <item m="1" x="604"/>
        <item m="1" x="258"/>
        <item m="1" x="424"/>
        <item m="1" x="619"/>
        <item m="1" x="433"/>
        <item m="1" x="633"/>
        <item m="1" x="116"/>
        <item m="1" x="470"/>
        <item m="1" x="310"/>
        <item m="1" x="674"/>
        <item m="1" x="321"/>
        <item m="1" x="158"/>
        <item m="1" x="14"/>
        <item m="1" x="165"/>
        <item m="1" x="22"/>
        <item m="1" x="173"/>
        <item m="1" x="187"/>
        <item m="1" x="220"/>
        <item m="1" x="396"/>
        <item m="1" x="578"/>
        <item m="1" x="239"/>
        <item m="1" x="625"/>
        <item m="1" x="110"/>
        <item m="1" x="280"/>
        <item m="1" x="294"/>
        <item m="1" x="465"/>
        <item m="1" x="304"/>
        <item m="1" x="472"/>
        <item m="1" x="677"/>
        <item m="1" x="329"/>
        <item m="1" x="342"/>
        <item m="1" x="38"/>
        <item m="1" x="66"/>
        <item m="1" x="91"/>
        <item m="1" x="603"/>
        <item m="1" x="653"/>
        <item m="1" x="469"/>
        <item m="1" x="664"/>
        <item m="1" x="481"/>
        <item m="1" x="146"/>
        <item m="1" x="498"/>
        <item m="1" x="34"/>
        <item m="1" x="395"/>
        <item m="1" x="73"/>
        <item m="1" x="590"/>
        <item m="1" x="612"/>
        <item m="1" x="104"/>
        <item m="1" x="265"/>
        <item m="1" x="429"/>
        <item m="1" x="287"/>
        <item m="1" x="129"/>
        <item m="1" x="303"/>
        <item m="1" x="491"/>
        <item m="1" x="154"/>
        <item m="1" x="328"/>
        <item m="1" x="513"/>
        <item m="1" x="170"/>
        <item m="1" x="521"/>
        <item m="1" x="551"/>
        <item m="1" x="51"/>
        <item m="1" x="201"/>
        <item m="1" x="561"/>
        <item m="1" x="65"/>
        <item m="1" x="388"/>
        <item m="1" x="226"/>
        <item m="1" x="245"/>
        <item m="1" x="417"/>
        <item m="1" x="602"/>
        <item m="1" x="618"/>
        <item m="1" x="299"/>
        <item m="1" x="145"/>
        <item m="1" x="497"/>
        <item m="1" x="332"/>
        <item m="1" x="516"/>
        <item m="1" x="20"/>
        <item m="1" x="528"/>
        <item m="1" x="33"/>
        <item m="1" x="355"/>
        <item m="1" x="554"/>
        <item m="1" x="218"/>
        <item m="1" x="394"/>
        <item m="1" x="577"/>
        <item m="1" x="611"/>
        <item m="1" x="103"/>
        <item m="1" x="264"/>
        <item m="1" x="428"/>
        <item m="1" x="624"/>
        <item m="1" x="108"/>
        <item m="1" x="452"/>
        <item m="1" x="121"/>
        <item m="1" x="302"/>
        <item m="1" x="316"/>
        <item m="1" x="676"/>
        <item m="1" x="161"/>
        <item m="1" x="169"/>
        <item m="1" x="192"/>
        <item m="1" x="550"/>
        <item m="1" x="49"/>
        <item m="1" x="212"/>
        <item m="1" x="237"/>
        <item m="1" x="90"/>
        <item m="1" x="242"/>
        <item m="1" x="416"/>
        <item m="1" x="601"/>
        <item m="1" x="443"/>
        <item m="1" x="651"/>
        <item m="1" x="479"/>
        <item m="1" x="5"/>
        <item m="1" x="157"/>
        <item m="1" x="31"/>
        <item m="1" x="196"/>
        <item m="1" x="368"/>
        <item m="1" x="381"/>
        <item m="1" x="576"/>
        <item m="1" x="231"/>
        <item m="1" x="589"/>
        <item m="1" x="248"/>
        <item m="1" x="427"/>
        <item m="1" x="278"/>
        <item m="1" x="451"/>
        <item m="1" x="293"/>
        <item m="1" x="463"/>
        <item m="1" x="142"/>
        <item m="1" x="334"/>
        <item m="1" x="168"/>
        <item m="1" x="341"/>
        <item m="1" x="520"/>
        <item m="1" x="350"/>
        <item m="1" x="37"/>
        <item m="1" x="560"/>
        <item m="1" x="387"/>
        <item m="1" x="570"/>
        <item m="1" x="70"/>
        <item m="1" x="225"/>
        <item m="1" x="99"/>
        <item m="1" x="270"/>
        <item m="1" x="115"/>
        <item m="1" x="442"/>
        <item m="1" x="457"/>
        <item m="1" x="297"/>
        <item m="1" x="663"/>
        <item m="1" x="134"/>
        <item m="1" x="308"/>
        <item m="1" x="478"/>
        <item m="1" x="164"/>
        <item m="1" x="543"/>
        <item m="1" x="41"/>
        <item m="1" x="367"/>
        <item m="1" x="216"/>
        <item m="1" x="393"/>
        <item m="1" x="72"/>
        <item m="1" x="599"/>
        <item m="1" x="102"/>
        <item m="1" x="263"/>
        <item m="1" x="435"/>
        <item m="1" x="642"/>
        <item m="1" x="292"/>
        <item m="1" x="127"/>
        <item m="1" x="489"/>
        <item m="1" x="675"/>
        <item m="1" x="167"/>
        <item m="1" x="349"/>
        <item m="1" x="200"/>
        <item m="1" x="63"/>
        <item m="1" x="584"/>
        <item m="1" x="415"/>
        <item m="1" x="256"/>
        <item m="1" x="423"/>
        <item m="1" x="114"/>
        <item m="1" x="456"/>
        <item m="1" x="649"/>
        <item m="1" x="477"/>
        <item m="1" x="672"/>
        <item m="1" x="320"/>
        <item m="1" x="496"/>
        <item m="1" x="510"/>
        <item m="1" x="344"/>
        <item m="1" x="526"/>
        <item m="1" x="184"/>
        <item m="1" x="380"/>
        <item m="1" x="94"/>
        <item m="1" x="247"/>
        <item m="1" x="610"/>
        <item m="1" x="623"/>
        <item m="1" x="107"/>
        <item m="1" x="277"/>
        <item m="1" x="141"/>
        <item m="1" x="315"/>
        <item m="1" x="486"/>
        <item m="1" x="152"/>
        <item m="1" x="502"/>
        <item m="1" x="9"/>
        <item m="1" x="181"/>
        <item m="1" x="536"/>
        <item m="1" x="36"/>
        <item m="1" x="48"/>
        <item m="1" x="198"/>
        <item m="1" x="372"/>
        <item m="1" x="559"/>
        <item m="1" x="569"/>
        <item m="1" x="594"/>
        <item m="1" x="600"/>
        <item m="1" x="254"/>
        <item m="1" x="616"/>
        <item m="1" x="638"/>
        <item m="1" x="455"/>
        <item m="1" x="123"/>
        <item m="1" x="495"/>
        <item m="1" x="509"/>
        <item m="1" x="12"/>
        <item m="1" x="163"/>
        <item m="1" x="525"/>
        <item m="1" x="29"/>
        <item m="1" x="353"/>
        <item m="1" x="366"/>
        <item m="1" x="56"/>
        <item m="1" x="93"/>
        <item m="1" x="262"/>
        <item m="1" x="641"/>
        <item m="1" x="461"/>
        <item m="1" x="140"/>
        <item m="1" x="314"/>
        <item m="1" x="151"/>
        <item m="1" x="159"/>
        <item m="1" x="511"/>
        <item m="1" x="535"/>
        <item m="1" x="546"/>
        <item m="1" x="47"/>
        <item m="1" x="371"/>
        <item m="1" x="557"/>
        <item m="1" x="61"/>
        <item m="1" x="386"/>
        <item m="1" x="568"/>
        <item m="1" x="583"/>
        <item m="1" x="235"/>
        <item m="1" x="88"/>
        <item m="1" x="615"/>
        <item m="1" x="106"/>
        <item m="1" x="269"/>
        <item m="1" x="432"/>
        <item m="1" x="630"/>
        <item m="1" x="122"/>
        <item m="1" x="296"/>
        <item m="1" x="671"/>
        <item m="1" x="318"/>
        <item m="1" x="494"/>
        <item m="1" x="3"/>
        <item m="1" x="162"/>
        <item m="1" x="19"/>
        <item m="1" x="204"/>
        <item m="1" x="377"/>
        <item m="1" x="71"/>
        <item m="1" x="410"/>
        <item m="1" x="621"/>
        <item m="1" x="635"/>
        <item m="1" x="120"/>
        <item m="1" x="327"/>
        <item m="1" x="340"/>
        <item m="1" x="26"/>
        <item m="1" x="348"/>
        <item m="1" x="534"/>
        <item m="1" x="46"/>
        <item m="1" x="223"/>
        <item m="1" x="87"/>
        <item m="1" x="414"/>
        <item m="1" x="252"/>
        <item m="1" x="614"/>
        <item m="1" x="629"/>
        <item m="1" x="454"/>
        <item m="1" x="508"/>
        <item m="1" x="541"/>
        <item m="1" x="40"/>
        <item m="1" x="55"/>
        <item m="1" x="376"/>
        <item m="1" x="609"/>
        <item m="1" x="101"/>
        <item m="1" x="261"/>
        <item m="1" x="276"/>
        <item m="1" x="126"/>
        <item m="1" x="666"/>
        <item m="1" x="139"/>
        <item m="1" x="313"/>
        <item m="1" x="485"/>
        <item m="1" x="326"/>
        <item m="1" x="15"/>
        <item m="1" x="518"/>
        <item m="1" x="208"/>
        <item m="1" x="69"/>
        <item m="1" x="78"/>
        <item m="1" x="593"/>
        <item m="1" x="431"/>
        <item m="1" x="627"/>
        <item m="1" x="306"/>
        <item m="1" x="475"/>
        <item m="1" x="155"/>
        <item m="1" x="335"/>
        <item m="1" x="515"/>
        <item m="1" x="343"/>
        <item m="1" x="365"/>
        <item m="1" x="598"/>
        <item m="1" x="260"/>
        <item m="1" x="301"/>
        <item m="1" x="484"/>
        <item m="1" x="325"/>
        <item m="1" x="339"/>
        <item m="1" x="25"/>
        <item m="1" x="177"/>
        <item m="1" x="533"/>
        <item m="1" x="60"/>
        <item m="1" x="384"/>
        <item m="1" x="234"/>
        <item m="1" x="669"/>
        <item m="1" x="2"/>
        <item m="1" x="331"/>
        <item m="1" x="11"/>
        <item m="1" x="514"/>
        <item m="1" x="523"/>
        <item m="1" x="352"/>
        <item m="1" x="539"/>
        <item m="1" x="195"/>
        <item m="1" x="364"/>
        <item m="1" x="588"/>
        <item m="1" x="447"/>
        <item m="1" x="459"/>
        <item m="1" x="657"/>
        <item m="1" x="125"/>
        <item m="1" x="138"/>
        <item m="1" x="531"/>
        <item m="1" x="422"/>
        <item m="1" x="430"/>
        <item m="1" x="113"/>
        <item m="1" x="647"/>
        <item m="1" x="474"/>
        <item m="1" x="493"/>
        <item t="default"/>
      </items>
    </pivotField>
    <pivotField showAll="0" defaultSubtotal="0">
      <items count="25">
        <item x="0"/>
        <item h="1" x="1"/>
        <item h="1" m="1" x="6"/>
        <item h="1" m="1" x="17"/>
        <item h="1" m="1" x="23"/>
        <item h="1" m="1" x="3"/>
        <item h="1" m="1" x="7"/>
        <item h="1" m="1" x="12"/>
        <item h="1" m="1" x="18"/>
        <item h="1" m="1" x="20"/>
        <item h="1" m="1" x="21"/>
        <item h="1" m="1" x="22"/>
        <item h="1" m="1" x="24"/>
        <item h="1" m="1" x="2"/>
        <item h="1" m="1" x="4"/>
        <item h="1" m="1" x="5"/>
        <item h="1" m="1" x="8"/>
        <item h="1" m="1" x="9"/>
        <item h="1" m="1" x="10"/>
        <item h="1" m="1" x="11"/>
        <item h="1" m="1" x="13"/>
        <item h="1" m="1" x="14"/>
        <item h="1" m="1" x="15"/>
        <item h="1" m="1" x="16"/>
        <item h="1" m="1" x="19"/>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543">
        <item m="1" x="63"/>
        <item m="1" x="228"/>
        <item m="1" x="540"/>
        <item m="1" x="483"/>
        <item m="1" x="309"/>
        <item m="1" x="424"/>
        <item m="1" x="348"/>
        <item m="1" x="109"/>
        <item m="1" x="98"/>
        <item m="1" x="143"/>
        <item m="1" x="159"/>
        <item m="1" x="178"/>
        <item m="1" x="260"/>
        <item m="1" x="224"/>
        <item m="1" x="419"/>
        <item m="1" x="140"/>
        <item m="1" x="208"/>
        <item m="1" x="55"/>
        <item m="1" x="410"/>
        <item m="1" x="76"/>
        <item m="1" x="284"/>
        <item m="1" x="485"/>
        <item m="1" x="92"/>
        <item m="1" x="505"/>
        <item m="1" x="476"/>
        <item m="1" x="64"/>
        <item m="1" x="160"/>
        <item m="1" x="432"/>
        <item m="1" x="494"/>
        <item m="1" x="10"/>
        <item m="1" x="274"/>
        <item m="1" x="152"/>
        <item m="1" x="243"/>
        <item m="1" x="344"/>
        <item m="1" x="199"/>
        <item m="1" x="96"/>
        <item m="1" x="101"/>
        <item m="1" x="223"/>
        <item m="1" x="190"/>
        <item m="1" x="253"/>
        <item m="1" x="527"/>
        <item m="1" x="88"/>
        <item m="1" x="251"/>
        <item m="1" x="312"/>
        <item m="1" x="296"/>
        <item m="1" x="186"/>
        <item m="1" x="280"/>
        <item m="1" x="265"/>
        <item m="1" x="463"/>
        <item m="1" x="202"/>
        <item m="1" x="278"/>
        <item m="1" x="127"/>
        <item m="1" x="276"/>
        <item m="1" x="110"/>
        <item m="1" x="271"/>
        <item m="1" x="442"/>
        <item m="1" x="338"/>
        <item m="1" x="486"/>
        <item m="1" x="404"/>
        <item m="1" x="295"/>
        <item m="1" x="230"/>
        <item m="1" x="81"/>
        <item m="1" x="235"/>
        <item m="1" x="289"/>
        <item m="1" x="478"/>
        <item m="1" x="460"/>
        <item m="1" x="440"/>
        <item m="1" x="134"/>
        <item m="1" x="221"/>
        <item m="1" x="318"/>
        <item m="1" x="222"/>
        <item m="1" x="52"/>
        <item m="1" x="539"/>
        <item m="1" x="391"/>
        <item m="1" x="163"/>
        <item m="1" x="496"/>
        <item m="1" x="272"/>
        <item m="1" x="65"/>
        <item m="1" x="464"/>
        <item m="1" x="234"/>
        <item m="1" x="433"/>
        <item m="1" x="162"/>
        <item m="1" x="297"/>
        <item m="1" x="107"/>
        <item m="1" x="273"/>
        <item m="1" x="142"/>
        <item m="1" x="119"/>
        <item m="1" x="456"/>
        <item m="1" x="447"/>
        <item m="1" x="225"/>
        <item m="1" x="248"/>
        <item m="1" x="512"/>
        <item m="1" x="111"/>
        <item m="1" x="126"/>
        <item m="1" x="60"/>
        <item m="1" x="423"/>
        <item m="1" x="488"/>
        <item m="1" x="189"/>
        <item m="1" x="176"/>
        <item m="1" x="267"/>
        <item m="1" x="541"/>
        <item m="1" x="517"/>
        <item m="1" x="270"/>
        <item m="1" x="38"/>
        <item m="1" x="129"/>
        <item m="1" x="200"/>
        <item m="1" x="237"/>
        <item m="1" x="367"/>
        <item m="1" x="427"/>
        <item m="1" x="415"/>
        <item m="1" x="303"/>
        <item m="1" x="493"/>
        <item m="1" x="40"/>
        <item m="1" x="501"/>
        <item m="1" x="240"/>
        <item m="1" x="254"/>
        <item m="1" x="262"/>
        <item m="1" x="204"/>
        <item m="1" x="350"/>
        <item m="1" x="341"/>
        <item m="1" x="324"/>
        <item m="1" x="31"/>
        <item m="1" x="471"/>
        <item m="1" x="491"/>
        <item m="1" x="191"/>
        <item m="1" x="345"/>
        <item m="1" x="392"/>
        <item m="1" x="86"/>
        <item m="1" x="69"/>
        <item m="1" x="18"/>
        <item m="1" x="532"/>
        <item m="1" x="46"/>
        <item m="1" x="409"/>
        <item m="1" x="522"/>
        <item m="1" x="74"/>
        <item m="1" x="369"/>
        <item m="1" x="24"/>
        <item m="1" x="177"/>
        <item m="1" x="4"/>
        <item m="1" x="50"/>
        <item m="1" x="188"/>
        <item m="1" x="249"/>
        <item m="1" x="310"/>
        <item m="1" x="372"/>
        <item m="1" x="42"/>
        <item m="1" x="205"/>
        <item m="1" x="412"/>
        <item m="1" x="41"/>
        <item m="1" x="364"/>
        <item m="1" x="59"/>
        <item m="1" x="206"/>
        <item m="1" x="268"/>
        <item m="1" x="343"/>
        <item m="1" x="467"/>
        <item m="1" x="477"/>
        <item m="1" x="293"/>
        <item m="1" x="169"/>
        <item m="1" x="393"/>
        <item m="1" x="20"/>
        <item m="1" x="184"/>
        <item m="1" x="443"/>
        <item m="1" x="58"/>
        <item m="1" x="335"/>
        <item m="1" x="422"/>
        <item m="1" x="425"/>
        <item m="1" x="497"/>
        <item m="1" x="241"/>
        <item m="1" x="70"/>
        <item m="1" x="430"/>
        <item m="1" x="2"/>
        <item m="1" x="382"/>
        <item m="1" x="378"/>
        <item m="1" x="387"/>
        <item m="1" x="95"/>
        <item m="1" x="218"/>
        <item m="1" x="330"/>
        <item m="1" x="54"/>
        <item m="1" x="84"/>
        <item m="1" x="388"/>
        <item m="1" x="487"/>
        <item m="1" x="264"/>
        <item m="1" x="247"/>
        <item m="1" x="417"/>
        <item m="1" x="261"/>
        <item m="1" x="49"/>
        <item m="1" x="112"/>
        <item m="1" x="394"/>
        <item m="1" x="121"/>
        <item m="1" x="118"/>
        <item m="1" x="444"/>
        <item m="1" x="420"/>
        <item m="1" x="475"/>
        <item m="1" x="68"/>
        <item m="1" x="328"/>
        <item m="1" x="158"/>
        <item m="1" x="201"/>
        <item m="1" x="36"/>
        <item m="1" x="298"/>
        <item m="1" x="281"/>
        <item m="1" x="408"/>
        <item m="1" x="106"/>
        <item m="1" x="22"/>
        <item m="1" x="381"/>
        <item m="1" x="155"/>
        <item m="1" x="12"/>
        <item m="1" x="133"/>
        <item m="1" x="173"/>
        <item m="1" x="450"/>
        <item m="1" x="165"/>
        <item m="1" x="203"/>
        <item m="1" x="454"/>
        <item m="1" x="329"/>
        <item m="1" x="525"/>
        <item m="1" x="77"/>
        <item m="1" x="61"/>
        <item m="1" x="287"/>
        <item m="1" x="461"/>
        <item m="1" x="75"/>
        <item m="1" x="185"/>
        <item m="1" x="8"/>
        <item m="1" x="506"/>
        <item m="1" x="514"/>
        <item m="1" x="51"/>
        <item m="1" x="384"/>
        <item m="1" x="170"/>
        <item m="1" x="11"/>
        <item m="1" x="374"/>
        <item m="1" x="67"/>
        <item m="1" x="314"/>
        <item m="1" x="323"/>
        <item m="1" x="83"/>
        <item m="1" x="342"/>
        <item m="1" x="214"/>
        <item m="1" x="518"/>
        <item m="1" x="57"/>
        <item m="1" x="90"/>
        <item m="1" x="226"/>
        <item m="1" x="519"/>
        <item m="1" x="15"/>
        <item m="1" x="474"/>
        <item m="1" x="339"/>
        <item m="1" x="352"/>
        <item m="1" x="286"/>
        <item m="1" x="45"/>
        <item m="1" x="72"/>
        <item m="1" x="239"/>
        <item m="1" x="89"/>
        <item m="1" x="504"/>
        <item m="1" x="495"/>
        <item m="1" x="115"/>
        <item m="1" x="453"/>
        <item m="1" x="99"/>
        <item m="1" x="421"/>
        <item m="1" x="28"/>
        <item m="1" x="431"/>
        <item m="1" x="113"/>
        <item m="1" x="209"/>
        <item m="1" x="13"/>
        <item m="1" x="79"/>
        <item m="1" x="500"/>
        <item m="1" x="437"/>
        <item m="1" x="307"/>
        <item m="1" x="103"/>
        <item m="1" x="489"/>
        <item m="1" x="256"/>
        <item m="1" x="528"/>
        <item m="1" x="244"/>
        <item m="1" x="377"/>
        <item m="1" x="400"/>
        <item m="1" x="304"/>
        <item m="1" x="130"/>
        <item m="1" x="502"/>
        <item m="1" x="499"/>
        <item m="1" x="395"/>
        <item m="1" x="25"/>
        <item m="1" x="290"/>
        <item m="1" x="117"/>
        <item m="1" x="509"/>
        <item m="1" x="141"/>
        <item m="1" x="16"/>
        <item m="1" x="418"/>
        <item m="1" x="507"/>
        <item m="1" x="104"/>
        <item m="1" x="515"/>
        <item m="1" x="294"/>
        <item m="1" x="150"/>
        <item m="1" x="93"/>
        <item m="1" x="516"/>
        <item m="1" x="245"/>
        <item m="1" x="380"/>
        <item m="1" x="62"/>
        <item m="1" x="238"/>
        <item m="1" x="227"/>
        <item m="1" x="439"/>
        <item m="1" x="73"/>
        <item m="1" x="279"/>
        <item m="1" x="82"/>
        <item m="1" x="402"/>
        <item m="1" x="122"/>
        <item m="1" x="23"/>
        <item m="1" x="434"/>
        <item m="1" x="452"/>
        <item m="1" x="446"/>
        <item m="1" x="340"/>
        <item m="1" x="435"/>
        <item m="1" x="386"/>
        <item m="1" x="370"/>
        <item m="1" x="47"/>
        <item m="1" x="34"/>
        <item m="1" x="436"/>
        <item m="1" x="275"/>
        <item m="1" x="311"/>
        <item m="1" x="91"/>
        <item m="1" x="35"/>
        <item m="1" x="255"/>
        <item m="1" x="521"/>
        <item m="1" x="197"/>
        <item m="1" x="480"/>
        <item m="1" x="376"/>
        <item m="1" x="192"/>
        <item m="1" x="520"/>
        <item m="1" x="498"/>
        <item m="1" x="472"/>
        <item m="1" x="399"/>
        <item m="1" x="30"/>
        <item m="1" x="513"/>
        <item m="1" x="174"/>
        <item m="1" x="266"/>
        <item m="1" x="455"/>
        <item m="1" x="120"/>
        <item m="1" x="215"/>
        <item m="1" x="252"/>
        <item m="1" x="288"/>
        <item m="1" x="361"/>
        <item m="1" x="375"/>
        <item m="1" x="441"/>
        <item m="1" x="17"/>
        <item m="1" x="360"/>
        <item m="1" x="379"/>
        <item m="1" x="321"/>
        <item m="1" x="366"/>
        <item m="1" x="458"/>
        <item m="1" x="66"/>
        <item m="1" x="396"/>
        <item m="1" x="449"/>
        <item m="1" x="250"/>
        <item m="1" x="128"/>
        <item m="1" x="334"/>
        <item m="1" x="406"/>
        <item m="1" x="148"/>
        <item m="1" x="216"/>
        <item m="1" x="232"/>
        <item m="1" x="43"/>
        <item m="1" x="212"/>
        <item m="1" x="56"/>
        <item m="1" x="385"/>
        <item m="1" x="363"/>
        <item m="1" x="401"/>
        <item m="1" x="153"/>
        <item m="1" x="492"/>
        <item m="1" x="407"/>
        <item m="1" x="353"/>
        <item m="1" x="358"/>
        <item m="1" x="462"/>
        <item m="1" x="146"/>
        <item m="1" x="217"/>
        <item m="1" x="320"/>
        <item m="1" x="131"/>
        <item m="1" x="259"/>
        <item m="1" x="33"/>
        <item m="1" x="390"/>
        <item m="1" x="413"/>
        <item m="1" x="242"/>
        <item m="1" x="457"/>
        <item m="1" x="168"/>
        <item m="1" x="530"/>
        <item m="1" x="346"/>
        <item m="1" x="105"/>
        <item m="1" x="87"/>
        <item m="1" x="526"/>
        <item m="1" x="231"/>
        <item m="1" x="246"/>
        <item m="1" x="233"/>
        <item m="1" x="220"/>
        <item m="1" x="508"/>
        <item m="1" x="533"/>
        <item m="1" x="198"/>
        <item m="1" x="535"/>
        <item m="1" x="285"/>
        <item m="1" x="291"/>
        <item m="1" x="371"/>
        <item m="1" x="26"/>
        <item m="1" x="53"/>
        <item m="1" x="322"/>
        <item m="1" x="6"/>
        <item m="1" x="37"/>
        <item m="1" x="451"/>
        <item m="1" x="210"/>
        <item m="1" x="537"/>
        <item m="1" x="48"/>
        <item m="1" x="445"/>
        <item m="1" x="397"/>
        <item m="1" x="44"/>
        <item m="1" x="319"/>
        <item m="1" x="299"/>
        <item m="1" x="157"/>
        <item m="1" x="187"/>
        <item m="1" x="531"/>
        <item m="1" x="468"/>
        <item m="1" x="114"/>
        <item m="1" x="123"/>
        <item m="1" x="416"/>
        <item m="1" x="94"/>
        <item m="1" x="405"/>
        <item m="1" x="411"/>
        <item m="1" x="27"/>
        <item m="1" x="236"/>
        <item m="1" x="332"/>
        <item m="1" x="7"/>
        <item m="1" x="183"/>
        <item m="1" x="459"/>
        <item m="1" x="85"/>
        <item m="1" x="124"/>
        <item m="1" x="523"/>
        <item m="1" x="529"/>
        <item m="1" x="219"/>
        <item m="1" x="373"/>
        <item m="1" x="161"/>
        <item m="1" x="414"/>
        <item m="1" x="97"/>
        <item m="1" x="469"/>
        <item m="1" x="426"/>
        <item m="1" x="211"/>
        <item m="1" x="125"/>
        <item m="1" x="536"/>
        <item m="1" x="269"/>
        <item m="1" x="32"/>
        <item m="1" x="5"/>
        <item m="1" x="21"/>
        <item m="1" x="132"/>
        <item m="1" x="481"/>
        <item m="1" x="538"/>
        <item m="1" x="428"/>
        <item m="1" x="448"/>
        <item m="1" x="78"/>
        <item m="1" x="534"/>
        <item m="1" x="207"/>
        <item m="1" x="14"/>
        <item m="1" x="466"/>
        <item m="1" x="389"/>
        <item m="1" x="510"/>
        <item m="1" x="213"/>
        <item m="1" x="257"/>
        <item m="1" x="136"/>
        <item m="1" x="263"/>
        <item m="1" x="482"/>
        <item m="1" x="479"/>
        <item m="1" x="438"/>
        <item m="1" x="308"/>
        <item m="1" x="164"/>
        <item m="1" x="465"/>
        <item m="1" x="29"/>
        <item m="1" x="362"/>
        <item m="1" x="333"/>
        <item m="1" x="71"/>
        <item m="1" x="229"/>
        <item m="1" x="80"/>
        <item m="1" x="39"/>
        <item m="1" x="511"/>
        <item m="1" x="277"/>
        <item m="1" x="258"/>
        <item m="1" x="503"/>
        <item m="1" x="175"/>
        <item m="1" x="3"/>
        <item m="1" x="108"/>
        <item m="1" x="490"/>
        <item m="1" x="167"/>
        <item m="1" x="473"/>
        <item m="1" x="19"/>
        <item m="1" x="524"/>
        <item m="1" x="182"/>
        <item m="1" x="283"/>
        <item m="1" x="383"/>
        <item m="1" x="429"/>
        <item m="1" x="116"/>
        <item m="1" x="102"/>
        <item m="1" x="403"/>
        <item m="1" x="484"/>
        <item m="1" x="398"/>
        <item m="1" x="100"/>
        <item m="1" x="470"/>
        <item m="1" x="9"/>
        <item m="1" x="349"/>
        <item m="1" x="313"/>
        <item m="1" x="336"/>
        <item x="1"/>
        <item m="1" x="325"/>
        <item m="1" x="300"/>
        <item m="1" x="326"/>
        <item m="1" x="301"/>
        <item m="1" x="351"/>
        <item m="1" x="302"/>
        <item m="1" x="327"/>
        <item m="1" x="315"/>
        <item m="1" x="354"/>
        <item m="1" x="282"/>
        <item m="1" x="355"/>
        <item m="1" x="316"/>
        <item m="1" x="365"/>
        <item m="1" x="356"/>
        <item m="1" x="292"/>
        <item m="1" x="357"/>
        <item m="1" x="317"/>
        <item m="1" x="305"/>
        <item m="1" x="306"/>
        <item m="1" x="331"/>
        <item m="1" x="359"/>
        <item x="0"/>
        <item m="1" x="368"/>
        <item m="1" x="347"/>
        <item m="1" x="337"/>
        <item m="1" x="179"/>
        <item m="1" x="151"/>
        <item m="1" x="144"/>
        <item m="1" x="193"/>
        <item m="1" x="180"/>
        <item m="1" x="194"/>
        <item m="1" x="171"/>
        <item m="1" x="135"/>
        <item m="1" x="195"/>
        <item m="1" x="181"/>
        <item m="1" x="154"/>
        <item m="1" x="145"/>
        <item m="1" x="137"/>
        <item m="1" x="196"/>
        <item m="1" x="172"/>
        <item m="1" x="156"/>
        <item m="1" x="138"/>
        <item m="1" x="147"/>
        <item m="1" x="139"/>
        <item m="1" x="149"/>
        <item m="1" x="166"/>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m="1" x="2454"/>
        <item m="1" x="3440"/>
        <item m="1" x="6357"/>
        <item m="1" x="7327"/>
        <item m="1" x="2322"/>
        <item m="1" x="3305"/>
        <item m="1" x="5266"/>
        <item m="1" x="6229"/>
        <item m="1" x="1226"/>
        <item m="1" x="2193"/>
        <item m="1" x="5137"/>
        <item m="1" x="6094"/>
        <item m="1" x="116"/>
        <item m="1" x="1095"/>
        <item m="1" x="4042"/>
        <item m="1" x="5011"/>
        <item m="1" x="7913"/>
        <item m="1" x="962"/>
        <item m="1" x="2912"/>
        <item m="1" x="3909"/>
        <item m="1" x="6814"/>
        <item m="1" x="7785"/>
        <item m="1" x="2780"/>
        <item m="1" x="3773"/>
        <item m="1" x="5709"/>
        <item m="1" x="6683"/>
        <item m="1" x="1677"/>
        <item m="1" x="2652"/>
        <item m="1" x="5581"/>
        <item m="1" x="6550"/>
        <item m="1" x="573"/>
        <item m="1" x="1544"/>
        <item m="1" x="2028"/>
        <item m="1" x="4501"/>
        <item m="1" x="4978"/>
        <item m="1" x="5454"/>
        <item m="1" x="7881"/>
        <item m="1" x="443"/>
        <item m="1" x="930"/>
        <item m="1" x="1412"/>
        <item m="1" x="3375"/>
        <item m="1" x="3876"/>
        <item m="1" x="4368"/>
        <item m="1" x="4849"/>
        <item m="1" x="7268"/>
        <item m="1" x="7754"/>
        <item m="1" x="314"/>
        <item m="1" x="798"/>
        <item m="1" x="2749"/>
        <item m="1" x="3245"/>
        <item m="1" x="3744"/>
        <item m="1" x="4238"/>
        <item m="1" x="6161"/>
        <item m="1" x="6653"/>
        <item m="1" x="7138"/>
        <item m="1" x="7625"/>
        <item m="1" x="2130"/>
        <item m="1" x="2622"/>
        <item m="1" x="3114"/>
        <item m="1" x="3609"/>
        <item m="1" x="5550"/>
        <item m="1" x="6032"/>
        <item m="1" x="6522"/>
        <item m="1" x="7008"/>
        <item m="1" x="1028"/>
        <item m="1" x="1514"/>
        <item m="1" x="1998"/>
        <item m="1" x="2490"/>
        <item m="1" x="4947"/>
        <item m="1" x="5425"/>
        <item m="1" x="5904"/>
        <item m="1" x="6392"/>
        <item m="1" x="410"/>
        <item m="1" x="898"/>
        <item m="1" x="1384"/>
        <item m="1" x="1869"/>
        <item m="1" x="3842"/>
        <item m="1" x="4337"/>
        <item m="1" x="4818"/>
        <item m="1" x="5298"/>
        <item m="1" x="7722"/>
        <item m="1" x="282"/>
        <item m="1" x="768"/>
        <item m="1" x="1257"/>
        <item m="1" x="3212"/>
        <item m="1" x="3710"/>
        <item m="1" x="4207"/>
        <item m="1" x="4691"/>
        <item m="1" x="6621"/>
        <item m="1" x="7106"/>
        <item m="1" x="7591"/>
        <item m="1" x="152"/>
        <item m="1" x="2590"/>
        <item m="1" x="3081"/>
        <item m="1" x="3578"/>
        <item m="1" x="4079"/>
        <item m="1" x="6003"/>
        <item m="1" x="6491"/>
        <item m="1" x="6977"/>
        <item m="1" x="7462"/>
        <item m="1" x="1483"/>
        <item m="1" x="1730"/>
        <item m="1" x="1969"/>
        <item m="1" x="2214"/>
        <item m="1" x="2458"/>
        <item m="1" x="2706"/>
        <item m="1" x="2951"/>
        <item m="1" x="3195"/>
        <item m="1" x="5156"/>
        <item m="1" x="5395"/>
        <item m="1" x="5636"/>
        <item m="1" x="5875"/>
        <item m="1" x="6118"/>
        <item m="1" x="6363"/>
        <item m="1" x="6605"/>
        <item m="1" x="6851"/>
        <item m="1" x="868"/>
        <item m="1" x="1114"/>
        <item m="1" x="1355"/>
        <item m="1" x="1601"/>
        <item m="1" x="1840"/>
        <item m="1" x="2085"/>
        <item m="1" x="2327"/>
        <item m="1" x="4303"/>
        <item m="1" x="4550"/>
        <item m="1" x="4788"/>
        <item m="1" x="5031"/>
        <item m="1" x="5269"/>
        <item m="1" x="5510"/>
        <item m="1" x="5750"/>
        <item m="1" x="5988"/>
        <item m="1" x="7931"/>
        <item m="1" x="247"/>
        <item m="1" x="494"/>
        <item m="1" x="738"/>
        <item m="1" x="986"/>
        <item m="1" x="1232"/>
        <item m="1" x="1470"/>
        <item m="1" x="1717"/>
        <item m="1" x="3674"/>
        <item m="1" x="3927"/>
        <item m="1" x="4174"/>
        <item m="1" x="4422"/>
        <item m="1" x="4662"/>
        <item m="1" x="4905"/>
        <item m="1" x="5143"/>
        <item m="1" x="7070"/>
        <item m="1" x="7313"/>
        <item m="1" x="7557"/>
        <item m="1" x="7804"/>
        <item m="1" x="120"/>
        <item m="1" x="367"/>
        <item m="1" x="612"/>
        <item m="1" x="853"/>
        <item m="1" x="2799"/>
        <item m="1" x="3044"/>
        <item m="1" x="3293"/>
        <item m="1" x="3544"/>
        <item m="1" x="3794"/>
        <item m="1" x="4048"/>
        <item m="1" x="4290"/>
        <item m="1" x="4538"/>
        <item m="1" x="6456"/>
        <item m="1" x="6702"/>
        <item m="1" x="6943"/>
        <item m="1" x="7188"/>
        <item m="1" x="7429"/>
        <item m="1" x="7676"/>
        <item m="1" x="7918"/>
        <item m="1" x="1935"/>
        <item m="1" x="2179"/>
        <item m="1" x="2422"/>
        <item m="1" x="2672"/>
        <item m="1" x="2916"/>
        <item m="1" x="3164"/>
        <item m="1" x="3413"/>
        <item m="1" x="3660"/>
        <item m="1" x="5602"/>
        <item m="1" x="5840"/>
        <item m="1" x="6082"/>
        <item m="1" x="6327"/>
        <item m="1" x="6571"/>
        <item m="1" x="6819"/>
        <item m="1" x="7057"/>
        <item m="1" x="7301"/>
        <item m="1" x="1321"/>
        <item m="1" x="1564"/>
        <item m="1" x="1805"/>
        <item m="1" x="2050"/>
        <item m="1" x="2291"/>
        <item m="1" x="2541"/>
        <item m="1" x="2785"/>
        <item m="1" x="4755"/>
        <item m="1" x="4996"/>
        <item m="1" x="5234"/>
        <item m="1" x="5475"/>
        <item m="1" x="5713"/>
        <item m="1" x="5954"/>
        <item m="1" x="6199"/>
        <item m="1" x="6441"/>
        <item m="1" x="463"/>
        <item m="1" x="705"/>
        <item m="1" x="950"/>
        <item m="1" x="1196"/>
        <item m="1" x="1435"/>
        <item m="1" x="1683"/>
        <item m="1" x="1918"/>
        <item m="1" x="2164"/>
        <item m="1" x="4144"/>
        <item m="1" x="4387"/>
        <item m="1" x="4629"/>
        <item m="1" x="4871"/>
        <item m="1" x="5107"/>
        <item m="1" x="5348"/>
        <item m="1" x="5586"/>
        <item m="1" x="7526"/>
        <item m="1" x="7770"/>
        <item m="1" x="86"/>
        <item m="1" x="333"/>
        <item m="1" x="577"/>
        <item m="1" x="820"/>
        <item m="1" x="1064"/>
        <item m="1" x="1306"/>
        <item m="1" x="3262"/>
        <item m="1" x="3510"/>
        <item m="1" x="3761"/>
        <item m="1" x="4014"/>
        <item m="1" x="4257"/>
        <item m="1" x="4506"/>
        <item m="1" x="4739"/>
        <item m="1" x="4982"/>
        <item m="1" x="6913"/>
        <item m="1" x="7155"/>
        <item m="1" x="7397"/>
        <item m="1" x="7519"/>
        <item m="1" x="7645"/>
        <item m="1" x="7764"/>
        <item m="1" x="7885"/>
        <item m="1" x="79"/>
        <item m="1" x="203"/>
        <item m="1" x="326"/>
        <item m="1" x="447"/>
        <item m="1" x="569"/>
        <item m="1" x="2389"/>
        <item m="1" x="2516"/>
        <item m="1" x="2637"/>
        <item m="1" x="2758"/>
        <item m="1" x="2883"/>
        <item m="1" x="3006"/>
        <item m="1" x="3132"/>
        <item m="1" x="3255"/>
        <item m="1" x="3379"/>
        <item m="1" x="3504"/>
        <item m="1" x="3630"/>
        <item m="1" x="3754"/>
        <item m="1" x="3880"/>
        <item m="1" x="4006"/>
        <item m="1" x="4130"/>
        <item m="1" x="5928"/>
        <item m="1" x="6050"/>
        <item m="1" x="6171"/>
        <item m="1" x="6293"/>
        <item m="1" x="6416"/>
        <item m="1" x="6538"/>
        <item m="1" x="6662"/>
        <item m="1" x="6787"/>
        <item m="1" x="6906"/>
        <item m="1" x="7025"/>
        <item m="1" x="7149"/>
        <item m="1" x="7271"/>
        <item m="1" x="7390"/>
        <item m="1" x="7511"/>
        <item m="1" x="7636"/>
        <item m="1" x="7757"/>
        <item m="1" x="1655"/>
        <item m="1" x="1774"/>
        <item m="1" x="1891"/>
        <item m="1" x="2015"/>
        <item m="1" x="2140"/>
        <item m="1" x="2259"/>
        <item m="1" x="2382"/>
        <item m="1" x="2509"/>
        <item m="1" x="2631"/>
        <item m="1" x="2752"/>
        <item m="1" x="2877"/>
        <item m="1" x="3000"/>
        <item m="1" x="3126"/>
        <item m="1" x="3248"/>
        <item m="1" x="3372"/>
        <item m="1" x="5201"/>
        <item m="1" x="5323"/>
        <item m="1" x="5440"/>
        <item m="1" x="5559"/>
        <item m="1" x="5680"/>
        <item m="1" x="5801"/>
        <item m="1" x="5921"/>
        <item m="1" x="6043"/>
        <item m="1" x="6164"/>
        <item m="1" x="6287"/>
        <item m="1" x="6410"/>
        <item m="1" x="6532"/>
        <item m="1" x="6656"/>
        <item m="1" x="6780"/>
        <item m="1" x="6901"/>
        <item m="1" x="793"/>
        <item m="1" x="916"/>
        <item m="1" x="1038"/>
        <item m="1" x="1160"/>
        <item m="1" x="1281"/>
        <item m="1" x="1400"/>
        <item m="1" x="1523"/>
        <item m="1" x="1648"/>
        <item m="1" x="1767"/>
        <item m="1" x="1885"/>
        <item m="1" x="2009"/>
        <item m="1" x="2133"/>
        <item m="1" x="2253"/>
        <item m="1" x="2375"/>
        <item m="1" x="2501"/>
        <item m="1" x="2626"/>
        <item m="1" x="4480"/>
        <item m="1" x="4598"/>
        <item m="1" x="4714"/>
        <item m="1" x="4836"/>
        <item m="1" x="4957"/>
        <item m="1" x="5075"/>
        <item m="1" x="5194"/>
        <item m="1" x="5316"/>
        <item m="1" x="5434"/>
        <item m="1" x="5553"/>
        <item m="1" x="5674"/>
        <item m="1" x="5795"/>
        <item m="1" x="5915"/>
        <item m="1" x="6036"/>
        <item m="1" x="6158"/>
        <item m="1" x="7982"/>
        <item m="1" x="179"/>
        <item m="1" x="299"/>
        <item m="1" x="421"/>
        <item m="1" x="543"/>
        <item m="1" x="665"/>
        <item m="1" x="786"/>
        <item m="1" x="909"/>
        <item m="1" x="1031"/>
        <item m="1" x="1154"/>
        <item m="1" x="1275"/>
        <item m="1" x="1394"/>
        <item m="1" x="1517"/>
        <item m="1" x="1641"/>
        <item m="1" x="1762"/>
        <item m="1" x="3729"/>
        <item m="1" x="3853"/>
        <item m="1" x="3981"/>
        <item m="1" x="4106"/>
        <item m="1" x="4225"/>
        <item m="1" x="4348"/>
        <item m="1" x="4473"/>
        <item m="1" x="4591"/>
        <item m="1" x="4708"/>
        <item m="1" x="4830"/>
        <item m="1" x="4951"/>
        <item m="1" x="5069"/>
        <item m="1" x="5188"/>
        <item m="1" x="5309"/>
        <item m="1" x="5429"/>
        <item m="1" x="7248"/>
        <item m="1" x="7368"/>
        <item m="1" x="7488"/>
        <item m="1" x="7612"/>
        <item m="1" x="7734"/>
        <item m="1" x="7855"/>
        <item m="1" x="7976"/>
        <item m="1" x="173"/>
        <item m="1" x="293"/>
        <item m="1" x="414"/>
        <item m="1" x="537"/>
        <item m="1" x="659"/>
        <item m="1" x="780"/>
        <item m="1" x="902"/>
        <item m="1" x="1025"/>
        <item m="1" x="2854"/>
        <item m="1" x="2977"/>
        <item m="1" x="3100"/>
        <item m="1" x="3223"/>
        <item m="1" x="3347"/>
        <item m="1" x="3473"/>
        <item m="1" x="3598"/>
        <item m="1" x="3722"/>
        <item m="1" x="3846"/>
        <item m="1" x="3974"/>
        <item m="1" x="4099"/>
        <item m="1" x="4218"/>
        <item m="1" x="4341"/>
        <item m="1" x="4465"/>
        <item m="1" x="4585"/>
        <item m="1" x="6510"/>
        <item m="1" x="6631"/>
        <item m="1" x="6755"/>
        <item m="1" x="6877"/>
        <item m="1" x="6995"/>
        <item m="1" x="7117"/>
        <item m="1" x="7240"/>
        <item m="1" x="7360"/>
        <item m="1" x="7480"/>
        <item m="1" x="7604"/>
        <item m="1" x="7726"/>
        <item m="1" x="7847"/>
        <item m="1" x="7968"/>
        <item m="1" x="163"/>
        <item m="1" x="286"/>
        <item m="1" x="2112"/>
        <item m="1" x="2232"/>
        <item m="1" x="2353"/>
        <item m="1" x="2478"/>
        <item m="1" x="2603"/>
        <item m="1" x="2724"/>
        <item m="1" x="2846"/>
        <item m="1" x="2970"/>
        <item m="1" x="3093"/>
        <item m="1" x="3215"/>
        <item m="1" x="3340"/>
        <item m="1" x="3466"/>
        <item m="1" x="3591"/>
        <item m="1" x="3714"/>
        <item m="1" x="3838"/>
        <item m="1" x="5653"/>
        <item m="1" x="5774"/>
        <item m="1" x="5893"/>
        <item m="1" x="6014"/>
        <item m="1" x="6136"/>
        <item m="1" x="6260"/>
        <item m="1" x="6382"/>
        <item m="1" x="6504"/>
        <item m="1" x="6625"/>
        <item m="1" x="6749"/>
        <item m="1" x="6871"/>
        <item m="1" x="6989"/>
        <item m="1" x="7111"/>
        <item m="1" x="7233"/>
        <item m="1" x="7354"/>
        <item m="1" x="7474"/>
        <item m="1" x="1373"/>
        <item m="1" x="1493"/>
        <item m="1" x="1618"/>
        <item m="1" x="1741"/>
        <item m="1" x="1857"/>
        <item m="1" x="1980"/>
        <item m="1" x="2105"/>
        <item m="1" x="2225"/>
        <item m="1" x="2346"/>
        <item m="1" x="2471"/>
        <item m="1" x="2595"/>
        <item m="1" x="2717"/>
        <item m="1" x="2839"/>
        <item m="1" x="2962"/>
        <item m="1" x="3086"/>
        <item m="1" x="4929"/>
        <item m="1" x="5048"/>
        <item m="1" x="5167"/>
        <item m="1" x="5287"/>
        <item m="1" x="5406"/>
        <item m="1" x="5526"/>
        <item m="1" x="5646"/>
        <item m="1" x="5766"/>
        <item m="1" x="5885"/>
        <item m="1" x="6006"/>
        <item m="1" x="6128"/>
        <item m="1" x="6252"/>
        <item m="1" x="6374"/>
        <item m="1" x="6495"/>
        <item m="1" x="6616"/>
        <item m="1" x="515"/>
        <item m="1" x="637"/>
        <item m="1" x="756"/>
        <item m="1" x="880"/>
        <item m="1" x="1002"/>
        <item m="1" x="1125"/>
        <item m="1" x="1247"/>
        <item m="1" x="1366"/>
        <item m="1" x="1486"/>
        <item m="1" x="1611"/>
        <item m="1" x="1734"/>
        <item m="1" x="1850"/>
        <item m="1" x="1973"/>
        <item m="1" x="2097"/>
        <item m="1" x="2218"/>
        <item m="1" x="2338"/>
        <item m="1" x="4195"/>
        <item m="1" x="4317"/>
        <item m="1" x="4442"/>
        <item m="1" x="4564"/>
        <item m="1" x="4679"/>
        <item m="1" x="4800"/>
        <item m="1" x="4922"/>
        <item m="1" x="5041"/>
        <item m="1" x="5160"/>
        <item m="1" x="5280"/>
        <item m="1" x="5400"/>
        <item m="1" x="5520"/>
        <item m="1" x="5640"/>
        <item m="1" x="5759"/>
        <item m="1" x="5879"/>
        <item m="1" x="3694"/>
        <item m="1" x="7703"/>
        <item m="1" x="3817"/>
        <item m="1" x="7824"/>
        <item m="1" x="3945"/>
        <item m="1" x="7945"/>
        <item m="1" x="4071"/>
        <item m="1" x="140"/>
        <item m="1" x="4190"/>
        <item m="1" x="262"/>
        <item m="1" x="4312"/>
        <item m="1" x="384"/>
        <item m="1" x="4437"/>
        <item m="1" x="506"/>
        <item m="1" x="4559"/>
        <item m="1" x="628"/>
        <item m="1" x="4674"/>
        <item m="1" x="748"/>
        <item m="1" x="4795"/>
        <item m="1" x="872"/>
        <item m="1" x="4918"/>
        <item m="1" x="995"/>
        <item m="1" x="5038"/>
        <item m="1" x="1119"/>
        <item m="1" x="5157"/>
        <item m="1" x="1241"/>
        <item m="1" x="5276"/>
        <item m="1" x="1359"/>
        <item m="1" x="5396"/>
        <item m="1" x="1479"/>
        <item m="1" x="5516"/>
        <item m="1" x="3317"/>
        <item m="1" x="7333"/>
        <item m="1" x="3441"/>
        <item m="1" x="7451"/>
        <item m="1" x="3564"/>
        <item m="1" x="7574"/>
        <item m="1" x="3688"/>
        <item m="1" x="7698"/>
        <item m="1" x="3812"/>
        <item m="1" x="7819"/>
        <item m="1" x="3940"/>
        <item m="1" x="7940"/>
        <item m="1" x="4066"/>
        <item m="1" x="135"/>
        <item m="1" x="4185"/>
        <item m="1" x="256"/>
        <item m="1" x="4307"/>
        <item m="1" x="379"/>
        <item m="1" x="4432"/>
        <item m="1" x="501"/>
        <item m="1" x="4555"/>
        <item m="1" x="624"/>
        <item m="1" x="4671"/>
        <item m="1" x="745"/>
        <item m="1" x="4792"/>
        <item m="1" x="869"/>
        <item m="1" x="4914"/>
        <item m="1" x="991"/>
        <item m="1" x="5034"/>
        <item m="1" x="1115"/>
        <item m="1" x="5152"/>
        <item m="1" x="2941"/>
        <item m="1" x="6964"/>
        <item m="1" x="3064"/>
        <item m="1" x="7084"/>
        <item m="1" x="3186"/>
        <item m="1" x="7208"/>
        <item m="1" x="3311"/>
        <item m="1" x="7328"/>
        <item m="1" x="3434"/>
        <item m="1" x="7446"/>
        <item m="1" x="3559"/>
        <item m="1" x="7569"/>
        <item m="1" x="3683"/>
        <item m="1" x="7693"/>
        <item m="1" x="3807"/>
        <item m="1" x="7814"/>
        <item m="1" x="3935"/>
        <item m="1" x="7935"/>
        <item m="1" x="4061"/>
        <item m="1" x="131"/>
        <item m="1" x="4181"/>
        <item m="1" x="252"/>
        <item m="1" x="4304"/>
        <item m="1" x="376"/>
        <item m="1" x="4429"/>
        <item m="1" x="498"/>
        <item m="1" x="4551"/>
        <item m="1" x="620"/>
        <item m="1" x="4667"/>
        <item m="1" x="741"/>
        <item m="1" x="6476"/>
        <item m="1" x="2572"/>
        <item m="1" x="6596"/>
        <item m="1" x="2692"/>
        <item m="1" x="6720"/>
        <item m="1" x="2814"/>
        <item m="1" x="6842"/>
        <item m="1" x="2936"/>
        <item m="1" x="6959"/>
        <item m="1" x="3059"/>
        <item m="1" x="7079"/>
        <item m="1" x="3181"/>
        <item m="1" x="7203"/>
        <item m="1" x="3306"/>
        <item m="1" x="7322"/>
        <item m="1" x="3429"/>
        <item m="1" x="7441"/>
        <item m="1" x="3554"/>
        <item m="1" x="7564"/>
        <item m="1" x="3678"/>
        <item m="1" x="7689"/>
        <item m="1" x="3803"/>
        <item m="1" x="7811"/>
        <item m="1" x="3932"/>
        <item m="1" x="7932"/>
        <item m="1" x="4058"/>
        <item m="1" x="127"/>
        <item m="1" x="4177"/>
        <item m="1" x="248"/>
        <item m="1" x="4299"/>
        <item m="1" x="372"/>
        <item m="1" x="6107"/>
        <item m="1" x="2200"/>
        <item m="1" x="6230"/>
        <item m="1" x="2317"/>
        <item m="1" x="6349"/>
        <item m="1" x="2441"/>
        <item m="1" x="6471"/>
        <item m="1" x="2567"/>
        <item m="1" x="6591"/>
        <item m="1" x="2687"/>
        <item m="1" x="6715"/>
        <item m="1" x="2809"/>
        <item m="1" x="6837"/>
        <item m="1" x="2931"/>
        <item m="1" x="6954"/>
        <item m="1" x="3053"/>
        <item m="1" x="7074"/>
        <item m="1" x="3176"/>
        <item m="1" x="7198"/>
        <item m="1" x="3300"/>
        <item m="1" x="7318"/>
        <item m="1" x="3425"/>
        <item m="1" x="7438"/>
        <item m="1" x="3551"/>
        <item m="1" x="7561"/>
        <item m="1" x="3675"/>
        <item m="1" x="7685"/>
        <item m="1" x="3799"/>
        <item m="1" x="7807"/>
        <item m="1" x="3928"/>
        <item m="1" x="7927"/>
        <item m="1" x="5741"/>
        <item m="1" x="1828"/>
        <item m="1" x="5859"/>
        <item m="1" x="1949"/>
        <item m="1" x="5979"/>
        <item m="1" x="2072"/>
        <item m="1" x="6101"/>
        <item m="1" x="2194"/>
        <item m="1" x="6222"/>
        <item m="1" x="2311"/>
        <item m="1" x="6343"/>
        <item m="1" x="2435"/>
        <item m="1" x="6465"/>
        <item m="1" x="2561"/>
        <item m="1" x="6585"/>
        <item m="1" x="2682"/>
        <item m="1" x="6710"/>
        <item m="1" x="2804"/>
        <item m="1" x="6832"/>
        <item m="1" x="2927"/>
        <item m="1" x="6950"/>
        <item m="1" x="3049"/>
        <item m="1" x="7071"/>
        <item m="1" x="3173"/>
        <item m="1" x="7195"/>
        <item m="1" x="3297"/>
        <item m="1" x="7314"/>
        <item m="1" x="3421"/>
        <item m="1" x="7434"/>
        <item m="1" x="3547"/>
        <item m="1" x="1341"/>
        <item m="1" x="5378"/>
        <item m="1" x="1460"/>
        <item m="1" x="5496"/>
        <item m="1" x="1583"/>
        <item m="1" x="5616"/>
        <item m="1" x="1707"/>
        <item m="1" x="5735"/>
        <item m="1" x="1822"/>
        <item m="1" x="5853"/>
        <item m="1" x="1943"/>
        <item m="1" x="5973"/>
        <item m="1" x="2066"/>
        <item m="1" x="6095"/>
        <item m="1" x="2187"/>
        <item m="1" x="6216"/>
        <item m="1" x="2306"/>
        <item m="1" x="6338"/>
        <item m="1" x="2430"/>
        <item m="1" x="6460"/>
        <item m="1" x="2557"/>
        <item m="1" x="6581"/>
        <item m="1" x="2679"/>
        <item m="1" x="6707"/>
        <item m="1" x="2800"/>
        <item m="1" x="6829"/>
        <item m="1" x="2923"/>
        <item m="1" x="6946"/>
        <item m="1" x="3045"/>
        <item m="1" x="7066"/>
        <item m="1" x="3169"/>
        <item m="1" x="974"/>
        <item m="1" x="5017"/>
        <item m="1" x="1096"/>
        <item m="1" x="5132"/>
        <item m="1" x="1217"/>
        <item m="1" x="5252"/>
        <item m="1" x="1336"/>
        <item m="1" x="5373"/>
        <item m="1" x="1455"/>
        <item m="1" x="5491"/>
        <item m="1" x="1578"/>
        <item m="1" x="5611"/>
        <item m="1" x="1702"/>
        <item m="1" x="5730"/>
        <item m="1" x="1817"/>
        <item m="1" x="5849"/>
        <item m="1" x="1939"/>
        <item m="1" x="5969"/>
        <item m="1" x="2062"/>
        <item m="1" x="6090"/>
        <item m="1" x="2184"/>
        <item m="1" x="6213"/>
        <item m="1" x="2303"/>
        <item m="1" x="6335"/>
        <item m="1" x="2426"/>
        <item m="1" x="6457"/>
        <item m="1" x="2553"/>
        <item m="1" x="6577"/>
        <item m="1" x="2675"/>
        <item m="1" x="6703"/>
        <item m="1" x="2795"/>
        <item m="1" x="604"/>
        <item m="1" x="4651"/>
        <item m="1" x="723"/>
        <item m="1" x="4769"/>
        <item m="1" x="845"/>
        <item m="1" x="4892"/>
        <item m="1" x="969"/>
        <item m="1" x="5012"/>
        <item m="1" x="1089"/>
        <item m="1" x="5127"/>
        <item m="1" x="1212"/>
        <item m="1" x="5247"/>
        <item m="1" x="1331"/>
        <item m="1" x="5368"/>
        <item m="1" x="1450"/>
        <item m="1" x="5487"/>
        <item m="1" x="1574"/>
        <item m="1" x="5607"/>
        <item m="1" x="1698"/>
        <item m="1" x="5726"/>
        <item m="1" x="1814"/>
        <item m="1" x="5846"/>
        <item m="1" x="1936"/>
        <item m="1" x="5966"/>
        <item m="1" x="2059"/>
        <item m="1" x="6087"/>
        <item m="1" x="2180"/>
        <item m="1" x="6209"/>
        <item m="1" x="2299"/>
        <item m="1" x="6331"/>
        <item m="1" x="232"/>
        <item m="1" x="4282"/>
        <item m="1" x="354"/>
        <item m="1" x="4405"/>
        <item m="1" x="476"/>
        <item m="1" x="4530"/>
        <item m="1" x="599"/>
        <item m="1" x="4646"/>
        <item m="1" x="718"/>
        <item m="1" x="4764"/>
        <item m="1" x="840"/>
        <item m="1" x="4887"/>
        <item m="1" x="963"/>
        <item m="1" x="5005"/>
        <item m="1" x="1083"/>
        <item m="1" x="5122"/>
        <item m="1" x="1207"/>
        <item m="1" x="5242"/>
        <item m="1" x="1326"/>
        <item m="1" x="5364"/>
        <item m="1" x="1446"/>
        <item m="1" x="5483"/>
        <item m="1" x="1570"/>
        <item m="1" x="5603"/>
        <item m="1" x="1694"/>
        <item m="1" x="5721"/>
        <item m="1" x="1809"/>
        <item m="1" x="5841"/>
        <item m="1" x="1930"/>
        <item m="1" x="5961"/>
        <item m="1" x="3783"/>
        <item m="1" x="7791"/>
        <item m="1" x="3910"/>
        <item m="1" x="7908"/>
        <item m="1" x="4034"/>
        <item m="1" x="104"/>
        <item m="1" x="4157"/>
        <item m="1" x="227"/>
        <item m="1" x="4277"/>
        <item m="1" x="349"/>
        <item m="1" x="4400"/>
        <item m="1" x="471"/>
        <item m="1" x="4525"/>
        <item m="1" x="593"/>
        <item m="1" x="4640"/>
        <item m="1" x="713"/>
        <item m="1" x="4759"/>
        <item m="1" x="835"/>
        <item m="1" x="4882"/>
        <item m="1" x="957"/>
        <item m="1" x="5001"/>
        <item m="1" x="1079"/>
        <item m="1" x="5118"/>
        <item m="1" x="1203"/>
        <item m="1" x="5238"/>
        <item m="1" x="1322"/>
        <item m="1" x="5359"/>
        <item m="1" x="1441"/>
        <item m="1" x="5478"/>
        <item m="1" x="1565"/>
        <item m="1" x="5597"/>
        <item m="1" x="3405"/>
        <item m="1" x="7418"/>
        <item m="1" x="3529"/>
        <item m="1" x="7539"/>
        <item m="1" x="3652"/>
        <item m="1" x="7664"/>
        <item m="1" x="3778"/>
        <item m="1" x="7786"/>
        <item m="1" x="3903"/>
        <item m="1" x="7904"/>
        <item m="1" x="4030"/>
        <item m="1" x="100"/>
        <item m="1" x="4153"/>
        <item m="1" x="222"/>
        <item m="1" x="4272"/>
        <item m="1" x="345"/>
        <item m="1" x="4396"/>
        <item m="1" x="467"/>
        <item m="1" x="4521"/>
        <item m="1" x="589"/>
        <item m="1" x="4637"/>
        <item m="1" x="710"/>
        <item m="1" x="4756"/>
        <item m="1" x="832"/>
        <item m="1" x="4879"/>
        <item m="1" x="954"/>
        <item m="1" x="4997"/>
        <item m="1" x="1075"/>
        <item m="1" x="5114"/>
        <item m="1" x="1199"/>
        <item m="1" x="3029"/>
        <item m="1" x="7049"/>
        <item m="1" x="3151"/>
        <item m="1" x="7172"/>
        <item m="1" x="3275"/>
        <item m="1" x="7293"/>
        <item m="1" x="3400"/>
        <item m="1" x="7413"/>
        <item m="1" x="3524"/>
        <item m="1" x="7535"/>
        <item m="1" x="3648"/>
        <item m="1" x="7660"/>
        <item m="1" x="3774"/>
        <item m="1" x="7780"/>
        <item m="1" x="3898"/>
        <item m="1" x="7900"/>
        <item m="1" x="4026"/>
        <item m="1" x="96"/>
        <item m="1" x="4149"/>
        <item m="1" x="219"/>
        <item m="1" x="4269"/>
        <item m="1" x="342"/>
        <item m="1" x="4393"/>
        <item m="1" x="464"/>
        <item m="1" x="4518"/>
        <item m="1" x="586"/>
        <item m="1" x="4633"/>
        <item m="1" x="706"/>
        <item m="1" x="4751"/>
        <item m="1" x="828"/>
        <item m="1" x="6560"/>
        <item m="1" x="2658"/>
        <item m="1" x="6684"/>
        <item m="1" x="2775"/>
        <item m="1" x="6806"/>
        <item m="1" x="2900"/>
        <item m="1" x="6926"/>
        <item m="1" x="3024"/>
        <item m="1" x="7044"/>
        <item m="1" x="3147"/>
        <item m="1" x="7168"/>
        <item m="1" x="3271"/>
        <item m="1" x="7289"/>
        <item m="1" x="3395"/>
        <item m="1" x="7408"/>
        <item m="1" x="3519"/>
        <item m="1" x="7531"/>
        <item m="1" x="3644"/>
        <item m="1" x="7656"/>
        <item m="1" x="3769"/>
        <item m="1" x="7776"/>
        <item m="1" x="3894"/>
        <item m="1" x="7896"/>
        <item m="1" x="4022"/>
        <item m="1" x="92"/>
        <item m="1" x="4145"/>
        <item m="1" x="214"/>
        <item m="1" x="4264"/>
        <item m="1" x="337"/>
        <item m="1" x="4388"/>
        <item m="1" x="458"/>
        <item m="1" x="6191"/>
        <item m="1" x="2280"/>
        <item m="1" x="6311"/>
        <item m="1" x="2402"/>
        <item m="1" x="6433"/>
        <item m="1" x="2529"/>
        <item m="1" x="6555"/>
        <item m="1" x="2653"/>
        <item m="1" x="6678"/>
        <item m="1" x="2771"/>
        <item m="1" x="6802"/>
        <item m="1" x="2896"/>
        <item m="1" x="6922"/>
        <item m="1" x="3019"/>
        <item m="1" x="7039"/>
        <item m="1" x="3143"/>
        <item m="1" x="7164"/>
        <item m="1" x="3267"/>
        <item m="1" x="7285"/>
        <item m="1" x="3390"/>
        <item m="1" x="7404"/>
        <item m="1" x="3515"/>
        <item m="1" x="7527"/>
        <item m="1" x="3640"/>
        <item m="1" x="7652"/>
        <item m="1" x="3765"/>
        <item m="1" x="7771"/>
        <item m="1" x="3889"/>
        <item m="1" x="7891"/>
        <item m="1" x="4017"/>
        <item m="1" x="87"/>
        <item m="1" x="5823"/>
        <item m="1" x="1910"/>
        <item m="1" x="5941"/>
        <item m="1" x="2033"/>
        <item m="1" x="6063"/>
        <item m="1" x="2156"/>
        <item m="1" x="6186"/>
        <item m="1" x="2275"/>
        <item m="1" x="6307"/>
        <item m="1" x="2398"/>
        <item m="1" x="6429"/>
        <item m="1" x="2525"/>
        <item m="1" x="6551"/>
        <item m="1" x="2647"/>
        <item m="1" x="6673"/>
        <item m="1" x="2767"/>
        <item m="1" x="6798"/>
        <item m="1" x="2892"/>
        <item m="1" x="6918"/>
        <item m="1" x="3015"/>
        <item m="1" x="7035"/>
        <item m="1" x="3139"/>
        <item m="1" x="7160"/>
        <item m="1" x="3263"/>
        <item m="1" x="7281"/>
        <item m="1" x="3386"/>
        <item m="1" x="7400"/>
        <item m="1" x="3511"/>
        <item m="1" x="7522"/>
        <item m="1" x="3636"/>
        <item m="1" x="1422"/>
        <item m="1" x="5460"/>
        <item m="1" x="1545"/>
        <item m="1" x="5576"/>
        <item m="1" x="1668"/>
        <item m="1" x="5697"/>
        <item m="1" x="1787"/>
        <item m="1" x="5818"/>
        <item m="1" x="1905"/>
        <item m="1" x="5937"/>
        <item m="1" x="2029"/>
        <item m="1" x="6059"/>
        <item m="1" x="2152"/>
        <item m="1" x="6181"/>
        <item m="1" x="2270"/>
        <item m="1" x="6302"/>
        <item m="1" x="2394"/>
        <item m="1" x="6425"/>
        <item m="1" x="2521"/>
        <item m="1" x="6546"/>
        <item m="1" x="2643"/>
        <item m="1" x="6669"/>
        <item m="1" x="2763"/>
        <item m="1" x="6794"/>
        <item m="1" x="2888"/>
        <item m="1" x="6914"/>
        <item m="1" x="3010"/>
        <item m="1" x="7031"/>
        <item m="1" x="3135"/>
        <item m="1" x="7156"/>
        <item m="1" x="3258"/>
        <item m="1" x="1057"/>
        <item m="1" x="5096"/>
        <item m="1" x="1179"/>
        <item m="1" x="5214"/>
        <item m="1" x="1298"/>
        <item m="1" x="5336"/>
        <item m="1" x="7338"/>
        <item m="1" x="1417"/>
        <item m="1" x="3447"/>
        <item m="1" x="5455"/>
        <item m="1" x="7457"/>
        <item m="1" x="1539"/>
        <item m="1" x="3569"/>
        <item m="1" x="5572"/>
        <item m="1" x="7579"/>
        <item m="1" x="1664"/>
        <item m="1" x="3695"/>
        <item m="1" x="5693"/>
        <item m="1" x="7704"/>
        <item m="1" x="1783"/>
        <item m="1" x="3818"/>
        <item m="1" x="5813"/>
        <item m="1" x="7825"/>
        <item m="1" x="1900"/>
        <item m="1" x="3946"/>
        <item m="1" x="5933"/>
        <item m="1" x="7946"/>
        <item m="1" x="2024"/>
        <item m="1" x="4072"/>
        <item m="1" x="6055"/>
        <item m="1" x="141"/>
        <item m="1" x="2148"/>
        <item m="1" x="4191"/>
        <item m="1" x="6176"/>
        <item m="1" x="263"/>
        <item m="1" x="2266"/>
        <item m="1" x="4313"/>
        <item m="1" x="6298"/>
        <item m="1" x="385"/>
        <item m="1" x="2390"/>
        <item m="1" x="4438"/>
        <item m="1" x="6421"/>
        <item m="1" x="507"/>
        <item m="1" x="2517"/>
        <item m="1" x="4560"/>
        <item m="1" x="6542"/>
        <item m="1" x="629"/>
        <item m="1" x="2638"/>
        <item m="1" x="4675"/>
        <item m="1" x="6665"/>
        <item m="1" x="749"/>
        <item m="1" x="2759"/>
        <item m="1" x="4796"/>
        <item m="1" x="6790"/>
        <item m="1" x="873"/>
        <item m="1" x="2884"/>
        <item m="1" x="6606"/>
        <item m="1" x="688"/>
        <item m="1" x="2702"/>
        <item m="1" x="4732"/>
        <item m="1" x="6730"/>
        <item m="1" x="808"/>
        <item m="1" x="2823"/>
        <item m="1" x="4854"/>
        <item m="1" x="6852"/>
        <item m="1" x="931"/>
        <item m="1" x="2946"/>
        <item m="1" x="4973"/>
        <item m="1" x="6969"/>
        <item m="1" x="1052"/>
        <item m="1" x="3070"/>
        <item m="1" x="5091"/>
        <item m="1" x="7090"/>
        <item m="1" x="1174"/>
        <item m="1" x="3191"/>
        <item m="1" x="5210"/>
        <item m="1" x="7213"/>
        <item m="1" x="1294"/>
        <item m="1" x="3318"/>
        <item m="1" x="5332"/>
        <item m="1" x="7334"/>
        <item m="1" x="1413"/>
        <item m="1" x="3442"/>
        <item m="1" x="5449"/>
        <item m="1" x="7452"/>
        <item m="1" x="1534"/>
        <item m="1" x="3565"/>
        <item m="1" x="5568"/>
        <item m="1" x="7575"/>
        <item m="1" x="1660"/>
        <item m="1" x="3689"/>
        <item m="1" x="5689"/>
        <item m="1" x="7699"/>
        <item m="1" x="1779"/>
        <item m="1" x="3813"/>
        <item m="1" x="5809"/>
        <item m="1" x="7820"/>
        <item m="1" x="1896"/>
        <item m="1" x="3941"/>
        <item m="1" x="5929"/>
        <item m="1" x="7941"/>
        <item m="1" x="2020"/>
        <item m="1" x="4067"/>
        <item m="1" x="6051"/>
        <item m="1" x="136"/>
        <item m="1" x="2144"/>
        <item m="1" x="4186"/>
        <item m="1" x="6172"/>
        <item m="1" x="257"/>
        <item m="1" x="2262"/>
        <item m="1" x="4308"/>
        <item m="1" x="6294"/>
        <item m="1" x="380"/>
        <item m="1" x="2385"/>
        <item m="1" x="4433"/>
        <item m="1" x="6417"/>
        <item m="1" x="502"/>
        <item m="1" x="4246"/>
        <item m="1" x="6239"/>
        <item m="1" x="319"/>
        <item m="1" x="2328"/>
        <item m="1" x="4369"/>
        <item m="1" x="6358"/>
        <item m="1" x="438"/>
        <item m="1" x="2449"/>
        <item m="1" x="4493"/>
        <item m="1" x="6480"/>
        <item m="1" x="561"/>
        <item m="1" x="2576"/>
        <item m="1" x="4611"/>
        <item m="1" x="6600"/>
        <item m="1" x="683"/>
        <item m="1" x="2697"/>
        <item m="1" x="4727"/>
        <item m="1" x="6725"/>
        <item m="1" x="803"/>
        <item m="1" x="2819"/>
        <item m="1" x="4850"/>
        <item m="1" x="6847"/>
        <item m="1" x="926"/>
        <item m="1" x="2942"/>
        <item m="1" x="4969"/>
        <item m="1" x="6965"/>
        <item m="1" x="1047"/>
        <item m="1" x="3065"/>
        <item m="1" x="5086"/>
        <item m="1" x="7085"/>
        <item m="1" x="1169"/>
        <item m="1" x="3187"/>
        <item m="1" x="5206"/>
        <item m="1" x="7209"/>
        <item m="1" x="1290"/>
        <item m="1" x="3312"/>
        <item m="1" x="5328"/>
        <item m="1" x="7329"/>
        <item m="1" x="1408"/>
        <item m="1" x="3435"/>
        <item m="1" x="5445"/>
        <item m="1" x="7447"/>
        <item m="1" x="1530"/>
        <item m="1" x="3560"/>
        <item m="1" x="5564"/>
        <item m="1" x="7570"/>
        <item m="1" x="1656"/>
        <item m="1" x="3684"/>
        <item m="1" x="5685"/>
        <item m="1" x="7694"/>
        <item m="1" x="1775"/>
        <item m="1" x="3808"/>
        <item m="1" x="5805"/>
        <item m="1" x="7815"/>
        <item m="1" x="1892"/>
        <item m="1" x="3936"/>
        <item m="1" x="5924"/>
        <item m="1" x="7936"/>
        <item m="1" x="2016"/>
        <item m="1" x="4062"/>
        <item m="1" x="6046"/>
        <item m="1" x="3872"/>
        <item m="1" x="5869"/>
        <item m="1" x="7875"/>
        <item m="1" x="1959"/>
        <item m="1" x="3999"/>
        <item m="1" x="5989"/>
        <item m="1" x="7996"/>
        <item m="1" x="2081"/>
        <item m="1" x="4123"/>
        <item m="1" x="6111"/>
        <item m="1" x="193"/>
        <item m="1" x="2204"/>
        <item m="1" x="4242"/>
        <item m="1" x="6235"/>
        <item m="1" x="315"/>
        <item m="1" x="2323"/>
        <item m="1" x="4364"/>
        <item m="1" x="6354"/>
        <item m="1" x="435"/>
        <item m="1" x="2446"/>
        <item m="1" x="4490"/>
        <item m="1" x="6477"/>
        <item m="1" x="558"/>
        <item m="1" x="2573"/>
        <item m="1" x="4608"/>
        <item m="1" x="6597"/>
        <item m="1" x="679"/>
        <item m="1" x="2693"/>
        <item m="1" x="4723"/>
        <item m="1" x="6721"/>
        <item m="1" x="799"/>
        <item m="1" x="2815"/>
        <item m="1" x="4845"/>
        <item m="1" x="6843"/>
        <item m="1" x="921"/>
        <item m="1" x="2937"/>
        <item m="1" x="4965"/>
        <item m="1" x="6960"/>
        <item m="1" x="1043"/>
        <item m="1" x="3060"/>
        <item m="1" x="5082"/>
        <item m="1" x="7080"/>
        <item m="1" x="1165"/>
        <item m="1" x="3182"/>
        <item m="1" x="5202"/>
        <item m="1" x="7204"/>
        <item m="1" x="1286"/>
        <item m="1" x="3307"/>
        <item m="1" x="5324"/>
        <item m="1" x="7323"/>
        <item m="1" x="1404"/>
        <item m="1" x="3430"/>
        <item m="1" x="5441"/>
        <item m="1" x="7442"/>
        <item m="1" x="1526"/>
        <item m="1" x="3555"/>
        <item m="1" x="5560"/>
        <item m="1" x="7565"/>
        <item m="1" x="1651"/>
        <item m="1" x="3679"/>
        <item m="1" x="5681"/>
        <item m="1" x="1471"/>
        <item m="1" x="3496"/>
        <item m="1" x="5507"/>
        <item m="1" x="7506"/>
        <item m="1" x="1595"/>
        <item m="1" x="3620"/>
        <item m="1" x="5626"/>
        <item m="1" x="7630"/>
        <item m="1" x="1718"/>
        <item m="1" x="3745"/>
        <item m="1" x="5746"/>
        <item m="1" x="7750"/>
        <item m="1" x="1833"/>
        <item m="1" x="3868"/>
        <item m="1" x="5865"/>
        <item m="1" x="7871"/>
        <item m="1" x="1955"/>
        <item m="1" x="3995"/>
        <item m="1" x="5985"/>
        <item m="1" x="7993"/>
        <item m="1" x="2078"/>
        <item m="1" x="4120"/>
        <item m="1" x="6108"/>
        <item m="1" x="190"/>
        <item m="1" x="2201"/>
        <item m="1" x="4239"/>
        <item m="1" x="6231"/>
        <item m="1" x="310"/>
        <item m="1" x="2318"/>
        <item m="1" x="4360"/>
        <item m="1" x="6350"/>
        <item m="1" x="431"/>
        <item m="1" x="2442"/>
        <item m="1" x="4486"/>
        <item m="1" x="6472"/>
        <item m="1" x="553"/>
        <item m="1" x="2568"/>
        <item m="1" x="4604"/>
        <item m="1" x="6592"/>
        <item m="1" x="675"/>
        <item m="1" x="2688"/>
        <item m="1" x="4719"/>
        <item m="1" x="6716"/>
        <item m="1" x="794"/>
        <item m="1" x="2810"/>
        <item m="1" x="4841"/>
        <item m="1" x="6838"/>
        <item m="1" x="917"/>
        <item m="1" x="2932"/>
        <item m="1" x="4961"/>
        <item m="1" x="6955"/>
        <item m="1" x="1039"/>
        <item m="1" x="3054"/>
        <item m="1" x="5078"/>
        <item m="1" x="7075"/>
        <item m="1" x="1161"/>
        <item m="1" x="3177"/>
        <item m="1" x="5197"/>
        <item m="1" x="7199"/>
        <item m="1" x="1282"/>
        <item m="1" x="3301"/>
        <item m="1" x="7017"/>
        <item m="1" x="1106"/>
        <item m="1" x="3120"/>
        <item m="1" x="5144"/>
        <item m="1" x="7139"/>
        <item m="1" x="1227"/>
        <item m="1" x="3240"/>
        <item m="1" x="5261"/>
        <item m="1" x="7261"/>
        <item m="1" x="1346"/>
        <item m="1" x="3365"/>
        <item m="1" x="5383"/>
        <item m="1" x="7381"/>
        <item m="1" x="1465"/>
        <item m="1" x="3491"/>
        <item m="1" x="5502"/>
        <item m="1" x="7501"/>
        <item m="1" x="1589"/>
        <item m="1" x="3615"/>
        <item m="1" x="5622"/>
        <item m="1" x="7626"/>
        <item m="1" x="1713"/>
        <item m="1" x="3740"/>
        <item m="1" x="5742"/>
        <item m="1" x="7746"/>
        <item m="1" x="1829"/>
        <item m="1" x="3863"/>
        <item m="1" x="5860"/>
        <item m="1" x="7866"/>
        <item m="1" x="1950"/>
        <item m="1" x="3990"/>
        <item m="1" x="5980"/>
        <item m="1" x="7988"/>
        <item m="1" x="2073"/>
        <item m="1" x="4115"/>
        <item m="1" x="6102"/>
        <item m="1" x="185"/>
        <item m="1" x="2195"/>
        <item m="1" x="4233"/>
        <item m="1" x="6223"/>
        <item m="1" x="305"/>
        <item m="1" x="2312"/>
        <item m="1" x="4355"/>
        <item m="1" x="6344"/>
        <item m="1" x="426"/>
        <item m="1" x="2436"/>
        <item m="1" x="4481"/>
        <item m="1" x="6466"/>
        <item m="1" x="548"/>
        <item m="1" x="2562"/>
        <item m="1" x="4599"/>
        <item m="1" x="6586"/>
        <item m="1" x="669"/>
        <item m="1" x="2683"/>
        <item m="1" x="4715"/>
        <item m="1" x="6711"/>
        <item m="1" x="789"/>
        <item m="1" x="2805"/>
        <item m="1" x="4837"/>
        <item m="1" x="6833"/>
        <item m="1" x="912"/>
        <item m="1" x="6649"/>
        <item m="1" x="732"/>
        <item m="1" x="2743"/>
        <item m="1" x="4778"/>
        <item m="1" x="6772"/>
        <item m="1" x="854"/>
        <item m="1" x="2866"/>
        <item m="1" x="4900"/>
        <item m="1" x="6893"/>
        <item m="1" x="978"/>
        <item m="1" x="2990"/>
        <item m="1" x="5021"/>
        <item m="1" x="7012"/>
        <item m="1" x="1101"/>
        <item m="1" x="3115"/>
        <item m="1" x="5138"/>
        <item m="1" x="7133"/>
        <item m="1" x="1222"/>
        <item m="1" x="3236"/>
        <item m="1" x="5257"/>
        <item m="1" x="7257"/>
        <item m="1" x="1342"/>
        <item m="1" x="3361"/>
        <item m="1" x="5379"/>
        <item m="1" x="7377"/>
        <item m="1" x="1461"/>
        <item m="1" x="3486"/>
        <item m="1" x="5497"/>
        <item m="1" x="7496"/>
        <item m="1" x="1584"/>
        <item m="1" x="3610"/>
        <item m="1" x="5617"/>
        <item m="1" x="7620"/>
        <item m="1" x="1708"/>
        <item m="1" x="3734"/>
        <item m="1" x="5736"/>
        <item m="1" x="7741"/>
        <item m="1" x="1823"/>
        <item m="1" x="3858"/>
        <item m="1" x="5854"/>
        <item m="1" x="7861"/>
        <item m="1" x="1944"/>
        <item m="1" x="3985"/>
        <item m="1" x="5974"/>
        <item m="1" x="7983"/>
        <item m="1" x="2067"/>
        <item m="1" x="4110"/>
        <item m="1" x="6096"/>
        <item m="1" x="180"/>
        <item m="1" x="2188"/>
        <item m="1" x="4228"/>
        <item m="1" x="6217"/>
        <item m="1" x="300"/>
        <item m="1" x="2307"/>
        <item m="1" x="4351"/>
        <item m="1" x="6339"/>
        <item m="1" x="422"/>
        <item m="1" x="2431"/>
        <item m="1" x="4476"/>
        <item m="1" x="6461"/>
        <item m="1" x="544"/>
        <item m="1" x="4291"/>
        <item m="1" x="6279"/>
        <item m="1" x="363"/>
        <item m="1" x="2369"/>
        <item m="1" x="4414"/>
        <item m="1" x="6400"/>
        <item m="1" x="484"/>
        <item m="1" x="2494"/>
        <item m="1" x="4539"/>
        <item m="1" x="6523"/>
        <item m="1" x="608"/>
        <item m="1" x="2618"/>
        <item m="1" x="4655"/>
        <item m="1" x="6645"/>
        <item m="1" x="728"/>
        <item m="1" x="2739"/>
        <item m="1" x="4774"/>
        <item m="1" x="6768"/>
        <item m="1" x="850"/>
        <item m="1" x="2863"/>
        <item m="1" x="4897"/>
        <item m="1" x="6890"/>
        <item m="1" x="975"/>
        <item m="1" x="2987"/>
        <item m="1" x="5018"/>
        <item m="1" x="7009"/>
        <item m="1" x="1097"/>
        <item m="1" x="3110"/>
        <item m="1" x="5133"/>
        <item m="1" x="7129"/>
        <item m="1" x="1218"/>
        <item m="1" x="3232"/>
        <item m="1" x="5253"/>
        <item m="1" x="7253"/>
        <item m="1" x="1337"/>
        <item m="1" x="3356"/>
        <item m="1" x="5374"/>
        <item m="1" x="7373"/>
        <item m="1" x="1456"/>
        <item m="1" x="3482"/>
        <item m="1" x="5492"/>
        <item m="1" x="7492"/>
        <item m="1" x="1579"/>
        <item m="1" x="3605"/>
        <item m="1" x="5612"/>
        <item m="1" x="7616"/>
        <item m="1" x="1703"/>
        <item m="1" x="3730"/>
        <item m="1" x="5731"/>
        <item m="1" x="7737"/>
        <item m="1" x="1818"/>
        <item m="1" x="3854"/>
        <item m="1" x="5850"/>
        <item m="1" x="7858"/>
        <item m="1" x="1940"/>
        <item m="1" x="3982"/>
        <item m="1" x="5970"/>
        <item m="1" x="7979"/>
        <item m="1" x="2063"/>
        <item m="1" x="4107"/>
        <item m="1" x="6091"/>
        <item m="1" x="1877"/>
        <item m="1" x="3919"/>
        <item m="1" x="5909"/>
        <item m="1" x="7919"/>
        <item m="1" x="1999"/>
        <item m="1" x="4043"/>
        <item m="1" x="6028"/>
        <item m="1" x="112"/>
        <item m="1" x="2123"/>
        <item m="1" x="4165"/>
        <item m="1" x="6151"/>
        <item m="1" x="236"/>
        <item m="1" x="2244"/>
        <item m="1" x="4286"/>
        <item m="1" x="6275"/>
        <item m="1" x="359"/>
        <item m="1" x="2365"/>
        <item m="1" x="4410"/>
        <item m="1" x="6397"/>
        <item m="1" x="481"/>
        <item m="1" x="2491"/>
        <item m="1" x="4535"/>
        <item m="1" x="6519"/>
        <item m="1" x="605"/>
        <item m="1" x="2615"/>
        <item m="1" x="4652"/>
        <item m="1" x="6641"/>
        <item m="1" x="724"/>
        <item m="1" x="2735"/>
        <item m="1" x="4770"/>
        <item m="1" x="6764"/>
        <item m="1" x="846"/>
        <item m="1" x="2859"/>
        <item m="1" x="4893"/>
        <item m="1" x="6886"/>
        <item m="1" x="970"/>
        <item m="1" x="2983"/>
        <item m="1" x="5013"/>
        <item m="1" x="7004"/>
        <item m="1" x="1090"/>
        <item m="1" x="3106"/>
        <item m="1" x="5128"/>
        <item m="1" x="7125"/>
        <item m="1" x="1213"/>
        <item m="1" x="3228"/>
        <item m="1" x="5248"/>
        <item m="1" x="7249"/>
        <item m="1" x="1332"/>
        <item m="1" x="3352"/>
        <item m="1" x="5369"/>
        <item m="1" x="7369"/>
        <item m="1" x="1451"/>
        <item m="1" x="3477"/>
        <item m="1" x="5488"/>
        <item m="1" x="7489"/>
        <item m="1" x="1575"/>
        <item m="1" x="3602"/>
        <item m="1" x="5608"/>
        <item m="1" x="7613"/>
        <item m="1" x="1699"/>
        <item m="1" x="3726"/>
        <item m="1" x="5727"/>
        <item m="1" x="1510"/>
        <item m="1" x="3538"/>
        <item m="1" x="5544"/>
        <item m="1" x="7548"/>
        <item m="1" x="1633"/>
        <item m="1" x="3661"/>
        <item m="1" x="5664"/>
        <item m="1" x="7672"/>
        <item m="1" x="1755"/>
        <item m="1" x="3787"/>
        <item m="1" x="5786"/>
        <item m="1" x="7795"/>
        <item m="1" x="1873"/>
        <item m="1" x="3915"/>
        <item m="1" x="5905"/>
        <item m="1" x="7914"/>
        <item m="1" x="1994"/>
        <item m="1" x="4039"/>
        <item m="1" x="6025"/>
        <item m="1" x="109"/>
        <item m="1" x="2120"/>
        <item m="1" x="4162"/>
        <item m="1" x="6148"/>
        <item m="1" x="233"/>
        <item m="1" x="2241"/>
        <item m="1" x="4283"/>
        <item m="1" x="6271"/>
        <item m="1" x="355"/>
        <item m="1" x="2361"/>
        <item m="1" x="4406"/>
        <item m="1" x="6393"/>
        <item m="1" x="477"/>
        <item m="1" x="2486"/>
        <item m="1" x="4531"/>
        <item m="1" x="6515"/>
        <item m="1" x="600"/>
        <item m="1" x="2611"/>
        <item m="1" x="4647"/>
        <item m="1" x="6637"/>
        <item m="1" x="719"/>
        <item m="1" x="2731"/>
        <item m="1" x="4765"/>
        <item m="1" x="6760"/>
        <item m="1" x="841"/>
        <item m="1" x="2855"/>
        <item m="1" x="4888"/>
        <item m="1" x="6882"/>
        <item m="1" x="964"/>
        <item m="1" x="2978"/>
        <item m="1" x="5006"/>
        <item m="1" x="6999"/>
        <item m="1" x="1084"/>
        <item m="1" x="3101"/>
        <item m="1" x="5123"/>
        <item m="1" x="7121"/>
        <item m="1" x="1208"/>
        <item m="1" x="3224"/>
        <item m="1" x="5243"/>
        <item m="1" x="7244"/>
        <item m="1" x="1327"/>
        <item m="1" x="3348"/>
        <item m="1" x="7058"/>
        <item m="1" x="1146"/>
        <item m="1" x="3160"/>
        <item m="1" x="5182"/>
        <item m="1" x="7181"/>
        <item m="1" x="1265"/>
        <item m="1" x="3283"/>
        <item m="1" x="5302"/>
        <item m="1" x="7302"/>
        <item m="1" x="1385"/>
        <item m="1" x="3409"/>
        <item m="1" x="5421"/>
        <item m="1" x="7422"/>
        <item m="1" x="1506"/>
        <item m="1" x="3534"/>
        <item m="1" x="5540"/>
        <item m="1" x="7544"/>
        <item m="1" x="1629"/>
        <item m="1" x="3657"/>
        <item m="1" x="5661"/>
        <item m="1" x="7669"/>
        <item m="1" x="1752"/>
        <item m="1" x="3784"/>
        <item m="1" x="5783"/>
        <item m="1" x="7792"/>
        <item m="1" x="1870"/>
        <item m="1" x="3911"/>
        <item m="1" x="5900"/>
        <item m="1" x="7909"/>
        <item m="1" x="1990"/>
        <item m="1" x="4035"/>
        <item m="1" x="6021"/>
        <item m="1" x="105"/>
        <item m="1" x="2116"/>
        <item m="1" x="4158"/>
        <item m="1" x="6144"/>
        <item m="1" x="228"/>
        <item m="1" x="2237"/>
        <item m="1" x="4278"/>
        <item m="1" x="6267"/>
        <item m="1" x="350"/>
        <item m="1" x="2357"/>
        <item m="1" x="4401"/>
        <item m="1" x="6388"/>
        <item m="1" x="472"/>
        <item m="1" x="2482"/>
        <item m="1" x="4526"/>
        <item m="1" x="6511"/>
        <item m="1" x="594"/>
        <item m="1" x="2606"/>
        <item m="1" x="4641"/>
        <item m="1" x="6632"/>
        <item m="1" x="714"/>
        <item m="1" x="2727"/>
        <item m="1" x="4760"/>
        <item m="1" x="6756"/>
        <item m="1" x="836"/>
        <item m="1" x="2850"/>
        <item m="1" x="4883"/>
        <item m="1" x="6878"/>
        <item m="1" x="958"/>
        <item m="1" x="4699"/>
        <item m="1" x="6693"/>
        <item m="1" x="773"/>
        <item m="1" x="2786"/>
        <item m="1" x="4819"/>
        <item m="1" x="6815"/>
        <item m="1" x="894"/>
        <item m="1" x="2908"/>
        <item m="1" x="4940"/>
        <item m="1" x="6934"/>
        <item m="1" x="1018"/>
        <item m="1" x="3033"/>
        <item m="1" x="5060"/>
        <item m="1" x="7053"/>
        <item m="1" x="1142"/>
        <item m="1" x="3156"/>
        <item m="1" x="5178"/>
        <item m="1" x="7177"/>
        <item m="1" x="1262"/>
        <item m="1" x="3280"/>
        <item m="1" x="5299"/>
        <item m="1" x="7298"/>
        <item m="1" x="1381"/>
        <item m="1" x="3406"/>
        <item m="1" x="5418"/>
        <item m="1" x="7419"/>
        <item m="1" x="1502"/>
        <item m="1" x="3530"/>
        <item m="1" x="5536"/>
        <item m="1" x="7540"/>
        <item m="1" x="1625"/>
        <item m="1" x="3653"/>
        <item m="1" x="5657"/>
        <item m="1" x="7665"/>
        <item m="1" x="1748"/>
        <item m="1" x="3779"/>
        <item m="1" x="5779"/>
        <item m="1" x="7787"/>
        <item m="1" x="1865"/>
        <item m="1" x="3904"/>
        <item m="1" x="5897"/>
        <item m="1" x="7905"/>
        <item m="1" x="1987"/>
        <item m="1" x="4031"/>
        <item m="1" x="6018"/>
        <item m="1" x="101"/>
        <item m="1" x="2113"/>
        <item m="1" x="4154"/>
        <item m="1" x="6140"/>
        <item m="1" x="223"/>
        <item m="1" x="2233"/>
        <item m="1" x="4273"/>
        <item m="1" x="6263"/>
        <item m="1" x="346"/>
        <item m="1" x="2354"/>
        <item m="1" x="4397"/>
        <item m="1" x="6385"/>
        <item m="1" x="468"/>
        <item m="1" x="2479"/>
        <item m="1" x="4522"/>
        <item m="1" x="6507"/>
        <item m="1" x="590"/>
        <item m="1" x="4333"/>
        <item m="1" x="6320"/>
        <item m="1" x="403"/>
        <item m="1" x="2411"/>
        <item m="1" x="4457"/>
        <item m="1" x="6442"/>
        <item m="1" x="526"/>
        <item m="1" x="2537"/>
        <item m="1" x="4578"/>
        <item m="1" x="6564"/>
        <item m="1" x="649"/>
        <item m="1" x="2662"/>
        <item m="1" x="4695"/>
        <item m="1" x="6689"/>
        <item m="1" x="769"/>
        <item m="1" x="2781"/>
        <item m="1" x="4814"/>
        <item m="1" x="6811"/>
        <item m="1" x="891"/>
        <item m="1" x="2905"/>
        <item m="1" x="4937"/>
        <item m="1" x="6931"/>
        <item m="1" x="1014"/>
        <item m="1" x="3030"/>
        <item m="1" x="5057"/>
        <item m="1" x="7050"/>
        <item m="1" x="1138"/>
        <item m="1" x="3152"/>
        <item m="1" x="5174"/>
        <item m="1" x="7173"/>
        <item m="1" x="1258"/>
        <item m="1" x="3276"/>
        <item m="1" x="5294"/>
        <item m="1" x="7294"/>
        <item m="1" x="1377"/>
        <item m="1" x="3401"/>
        <item m="1" x="5414"/>
        <item m="1" x="7414"/>
        <item m="1" x="1498"/>
        <item m="1" x="3525"/>
        <item m="1" x="5533"/>
        <item m="1" x="7536"/>
        <item m="1" x="1622"/>
        <item m="1" x="3649"/>
        <item m="1" x="5654"/>
        <item m="1" x="7661"/>
        <item m="1" x="1745"/>
        <item m="1" x="3775"/>
        <item m="1" x="5775"/>
        <item m="1" x="7781"/>
        <item m="1" x="1861"/>
        <item m="1" x="3899"/>
        <item m="1" x="5894"/>
        <item m="1" x="7901"/>
        <item m="1" x="1984"/>
        <item m="1" x="4027"/>
        <item m="1" x="6015"/>
        <item m="1" x="97"/>
        <item m="1" x="2109"/>
        <item m="1" x="4150"/>
        <item m="1" x="6137"/>
        <item m="1" x="1919"/>
        <item m="1" x="3964"/>
        <item m="1" x="5950"/>
        <item m="1" x="7961"/>
        <item m="1" x="2042"/>
        <item m="1" x="4087"/>
        <item m="1" x="6071"/>
        <item m="1" x="156"/>
        <item m="1" x="2165"/>
        <item m="1" x="4208"/>
        <item m="1" x="6195"/>
        <item m="1" x="278"/>
        <item m="1" x="2284"/>
        <item m="1" x="4329"/>
        <item m="1" x="6316"/>
        <item m="1" x="399"/>
        <item m="1" x="2407"/>
        <item m="1" x="4453"/>
        <item m="1" x="6438"/>
        <item m="1" x="523"/>
        <item m="1" x="2534"/>
        <item m="1" x="4575"/>
        <item m="1" x="6561"/>
        <item m="1" x="646"/>
        <item m="1" x="2659"/>
        <item m="1" x="4692"/>
        <item m="1" x="6685"/>
        <item m="1" x="764"/>
        <item m="1" x="2776"/>
        <item m="1" x="4810"/>
        <item m="1" x="6807"/>
        <item m="1" x="887"/>
        <item m="1" x="2901"/>
        <item m="1" x="4933"/>
        <item m="1" x="6927"/>
        <item m="1" x="1010"/>
        <item m="1" x="3025"/>
        <item m="1" x="5053"/>
        <item m="1" x="7045"/>
        <item m="1" x="1133"/>
        <item m="1" x="3148"/>
        <item m="1" x="5171"/>
        <item m="1" x="7169"/>
        <item m="1" x="1254"/>
        <item m="1" x="3272"/>
        <item m="1" x="5291"/>
        <item m="1" x="7290"/>
        <item m="1" x="1374"/>
        <item m="1" x="3396"/>
        <item m="1" x="5410"/>
        <item m="1" x="7409"/>
        <item m="1" x="1494"/>
        <item m="1" x="3520"/>
        <item m="1" x="5530"/>
        <item m="1" x="7532"/>
        <item m="1" x="1619"/>
        <item m="1" x="3645"/>
        <item m="1" x="5650"/>
        <item m="1" x="7657"/>
        <item m="1" x="1742"/>
        <item m="1" x="3770"/>
        <item m="1" x="1554"/>
        <item m="1" x="3583"/>
        <item m="1" x="5587"/>
        <item m="1" x="7592"/>
        <item m="1" x="1678"/>
        <item m="1" x="3706"/>
        <item m="1" x="5705"/>
        <item m="1" x="7715"/>
        <item m="1" x="1795"/>
        <item m="1" x="3831"/>
        <item m="1" x="5827"/>
        <item m="1" x="7837"/>
        <item m="1" x="1914"/>
        <item m="1" x="3960"/>
        <item m="1" x="5946"/>
        <item m="1" x="7957"/>
        <item m="1" x="2038"/>
        <item m="1" x="4084"/>
        <item m="1" x="6068"/>
        <item m="1" x="153"/>
        <item m="1" x="2161"/>
        <item m="1" x="4203"/>
        <item m="1" x="6192"/>
        <item m="1" x="275"/>
        <item m="1" x="2281"/>
        <item m="1" x="4326"/>
        <item m="1" x="6312"/>
        <item m="1" x="395"/>
        <item m="1" x="2403"/>
        <item m="1" x="4449"/>
        <item m="1" x="6434"/>
        <item m="1" x="519"/>
        <item m="1" x="2530"/>
        <item m="1" x="4571"/>
        <item m="1" x="6556"/>
        <item m="1" x="642"/>
        <item m="1" x="2654"/>
        <item m="1" x="4687"/>
        <item m="1" x="6679"/>
        <item m="1" x="760"/>
        <item m="1" x="2772"/>
        <item m="1" x="4807"/>
        <item m="1" x="6803"/>
        <item m="1" x="884"/>
        <item m="1" x="2897"/>
        <item m="1" x="4930"/>
        <item m="1" x="6923"/>
        <item m="1" x="1006"/>
        <item m="1" x="3020"/>
        <item m="1" x="5049"/>
        <item m="1" x="7040"/>
        <item m="1" x="1129"/>
        <item m="1" x="3144"/>
        <item m="1" x="5168"/>
        <item m="1" x="7165"/>
        <item m="1" x="1251"/>
        <item m="1" x="3268"/>
        <item m="1" x="5288"/>
        <item m="1" x="7286"/>
        <item m="1" x="1370"/>
        <item m="1" x="3391"/>
        <item m="1" x="7101"/>
        <item m="1" x="1187"/>
        <item m="1" x="3203"/>
        <item m="1" x="5222"/>
        <item m="1" x="7224"/>
        <item m="1" x="1307"/>
        <item m="1" x="3329"/>
        <item m="1" x="5344"/>
        <item m="1" x="7346"/>
        <item m="1" x="1427"/>
        <item m="1" x="3455"/>
        <item m="1" x="5464"/>
        <item m="1" x="7466"/>
        <item m="1" x="1550"/>
        <item m="1" x="3579"/>
        <item m="1" x="5582"/>
        <item m="1" x="7587"/>
        <item m="1" x="1673"/>
        <item m="1" x="3703"/>
        <item m="1" x="5702"/>
        <item m="1" x="7712"/>
        <item m="1" x="1792"/>
        <item m="1" x="3827"/>
        <item m="1" x="5824"/>
        <item m="1" x="7834"/>
        <item m="1" x="1911"/>
        <item m="1" x="3956"/>
        <item m="1" x="5942"/>
        <item m="1" x="7953"/>
        <item m="1" x="2034"/>
        <item m="1" x="4080"/>
        <item m="1" x="6064"/>
        <item m="1" x="148"/>
        <item m="1" x="2157"/>
        <item m="1" x="4199"/>
        <item m="1" x="6187"/>
        <item m="1" x="271"/>
        <item m="1" x="2276"/>
        <item m="1" x="4322"/>
        <item m="1" x="6308"/>
        <item m="1" x="392"/>
        <item m="1" x="2399"/>
        <item m="1" x="4446"/>
        <item m="1" x="6430"/>
        <item m="1" x="516"/>
        <item m="1" x="2526"/>
        <item m="1" x="4568"/>
        <item m="1" x="6552"/>
        <item m="1" x="638"/>
        <item m="1" x="2648"/>
        <item m="1" x="4683"/>
        <item m="1" x="6674"/>
        <item m="1" x="757"/>
        <item m="1" x="2768"/>
        <item m="1" x="4804"/>
        <item m="1" x="6799"/>
        <item m="1" x="881"/>
        <item m="1" x="2893"/>
        <item m="1" x="4926"/>
        <item m="1" x="6919"/>
        <item m="1" x="1003"/>
        <item m="1" x="4740"/>
        <item m="1" x="6738"/>
        <item m="1" x="816"/>
        <item m="1" x="2831"/>
        <item m="1" x="4862"/>
        <item m="1" x="6860"/>
        <item m="1" x="939"/>
        <item m="1" x="2955"/>
        <item m="1" x="4983"/>
        <item m="1" x="6978"/>
        <item m="1" x="1061"/>
        <item m="1" x="3078"/>
        <item m="1" x="5100"/>
        <item m="1" x="7098"/>
        <item m="1" x="1184"/>
        <item m="1" x="3200"/>
        <item m="1" x="5219"/>
        <item m="1" x="7221"/>
        <item m="1" x="1303"/>
        <item m="1" x="3326"/>
        <item m="1" x="5341"/>
        <item m="1" x="7343"/>
        <item m="1" x="1423"/>
        <item m="1" x="3452"/>
        <item m="1" x="5461"/>
        <item m="1" x="7463"/>
        <item m="1" x="1546"/>
        <item m="1" x="3574"/>
        <item m="1" x="5577"/>
        <item m="1" x="7583"/>
        <item m="1" x="1669"/>
        <item m="1" x="3699"/>
        <item m="1" x="5698"/>
        <item m="1" x="7708"/>
        <item m="1" x="1788"/>
        <item m="1" x="3823"/>
        <item m="1" x="5819"/>
        <item m="1" x="7830"/>
        <item m="1" x="1906"/>
        <item m="1" x="3951"/>
        <item m="1" x="5938"/>
        <item m="1" x="7950"/>
        <item m="1" x="2030"/>
        <item m="1" x="4076"/>
        <item m="1" x="6060"/>
        <item m="1" x="145"/>
        <item m="1" x="2153"/>
        <item m="1" x="4196"/>
        <item m="1" x="6182"/>
        <item m="1" x="267"/>
        <item m="1" x="2271"/>
        <item m="1" x="4318"/>
        <item m="1" x="6303"/>
        <item m="1" x="389"/>
        <item m="1" x="2395"/>
        <item m="1" x="4443"/>
        <item m="1" x="6426"/>
        <item m="1" x="511"/>
        <item m="1" x="2522"/>
        <item m="1" x="4565"/>
        <item m="1" x="6547"/>
        <item m="1" x="4377"/>
        <item m="1" x="6367"/>
        <item m="1" x="448"/>
        <item m="1" x="2459"/>
        <item m="1" x="4502"/>
        <item m="1" x="6488"/>
        <item m="1" x="570"/>
        <item m="1" x="2584"/>
        <item m="1" x="4619"/>
        <item m="1" x="6610"/>
        <item m="1" x="692"/>
        <item m="1" x="2707"/>
        <item m="1" x="4736"/>
        <item m="1" x="6735"/>
        <item m="1" x="813"/>
        <item m="1" x="2828"/>
        <item m="1" x="4859"/>
        <item m="1" x="6857"/>
        <item m="1" x="936"/>
        <item m="1" x="2952"/>
        <item m="1" x="4979"/>
        <item m="1" x="6974"/>
        <item m="1" x="1058"/>
        <item m="1" x="3075"/>
        <item m="1" x="5097"/>
        <item m="1" x="7095"/>
        <item m="1" x="1180"/>
        <item m="1" x="3196"/>
        <item m="1" x="5215"/>
        <item m="1" x="7217"/>
        <item m="1" x="1299"/>
        <item m="1" x="3322"/>
        <item m="1" x="5337"/>
        <item m="1" x="7339"/>
        <item m="1" x="1418"/>
        <item m="1" x="3448"/>
        <item m="1" x="5456"/>
        <item m="1" x="7458"/>
        <item m="1" x="1540"/>
        <item m="1" x="3570"/>
        <item m="1" x="5573"/>
        <item m="1" x="7580"/>
        <item m="1" x="1665"/>
        <item m="1" x="3696"/>
        <item m="1" x="5694"/>
        <item m="1" x="7705"/>
        <item m="1" x="1784"/>
        <item m="1" x="3819"/>
        <item m="1" x="5814"/>
        <item m="1" x="7826"/>
        <item m="1" x="1901"/>
        <item m="1" x="3947"/>
        <item m="1" x="5934"/>
        <item m="1" x="7947"/>
        <item m="1" x="2025"/>
        <item m="1" x="4073"/>
        <item m="1" x="6056"/>
        <item m="1" x="142"/>
        <item m="1" x="2149"/>
        <item m="1" x="4192"/>
        <item m="1" x="6177"/>
        <item m="1" x="965"/>
        <item m="1" x="1965"/>
        <item m="1" x="2979"/>
        <item m="1" x="4007"/>
        <item m="1" x="5007"/>
        <item m="1" x="5996"/>
        <item m="1" x="7000"/>
        <item m="1" x="75"/>
        <item m="1" x="1085"/>
        <item m="1" x="2089"/>
        <item m="1" x="3102"/>
        <item m="1" x="4131"/>
        <item m="1" x="5124"/>
        <item m="1" x="6119"/>
        <item m="1" x="7122"/>
        <item m="1" x="200"/>
        <item m="1" x="1209"/>
        <item m="1" x="2211"/>
        <item m="1" x="3225"/>
        <item m="1" x="4251"/>
        <item m="1" x="5244"/>
        <item m="1" x="6243"/>
        <item m="1" x="7245"/>
        <item m="1" x="323"/>
        <item m="1" x="1328"/>
        <item m="1" x="2332"/>
        <item m="1" x="3349"/>
        <item m="1" x="4374"/>
        <item m="1" x="5365"/>
        <item m="1" x="6364"/>
        <item m="1" x="7365"/>
        <item m="1" x="444"/>
        <item m="1" x="1447"/>
        <item m="1" x="2455"/>
        <item m="1" x="3474"/>
        <item m="1" x="4498"/>
        <item m="1" x="5484"/>
        <item m="1" x="6485"/>
        <item m="1" x="7485"/>
        <item m="1" x="566"/>
        <item m="1" x="1571"/>
        <item m="1" x="2581"/>
        <item m="1" x="3599"/>
        <item m="1" x="4616"/>
        <item m="1" x="5604"/>
        <item m="1" x="6607"/>
        <item m="1" x="7609"/>
        <item m="1" x="689"/>
        <item m="1" x="1695"/>
        <item m="1" x="2703"/>
        <item m="1" x="3723"/>
        <item m="1" x="4733"/>
        <item m="1" x="5722"/>
        <item m="1" x="6731"/>
        <item m="1" x="7730"/>
        <item m="1" x="809"/>
        <item m="1" x="1810"/>
        <item m="1" x="2824"/>
        <item m="1" x="3847"/>
        <item m="1" x="4855"/>
        <item m="1" x="5842"/>
        <item m="1" x="6853"/>
        <item m="1" x="7851"/>
        <item m="1" x="932"/>
        <item m="1" x="1931"/>
        <item m="1" x="2947"/>
        <item m="1" x="3975"/>
        <item m="1" x="4974"/>
        <item m="1" x="5962"/>
        <item m="1" x="6970"/>
        <item m="1" x="7972"/>
        <item m="1" x="1053"/>
        <item m="1" x="2055"/>
        <item m="1" x="3071"/>
        <item m="1" x="4100"/>
        <item m="1" x="5092"/>
        <item m="1" x="6083"/>
        <item m="1" x="7091"/>
        <item m="1" x="168"/>
        <item m="1" x="1175"/>
        <item m="1" x="2175"/>
        <item m="1" x="3192"/>
        <item m="1" x="4219"/>
        <item m="1" x="5211"/>
        <item m="1" x="6206"/>
        <item m="1" x="7214"/>
        <item m="1" x="290"/>
        <item m="1" x="1295"/>
        <item m="1" x="2296"/>
        <item m="1" x="3319"/>
        <item m="1" x="4342"/>
        <item m="1" x="5333"/>
        <item m="1" x="6328"/>
        <item m="1" x="7335"/>
        <item m="1" x="411"/>
        <item m="1" x="1414"/>
        <item m="1" x="2418"/>
        <item m="1" x="3443"/>
        <item m="1" x="4466"/>
        <item m="1" x="5450"/>
        <item m="1" x="6449"/>
        <item m="1" x="7453"/>
        <item m="1" x="533"/>
        <item m="1" x="1535"/>
        <item m="1" x="2545"/>
        <item m="1" x="3566"/>
        <item m="1" x="4586"/>
        <item m="1" x="5569"/>
        <item m="1" x="6572"/>
        <item m="1" x="7576"/>
        <item m="1" x="656"/>
        <item m="1" x="1661"/>
        <item m="1" x="2669"/>
        <item m="1" x="3690"/>
        <item m="1" x="4703"/>
        <item m="1" x="5690"/>
        <item m="1" x="6697"/>
        <item m="1" x="7700"/>
        <item m="1" x="777"/>
        <item m="1" x="1780"/>
        <item m="1" x="2790"/>
        <item m="1" x="3814"/>
        <item m="1" x="4823"/>
        <item m="1" x="7512"/>
        <item m="1" x="595"/>
        <item m="1" x="1602"/>
        <item m="1" x="2607"/>
        <item m="1" x="3626"/>
        <item m="1" x="4642"/>
        <item m="1" x="5632"/>
        <item m="1" x="6633"/>
        <item m="1" x="7637"/>
        <item m="1" x="715"/>
        <item m="1" x="1724"/>
        <item m="1" x="2728"/>
        <item m="1" x="3751"/>
        <item m="1" x="4761"/>
        <item m="1" x="5753"/>
        <item m="1" x="6757"/>
        <item m="1" x="7758"/>
        <item m="1" x="837"/>
        <item m="1" x="1841"/>
        <item m="1" x="2851"/>
        <item m="1" x="3877"/>
        <item m="1" x="4884"/>
        <item m="1" x="5872"/>
        <item m="1" x="6879"/>
        <item m="1" x="7878"/>
        <item m="1" x="959"/>
        <item m="1" x="1962"/>
        <item m="1" x="2974"/>
        <item m="1" x="4003"/>
        <item m="1" x="5002"/>
        <item m="1" x="5993"/>
        <item m="1" x="6996"/>
        <item m="1" x="72"/>
        <item m="1" x="1080"/>
        <item m="1" x="2086"/>
        <item m="1" x="3097"/>
        <item m="1" x="4127"/>
        <item m="1" x="5119"/>
        <item m="1" x="6115"/>
        <item m="1" x="7118"/>
        <item m="1" x="197"/>
        <item m="1" x="1204"/>
        <item m="1" x="2208"/>
        <item m="1" x="3219"/>
        <item m="1" x="4247"/>
        <item m="1" x="5239"/>
        <item m="1" x="6240"/>
        <item m="1" x="7241"/>
        <item m="1" x="320"/>
        <item m="1" x="1323"/>
        <item m="1" x="2329"/>
        <item m="1" x="3344"/>
        <item m="1" x="4370"/>
        <item m="1" x="5360"/>
        <item m="1" x="6359"/>
        <item m="1" x="7361"/>
        <item m="1" x="439"/>
        <item m="1" x="1442"/>
        <item m="1" x="2450"/>
        <item m="1" x="3469"/>
        <item m="1" x="4494"/>
        <item m="1" x="5479"/>
        <item m="1" x="6481"/>
        <item m="1" x="7481"/>
        <item m="1" x="562"/>
        <item m="1" x="1566"/>
        <item m="1" x="2577"/>
        <item m="1" x="3594"/>
        <item m="1" x="4612"/>
        <item m="1" x="5598"/>
        <item m="1" x="6601"/>
        <item m="1" x="7605"/>
        <item m="1" x="684"/>
        <item m="1" x="1690"/>
        <item m="1" x="2698"/>
        <item m="1" x="3718"/>
        <item m="1" x="4728"/>
        <item m="1" x="5717"/>
        <item m="1" x="6726"/>
        <item m="1" x="7727"/>
        <item m="1" x="804"/>
        <item m="1" x="1806"/>
        <item m="1" x="2820"/>
        <item m="1" x="3843"/>
        <item m="1" x="4851"/>
        <item m="1" x="5837"/>
        <item m="1" x="6848"/>
        <item m="1" x="7848"/>
        <item m="1" x="927"/>
        <item m="1" x="1927"/>
        <item m="1" x="2943"/>
        <item m="1" x="3971"/>
        <item m="1" x="4970"/>
        <item m="1" x="5958"/>
        <item m="1" x="6966"/>
        <item m="1" x="7969"/>
        <item m="1" x="1048"/>
        <item m="1" x="2051"/>
        <item m="1" x="3066"/>
        <item m="1" x="4095"/>
        <item m="1" x="5087"/>
        <item m="1" x="6078"/>
        <item m="1" x="7086"/>
        <item m="1" x="164"/>
        <item m="1" x="1170"/>
        <item m="1" x="2172"/>
        <item m="1" x="3188"/>
        <item m="1" x="4215"/>
        <item m="1" x="5207"/>
        <item m="1" x="6203"/>
        <item m="1" x="7210"/>
        <item m="1" x="287"/>
        <item m="1" x="1291"/>
        <item m="1" x="2292"/>
        <item m="1" x="3313"/>
        <item m="1" x="4338"/>
        <item m="1" x="5329"/>
        <item m="1" x="6324"/>
        <item m="1" x="7330"/>
        <item m="1" x="407"/>
        <item m="1" x="1409"/>
        <item m="1" x="2415"/>
        <item m="1" x="3436"/>
        <item m="1" x="6141"/>
        <item m="1" x="7146"/>
        <item m="1" x="224"/>
        <item m="1" x="1235"/>
        <item m="1" x="2234"/>
        <item m="1" x="3249"/>
        <item m="1" x="4274"/>
        <item m="1" x="5270"/>
        <item m="1" x="6264"/>
        <item m="1" x="7269"/>
        <item m="1" x="347"/>
        <item m="1" x="1353"/>
        <item m="1" x="2355"/>
        <item m="1" x="3373"/>
        <item m="1" x="4398"/>
        <item m="1" x="5390"/>
        <item m="1" x="6386"/>
        <item m="1" x="7388"/>
        <item m="1" x="469"/>
        <item m="1" x="1474"/>
        <item m="1" x="2480"/>
        <item m="1" x="3499"/>
        <item m="1" x="4523"/>
        <item m="1" x="5511"/>
        <item m="1" x="6508"/>
        <item m="1" x="7509"/>
        <item m="1" x="591"/>
        <item m="1" x="1599"/>
        <item m="1" x="2604"/>
        <item m="1" x="3624"/>
        <item m="1" x="4638"/>
        <item m="1" x="5630"/>
        <item m="1" x="6629"/>
        <item m="1" x="7634"/>
        <item m="1" x="711"/>
        <item m="1" x="1722"/>
        <item m="1" x="2725"/>
        <item m="1" x="3749"/>
        <item m="1" x="4757"/>
        <item m="1" x="5751"/>
        <item m="1" x="6753"/>
        <item m="1" x="7755"/>
        <item m="1" x="833"/>
        <item m="1" x="1837"/>
        <item m="1" x="2847"/>
        <item m="1" x="3873"/>
        <item m="1" x="4880"/>
        <item m="1" x="5870"/>
        <item m="1" x="6875"/>
        <item m="1" x="7876"/>
        <item m="1" x="955"/>
        <item m="1" x="1960"/>
        <item m="1" x="2971"/>
        <item m="1" x="4000"/>
        <item m="1" x="4998"/>
        <item m="1" x="5990"/>
        <item m="1" x="6992"/>
        <item m="1" x="7997"/>
        <item m="1" x="1076"/>
        <item m="1" x="2082"/>
        <item m="1" x="3094"/>
        <item m="1" x="4124"/>
        <item m="1" x="5115"/>
        <item m="1" x="6112"/>
        <item m="1" x="7114"/>
        <item m="1" x="194"/>
        <item m="1" x="1200"/>
        <item m="1" x="2205"/>
        <item m="1" x="3216"/>
        <item m="1" x="4243"/>
        <item m="1" x="5235"/>
        <item m="1" x="6236"/>
        <item m="1" x="7237"/>
        <item m="1" x="316"/>
        <item m="1" x="1318"/>
        <item m="1" x="2324"/>
        <item m="1" x="3341"/>
        <item m="1" x="4365"/>
        <item m="1" x="5356"/>
        <item m="1" x="6355"/>
        <item m="1" x="7358"/>
        <item m="1" x="436"/>
        <item m="1" x="1439"/>
        <item m="1" x="2447"/>
        <item m="1" x="3467"/>
        <item m="1" x="4491"/>
        <item m="1" x="5476"/>
        <item m="1" x="6478"/>
        <item m="1" x="7478"/>
        <item m="1" x="559"/>
        <item m="1" x="1562"/>
        <item m="1" x="2574"/>
        <item m="1" x="3592"/>
        <item m="1" x="4609"/>
        <item m="1" x="5595"/>
        <item m="1" x="6598"/>
        <item m="1" x="7601"/>
        <item m="1" x="680"/>
        <item m="1" x="1687"/>
        <item m="1" x="2694"/>
        <item m="1" x="3715"/>
        <item m="1" x="4724"/>
        <item m="1" x="5714"/>
        <item m="1" x="6722"/>
        <item m="1" x="7723"/>
        <item m="1" x="800"/>
        <item m="1" x="1802"/>
        <item m="1" x="2816"/>
        <item m="1" x="3839"/>
        <item m="1" x="4846"/>
        <item m="1" x="5834"/>
        <item m="1" x="6844"/>
        <item m="1" x="7844"/>
        <item m="1" x="922"/>
        <item m="1" x="1923"/>
        <item m="1" x="2938"/>
        <item m="1" x="3968"/>
        <item m="1" x="4966"/>
        <item m="1" x="5955"/>
        <item m="1" x="6961"/>
        <item m="1" x="7965"/>
        <item m="1" x="1044"/>
        <item m="1" x="4785"/>
        <item m="1" x="5776"/>
        <item m="1" x="6781"/>
        <item m="1" x="7782"/>
        <item m="1" x="862"/>
        <item m="1" x="1862"/>
        <item m="1" x="2874"/>
        <item m="1" x="3900"/>
        <item m="1" x="4909"/>
        <item m="1" x="5895"/>
        <item m="1" x="6902"/>
        <item m="1" x="7902"/>
        <item m="1" x="987"/>
        <item m="1" x="1985"/>
        <item m="1" x="2998"/>
        <item m="1" x="4028"/>
        <item m="1" x="5029"/>
        <item m="1" x="6016"/>
        <item m="1" x="7021"/>
        <item m="1" x="98"/>
        <item m="1" x="1110"/>
        <item m="1" x="2110"/>
        <item m="1" x="3124"/>
        <item m="1" x="4151"/>
        <item m="1" x="5148"/>
        <item m="1" x="6138"/>
        <item m="1" x="7144"/>
        <item m="1" x="220"/>
        <item m="1" x="1233"/>
        <item m="1" x="2230"/>
        <item m="1" x="3246"/>
        <item m="1" x="4270"/>
        <item m="1" x="5267"/>
        <item m="1" x="6261"/>
        <item m="1" x="7266"/>
        <item m="1" x="343"/>
        <item m="1" x="1351"/>
        <item m="1" x="2351"/>
        <item m="1" x="3370"/>
        <item m="1" x="4394"/>
        <item m="1" x="5388"/>
        <item m="1" x="6383"/>
        <item m="1" x="7386"/>
        <item m="1" x="465"/>
        <item m="1" x="1472"/>
        <item m="1" x="2476"/>
        <item m="1" x="3497"/>
        <item m="1" x="4519"/>
        <item m="1" x="5508"/>
        <item m="1" x="6505"/>
        <item m="1" x="7507"/>
        <item m="1" x="587"/>
        <item m="1" x="1596"/>
        <item m="1" x="2600"/>
        <item m="1" x="3621"/>
        <item m="1" x="4634"/>
        <item m="1" x="5627"/>
        <item m="1" x="6626"/>
        <item m="1" x="7631"/>
        <item m="1" x="707"/>
        <item m="1" x="1719"/>
        <item m="1" x="2721"/>
        <item m="1" x="3746"/>
        <item m="1" x="4752"/>
        <item m="1" x="5747"/>
        <item m="1" x="6750"/>
        <item m="1" x="7751"/>
        <item m="1" x="829"/>
        <item m="1" x="1834"/>
        <item m="1" x="2843"/>
        <item m="1" x="3869"/>
        <item m="1" x="4876"/>
        <item m="1" x="5866"/>
        <item m="1" x="6872"/>
        <item m="1" x="7872"/>
        <item m="1" x="951"/>
        <item m="1" x="1956"/>
        <item m="1" x="2967"/>
        <item m="1" x="3996"/>
        <item m="1" x="4994"/>
        <item m="1" x="5986"/>
        <item m="1" x="6990"/>
        <item m="1" x="7994"/>
        <item m="1" x="1073"/>
        <item m="1" x="2079"/>
        <item m="1" x="3091"/>
        <item m="1" x="4121"/>
        <item m="1" x="5112"/>
        <item m="1" x="6109"/>
        <item m="1" x="7112"/>
        <item m="1" x="191"/>
        <item m="1" x="1197"/>
        <item m="1" x="2202"/>
        <item m="1" x="3213"/>
        <item m="1" x="4240"/>
        <item m="1" x="5231"/>
        <item m="1" x="6232"/>
        <item m="1" x="7234"/>
        <item m="1" x="311"/>
        <item m="1" x="1315"/>
        <item m="1" x="2319"/>
        <item m="1" x="3337"/>
        <item m="1" x="4361"/>
        <item m="1" x="5353"/>
        <item m="1" x="6351"/>
        <item m="1" x="7355"/>
        <item m="1" x="432"/>
        <item m="1" x="1436"/>
        <item m="1" x="2443"/>
        <item m="1" x="3463"/>
        <item m="1" x="4487"/>
        <item m="1" x="5472"/>
        <item m="1" x="6473"/>
        <item m="1" x="7475"/>
        <item m="1" x="554"/>
        <item m="1" x="1559"/>
        <item m="1" x="2569"/>
        <item m="1" x="3588"/>
        <item m="1" x="4605"/>
        <item m="1" x="5592"/>
        <item m="1" x="6593"/>
        <item m="1" x="7597"/>
        <item m="1" x="2376"/>
        <item m="1" x="3397"/>
        <item m="1" x="4423"/>
        <item m="1" x="5411"/>
        <item m="1" x="6407"/>
        <item m="1" x="7410"/>
        <item m="1" x="491"/>
        <item m="1" x="1495"/>
        <item m="1" x="2502"/>
        <item m="1" x="3521"/>
        <item m="1" x="4546"/>
        <item m="1" x="5531"/>
        <item m="1" x="6530"/>
        <item m="1" x="7533"/>
        <item m="1" x="616"/>
        <item m="1" x="1620"/>
        <item m="1" x="2627"/>
        <item m="1" x="3646"/>
        <item m="1" x="4663"/>
        <item m="1" x="5651"/>
        <item m="1" x="6654"/>
        <item m="1" x="7658"/>
        <item m="1" x="736"/>
        <item m="1" x="1743"/>
        <item m="1" x="2747"/>
        <item m="1" x="3771"/>
        <item m="1" x="4782"/>
        <item m="1" x="5771"/>
        <item m="1" x="6777"/>
        <item m="1" x="7777"/>
        <item m="1" x="859"/>
        <item m="1" x="1858"/>
        <item m="1" x="2871"/>
        <item m="1" x="3895"/>
        <item m="1" x="4906"/>
        <item m="1" x="5890"/>
        <item m="1" x="6898"/>
        <item m="1" x="7897"/>
        <item m="1" x="983"/>
        <item m="1" x="1981"/>
        <item m="1" x="2995"/>
        <item m="1" x="4023"/>
        <item m="1" x="5026"/>
        <item m="1" x="6011"/>
        <item m="1" x="7018"/>
        <item m="1" x="93"/>
        <item m="1" x="1107"/>
        <item m="1" x="2106"/>
        <item m="1" x="3121"/>
        <item m="1" x="4146"/>
        <item m="1" x="5145"/>
        <item m="1" x="6133"/>
        <item m="1" x="7140"/>
        <item m="1" x="215"/>
        <item m="1" x="1228"/>
        <item m="1" x="2226"/>
        <item m="1" x="3241"/>
        <item m="1" x="4265"/>
        <item m="1" x="5262"/>
        <item m="1" x="6256"/>
        <item m="1" x="7262"/>
        <item m="1" x="338"/>
        <item m="1" x="1347"/>
        <item m="1" x="2347"/>
        <item m="1" x="3366"/>
        <item m="1" x="4389"/>
        <item m="1" x="5384"/>
        <item m="1" x="6378"/>
        <item m="1" x="7382"/>
        <item m="1" x="459"/>
        <item m="1" x="1466"/>
        <item m="1" x="2472"/>
        <item m="1" x="3492"/>
        <item m="1" x="4514"/>
        <item m="1" x="5503"/>
        <item m="1" x="6500"/>
        <item m="1" x="7502"/>
        <item m="1" x="582"/>
        <item m="1" x="1590"/>
        <item m="1" x="2596"/>
        <item m="1" x="3616"/>
        <item m="1" x="4630"/>
        <item m="1" x="5623"/>
        <item m="1" x="6622"/>
        <item m="1" x="7627"/>
        <item m="1" x="702"/>
        <item m="1" x="1714"/>
        <item m="1" x="2718"/>
        <item m="1" x="3741"/>
        <item m="1" x="4748"/>
        <item m="1" x="5743"/>
        <item m="1" x="6746"/>
        <item m="1" x="7747"/>
        <item m="1" x="825"/>
        <item m="1" x="1830"/>
        <item m="1" x="2840"/>
        <item m="1" x="3864"/>
        <item m="1" x="4872"/>
        <item m="1" x="5861"/>
        <item m="1" x="6867"/>
        <item m="1" x="7867"/>
        <item m="1" x="946"/>
        <item m="1" x="1951"/>
        <item m="1" x="2963"/>
        <item m="1" x="3991"/>
        <item m="1" x="4990"/>
        <item m="1" x="5981"/>
        <item m="1" x="6985"/>
        <item m="1" x="7989"/>
        <item m="1" x="1069"/>
        <item m="1" x="2074"/>
        <item m="1" x="3087"/>
        <item m="1" x="4116"/>
        <item m="1" x="5108"/>
        <item m="1" x="6103"/>
        <item m="1" x="7107"/>
        <item m="1" x="186"/>
        <item m="1" x="1192"/>
        <item m="1" x="2196"/>
        <item m="1" x="3208"/>
        <item m="1" x="4234"/>
        <item m="1" x="5227"/>
        <item m="1" x="6224"/>
        <item m="1" x="1007"/>
        <item m="1" x="2006"/>
        <item m="1" x="3021"/>
        <item m="1" x="4052"/>
        <item m="1" x="5050"/>
        <item m="1" x="6037"/>
        <item m="1" x="7041"/>
        <item m="1" x="121"/>
        <item m="1" x="1130"/>
        <item m="1" x="2131"/>
        <item m="1" x="3145"/>
        <item m="1" x="4172"/>
        <item m="1" x="5169"/>
        <item m="1" x="6159"/>
        <item m="1" x="7166"/>
        <item m="1" x="243"/>
        <item m="1" x="1252"/>
        <item m="1" x="2251"/>
        <item m="1" x="3269"/>
        <item m="1" x="4295"/>
        <item m="1" x="5289"/>
        <item m="1" x="6283"/>
        <item m="1" x="7287"/>
        <item m="1" x="368"/>
        <item m="1" x="1371"/>
        <item m="1" x="2373"/>
        <item m="1" x="3392"/>
        <item m="1" x="4419"/>
        <item m="1" x="5407"/>
        <item m="1" x="6404"/>
        <item m="1" x="7405"/>
        <item m="1" x="488"/>
        <item m="1" x="1490"/>
        <item m="1" x="2498"/>
        <item m="1" x="3516"/>
        <item m="1" x="4543"/>
        <item m="1" x="5527"/>
        <item m="1" x="6527"/>
        <item m="1" x="7528"/>
        <item m="1" x="613"/>
        <item m="1" x="1615"/>
        <item m="1" x="2623"/>
        <item m="1" x="3641"/>
        <item m="1" x="4659"/>
        <item m="1" x="5647"/>
        <item m="1" x="6650"/>
        <item m="1" x="7653"/>
        <item m="1" x="733"/>
        <item m="1" x="1738"/>
        <item m="1" x="2744"/>
        <item m="1" x="3766"/>
        <item m="1" x="4779"/>
        <item m="1" x="5767"/>
        <item m="1" x="6773"/>
        <item m="1" x="7772"/>
        <item m="1" x="855"/>
        <item m="1" x="1853"/>
        <item m="1" x="2867"/>
        <item m="1" x="3890"/>
        <item m="1" x="4901"/>
        <item m="1" x="5886"/>
        <item m="1" x="6894"/>
        <item m="1" x="7892"/>
        <item m="1" x="979"/>
        <item m="1" x="1976"/>
        <item m="1" x="2991"/>
        <item m="1" x="4018"/>
        <item m="1" x="5022"/>
        <item m="1" x="6007"/>
        <item m="1" x="7013"/>
        <item m="1" x="88"/>
        <item m="1" x="1102"/>
        <item m="1" x="2101"/>
        <item m="1" x="3116"/>
        <item m="1" x="4140"/>
        <item m="1" x="5139"/>
        <item m="1" x="6129"/>
        <item m="1" x="7134"/>
        <item m="1" x="210"/>
        <item m="1" x="1223"/>
        <item m="1" x="2222"/>
        <item m="1" x="3237"/>
        <item m="1" x="4261"/>
        <item m="1" x="5258"/>
        <item m="1" x="6253"/>
        <item m="1" x="7258"/>
        <item m="1" x="334"/>
        <item m="1" x="1343"/>
        <item m="1" x="2343"/>
        <item m="1" x="3362"/>
        <item m="1" x="4384"/>
        <item m="1" x="5380"/>
        <item m="1" x="6375"/>
        <item m="1" x="7378"/>
        <item m="1" x="455"/>
        <item m="1" x="1462"/>
        <item m="1" x="2467"/>
        <item m="1" x="3487"/>
        <item m="1" x="4510"/>
        <item m="1" x="5498"/>
        <item m="1" x="6496"/>
        <item m="1" x="7497"/>
        <item m="1" x="578"/>
        <item m="1" x="1585"/>
        <item m="1" x="2591"/>
        <item m="1" x="3611"/>
        <item m="1" x="4625"/>
        <item m="1" x="5618"/>
        <item m="1" x="6617"/>
        <item m="1" x="7621"/>
        <item m="1" x="698"/>
        <item m="1" x="1709"/>
        <item m="1" x="2713"/>
        <item m="1" x="3735"/>
        <item m="1" x="4744"/>
        <item m="1" x="5737"/>
        <item m="1" x="6742"/>
        <item m="1" x="7742"/>
        <item m="1" x="821"/>
        <item m="1" x="1824"/>
        <item m="1" x="2835"/>
        <item m="1" x="3859"/>
        <item m="1" x="4866"/>
        <item m="1" x="7554"/>
        <item m="1" x="639"/>
        <item m="1" x="1642"/>
        <item m="1" x="2649"/>
        <item m="1" x="3668"/>
        <item m="1" x="4684"/>
        <item m="1" x="5671"/>
        <item m="1" x="6675"/>
        <item m="1" x="7680"/>
        <item m="1" x="758"/>
        <item m="1" x="1763"/>
        <item m="1" x="2769"/>
        <item m="1" x="3795"/>
        <item m="1" x="4805"/>
        <item m="1" x="5793"/>
        <item m="1" x="6800"/>
        <item m="1" x="7802"/>
        <item m="1" x="882"/>
        <item m="1" x="1881"/>
        <item m="1" x="2894"/>
        <item m="1" x="3923"/>
        <item m="1" x="4927"/>
        <item m="1" x="5913"/>
        <item m="1" x="6920"/>
        <item m="1" x="7923"/>
        <item m="1" x="1004"/>
        <item m="1" x="2003"/>
        <item m="1" x="3016"/>
        <item m="1" x="4049"/>
        <item m="1" x="5045"/>
        <item m="1" x="6033"/>
        <item m="1" x="7036"/>
        <item m="1" x="117"/>
        <item m="1" x="1126"/>
        <item m="1" x="2127"/>
        <item m="1" x="3140"/>
        <item m="1" x="4169"/>
        <item m="1" x="5164"/>
        <item m="1" x="6155"/>
        <item m="1" x="7161"/>
        <item m="1" x="240"/>
        <item m="1" x="1248"/>
        <item m="1" x="2248"/>
        <item m="1" x="3264"/>
        <item m="1" x="4292"/>
        <item m="1" x="5284"/>
        <item m="1" x="6280"/>
        <item m="1" x="7282"/>
        <item m="1" x="364"/>
        <item m="1" x="1367"/>
        <item m="1" x="2370"/>
        <item m="1" x="3387"/>
        <item m="1" x="4415"/>
        <item m="1" x="5403"/>
        <item m="1" x="6401"/>
        <item m="1" x="7401"/>
        <item m="1" x="485"/>
        <item m="1" x="1487"/>
        <item m="1" x="2495"/>
        <item m="1" x="3512"/>
        <item m="1" x="4540"/>
        <item m="1" x="5523"/>
        <item m="1" x="6524"/>
        <item m="1" x="7523"/>
        <item m="1" x="609"/>
        <item m="1" x="1612"/>
        <item m="1" x="2619"/>
        <item m="1" x="3637"/>
        <item m="1" x="4656"/>
        <item m="1" x="5643"/>
        <item m="1" x="6646"/>
        <item m="1" x="7649"/>
        <item m="1" x="729"/>
        <item m="1" x="1735"/>
        <item m="1" x="2740"/>
        <item m="1" x="3762"/>
        <item m="1" x="4775"/>
        <item m="1" x="5763"/>
        <item m="1" x="6769"/>
        <item m="1" x="7768"/>
        <item m="1" x="851"/>
        <item m="1" x="1851"/>
        <item m="1" x="2864"/>
        <item m="1" x="3887"/>
        <item m="1" x="4898"/>
        <item m="1" x="5883"/>
        <item m="1" x="6891"/>
        <item m="1" x="7889"/>
        <item m="1" x="976"/>
        <item m="1" x="1974"/>
        <item m="1" x="2988"/>
        <item m="1" x="4015"/>
        <item m="1" x="5019"/>
        <item m="1" x="6004"/>
        <item m="1" x="7010"/>
        <item m="1" x="83"/>
        <item m="1" x="1098"/>
        <item m="1" x="2098"/>
        <item m="1" x="3111"/>
        <item m="1" x="4137"/>
        <item m="1" x="5134"/>
        <item m="1" x="6125"/>
        <item m="1" x="7130"/>
        <item m="1" x="207"/>
        <item m="1" x="1219"/>
        <item m="1" x="2219"/>
        <item m="1" x="3233"/>
        <item m="1" x="4258"/>
        <item m="1" x="5254"/>
        <item m="1" x="6249"/>
        <item m="1" x="7254"/>
        <item m="1" x="330"/>
        <item m="1" x="1338"/>
        <item m="1" x="2339"/>
        <item m="1" x="3357"/>
        <item m="1" x="4381"/>
        <item m="1" x="5375"/>
        <item m="1" x="6371"/>
        <item m="1" x="7374"/>
        <item m="1" x="452"/>
        <item m="1" x="1457"/>
        <item m="1" x="2463"/>
        <item m="1" x="6183"/>
        <item m="1" x="7189"/>
        <item m="1" x="268"/>
        <item m="1" x="1272"/>
        <item m="1" x="2272"/>
        <item m="1" x="3290"/>
        <item m="1" x="4319"/>
        <item m="1" x="5310"/>
        <item m="1" x="6304"/>
        <item m="1" x="7309"/>
        <item m="1" x="390"/>
        <item m="1" x="1392"/>
        <item m="1" x="2396"/>
        <item m="1" x="3417"/>
        <item m="1" x="4444"/>
        <item m="1" x="5430"/>
        <item m="1" x="6427"/>
        <item m="1" x="7430"/>
        <item m="1" x="512"/>
        <item m="1" x="1515"/>
        <item m="1" x="2523"/>
        <item m="1" x="3542"/>
        <item m="1" x="4566"/>
        <item m="1" x="5548"/>
        <item m="1" x="6548"/>
        <item m="1" x="7552"/>
        <item m="1" x="634"/>
        <item m="1" x="1638"/>
        <item m="1" x="2644"/>
        <item m="1" x="3665"/>
        <item m="1" x="4680"/>
        <item m="1" x="5668"/>
        <item m="1" x="6670"/>
        <item m="1" x="7677"/>
        <item m="1" x="753"/>
        <item m="1" x="1759"/>
        <item m="1" x="2764"/>
        <item m="1" x="3791"/>
        <item m="1" x="4801"/>
        <item m="1" x="5790"/>
        <item m="1" x="6795"/>
        <item m="1" x="7799"/>
        <item m="1" x="877"/>
        <item m="1" x="1878"/>
        <item m="1" x="2889"/>
        <item m="1" x="3920"/>
        <item m="1" x="4923"/>
        <item m="1" x="5910"/>
        <item m="1" x="6915"/>
        <item m="1" x="7920"/>
        <item m="1" x="999"/>
        <item m="1" x="2000"/>
        <item m="1" x="3011"/>
        <item m="1" x="4044"/>
        <item m="1" x="5042"/>
        <item m="1" x="6029"/>
        <item m="1" x="7032"/>
        <item m="1" x="113"/>
        <item m="1" x="1122"/>
        <item m="1" x="2124"/>
        <item m="1" x="3136"/>
        <item m="1" x="4166"/>
        <item m="1" x="5161"/>
        <item m="1" x="6152"/>
        <item m="1" x="7157"/>
        <item m="1" x="237"/>
        <item m="1" x="1244"/>
        <item m="1" x="2245"/>
        <item m="1" x="3259"/>
        <item m="1" x="4287"/>
        <item m="1" x="5281"/>
        <item m="1" x="6276"/>
        <item m="1" x="7278"/>
        <item m="1" x="360"/>
        <item m="1" x="1363"/>
        <item m="1" x="2366"/>
        <item m="1" x="3383"/>
        <item m="1" x="4411"/>
        <item m="1" x="5401"/>
        <item m="1" x="6398"/>
        <item m="1" x="7398"/>
        <item m="1" x="482"/>
        <item m="1" x="1484"/>
        <item m="1" x="2492"/>
        <item m="1" x="3508"/>
        <item m="1" x="4536"/>
        <item m="1" x="5521"/>
        <item m="1" x="6520"/>
        <item m="1" x="7520"/>
        <item m="1" x="606"/>
        <item m="1" x="1609"/>
        <item m="1" x="2616"/>
        <item m="1" x="3634"/>
        <item m="1" x="4653"/>
        <item m="1" x="5641"/>
        <item m="1" x="6642"/>
        <item m="1" x="7646"/>
        <item m="1" x="725"/>
        <item m="1" x="1731"/>
        <item m="1" x="2736"/>
        <item m="1" x="3758"/>
        <item m="1" x="4771"/>
        <item m="1" x="5760"/>
        <item m="1" x="6765"/>
        <item m="1" x="7765"/>
        <item m="1" x="847"/>
        <item m="1" x="1847"/>
        <item m="1" x="2860"/>
        <item m="1" x="3884"/>
        <item m="1" x="4894"/>
        <item m="1" x="5880"/>
        <item m="1" x="6887"/>
        <item m="1" x="7886"/>
        <item m="1" x="971"/>
        <item m="1" x="1970"/>
        <item m="1" x="2984"/>
        <item m="1" x="4011"/>
        <item m="1" x="5014"/>
        <item m="1" x="6000"/>
        <item m="1" x="7005"/>
        <item m="1" x="80"/>
        <item m="1" x="1091"/>
        <item m="1" x="3820"/>
        <item m="1" x="4827"/>
        <item m="1" x="5815"/>
        <item m="1" x="6823"/>
        <item m="1" x="7827"/>
        <item m="1" x="903"/>
        <item m="1" x="1902"/>
        <item m="1" x="2917"/>
        <item m="1" x="3948"/>
        <item m="1" x="4948"/>
        <item m="1" x="5935"/>
        <item m="1" x="6941"/>
        <item m="1" x="7948"/>
        <item m="1" x="1026"/>
        <item m="1" x="2026"/>
        <item m="1" x="3040"/>
        <item m="1" x="4074"/>
        <item m="1" x="5067"/>
        <item m="1" x="6057"/>
        <item m="1" x="7062"/>
        <item m="1" x="143"/>
        <item m="1" x="1150"/>
        <item m="1" x="2150"/>
        <item m="1" x="3165"/>
        <item m="1" x="4193"/>
        <item m="1" x="5186"/>
        <item m="1" x="6178"/>
        <item m="1" x="7185"/>
        <item m="1" x="264"/>
        <item m="1" x="1269"/>
        <item m="1" x="2267"/>
        <item m="1" x="3287"/>
        <item m="1" x="4314"/>
        <item m="1" x="5306"/>
        <item m="1" x="6299"/>
        <item m="1" x="7306"/>
        <item m="1" x="386"/>
        <item m="1" x="1389"/>
        <item m="1" x="2391"/>
        <item m="1" x="3414"/>
        <item m="1" x="4439"/>
        <item m="1" x="5426"/>
        <item m="1" x="6422"/>
        <item m="1" x="7426"/>
        <item m="1" x="508"/>
        <item m="1" x="1511"/>
        <item m="1" x="2518"/>
        <item m="1" x="3539"/>
        <item m="1" x="4561"/>
        <item m="1" x="5545"/>
        <item m="1" x="6543"/>
        <item m="1" x="7549"/>
        <item m="1" x="630"/>
        <item m="1" x="1634"/>
        <item m="1" x="2639"/>
        <item m="1" x="3662"/>
        <item m="1" x="4676"/>
        <item m="1" x="5665"/>
        <item m="1" x="6666"/>
        <item m="1" x="7673"/>
        <item m="1" x="750"/>
        <item m="1" x="1756"/>
        <item m="1" x="2760"/>
        <item m="1" x="3788"/>
        <item m="1" x="4797"/>
        <item m="1" x="5787"/>
        <item m="1" x="6791"/>
        <item m="1" x="7796"/>
        <item m="1" x="874"/>
        <item m="1" x="1874"/>
        <item m="1" x="2885"/>
        <item m="1" x="3916"/>
        <item m="1" x="4919"/>
        <item m="1" x="5906"/>
        <item m="1" x="6910"/>
        <item m="1" x="7915"/>
        <item m="1" x="996"/>
        <item m="1" x="1995"/>
        <item m="1" x="3007"/>
        <item m="1" x="4040"/>
        <item m="1" x="5039"/>
        <item m="1" x="6026"/>
        <item m="1" x="7029"/>
        <item m="1" x="110"/>
        <item m="1" x="1120"/>
        <item m="1" x="2121"/>
        <item m="1" x="3133"/>
        <item m="1" x="4163"/>
        <item m="1" x="5158"/>
        <item m="1" x="6149"/>
        <item m="1" x="7153"/>
        <item m="1" x="234"/>
        <item m="1" x="1242"/>
        <item m="1" x="2242"/>
        <item m="1" x="3256"/>
        <item m="1" x="4284"/>
        <item m="1" x="5277"/>
        <item m="1" x="6272"/>
        <item m="1" x="7275"/>
        <item m="1" x="356"/>
        <item m="1" x="1360"/>
        <item m="1" x="2362"/>
        <item m="1" x="3380"/>
        <item m="1" x="4407"/>
        <item m="1" x="5397"/>
        <item m="1" x="6394"/>
        <item m="1" x="7394"/>
        <item m="1" x="478"/>
        <item m="1" x="1480"/>
        <item m="1" x="2487"/>
        <item m="1" x="3505"/>
        <item m="1" x="4532"/>
        <item m="1" x="5517"/>
        <item m="1" x="6516"/>
        <item m="1" x="7516"/>
        <item m="1" x="601"/>
        <item m="1" x="1606"/>
        <item m="1" x="2612"/>
        <item m="1" x="3631"/>
        <item m="1" x="4648"/>
        <item m="1" x="5637"/>
        <item m="1" x="6638"/>
        <item m="1" x="7641"/>
        <item m="1" x="2419"/>
        <item m="1" x="3444"/>
        <item m="1" x="4467"/>
        <item m="1" x="5451"/>
        <item m="1" x="6450"/>
        <item m="1" x="7454"/>
        <item m="1" x="534"/>
        <item m="1" x="1536"/>
        <item m="1" x="2546"/>
        <item m="1" x="3567"/>
        <item m="1" x="4587"/>
        <item m="1" x="5570"/>
        <item m="1" x="6573"/>
        <item m="1" x="7577"/>
        <item m="1" x="657"/>
        <item m="1" x="1662"/>
        <item m="1" x="2670"/>
        <item m="1" x="3691"/>
        <item m="1" x="4704"/>
        <item m="1" x="5691"/>
        <item m="1" x="6698"/>
        <item m="1" x="7701"/>
        <item m="1" x="778"/>
        <item m="1" x="1781"/>
        <item m="1" x="2791"/>
        <item m="1" x="3815"/>
        <item m="1" x="4824"/>
        <item m="1" x="5810"/>
        <item m="1" x="6820"/>
        <item m="1" x="7821"/>
        <item m="1" x="899"/>
        <item m="1" x="1897"/>
        <item m="1" x="2913"/>
        <item m="1" x="3942"/>
        <item m="1" x="4944"/>
        <item m="1" x="5930"/>
        <item m="1" x="6938"/>
        <item m="1" x="7942"/>
        <item m="1" x="1022"/>
        <item m="1" x="2021"/>
        <item m="1" x="3037"/>
        <item m="1" x="4068"/>
        <item m="1" x="5064"/>
        <item m="1" x="6052"/>
        <item m="1" x="7059"/>
        <item m="1" x="137"/>
        <item m="1" x="1147"/>
        <item m="1" x="2145"/>
        <item m="1" x="3161"/>
        <item m="1" x="4187"/>
        <item m="1" x="5183"/>
        <item m="1" x="6173"/>
        <item m="1" x="7182"/>
        <item m="1" x="258"/>
        <item m="1" x="1266"/>
        <item m="1" x="2263"/>
        <item m="1" x="3284"/>
        <item m="1" x="4309"/>
        <item m="1" x="5303"/>
        <item m="1" x="6295"/>
        <item m="1" x="7303"/>
        <item m="1" x="381"/>
        <item m="1" x="1386"/>
        <item m="1" x="2386"/>
        <item m="1" x="3410"/>
        <item m="1" x="4434"/>
        <item m="1" x="5422"/>
        <item m="1" x="6418"/>
        <item m="1" x="7423"/>
        <item m="1" x="503"/>
        <item m="1" x="1507"/>
        <item m="1" x="2513"/>
        <item m="1" x="3535"/>
        <item m="1" x="4556"/>
        <item m="1" x="5541"/>
        <item m="1" x="6539"/>
        <item m="1" x="7545"/>
        <item m="1" x="625"/>
        <item m="1" x="1630"/>
        <item m="1" x="2635"/>
        <item m="1" x="3658"/>
        <item m="1" x="4672"/>
        <item m="1" x="5662"/>
        <item m="1" x="6663"/>
        <item m="1" x="7670"/>
        <item m="1" x="746"/>
        <item m="1" x="1753"/>
        <item m="1" x="2756"/>
        <item m="1" x="3785"/>
        <item m="1" x="4793"/>
        <item m="1" x="5784"/>
        <item m="1" x="6788"/>
        <item m="1" x="7793"/>
        <item m="1" x="870"/>
        <item m="1" x="1871"/>
        <item m="1" x="2881"/>
        <item m="1" x="3912"/>
        <item m="1" x="4915"/>
        <item m="1" x="5901"/>
        <item m="1" x="6907"/>
        <item m="1" x="7910"/>
        <item m="1" x="992"/>
        <item m="1" x="1991"/>
        <item m="1" x="3003"/>
        <item m="1" x="4036"/>
        <item m="1" x="5035"/>
        <item m="1" x="6022"/>
        <item m="1" x="7026"/>
        <item m="1" x="106"/>
        <item m="1" x="1116"/>
        <item m="1" x="2117"/>
        <item m="1" x="3129"/>
        <item m="1" x="4159"/>
        <item m="1" x="5153"/>
        <item m="1" x="6145"/>
        <item m="1" x="7150"/>
        <item m="1" x="229"/>
        <item m="1" x="1238"/>
        <item m="1" x="2238"/>
        <item m="1" x="3252"/>
        <item m="1" x="4279"/>
        <item m="1" x="5273"/>
        <item m="1" x="1049"/>
        <item m="1" x="2052"/>
        <item m="1" x="3067"/>
        <item m="1" x="4096"/>
        <item m="1" x="5088"/>
        <item m="1" x="6079"/>
        <item m="1" x="7087"/>
        <item m="1" x="165"/>
        <item m="1" x="1171"/>
        <item m="1" x="2173"/>
        <item m="1" x="3189"/>
        <item m="1" x="4216"/>
        <item m="1" x="5208"/>
        <item m="1" x="6204"/>
        <item m="1" x="7211"/>
        <item m="1" x="288"/>
        <item m="1" x="1292"/>
        <item m="1" x="2293"/>
        <item m="1" x="3314"/>
        <item m="1" x="4339"/>
        <item m="1" x="5330"/>
        <item m="1" x="6325"/>
        <item m="1" x="7331"/>
        <item m="1" x="408"/>
        <item m="1" x="1410"/>
        <item m="1" x="2416"/>
        <item m="1" x="3437"/>
        <item m="1" x="4462"/>
        <item m="1" x="5446"/>
        <item m="1" x="6446"/>
        <item m="1" x="7448"/>
        <item m="1" x="530"/>
        <item m="1" x="1531"/>
        <item m="1" x="2542"/>
        <item m="1" x="3561"/>
        <item m="1" x="4582"/>
        <item m="1" x="5565"/>
        <item m="1" x="6568"/>
        <item m="1" x="7571"/>
        <item m="1" x="653"/>
        <item m="1" x="1657"/>
        <item m="1" x="2666"/>
        <item m="1" x="3685"/>
        <item m="1" x="4700"/>
        <item m="1" x="5686"/>
        <item m="1" x="6694"/>
        <item m="1" x="7695"/>
        <item m="1" x="774"/>
        <item m="1" x="1776"/>
        <item m="1" x="2787"/>
        <item m="1" x="3809"/>
        <item m="1" x="4820"/>
        <item m="1" x="5806"/>
        <item m="1" x="6816"/>
        <item m="1" x="7816"/>
        <item m="1" x="895"/>
        <item m="1" x="1893"/>
        <item m="1" x="2909"/>
        <item m="1" x="3937"/>
        <item m="1" x="4941"/>
        <item m="1" x="5925"/>
        <item m="1" x="6935"/>
        <item m="1" x="7937"/>
        <item m="1" x="1019"/>
        <item m="1" x="2017"/>
        <item m="1" x="3034"/>
        <item m="1" x="4063"/>
        <item m="1" x="5061"/>
        <item m="1" x="6047"/>
        <item m="1" x="7054"/>
        <item m="1" x="132"/>
        <item m="1" x="1143"/>
        <item m="1" x="2141"/>
        <item m="1" x="3157"/>
        <item m="1" x="4182"/>
        <item m="1" x="5179"/>
        <item m="1" x="6168"/>
        <item m="1" x="7178"/>
        <item m="1" x="253"/>
        <item m="1" x="1263"/>
        <item m="1" x="2260"/>
        <item m="1" x="3281"/>
        <item m="1" x="4305"/>
        <item m="1" x="5300"/>
        <item m="1" x="6291"/>
        <item m="1" x="7299"/>
        <item m="1" x="377"/>
        <item m="1" x="1382"/>
        <item m="1" x="2383"/>
        <item m="1" x="3407"/>
        <item m="1" x="4430"/>
        <item m="1" x="5419"/>
        <item m="1" x="6414"/>
        <item m="1" x="7420"/>
        <item m="1" x="499"/>
        <item m="1" x="1503"/>
        <item m="1" x="2510"/>
        <item m="1" x="3531"/>
        <item m="1" x="4552"/>
        <item m="1" x="5537"/>
        <item m="1" x="6535"/>
        <item m="1" x="7541"/>
        <item m="1" x="621"/>
        <item m="1" x="1626"/>
        <item m="1" x="2632"/>
        <item m="1" x="3654"/>
        <item m="1" x="4668"/>
        <item m="1" x="5658"/>
        <item m="1" x="6659"/>
        <item m="1" x="7666"/>
        <item m="1" x="742"/>
        <item m="1" x="1749"/>
        <item m="1" x="2753"/>
        <item m="1" x="3780"/>
        <item m="1" x="4789"/>
        <item m="1" x="5780"/>
        <item m="1" x="6784"/>
        <item m="1" x="7788"/>
        <item m="1" x="865"/>
        <item m="1" x="1866"/>
        <item m="1" x="2878"/>
        <item m="1" x="3905"/>
        <item m="1" x="7602"/>
        <item m="1" x="681"/>
        <item m="1" x="1688"/>
        <item m="1" x="2695"/>
        <item m="1" x="3716"/>
        <item m="1" x="4725"/>
        <item m="1" x="5715"/>
        <item m="1" x="6723"/>
        <item m="1" x="7724"/>
        <item m="1" x="801"/>
        <item m="1" x="1803"/>
        <item m="1" x="2817"/>
        <item m="1" x="3840"/>
        <item m="1" x="4847"/>
        <item m="1" x="5835"/>
        <item m="1" x="6845"/>
        <item m="1" x="7845"/>
        <item m="1" x="923"/>
        <item m="1" x="1924"/>
        <item m="1" x="2939"/>
        <item m="1" x="3969"/>
        <item m="1" x="4967"/>
        <item m="1" x="5956"/>
        <item m="1" x="6962"/>
        <item m="1" x="7966"/>
        <item m="1" x="1045"/>
        <item m="1" x="2047"/>
        <item m="1" x="3061"/>
        <item m="1" x="4092"/>
        <item m="1" x="5083"/>
        <item m="1" x="6075"/>
        <item m="1" x="7081"/>
        <item m="1" x="160"/>
        <item m="1" x="1166"/>
        <item m="1" x="2169"/>
        <item m="1" x="3183"/>
        <item m="1" x="4212"/>
        <item m="1" x="5203"/>
        <item m="1" x="6200"/>
        <item m="1" x="7205"/>
        <item m="1" x="283"/>
        <item m="1" x="1287"/>
        <item m="1" x="2288"/>
        <item m="1" x="3308"/>
        <item m="1" x="4334"/>
        <item m="1" x="5325"/>
        <item m="1" x="6321"/>
        <item m="1" x="7324"/>
        <item m="1" x="404"/>
        <item m="1" x="1405"/>
        <item m="1" x="2412"/>
        <item m="1" x="3431"/>
        <item m="1" x="4458"/>
        <item m="1" x="5442"/>
        <item m="1" x="6443"/>
        <item m="1" x="7443"/>
        <item m="1" x="527"/>
        <item m="1" x="1527"/>
        <item m="1" x="2538"/>
        <item m="1" x="3556"/>
        <item m="1" x="4579"/>
        <item m="1" x="5561"/>
        <item m="1" x="6565"/>
        <item m="1" x="7566"/>
        <item m="1" x="650"/>
        <item m="1" x="1652"/>
        <item m="1" x="2663"/>
        <item m="1" x="3680"/>
        <item m="1" x="4696"/>
        <item m="1" x="5682"/>
        <item m="1" x="6690"/>
        <item m="1" x="7690"/>
        <item m="1" x="770"/>
        <item m="1" x="1771"/>
        <item m="1" x="2782"/>
        <item m="1" x="3804"/>
        <item m="1" x="4815"/>
        <item m="1" x="5802"/>
        <item m="1" x="6812"/>
        <item m="1" x="7812"/>
        <item m="1" x="892"/>
        <item m="1" x="1889"/>
        <item m="1" x="2906"/>
        <item m="1" x="3933"/>
        <item m="1" x="4938"/>
        <item m="1" x="5922"/>
        <item m="1" x="6932"/>
        <item m="1" x="7933"/>
        <item m="1" x="1015"/>
        <item m="1" x="2013"/>
        <item m="1" x="3031"/>
        <item m="1" x="4059"/>
        <item m="1" x="5058"/>
        <item m="1" x="6044"/>
        <item m="1" x="7051"/>
        <item m="1" x="128"/>
        <item m="1" x="1139"/>
        <item m="1" x="2137"/>
        <item m="1" x="3153"/>
        <item m="1" x="4178"/>
        <item m="1" x="5175"/>
        <item m="1" x="6165"/>
        <item m="1" x="7174"/>
        <item m="1" x="249"/>
        <item m="1" x="1259"/>
        <item m="1" x="2256"/>
        <item m="1" x="3277"/>
        <item m="1" x="4300"/>
        <item m="1" x="5295"/>
        <item m="1" x="6288"/>
        <item m="1" x="7295"/>
        <item m="1" x="373"/>
        <item m="1" x="1378"/>
        <item m="1" x="2379"/>
        <item m="1" x="3402"/>
        <item m="1" x="4426"/>
        <item m="1" x="5415"/>
        <item m="1" x="6411"/>
        <item m="1" x="7415"/>
        <item m="1" x="495"/>
        <item m="1" x="1499"/>
        <item m="1" x="2505"/>
        <item m="1" x="5232"/>
        <item m="1" x="6233"/>
        <item m="1" x="7235"/>
        <item m="1" x="312"/>
        <item m="1" x="1316"/>
        <item m="1" x="2320"/>
        <item m="1" x="3338"/>
        <item m="1" x="4362"/>
        <item m="1" x="5354"/>
        <item m="1" x="6352"/>
        <item m="1" x="7356"/>
        <item m="1" x="433"/>
        <item m="1" x="1437"/>
        <item m="1" x="2444"/>
        <item m="1" x="3464"/>
        <item m="1" x="4488"/>
        <item m="1" x="5473"/>
        <item m="1" x="6474"/>
        <item m="1" x="7476"/>
        <item m="1" x="555"/>
        <item m="1" x="1560"/>
        <item m="1" x="2570"/>
        <item m="1" x="3589"/>
        <item m="1" x="4606"/>
        <item m="1" x="5593"/>
        <item m="1" x="6594"/>
        <item m="1" x="7598"/>
        <item m="1" x="676"/>
        <item m="1" x="1684"/>
        <item m="1" x="2689"/>
        <item m="1" x="3711"/>
        <item m="1" x="4720"/>
        <item m="1" x="5710"/>
        <item m="1" x="6717"/>
        <item m="1" x="7719"/>
        <item m="1" x="795"/>
        <item m="1" x="1799"/>
        <item m="1" x="2811"/>
        <item m="1" x="3835"/>
        <item m="1" x="4842"/>
        <item m="1" x="5831"/>
        <item m="1" x="6839"/>
        <item m="1" x="7841"/>
        <item m="1" x="918"/>
        <item m="1" x="1920"/>
        <item m="1" x="2933"/>
        <item m="1" x="3965"/>
        <item m="1" x="4962"/>
        <item m="1" x="5951"/>
        <item m="1" x="6956"/>
        <item m="1" x="7962"/>
        <item m="1" x="1040"/>
        <item m="1" x="2043"/>
        <item m="1" x="3055"/>
        <item m="1" x="4088"/>
        <item m="1" x="5079"/>
        <item m="1" x="6072"/>
        <item m="1" x="7076"/>
        <item m="1" x="157"/>
        <item m="1" x="1162"/>
        <item m="1" x="2166"/>
        <item m="1" x="3178"/>
        <item m="1" x="4209"/>
        <item m="1" x="5198"/>
        <item m="1" x="6196"/>
        <item m="1" x="7200"/>
        <item m="1" x="279"/>
        <item m="1" x="1283"/>
        <item m="1" x="2285"/>
        <item m="1" x="3302"/>
        <item m="1" x="4330"/>
        <item m="1" x="5320"/>
        <item m="1" x="6317"/>
        <item m="1" x="7319"/>
        <item m="1" x="400"/>
        <item m="1" x="1401"/>
        <item m="1" x="2408"/>
        <item m="1" x="3426"/>
        <item m="1" x="4454"/>
        <item m="1" x="5438"/>
        <item m="1" x="6439"/>
        <item m="1" x="7439"/>
        <item m="1" x="524"/>
        <item m="1" x="1524"/>
        <item m="1" x="2535"/>
        <item m="1" x="3552"/>
        <item m="1" x="4576"/>
        <item m="1" x="5557"/>
        <item m="1" x="6562"/>
        <item m="1" x="7562"/>
        <item m="1" x="647"/>
        <item m="1" x="1649"/>
        <item m="1" x="2660"/>
        <item m="1" x="3676"/>
        <item m="1" x="4693"/>
        <item m="1" x="5678"/>
        <item m="1" x="6686"/>
        <item m="1" x="7686"/>
        <item m="1" x="765"/>
        <item m="1" x="1768"/>
        <item m="1" x="2777"/>
        <item m="1" x="3800"/>
        <item m="1" x="4811"/>
        <item m="1" x="5798"/>
        <item m="1" x="6808"/>
        <item m="1" x="7808"/>
        <item m="1" x="888"/>
        <item m="1" x="1886"/>
        <item m="1" x="2902"/>
        <item m="1" x="3929"/>
        <item m="1" x="4934"/>
        <item m="1" x="5918"/>
        <item m="1" x="6928"/>
        <item m="1" x="7928"/>
        <item m="1" x="1011"/>
        <item m="1" x="2010"/>
        <item m="1" x="3026"/>
        <item m="1" x="4055"/>
        <item m="1" x="5054"/>
        <item m="1" x="6040"/>
        <item m="1" x="7046"/>
        <item m="1" x="124"/>
        <item m="1" x="1134"/>
        <item m="1" x="3865"/>
        <item m="1" x="4873"/>
        <item m="1" x="5862"/>
        <item m="1" x="6868"/>
        <item m="1" x="7868"/>
        <item m="1" x="947"/>
        <item m="1" x="1952"/>
        <item m="1" x="2964"/>
        <item m="1" x="3992"/>
        <item m="1" x="4991"/>
        <item m="1" x="5982"/>
        <item m="1" x="6986"/>
        <item m="1" x="7990"/>
        <item m="1" x="1070"/>
        <item m="1" x="2075"/>
        <item m="1" x="3088"/>
        <item m="1" x="4117"/>
        <item m="1" x="5109"/>
        <item m="1" x="6104"/>
        <item m="1" x="7108"/>
        <item m="1" x="187"/>
        <item m="1" x="1193"/>
        <item m="1" x="2197"/>
        <item m="1" x="3209"/>
        <item m="1" x="4235"/>
        <item m="1" x="5228"/>
        <item m="1" x="6225"/>
        <item m="1" x="7229"/>
        <item m="1" x="306"/>
        <item m="1" x="1311"/>
        <item m="1" x="2313"/>
        <item m="1" x="3333"/>
        <item m="1" x="4356"/>
        <item m="1" x="5349"/>
        <item m="1" x="6345"/>
        <item m="1" x="7350"/>
        <item m="1" x="427"/>
        <item m="1" x="1431"/>
        <item m="1" x="2437"/>
        <item m="1" x="3459"/>
        <item m="1" x="4482"/>
        <item m="1" x="5468"/>
        <item m="1" x="6467"/>
        <item m="1" x="7470"/>
        <item m="1" x="549"/>
        <item m="1" x="1555"/>
        <item m="1" x="2563"/>
        <item m="1" x="3584"/>
        <item m="1" x="4600"/>
        <item m="1" x="5588"/>
        <item m="1" x="6587"/>
        <item m="1" x="7593"/>
        <item m="1" x="670"/>
        <item m="1" x="1679"/>
        <item m="1" x="2684"/>
        <item m="1" x="3707"/>
        <item m="1" x="4716"/>
        <item m="1" x="5706"/>
        <item m="1" x="6712"/>
        <item m="1" x="7716"/>
        <item m="1" x="790"/>
        <item m="1" x="1796"/>
        <item m="1" x="2806"/>
        <item m="1" x="3832"/>
        <item m="1" x="4838"/>
        <item m="1" x="5828"/>
        <item m="1" x="6834"/>
        <item m="1" x="7838"/>
        <item m="1" x="913"/>
        <item m="1" x="1915"/>
        <item m="1" x="2928"/>
        <item m="1" x="3961"/>
        <item m="1" x="4958"/>
        <item m="1" x="5947"/>
        <item m="1" x="6951"/>
        <item m="1" x="7958"/>
        <item m="1" x="1035"/>
        <item m="1" x="2039"/>
        <item m="1" x="3050"/>
        <item m="1" x="4085"/>
        <item m="1" x="5076"/>
        <item m="1" x="6069"/>
        <item m="1" x="7072"/>
        <item m="1" x="154"/>
        <item m="1" x="1158"/>
        <item m="1" x="2162"/>
        <item m="1" x="3174"/>
        <item m="1" x="4204"/>
        <item m="1" x="5195"/>
        <item m="1" x="6193"/>
        <item m="1" x="7196"/>
        <item m="1" x="276"/>
        <item m="1" x="1279"/>
        <item m="1" x="2282"/>
        <item m="1" x="3298"/>
        <item m="1" x="4327"/>
        <item m="1" x="5317"/>
        <item m="1" x="6313"/>
        <item m="1" x="7315"/>
        <item m="1" x="396"/>
        <item m="1" x="1397"/>
        <item m="1" x="2404"/>
        <item m="1" x="3422"/>
        <item m="1" x="4450"/>
        <item m="1" x="5435"/>
        <item m="1" x="6435"/>
        <item m="1" x="7435"/>
        <item m="1" x="520"/>
        <item m="1" x="1520"/>
        <item m="1" x="2531"/>
        <item m="1" x="3548"/>
        <item m="1" x="4572"/>
        <item m="1" x="5554"/>
        <item m="1" x="6557"/>
        <item m="1" x="7558"/>
        <item m="1" x="643"/>
        <item m="1" x="1645"/>
        <item m="1" x="2655"/>
        <item m="1" x="3671"/>
        <item m="1" x="4688"/>
        <item m="1" x="5675"/>
        <item m="1" x="6680"/>
        <item m="1" x="2468"/>
        <item m="1" x="3488"/>
        <item m="1" x="4511"/>
        <item m="1" x="5499"/>
        <item m="1" x="6497"/>
        <item m="1" x="7498"/>
        <item m="1" x="579"/>
        <item m="1" x="1586"/>
        <item m="1" x="2592"/>
        <item m="1" x="3612"/>
        <item m="1" x="4626"/>
        <item m="1" x="5619"/>
        <item m="1" x="6618"/>
        <item m="1" x="7622"/>
        <item m="1" x="699"/>
        <item m="1" x="1710"/>
        <item m="1" x="2714"/>
        <item m="1" x="3736"/>
        <item m="1" x="4745"/>
        <item m="1" x="5738"/>
        <item m="1" x="6743"/>
        <item m="1" x="7743"/>
        <item m="1" x="822"/>
        <item m="1" x="1825"/>
        <item m="1" x="2836"/>
        <item m="1" x="3860"/>
        <item m="1" x="4867"/>
        <item m="1" x="5855"/>
        <item m="1" x="6863"/>
        <item m="1" x="7862"/>
        <item m="1" x="942"/>
        <item m="1" x="1945"/>
        <item m="1" x="2958"/>
        <item m="1" x="3986"/>
        <item m="1" x="4986"/>
        <item m="1" x="5975"/>
        <item m="1" x="6981"/>
        <item m="1" x="7984"/>
        <item m="1" x="1065"/>
        <item m="1" x="2068"/>
        <item m="1" x="3082"/>
        <item m="1" x="4111"/>
        <item m="1" x="5103"/>
        <item m="1" x="6097"/>
        <item m="1" x="7102"/>
        <item m="1" x="181"/>
        <item m="1" x="1188"/>
        <item m="1" x="2189"/>
        <item m="1" x="3204"/>
        <item m="1" x="4229"/>
        <item m="1" x="5223"/>
        <item m="1" x="6218"/>
        <item m="1" x="7225"/>
        <item m="1" x="301"/>
        <item m="1" x="1308"/>
        <item m="1" x="2308"/>
        <item m="1" x="3330"/>
        <item m="1" x="4352"/>
        <item m="1" x="5345"/>
        <item m="1" x="6340"/>
        <item m="1" x="7347"/>
        <item m="1" x="423"/>
        <item m="1" x="1428"/>
        <item m="1" x="2432"/>
        <item m="1" x="3456"/>
        <item m="1" x="4477"/>
        <item m="1" x="5465"/>
        <item m="1" x="6462"/>
        <item m="1" x="7467"/>
        <item m="1" x="545"/>
        <item m="1" x="1551"/>
        <item m="1" x="2558"/>
        <item m="1" x="3580"/>
        <item m="1" x="4595"/>
        <item m="1" x="5583"/>
        <item m="1" x="6582"/>
        <item m="1" x="7588"/>
        <item m="1" x="666"/>
        <item m="1" x="1674"/>
        <item m="1" x="2680"/>
        <item m="1" x="3704"/>
        <item m="1" x="4712"/>
        <item m="1" x="5703"/>
        <item m="1" x="6708"/>
        <item m="1" x="7713"/>
        <item m="1" x="787"/>
        <item m="1" x="1793"/>
        <item m="1" x="2801"/>
        <item m="1" x="3828"/>
        <item m="1" x="4834"/>
        <item m="1" x="5825"/>
        <item m="1" x="6830"/>
        <item m="1" x="7835"/>
        <item m="1" x="910"/>
        <item m="1" x="1912"/>
        <item m="1" x="2924"/>
        <item m="1" x="3957"/>
        <item m="1" x="4954"/>
        <item m="1" x="5943"/>
        <item m="1" x="6947"/>
        <item m="1" x="7954"/>
        <item m="1" x="1032"/>
        <item m="1" x="2035"/>
        <item m="1" x="3046"/>
        <item m="1" x="4081"/>
        <item m="1" x="5072"/>
        <item m="1" x="6065"/>
        <item m="1" x="7067"/>
        <item m="1" x="149"/>
        <item m="1" x="1155"/>
        <item m="1" x="2158"/>
        <item m="1" x="3170"/>
        <item m="1" x="4200"/>
        <item m="1" x="5191"/>
        <item m="1" x="6188"/>
        <item m="1" x="7192"/>
        <item m="1" x="272"/>
        <item m="1" x="1276"/>
        <item m="1" x="2277"/>
        <item m="1" x="3294"/>
        <item m="1" x="4323"/>
        <item m="1" x="5313"/>
        <item m="1" x="84"/>
        <item m="1" x="1099"/>
        <item m="1" x="2099"/>
        <item m="1" x="3112"/>
        <item m="1" x="4138"/>
        <item m="1" x="5135"/>
        <item m="1" x="6126"/>
        <item m="1" x="7131"/>
        <item m="1" x="208"/>
        <item m="1" x="1220"/>
        <item m="1" x="2220"/>
        <item m="1" x="3234"/>
        <item m="1" x="4259"/>
        <item m="1" x="5255"/>
        <item m="1" x="6250"/>
        <item m="1" x="7255"/>
        <item m="1" x="331"/>
        <item m="1" x="1339"/>
        <item m="1" x="2340"/>
        <item m="1" x="3358"/>
        <item m="1" x="4382"/>
        <item m="1" x="5376"/>
        <item m="1" x="6372"/>
        <item m="1" x="7375"/>
        <item m="1" x="453"/>
        <item m="1" x="1458"/>
        <item m="1" x="2464"/>
        <item m="1" x="3483"/>
        <item m="1" x="4507"/>
        <item m="1" x="5493"/>
        <item m="1" x="6492"/>
        <item m="1" x="7493"/>
        <item m="1" x="574"/>
        <item m="1" x="1580"/>
        <item m="1" x="2587"/>
        <item m="1" x="3606"/>
        <item m="1" x="4622"/>
        <item m="1" x="5613"/>
        <item m="1" x="6613"/>
        <item m="1" x="7617"/>
        <item m="1" x="695"/>
        <item m="1" x="1704"/>
        <item m="1" x="2710"/>
        <item m="1" x="3731"/>
        <item m="1" x="4741"/>
        <item m="1" x="5732"/>
        <item m="1" x="6739"/>
        <item m="1" x="7738"/>
        <item m="1" x="817"/>
        <item m="1" x="1819"/>
        <item m="1" x="2832"/>
        <item m="1" x="3855"/>
        <item m="1" x="4863"/>
        <item m="1" x="5851"/>
        <item m="1" x="6861"/>
        <item m="1" x="7859"/>
        <item m="1" x="940"/>
        <item m="1" x="1941"/>
        <item m="1" x="2956"/>
        <item m="1" x="3983"/>
        <item m="1" x="4984"/>
        <item m="1" x="5971"/>
        <item m="1" x="6979"/>
        <item m="1" x="7980"/>
        <item m="1" x="1062"/>
        <item m="1" x="2064"/>
        <item m="1" x="3079"/>
        <item m="1" x="4108"/>
        <item m="1" x="5101"/>
        <item m="1" x="6092"/>
        <item m="1" x="7099"/>
        <item m="1" x="177"/>
        <item m="1" x="1185"/>
        <item m="1" x="2185"/>
        <item m="1" x="3201"/>
        <item m="1" x="4226"/>
        <item m="1" x="5220"/>
        <item m="1" x="6214"/>
        <item m="1" x="7222"/>
        <item m="1" x="297"/>
        <item m="1" x="1304"/>
        <item m="1" x="2304"/>
        <item m="1" x="3327"/>
        <item m="1" x="4349"/>
        <item m="1" x="5342"/>
        <item m="1" x="6336"/>
        <item m="1" x="7344"/>
        <item m="1" x="418"/>
        <item m="1" x="1424"/>
        <item m="1" x="2427"/>
        <item m="1" x="3453"/>
        <item m="1" x="4474"/>
        <item m="1" x="5462"/>
        <item m="1" x="6458"/>
        <item m="1" x="7464"/>
        <item m="1" x="541"/>
        <item m="1" x="1547"/>
        <item m="1" x="2554"/>
        <item m="1" x="3575"/>
        <item m="1" x="4592"/>
        <item m="1" x="5578"/>
        <item m="1" x="6578"/>
        <item m="1" x="7584"/>
        <item m="1" x="662"/>
        <item m="1" x="1670"/>
        <item m="1" x="2676"/>
        <item m="1" x="3700"/>
        <item m="1" x="4709"/>
        <item m="1" x="5699"/>
        <item m="1" x="6704"/>
        <item m="1" x="7709"/>
        <item m="1" x="783"/>
        <item m="1" x="1789"/>
        <item m="1" x="2796"/>
        <item m="1" x="3824"/>
        <item m="1" x="4831"/>
        <item m="1" x="5820"/>
        <item m="1" x="6826"/>
        <item m="1" x="7831"/>
        <item m="1" x="906"/>
        <item m="1" x="1907"/>
        <item m="1" x="2920"/>
        <item m="1" x="3952"/>
        <item m="1" x="6643"/>
        <item m="1" x="7647"/>
        <item m="1" x="726"/>
        <item m="1" x="1732"/>
        <item m="1" x="2737"/>
        <item m="1" x="3759"/>
        <item m="1" x="4772"/>
        <item m="1" x="5761"/>
        <item m="1" x="6766"/>
        <item m="1" x="7766"/>
        <item m="1" x="848"/>
        <item m="1" x="1848"/>
        <item m="1" x="2861"/>
        <item m="1" x="3885"/>
        <item m="1" x="4895"/>
        <item m="1" x="5881"/>
        <item m="1" x="6888"/>
        <item m="1" x="7887"/>
        <item m="1" x="972"/>
        <item m="1" x="1971"/>
        <item m="1" x="2985"/>
        <item m="1" x="4012"/>
        <item m="1" x="5015"/>
        <item m="1" x="6001"/>
        <item m="1" x="7006"/>
        <item m="1" x="81"/>
        <item m="1" x="1092"/>
        <item m="1" x="2094"/>
        <item m="1" x="3107"/>
        <item m="1" x="4134"/>
        <item m="1" x="5129"/>
        <item m="1" x="6122"/>
        <item m="1" x="7126"/>
        <item m="1" x="204"/>
        <item m="1" x="1214"/>
        <item m="1" x="2215"/>
        <item m="1" x="3229"/>
        <item m="1" x="4254"/>
        <item m="1" x="5249"/>
        <item m="1" x="6246"/>
        <item m="1" x="7250"/>
        <item m="1" x="327"/>
        <item m="1" x="1333"/>
        <item m="1" x="2335"/>
        <item m="1" x="3353"/>
        <item m="1" x="4378"/>
        <item m="1" x="5370"/>
        <item m="1" x="6368"/>
        <item m="1" x="7370"/>
        <item m="1" x="449"/>
        <item m="1" x="1452"/>
        <item m="1" x="2460"/>
        <item m="1" x="3478"/>
        <item m="1" x="4503"/>
        <item m="1" x="5489"/>
        <item m="1" x="6489"/>
        <item m="1" x="7490"/>
        <item m="1" x="571"/>
        <item m="1" x="1576"/>
        <item m="1" x="2585"/>
        <item m="1" x="3603"/>
        <item m="1" x="4620"/>
        <item m="1" x="5609"/>
        <item m="1" x="6611"/>
        <item m="1" x="7614"/>
        <item m="1" x="693"/>
        <item m="1" x="1700"/>
        <item m="1" x="2708"/>
        <item m="1" x="3727"/>
        <item m="1" x="4737"/>
        <item m="1" x="5728"/>
        <item m="1" x="6736"/>
        <item m="1" x="7735"/>
        <item m="1" x="814"/>
        <item m="1" x="1815"/>
        <item m="1" x="2829"/>
        <item m="1" x="3851"/>
        <item m="1" x="4860"/>
        <item m="1" x="5847"/>
        <item m="1" x="6858"/>
        <item m="1" x="7856"/>
        <item m="1" x="937"/>
        <item m="1" x="1937"/>
        <item m="1" x="2953"/>
        <item m="1" x="3979"/>
        <item m="1" x="4980"/>
        <item m="1" x="5967"/>
        <item m="1" x="6975"/>
        <item m="1" x="7977"/>
        <item m="1" x="1059"/>
        <item m="1" x="2060"/>
        <item m="1" x="3076"/>
        <item m="1" x="4104"/>
        <item m="1" x="5098"/>
        <item m="1" x="6088"/>
        <item m="1" x="7096"/>
        <item m="1" x="174"/>
        <item m="1" x="1181"/>
        <item m="1" x="2181"/>
        <item m="1" x="3197"/>
        <item m="1" x="4222"/>
        <item m="1" x="5216"/>
        <item m="1" x="6210"/>
        <item m="1" x="7218"/>
        <item m="1" x="294"/>
        <item m="1" x="1300"/>
        <item m="1" x="2300"/>
        <item m="1" x="3323"/>
        <item m="1" x="4345"/>
        <item m="1" x="5338"/>
        <item m="1" x="6332"/>
        <item m="1" x="7340"/>
        <item m="1" x="415"/>
        <item m="1" x="1419"/>
        <item m="1" x="2423"/>
        <item m="1" x="3449"/>
        <item m="1" x="4470"/>
        <item m="1" x="5457"/>
        <item m="1" x="6453"/>
        <item m="1" x="7459"/>
        <item m="1" x="538"/>
        <item m="1" x="1541"/>
        <item m="1" x="2549"/>
        <item m="1" x="4783"/>
        <item m="1" x="5278"/>
        <item m="1" x="5772"/>
        <item m="1" x="6273"/>
        <item m="1" x="6778"/>
        <item m="1" x="7276"/>
        <item m="1" x="7778"/>
        <item m="1" x="357"/>
        <item m="1" x="860"/>
        <item m="1" x="1361"/>
        <item m="1" x="1859"/>
        <item m="1" x="2363"/>
        <item m="1" x="2872"/>
        <item m="1" x="3381"/>
        <item m="1" x="3896"/>
        <item m="1" x="4408"/>
        <item m="1" x="4907"/>
        <item m="1" x="5398"/>
        <item m="1" x="5891"/>
        <item m="1" x="6395"/>
        <item m="1" x="6899"/>
        <item m="1" x="7395"/>
        <item m="1" x="7898"/>
        <item m="1" x="479"/>
        <item m="1" x="984"/>
        <item m="1" x="1481"/>
        <item m="1" x="1982"/>
        <item m="1" x="2488"/>
        <item m="1" x="2996"/>
        <item m="1" x="3506"/>
        <item m="1" x="4024"/>
        <item m="1" x="4533"/>
        <item m="1" x="5027"/>
        <item m="1" x="5518"/>
        <item m="1" x="6012"/>
        <item m="1" x="6517"/>
        <item m="1" x="7019"/>
        <item m="1" x="7517"/>
        <item m="1" x="94"/>
        <item m="1" x="602"/>
        <item m="1" x="1108"/>
        <item m="1" x="1607"/>
        <item m="1" x="2107"/>
        <item m="1" x="2613"/>
        <item m="1" x="3122"/>
        <item m="1" x="3632"/>
        <item m="1" x="4147"/>
        <item m="1" x="4649"/>
        <item m="1" x="5146"/>
        <item m="1" x="5638"/>
        <item m="1" x="6134"/>
        <item m="1" x="6639"/>
        <item m="1" x="7141"/>
        <item m="1" x="7642"/>
        <item m="1" x="216"/>
        <item m="1" x="720"/>
        <item m="1" x="1229"/>
        <item m="1" x="1727"/>
        <item m="1" x="2227"/>
        <item m="1" x="2732"/>
        <item m="1" x="3242"/>
        <item m="1" x="3755"/>
        <item m="1" x="4266"/>
        <item m="1" x="4766"/>
        <item m="1" x="5263"/>
        <item m="1" x="5756"/>
        <item m="1" x="6257"/>
        <item m="1" x="6761"/>
        <item m="1" x="7263"/>
        <item m="1" x="7761"/>
        <item m="1" x="339"/>
        <item m="1" x="842"/>
        <item m="1" x="1348"/>
        <item m="1" x="1844"/>
        <item m="1" x="2348"/>
        <item m="1" x="2856"/>
        <item m="1" x="3367"/>
        <item m="1" x="3881"/>
        <item m="1" x="4390"/>
        <item m="1" x="4889"/>
        <item m="1" x="5385"/>
        <item m="1" x="5876"/>
        <item m="1" x="6379"/>
        <item m="1" x="6883"/>
        <item m="1" x="7383"/>
        <item m="1" x="7882"/>
        <item m="1" x="460"/>
        <item m="1" x="966"/>
        <item m="1" x="1467"/>
        <item m="1" x="1966"/>
        <item m="1" x="2473"/>
        <item m="1" x="2980"/>
        <item m="1" x="3493"/>
        <item m="1" x="4008"/>
        <item m="1" x="4515"/>
        <item m="1" x="5008"/>
        <item m="1" x="5504"/>
        <item m="1" x="5997"/>
        <item m="1" x="6501"/>
        <item m="1" x="7001"/>
        <item m="1" x="7503"/>
        <item m="1" x="76"/>
        <item m="1" x="583"/>
        <item m="1" x="1086"/>
        <item m="1" x="1591"/>
        <item m="1" x="2090"/>
        <item m="1" x="2597"/>
        <item m="1" x="3103"/>
        <item m="1" x="3617"/>
        <item m="1" x="4132"/>
        <item m="1" x="4631"/>
        <item m="1" x="5125"/>
        <item m="1" x="5624"/>
        <item m="1" x="6120"/>
        <item m="1" x="6623"/>
        <item m="1" x="7123"/>
        <item m="1" x="7628"/>
        <item m="1" x="201"/>
        <item m="1" x="703"/>
        <item m="1" x="1210"/>
        <item m="1" x="1715"/>
        <item m="1" x="2212"/>
        <item m="1" x="2719"/>
        <item m="1" x="3226"/>
        <item m="1" x="3742"/>
        <item m="1" x="4252"/>
        <item m="1" x="4749"/>
        <item m="1" x="5245"/>
        <item m="1" x="5744"/>
        <item m="1" x="6244"/>
        <item m="1" x="6747"/>
        <item m="1" x="7246"/>
        <item m="1" x="7748"/>
        <item m="1" x="324"/>
        <item m="1" x="826"/>
        <item m="1" x="1329"/>
        <item m="1" x="1831"/>
        <item m="1" x="2333"/>
        <item m="1" x="2841"/>
        <item m="1" x="3350"/>
        <item m="1" x="3866"/>
        <item m="1" x="4375"/>
        <item m="1" x="4874"/>
        <item m="1" x="5366"/>
        <item m="1" x="5863"/>
        <item m="1" x="6365"/>
        <item m="1" x="6869"/>
        <item m="1" x="7366"/>
        <item m="1" x="7869"/>
        <item m="1" x="445"/>
        <item m="1" x="948"/>
        <item m="1" x="1448"/>
        <item m="1" x="1953"/>
        <item m="1" x="2456"/>
        <item m="1" x="2965"/>
        <item m="1" x="3475"/>
        <item m="1" x="3993"/>
        <item m="1" x="4499"/>
        <item m="1" x="4992"/>
        <item m="1" x="5485"/>
        <item m="1" x="5983"/>
        <item m="1" x="6486"/>
        <item m="1" x="6987"/>
        <item m="1" x="7486"/>
        <item m="1" x="7991"/>
        <item m="1" x="567"/>
        <item m="1" x="1071"/>
        <item m="1" x="1572"/>
        <item m="1" x="2076"/>
        <item m="1" x="2582"/>
        <item m="1" x="3089"/>
        <item m="1" x="3600"/>
        <item m="1" x="4118"/>
        <item m="1" x="4617"/>
        <item m="1" x="5110"/>
        <item m="1" x="5605"/>
        <item m="1" x="6105"/>
        <item m="1" x="6608"/>
        <item m="1" x="7109"/>
        <item m="1" x="7610"/>
        <item m="1" x="188"/>
        <item m="1" x="690"/>
        <item m="1" x="1194"/>
        <item m="1" x="1696"/>
        <item m="1" x="2198"/>
        <item m="1" x="2704"/>
        <item m="1" x="3210"/>
        <item m="1" x="3724"/>
        <item m="1" x="4236"/>
        <item m="1" x="4734"/>
        <item m="1" x="5229"/>
        <item m="1" x="5723"/>
        <item m="1" x="6226"/>
        <item m="1" x="6732"/>
        <item m="1" x="7230"/>
        <item m="1" x="7731"/>
        <item m="1" x="307"/>
        <item m="1" x="810"/>
        <item m="1" x="1312"/>
        <item m="1" x="1811"/>
        <item m="1" x="2314"/>
        <item m="1" x="2825"/>
        <item m="1" x="3334"/>
        <item m="1" x="3848"/>
        <item m="1" x="4357"/>
        <item m="1" x="4856"/>
        <item m="1" x="5350"/>
        <item m="1" x="5843"/>
        <item m="1" x="6346"/>
        <item m="1" x="6854"/>
        <item m="1" x="7351"/>
        <item m="1" x="7852"/>
        <item m="1" x="428"/>
        <item m="1" x="933"/>
        <item m="1" x="1432"/>
        <item m="1" x="1932"/>
        <item m="1" x="2438"/>
        <item m="1" x="2948"/>
        <item m="1" x="3460"/>
        <item m="1" x="3976"/>
        <item m="1" x="4483"/>
        <item m="1" x="4975"/>
        <item m="1" x="5469"/>
        <item m="1" x="5963"/>
        <item m="1" x="6468"/>
        <item m="1" x="6971"/>
        <item m="1" x="7471"/>
        <item m="1" x="7973"/>
        <item m="1" x="550"/>
        <item m="1" x="1054"/>
        <item m="1" x="1556"/>
        <item m="1" x="2056"/>
        <item m="1" x="2564"/>
        <item m="1" x="3072"/>
        <item m="1" x="3585"/>
        <item m="1" x="4101"/>
        <item m="1" x="4601"/>
        <item m="1" x="5093"/>
        <item m="1" x="5589"/>
        <item m="1" x="6084"/>
        <item m="1" x="6588"/>
        <item m="1" x="7092"/>
        <item m="1" x="7594"/>
        <item m="1" x="169"/>
        <item m="1" x="671"/>
        <item m="1" x="3393"/>
        <item m="1" x="3913"/>
        <item m="1" x="4420"/>
        <item m="1" x="4916"/>
        <item m="1" x="5408"/>
        <item m="1" x="5902"/>
        <item m="1" x="6405"/>
        <item m="1" x="6908"/>
        <item m="1" x="7406"/>
        <item m="1" x="7911"/>
        <item m="1" x="489"/>
        <item m="1" x="993"/>
        <item m="1" x="1491"/>
        <item m="1" x="1992"/>
        <item m="1" x="2499"/>
        <item m="1" x="3004"/>
        <item m="1" x="3517"/>
        <item m="1" x="4037"/>
        <item m="1" x="4544"/>
        <item m="1" x="5036"/>
        <item m="1" x="5528"/>
        <item m="1" x="6023"/>
        <item m="1" x="6528"/>
        <item m="1" x="7027"/>
        <item m="1" x="7529"/>
        <item m="1" x="107"/>
        <item m="1" x="614"/>
        <item m="1" x="1117"/>
        <item m="1" x="1616"/>
        <item m="1" x="2118"/>
        <item m="1" x="2624"/>
        <item m="1" x="3130"/>
        <item m="1" x="3642"/>
        <item m="1" x="4160"/>
        <item m="1" x="4660"/>
        <item m="1" x="5154"/>
        <item m="1" x="5648"/>
        <item m="1" x="6146"/>
        <item m="1" x="6651"/>
        <item m="1" x="7151"/>
        <item m="1" x="7654"/>
        <item m="1" x="230"/>
        <item m="1" x="734"/>
        <item m="1" x="1239"/>
        <item m="1" x="1739"/>
        <item m="1" x="2239"/>
        <item m="1" x="2745"/>
        <item m="1" x="3253"/>
        <item m="1" x="3767"/>
        <item m="1" x="4280"/>
        <item m="1" x="4780"/>
        <item m="1" x="5274"/>
        <item m="1" x="5768"/>
        <item m="1" x="6268"/>
        <item m="1" x="6774"/>
        <item m="1" x="7272"/>
        <item m="1" x="7773"/>
        <item m="1" x="351"/>
        <item m="1" x="856"/>
        <item m="1" x="1356"/>
        <item m="1" x="1854"/>
        <item m="1" x="2358"/>
        <item m="1" x="2868"/>
        <item m="1" x="3376"/>
        <item m="1" x="3891"/>
        <item m="1" x="4402"/>
        <item m="1" x="4902"/>
        <item m="1" x="5392"/>
        <item m="1" x="5887"/>
        <item m="1" x="6389"/>
        <item m="1" x="6895"/>
        <item m="1" x="7391"/>
        <item m="1" x="7893"/>
        <item m="1" x="473"/>
        <item m="1" x="980"/>
        <item m="1" x="1476"/>
        <item m="1" x="1977"/>
        <item m="1" x="2483"/>
        <item m="1" x="2992"/>
        <item m="1" x="3501"/>
        <item m="1" x="4019"/>
        <item m="1" x="4527"/>
        <item m="1" x="5023"/>
        <item m="1" x="5513"/>
        <item m="1" x="6008"/>
        <item m="1" x="6512"/>
        <item m="1" x="7014"/>
        <item m="1" x="7513"/>
        <item m="1" x="89"/>
        <item m="1" x="596"/>
        <item m="1" x="1103"/>
        <item m="1" x="1603"/>
        <item m="1" x="2102"/>
        <item m="1" x="2608"/>
        <item m="1" x="3117"/>
        <item m="1" x="3627"/>
        <item m="1" x="4141"/>
        <item m="1" x="4643"/>
        <item m="1" x="5140"/>
        <item m="1" x="5633"/>
        <item m="1" x="6130"/>
        <item m="1" x="6634"/>
        <item m="1" x="7135"/>
        <item m="1" x="7638"/>
        <item m="1" x="211"/>
        <item m="1" x="716"/>
        <item m="1" x="1224"/>
        <item m="1" x="1725"/>
        <item m="1" x="2223"/>
        <item m="1" x="2729"/>
        <item m="1" x="3238"/>
        <item m="1" x="3752"/>
        <item m="1" x="4262"/>
        <item m="1" x="4762"/>
        <item m="1" x="5259"/>
        <item m="1" x="5754"/>
        <item m="1" x="6254"/>
        <item m="1" x="6758"/>
        <item m="1" x="7259"/>
        <item m="1" x="7759"/>
        <item m="1" x="335"/>
        <item m="1" x="838"/>
        <item m="1" x="1344"/>
        <item m="1" x="1842"/>
        <item m="1" x="2344"/>
        <item m="1" x="2852"/>
        <item m="1" x="3363"/>
        <item m="1" x="3878"/>
        <item m="1" x="4385"/>
        <item m="1" x="4885"/>
        <item m="1" x="5381"/>
        <item m="1" x="5873"/>
        <item m="1" x="6376"/>
        <item m="1" x="6880"/>
        <item m="1" x="7379"/>
        <item m="1" x="7879"/>
        <item m="1" x="456"/>
        <item m="1" x="960"/>
        <item m="1" x="1463"/>
        <item m="1" x="1963"/>
        <item m="1" x="2469"/>
        <item m="1" x="2975"/>
        <item m="1" x="3489"/>
        <item m="1" x="4004"/>
        <item m="1" x="4512"/>
        <item m="1" x="5003"/>
        <item m="1" x="5500"/>
        <item m="1" x="5994"/>
        <item m="1" x="6498"/>
        <item m="1" x="6997"/>
        <item m="1" x="7499"/>
        <item m="1" x="73"/>
        <item m="1" x="580"/>
        <item m="1" x="1081"/>
        <item m="1" x="1587"/>
        <item m="1" x="2087"/>
        <item m="1" x="2593"/>
        <item m="1" x="3098"/>
        <item m="1" x="3613"/>
        <item m="1" x="4128"/>
        <item m="1" x="4627"/>
        <item m="1" x="5120"/>
        <item m="1" x="5620"/>
        <item m="1" x="6116"/>
        <item m="1" x="6619"/>
        <item m="1" x="7119"/>
        <item m="1" x="7623"/>
        <item m="1" x="198"/>
        <item m="1" x="700"/>
        <item m="1" x="1205"/>
        <item m="1" x="1711"/>
        <item m="1" x="2209"/>
        <item m="1" x="2715"/>
        <item m="1" x="3220"/>
        <item m="1" x="3737"/>
        <item m="1" x="4248"/>
        <item m="1" x="4746"/>
        <item m="1" x="5240"/>
        <item m="1" x="5739"/>
        <item m="1" x="6241"/>
        <item m="1" x="6744"/>
        <item m="1" x="7242"/>
        <item m="1" x="7744"/>
        <item m="1" x="321"/>
        <item m="1" x="823"/>
        <item m="1" x="1324"/>
        <item m="1" x="1826"/>
        <item m="1" x="2330"/>
        <item m="1" x="2837"/>
        <item m="1" x="3345"/>
        <item m="1" x="3861"/>
        <item m="1" x="4371"/>
        <item m="1" x="4868"/>
        <item m="1" x="5361"/>
        <item m="1" x="5856"/>
        <item m="1" x="6360"/>
        <item m="1" x="6864"/>
        <item m="1" x="7362"/>
        <item m="1" x="7863"/>
        <item m="1" x="440"/>
        <item m="1" x="943"/>
        <item m="1" x="1443"/>
        <item m="1" x="1946"/>
        <item m="1" x="2451"/>
        <item m="1" x="2959"/>
        <item m="1" x="3470"/>
        <item m="1" x="3987"/>
        <item m="1" x="4495"/>
        <item m="1" x="4987"/>
        <item m="1" x="5480"/>
        <item m="1" x="5976"/>
        <item m="1" x="6482"/>
        <item m="1" x="6982"/>
        <item m="1" x="7482"/>
        <item m="1" x="7985"/>
        <item m="1" x="563"/>
        <item m="1" x="1066"/>
        <item m="1" x="1567"/>
        <item m="1" x="2069"/>
        <item m="1" x="2578"/>
        <item m="1" x="3083"/>
        <item m="1" x="3595"/>
        <item m="1" x="4112"/>
        <item m="1" x="4613"/>
        <item m="1" x="5104"/>
        <item m="1" x="5599"/>
        <item m="1" x="6098"/>
        <item m="1" x="6602"/>
        <item m="1" x="7103"/>
        <item m="1" x="7606"/>
        <item m="1" x="182"/>
        <item m="1" x="685"/>
        <item m="1" x="1189"/>
        <item m="1" x="1691"/>
        <item m="1" x="2190"/>
        <item m="1" x="2699"/>
        <item m="1" x="3205"/>
        <item m="1" x="3719"/>
        <item m="1" x="4230"/>
        <item m="1" x="4729"/>
        <item m="1" x="5224"/>
        <item m="1" x="5718"/>
        <item m="1" x="6219"/>
        <item m="1" x="6727"/>
        <item m="1" x="7226"/>
        <item m="1" x="1504"/>
        <item m="1" x="2004"/>
        <item m="1" x="2511"/>
        <item m="1" x="3017"/>
        <item m="1" x="3532"/>
        <item m="1" x="4050"/>
        <item m="1" x="4553"/>
        <item m="1" x="5046"/>
        <item m="1" x="5538"/>
        <item m="1" x="6034"/>
        <item m="1" x="6536"/>
        <item m="1" x="7037"/>
        <item m="1" x="7542"/>
        <item m="1" x="118"/>
        <item m="1" x="622"/>
        <item m="1" x="1127"/>
        <item m="1" x="1627"/>
        <item m="1" x="2128"/>
        <item m="1" x="2633"/>
        <item m="1" x="3141"/>
        <item m="1" x="3655"/>
        <item m="1" x="4170"/>
        <item m="1" x="4669"/>
        <item m="1" x="5165"/>
        <item m="1" x="5659"/>
        <item m="1" x="6156"/>
        <item m="1" x="6660"/>
        <item m="1" x="7162"/>
        <item m="1" x="7667"/>
        <item m="1" x="241"/>
        <item m="1" x="743"/>
        <item m="1" x="1249"/>
        <item m="1" x="1750"/>
        <item m="1" x="2249"/>
        <item m="1" x="2754"/>
        <item m="1" x="3265"/>
        <item m="1" x="3781"/>
        <item m="1" x="4293"/>
        <item m="1" x="4790"/>
        <item m="1" x="5285"/>
        <item m="1" x="5781"/>
        <item m="1" x="6281"/>
        <item m="1" x="6785"/>
        <item m="1" x="7283"/>
        <item m="1" x="7789"/>
        <item m="1" x="365"/>
        <item m="1" x="866"/>
        <item m="1" x="1368"/>
        <item m="1" x="1867"/>
        <item m="1" x="2371"/>
        <item m="1" x="2879"/>
        <item m="1" x="3388"/>
        <item m="1" x="3906"/>
        <item m="1" x="4416"/>
        <item m="1" x="4912"/>
        <item m="1" x="5404"/>
        <item m="1" x="5898"/>
        <item m="1" x="6402"/>
        <item m="1" x="6904"/>
        <item m="1" x="7402"/>
        <item m="1" x="7906"/>
        <item m="1" x="486"/>
        <item m="1" x="989"/>
        <item m="1" x="1488"/>
        <item m="1" x="1988"/>
        <item m="1" x="2496"/>
        <item m="1" x="3001"/>
        <item m="1" x="3513"/>
        <item m="1" x="4032"/>
        <item m="1" x="4541"/>
        <item m="1" x="5032"/>
        <item m="1" x="5524"/>
        <item m="1" x="6019"/>
        <item m="1" x="6525"/>
        <item m="1" x="7023"/>
        <item m="1" x="7524"/>
        <item m="1" x="102"/>
        <item m="1" x="610"/>
        <item m="1" x="1112"/>
        <item m="1" x="1613"/>
        <item m="1" x="2114"/>
        <item m="1" x="2620"/>
        <item m="1" x="3127"/>
        <item m="1" x="3638"/>
        <item m="1" x="4155"/>
        <item m="1" x="4657"/>
        <item m="1" x="5150"/>
        <item m="1" x="5644"/>
        <item m="1" x="6142"/>
        <item m="1" x="6647"/>
        <item m="1" x="7147"/>
        <item m="1" x="7650"/>
        <item m="1" x="225"/>
        <item m="1" x="730"/>
        <item m="1" x="1236"/>
        <item m="1" x="1736"/>
        <item m="1" x="2235"/>
        <item m="1" x="2741"/>
        <item m="1" x="3250"/>
        <item m="1" x="3763"/>
        <item m="1" x="4275"/>
        <item m="1" x="4776"/>
        <item m="1" x="5271"/>
        <item m="1" x="5764"/>
        <item m="1" x="6265"/>
        <item m="1" x="6770"/>
        <item m="1" x="7270"/>
        <item m="1" x="7769"/>
        <item m="1" x="348"/>
        <item m="1" x="852"/>
        <item m="1" x="1354"/>
        <item m="1" x="1852"/>
        <item m="1" x="2356"/>
        <item m="1" x="2865"/>
        <item m="1" x="3374"/>
        <item m="1" x="3888"/>
        <item m="1" x="4399"/>
        <item m="1" x="4899"/>
        <item m="1" x="5391"/>
        <item m="1" x="5884"/>
        <item m="1" x="6387"/>
        <item m="1" x="6892"/>
        <item m="1" x="7389"/>
        <item m="1" x="7890"/>
        <item m="1" x="470"/>
        <item m="1" x="977"/>
        <item m="1" x="1475"/>
        <item m="1" x="1975"/>
        <item m="1" x="2481"/>
        <item m="1" x="2989"/>
        <item m="1" x="3500"/>
        <item m="1" x="4016"/>
        <item m="1" x="4524"/>
        <item m="1" x="5020"/>
        <item m="1" x="5512"/>
        <item m="1" x="6005"/>
        <item m="1" x="6509"/>
        <item m="1" x="7011"/>
        <item m="1" x="7510"/>
        <item m="1" x="85"/>
        <item m="1" x="592"/>
        <item m="1" x="1100"/>
        <item m="1" x="1600"/>
        <item m="1" x="2100"/>
        <item m="1" x="2605"/>
        <item m="1" x="3113"/>
        <item m="1" x="3625"/>
        <item m="1" x="4139"/>
        <item m="1" x="4639"/>
        <item m="1" x="5136"/>
        <item m="1" x="5631"/>
        <item m="1" x="6127"/>
        <item m="1" x="6630"/>
        <item m="1" x="7132"/>
        <item m="1" x="7635"/>
        <item m="1" x="209"/>
        <item m="1" x="712"/>
        <item m="1" x="1221"/>
        <item m="1" x="1723"/>
        <item m="1" x="2221"/>
        <item m="1" x="2726"/>
        <item m="1" x="3235"/>
        <item m="1" x="3750"/>
        <item m="1" x="4260"/>
        <item m="1" x="4758"/>
        <item m="1" x="5256"/>
        <item m="1" x="5752"/>
        <item m="1" x="6251"/>
        <item m="1" x="6754"/>
        <item m="1" x="7256"/>
        <item m="1" x="7756"/>
        <item m="1" x="332"/>
        <item m="1" x="834"/>
        <item m="1" x="1340"/>
        <item m="1" x="1838"/>
        <item m="1" x="2341"/>
        <item m="1" x="2848"/>
        <item m="1" x="3359"/>
        <item m="1" x="3874"/>
        <item m="1" x="4383"/>
        <item m="1" x="4881"/>
        <item m="1" x="5377"/>
        <item m="1" x="5871"/>
        <item m="1" x="6373"/>
        <item m="1" x="6876"/>
        <item m="1" x="7376"/>
        <item m="1" x="7877"/>
        <item m="1" x="454"/>
        <item m="1" x="956"/>
        <item m="1" x="1459"/>
        <item m="1" x="1961"/>
        <item m="1" x="2465"/>
        <item m="1" x="2972"/>
        <item m="1" x="3484"/>
        <item m="1" x="4001"/>
        <item m="1" x="4508"/>
        <item m="1" x="4999"/>
        <item m="1" x="5494"/>
        <item m="1" x="5991"/>
        <item m="1" x="6493"/>
        <item m="1" x="6993"/>
        <item m="1" x="7494"/>
        <item m="1" x="7998"/>
        <item m="1" x="575"/>
        <item m="1" x="1077"/>
        <item m="1" x="1581"/>
        <item m="1" x="2083"/>
        <item m="1" x="2588"/>
        <item m="1" x="3095"/>
        <item m="1" x="3607"/>
        <item m="1" x="4125"/>
        <item m="1" x="4623"/>
        <item m="1" x="5116"/>
        <item m="1" x="5614"/>
        <item m="1" x="6113"/>
        <item m="1" x="6614"/>
        <item m="1" x="7115"/>
        <item m="1" x="7618"/>
        <item m="1" x="195"/>
        <item m="1" x="696"/>
        <item m="1" x="1201"/>
        <item m="1" x="1705"/>
        <item m="1" x="2206"/>
        <item m="1" x="2711"/>
        <item m="1" x="3217"/>
        <item m="1" x="3732"/>
        <item m="1" x="4244"/>
        <item m="1" x="4742"/>
        <item m="1" x="5236"/>
        <item m="1" x="5733"/>
        <item m="1" x="6237"/>
        <item m="1" x="6740"/>
        <item m="1" x="7238"/>
        <item m="1" x="7739"/>
        <item m="1" x="317"/>
        <item m="1" x="818"/>
        <item m="1" x="1319"/>
        <item m="1" x="1820"/>
        <item m="1" x="2325"/>
        <item m="1" x="2833"/>
        <item m="1" x="3342"/>
        <item m="1" x="3856"/>
        <item m="1" x="4366"/>
        <item m="1" x="4864"/>
        <item m="1" x="5357"/>
        <item m="1" x="129"/>
        <item m="1" x="635"/>
        <item m="1" x="1140"/>
        <item m="1" x="1639"/>
        <item m="1" x="2138"/>
        <item m="1" x="2645"/>
        <item m="1" x="3154"/>
        <item m="1" x="3666"/>
        <item m="1" x="4179"/>
        <item m="1" x="4681"/>
        <item m="1" x="5176"/>
        <item m="1" x="5669"/>
        <item m="1" x="6166"/>
        <item m="1" x="6671"/>
        <item m="1" x="7175"/>
        <item m="1" x="7678"/>
        <item m="1" x="250"/>
        <item m="1" x="754"/>
        <item m="1" x="1260"/>
        <item m="1" x="1760"/>
        <item m="1" x="2257"/>
        <item m="1" x="2765"/>
        <item m="1" x="3278"/>
        <item m="1" x="3792"/>
        <item m="1" x="4301"/>
        <item m="1" x="4802"/>
        <item m="1" x="5296"/>
        <item m="1" x="5791"/>
        <item m="1" x="6289"/>
        <item m="1" x="6796"/>
        <item m="1" x="7296"/>
        <item m="1" x="7800"/>
        <item m="1" x="374"/>
        <item m="1" x="878"/>
        <item m="1" x="1379"/>
        <item m="1" x="1879"/>
        <item m="1" x="2380"/>
        <item m="1" x="2890"/>
        <item m="1" x="3403"/>
        <item m="1" x="3921"/>
        <item m="1" x="4427"/>
        <item m="1" x="4924"/>
        <item m="1" x="5416"/>
        <item m="1" x="5911"/>
        <item m="1" x="6412"/>
        <item m="1" x="6916"/>
        <item m="1" x="7416"/>
        <item m="1" x="7921"/>
        <item m="1" x="496"/>
        <item m="1" x="1000"/>
        <item m="1" x="1500"/>
        <item m="1" x="2001"/>
        <item m="1" x="2506"/>
        <item m="1" x="3012"/>
        <item m="1" x="3526"/>
        <item m="1" x="4045"/>
        <item m="1" x="4548"/>
        <item m="1" x="5043"/>
        <item m="1" x="5534"/>
        <item m="1" x="6030"/>
        <item m="1" x="6533"/>
        <item m="1" x="7033"/>
        <item m="1" x="7537"/>
        <item m="1" x="114"/>
        <item m="1" x="618"/>
        <item m="1" x="1123"/>
        <item m="1" x="1623"/>
        <item m="1" x="2125"/>
        <item m="1" x="2629"/>
        <item m="1" x="3137"/>
        <item m="1" x="3650"/>
        <item m="1" x="4167"/>
        <item m="1" x="4665"/>
        <item m="1" x="5162"/>
        <item m="1" x="5655"/>
        <item m="1" x="6153"/>
        <item m="1" x="6657"/>
        <item m="1" x="7158"/>
        <item m="1" x="7662"/>
        <item m="1" x="238"/>
        <item m="1" x="739"/>
        <item m="1" x="1245"/>
        <item m="1" x="1746"/>
        <item m="1" x="2246"/>
        <item m="1" x="2750"/>
        <item m="1" x="3260"/>
        <item m="1" x="3776"/>
        <item m="1" x="4288"/>
        <item m="1" x="4786"/>
        <item m="1" x="5282"/>
        <item m="1" x="5777"/>
        <item m="1" x="6277"/>
        <item m="1" x="6782"/>
        <item m="1" x="7279"/>
        <item m="1" x="7783"/>
        <item m="1" x="361"/>
        <item m="1" x="863"/>
        <item m="1" x="1364"/>
        <item m="1" x="1863"/>
        <item m="1" x="2367"/>
        <item m="1" x="2875"/>
        <item m="1" x="3384"/>
        <item m="1" x="3901"/>
        <item m="1" x="4412"/>
        <item m="1" x="4910"/>
        <item m="1" x="5402"/>
        <item m="1" x="5896"/>
        <item m="1" x="6399"/>
        <item m="1" x="6903"/>
        <item m="1" x="7399"/>
        <item m="1" x="7903"/>
        <item m="1" x="483"/>
        <item m="1" x="988"/>
        <item m="1" x="1485"/>
        <item m="1" x="1986"/>
        <item m="1" x="2493"/>
        <item m="1" x="2999"/>
        <item m="1" x="3509"/>
        <item m="1" x="4029"/>
        <item m="1" x="4537"/>
        <item m="1" x="5030"/>
        <item m="1" x="5522"/>
        <item m="1" x="6017"/>
        <item m="1" x="6521"/>
        <item m="1" x="7022"/>
        <item m="1" x="7521"/>
        <item m="1" x="99"/>
        <item m="1" x="607"/>
        <item m="1" x="1111"/>
        <item m="1" x="1610"/>
        <item m="1" x="2111"/>
        <item m="1" x="2617"/>
        <item m="1" x="3125"/>
        <item m="1" x="3635"/>
        <item m="1" x="4152"/>
        <item m="1" x="4654"/>
        <item m="1" x="5149"/>
        <item m="1" x="5642"/>
        <item m="1" x="6139"/>
        <item m="1" x="6644"/>
        <item m="1" x="7145"/>
        <item m="1" x="7648"/>
        <item m="1" x="221"/>
        <item m="1" x="727"/>
        <item m="1" x="1234"/>
        <item m="1" x="1733"/>
        <item m="1" x="2231"/>
        <item m="1" x="2738"/>
        <item m="1" x="3247"/>
        <item m="1" x="3760"/>
        <item m="1" x="4271"/>
        <item m="1" x="4773"/>
        <item m="1" x="5268"/>
        <item m="1" x="5762"/>
        <item m="1" x="6262"/>
        <item m="1" x="6767"/>
        <item m="1" x="7267"/>
        <item m="1" x="7767"/>
        <item m="1" x="344"/>
        <item m="1" x="849"/>
        <item m="1" x="1352"/>
        <item m="1" x="1849"/>
        <item m="1" x="2352"/>
        <item m="1" x="2862"/>
        <item m="1" x="3371"/>
        <item m="1" x="3886"/>
        <item m="1" x="4395"/>
        <item m="1" x="4896"/>
        <item m="1" x="5389"/>
        <item m="1" x="5882"/>
        <item m="1" x="6384"/>
        <item m="1" x="6889"/>
        <item m="1" x="7387"/>
        <item m="1" x="7888"/>
        <item m="1" x="466"/>
        <item m="1" x="973"/>
        <item m="1" x="1473"/>
        <item m="1" x="1972"/>
        <item m="1" x="2477"/>
        <item m="1" x="2986"/>
        <item m="1" x="3498"/>
        <item m="1" x="4013"/>
        <item m="1" x="4520"/>
        <item m="1" x="5016"/>
        <item m="1" x="5509"/>
        <item m="1" x="6002"/>
        <item m="1" x="6506"/>
        <item m="1" x="7007"/>
        <item m="1" x="7508"/>
        <item m="1" x="82"/>
        <item m="1" x="588"/>
        <item m="1" x="1093"/>
        <item m="1" x="1597"/>
        <item m="1" x="2095"/>
        <item m="1" x="2601"/>
        <item m="1" x="3108"/>
        <item m="1" x="3622"/>
        <item m="1" x="4135"/>
        <item m="1" x="4635"/>
        <item m="1" x="5130"/>
        <item m="1" x="5628"/>
        <item m="1" x="6123"/>
        <item m="1" x="6627"/>
        <item m="1" x="7127"/>
        <item m="1" x="7632"/>
        <item m="1" x="205"/>
        <item m="1" x="708"/>
        <item m="1" x="1215"/>
        <item m="1" x="1720"/>
        <item m="1" x="2216"/>
        <item m="1" x="2722"/>
        <item m="1" x="3230"/>
        <item m="1" x="3747"/>
        <item m="1" x="4255"/>
        <item m="1" x="4753"/>
        <item m="1" x="5250"/>
        <item m="1" x="5748"/>
        <item m="1" x="6247"/>
        <item m="1" x="6751"/>
        <item m="1" x="7251"/>
        <item m="1" x="7752"/>
        <item m="1" x="328"/>
        <item m="1" x="830"/>
        <item m="1" x="1334"/>
        <item m="1" x="1835"/>
        <item m="1" x="2336"/>
        <item m="1" x="2844"/>
        <item m="1" x="3354"/>
        <item m="1" x="3870"/>
        <item m="1" x="4379"/>
        <item m="1" x="4877"/>
        <item m="1" x="5371"/>
        <item m="1" x="5867"/>
        <item m="1" x="6369"/>
        <item m="1" x="6873"/>
        <item m="1" x="7371"/>
        <item m="1" x="7873"/>
        <item m="1" x="450"/>
        <item m="1" x="952"/>
        <item m="1" x="1453"/>
        <item m="1" x="1957"/>
        <item m="1" x="2461"/>
        <item m="1" x="2968"/>
        <item m="1" x="3479"/>
        <item m="1" x="6179"/>
        <item m="1" x="6687"/>
        <item m="1" x="7186"/>
        <item m="1" x="7687"/>
        <item m="1" x="265"/>
        <item m="1" x="766"/>
        <item m="1" x="1270"/>
        <item m="1" x="1769"/>
        <item m="1" x="2268"/>
        <item m="1" x="2778"/>
        <item m="1" x="3288"/>
        <item m="1" x="3801"/>
        <item m="1" x="4315"/>
        <item m="1" x="4812"/>
        <item m="1" x="5307"/>
        <item m="1" x="5799"/>
        <item m="1" x="6300"/>
        <item m="1" x="6809"/>
        <item m="1" x="7307"/>
        <item m="1" x="7809"/>
        <item m="1" x="387"/>
        <item m="1" x="889"/>
        <item m="1" x="1390"/>
        <item m="1" x="1887"/>
        <item m="1" x="2392"/>
        <item m="1" x="2903"/>
        <item m="1" x="3415"/>
        <item m="1" x="3930"/>
        <item m="1" x="4440"/>
        <item m="1" x="4935"/>
        <item m="1" x="5427"/>
        <item m="1" x="5919"/>
        <item m="1" x="6423"/>
        <item m="1" x="6929"/>
        <item m="1" x="7427"/>
        <item m="1" x="7929"/>
        <item m="1" x="509"/>
        <item m="1" x="1012"/>
        <item m="1" x="1512"/>
        <item m="1" x="2011"/>
        <item m="1" x="2519"/>
        <item m="1" x="3027"/>
        <item m="1" x="3540"/>
        <item m="1" x="4056"/>
        <item m="1" x="4562"/>
        <item m="1" x="5055"/>
        <item m="1" x="5546"/>
        <item m="1" x="6041"/>
        <item m="1" x="6544"/>
        <item m="1" x="7047"/>
        <item m="1" x="7550"/>
        <item m="1" x="125"/>
        <item m="1" x="631"/>
        <item m="1" x="1135"/>
        <item m="1" x="1635"/>
        <item m="1" x="2134"/>
        <item m="1" x="2640"/>
        <item m="1" x="3149"/>
        <item m="1" x="3663"/>
        <item m="1" x="4175"/>
        <item m="1" x="4677"/>
        <item m="1" x="5172"/>
        <item m="1" x="5666"/>
        <item m="1" x="6162"/>
        <item m="1" x="6667"/>
        <item m="1" x="7170"/>
        <item m="1" x="7674"/>
        <item m="1" x="245"/>
        <item m="1" x="751"/>
        <item m="1" x="1255"/>
        <item m="1" x="1757"/>
        <item m="1" x="2254"/>
        <item m="1" x="2761"/>
        <item m="1" x="3273"/>
        <item m="1" x="3789"/>
        <item m="1" x="4297"/>
        <item m="1" x="4798"/>
        <item m="1" x="5292"/>
        <item m="1" x="5788"/>
        <item m="1" x="6285"/>
        <item m="1" x="6792"/>
        <item m="1" x="7291"/>
        <item m="1" x="7797"/>
        <item m="1" x="370"/>
        <item m="1" x="875"/>
        <item m="1" x="1375"/>
        <item m="1" x="1875"/>
        <item m="1" x="2377"/>
        <item m="1" x="2886"/>
        <item m="1" x="3398"/>
        <item m="1" x="3917"/>
        <item m="1" x="4424"/>
        <item m="1" x="4920"/>
        <item m="1" x="5412"/>
        <item m="1" x="5907"/>
        <item m="1" x="6408"/>
        <item m="1" x="6911"/>
        <item m="1" x="7411"/>
        <item m="1" x="7916"/>
        <item m="1" x="492"/>
        <item m="1" x="997"/>
        <item m="1" x="1496"/>
        <item m="1" x="1996"/>
        <item m="1" x="2503"/>
        <item m="1" x="3008"/>
        <item m="1" x="3522"/>
        <item m="1" x="4041"/>
        <item m="1" x="4547"/>
        <item m="1" x="5040"/>
        <item m="1" x="5532"/>
        <item m="1" x="6027"/>
        <item m="1" x="6531"/>
        <item m="1" x="7030"/>
        <item m="1" x="7534"/>
        <item m="1" x="111"/>
        <item m="1" x="617"/>
        <item m="1" x="1121"/>
        <item m="1" x="1621"/>
        <item m="1" x="2122"/>
        <item m="1" x="2628"/>
        <item m="1" x="3134"/>
        <item m="1" x="3647"/>
        <item m="1" x="4164"/>
        <item m="1" x="4664"/>
        <item m="1" x="5159"/>
        <item m="1" x="5652"/>
        <item m="1" x="6150"/>
        <item m="1" x="6655"/>
        <item m="1" x="7154"/>
        <item m="1" x="7659"/>
        <item m="1" x="235"/>
        <item m="1" x="737"/>
        <item m="1" x="1243"/>
        <item m="1" x="1744"/>
        <item m="1" x="2243"/>
        <item m="1" x="2748"/>
        <item m="1" x="3257"/>
        <item m="1" x="3772"/>
        <item m="1" x="4285"/>
        <item m="1" x="4784"/>
        <item m="1" x="5279"/>
        <item m="1" x="5773"/>
        <item m="1" x="6274"/>
        <item m="1" x="6779"/>
        <item m="1" x="7277"/>
        <item m="1" x="7779"/>
        <item m="1" x="358"/>
        <item m="1" x="861"/>
        <item m="1" x="1362"/>
        <item m="1" x="1860"/>
        <item m="1" x="2364"/>
        <item m="1" x="2873"/>
        <item m="1" x="3382"/>
        <item m="1" x="3897"/>
        <item m="1" x="4409"/>
        <item m="1" x="4908"/>
        <item m="1" x="5399"/>
        <item m="1" x="5892"/>
        <item m="1" x="6396"/>
        <item m="1" x="6900"/>
        <item m="1" x="7396"/>
        <item m="1" x="7899"/>
        <item m="1" x="480"/>
        <item m="1" x="985"/>
        <item m="1" x="1482"/>
        <item m="1" x="1983"/>
        <item m="1" x="2489"/>
        <item m="1" x="2997"/>
        <item m="1" x="3507"/>
        <item m="1" x="4025"/>
        <item m="1" x="4534"/>
        <item m="1" x="5028"/>
        <item m="1" x="5519"/>
        <item m="1" x="6013"/>
        <item m="1" x="6518"/>
        <item m="1" x="7020"/>
        <item m="1" x="7518"/>
        <item m="1" x="95"/>
        <item m="1" x="603"/>
        <item m="1" x="1109"/>
        <item m="1" x="1608"/>
        <item m="1" x="2108"/>
        <item m="1" x="2614"/>
        <item m="1" x="3123"/>
        <item m="1" x="3633"/>
        <item m="1" x="4148"/>
        <item m="1" x="4650"/>
        <item m="1" x="5147"/>
        <item m="1" x="5639"/>
        <item m="1" x="6135"/>
        <item m="1" x="6640"/>
        <item m="1" x="7142"/>
        <item m="1" x="7643"/>
        <item m="1" x="217"/>
        <item m="1" x="721"/>
        <item m="1" x="1230"/>
        <item m="1" x="1728"/>
        <item m="1" x="2228"/>
        <item m="1" x="2733"/>
        <item m="1" x="3243"/>
        <item m="1" x="3756"/>
        <item m="1" x="4267"/>
        <item m="1" x="4767"/>
        <item m="1" x="5264"/>
        <item m="1" x="5757"/>
        <item m="1" x="6258"/>
        <item m="1" x="6762"/>
        <item m="1" x="7264"/>
        <item m="1" x="7762"/>
        <item m="1" x="340"/>
        <item m="1" x="843"/>
        <item m="1" x="1349"/>
        <item m="1" x="1845"/>
        <item m="1" x="2349"/>
        <item m="1" x="2857"/>
        <item m="1" x="3368"/>
        <item m="1" x="3882"/>
        <item m="1" x="4391"/>
        <item m="1" x="4890"/>
        <item m="1" x="5386"/>
        <item m="1" x="5877"/>
        <item m="1" x="6380"/>
        <item m="1" x="6884"/>
        <item m="1" x="7384"/>
        <item m="1" x="7883"/>
        <item m="1" x="461"/>
        <item m="1" x="967"/>
        <item m="1" x="1468"/>
        <item m="1" x="1967"/>
        <item m="1" x="2474"/>
        <item m="1" x="2981"/>
        <item m="1" x="3494"/>
        <item m="1" x="4009"/>
        <item m="1" x="4516"/>
        <item m="1" x="5009"/>
        <item m="1" x="5505"/>
        <item m="1" x="5998"/>
        <item m="1" x="6502"/>
        <item m="1" x="7002"/>
        <item m="1" x="7504"/>
        <item m="1" x="77"/>
        <item m="1" x="584"/>
        <item m="1" x="1087"/>
        <item m="1" x="1592"/>
        <item m="1" x="2091"/>
        <item m="1" x="4825"/>
        <item m="1" x="5318"/>
        <item m="1" x="5811"/>
        <item m="1" x="6314"/>
        <item m="1" x="6821"/>
        <item m="1" x="7316"/>
        <item m="1" x="7822"/>
        <item m="1" x="397"/>
        <item m="1" x="900"/>
        <item m="1" x="1398"/>
        <item m="1" x="1898"/>
        <item m="1" x="2405"/>
        <item m="1" x="2914"/>
        <item m="1" x="3423"/>
        <item m="1" x="3943"/>
        <item m="1" x="4451"/>
        <item m="1" x="4945"/>
        <item m="1" x="5436"/>
        <item m="1" x="5931"/>
        <item m="1" x="6436"/>
        <item m="1" x="6939"/>
        <item m="1" x="7436"/>
        <item m="1" x="7943"/>
        <item m="1" x="521"/>
        <item m="1" x="1023"/>
        <item m="1" x="1521"/>
        <item m="1" x="2022"/>
        <item m="1" x="2532"/>
        <item m="1" x="3038"/>
        <item m="1" x="3549"/>
        <item m="1" x="4069"/>
        <item m="1" x="4573"/>
        <item m="1" x="5065"/>
        <item m="1" x="5555"/>
        <item m="1" x="6053"/>
        <item m="1" x="6558"/>
        <item m="1" x="7060"/>
        <item m="1" x="7559"/>
        <item m="1" x="138"/>
        <item m="1" x="644"/>
        <item m="1" x="1148"/>
        <item m="1" x="1646"/>
        <item m="1" x="2146"/>
        <item m="1" x="2656"/>
        <item m="1" x="3162"/>
        <item m="1" x="3672"/>
        <item m="1" x="4188"/>
        <item m="1" x="4689"/>
        <item m="1" x="5184"/>
        <item m="1" x="5676"/>
        <item m="1" x="6174"/>
        <item m="1" x="6681"/>
        <item m="1" x="7183"/>
        <item m="1" x="7683"/>
        <item m="1" x="259"/>
        <item m="1" x="761"/>
        <item m="1" x="1267"/>
        <item m="1" x="1765"/>
        <item m="1" x="2264"/>
        <item m="1" x="2773"/>
        <item m="1" x="3285"/>
        <item m="1" x="3797"/>
        <item m="1" x="4310"/>
        <item m="1" x="4808"/>
        <item m="1" x="5304"/>
        <item m="1" x="5796"/>
        <item m="1" x="6296"/>
        <item m="1" x="6804"/>
        <item m="1" x="7304"/>
        <item m="1" x="7805"/>
        <item m="1" x="382"/>
        <item m="1" x="885"/>
        <item m="1" x="1387"/>
        <item m="1" x="1883"/>
        <item m="1" x="2387"/>
        <item m="1" x="2898"/>
        <item m="1" x="3411"/>
        <item m="1" x="3925"/>
        <item m="1" x="4435"/>
        <item m="1" x="4931"/>
        <item m="1" x="5423"/>
        <item m="1" x="5916"/>
        <item m="1" x="6419"/>
        <item m="1" x="6924"/>
        <item m="1" x="7424"/>
        <item m="1" x="7925"/>
        <item m="1" x="504"/>
        <item m="1" x="1008"/>
        <item m="1" x="1508"/>
        <item m="1" x="2007"/>
        <item m="1" x="2514"/>
        <item m="1" x="3022"/>
        <item m="1" x="3536"/>
        <item m="1" x="4053"/>
        <item m="1" x="4557"/>
        <item m="1" x="5051"/>
        <item m="1" x="5542"/>
        <item m="1" x="6038"/>
        <item m="1" x="6540"/>
        <item m="1" x="7042"/>
        <item m="1" x="7546"/>
        <item m="1" x="122"/>
        <item m="1" x="626"/>
        <item m="1" x="1131"/>
        <item m="1" x="1631"/>
        <item m="1" x="2132"/>
        <item m="1" x="2636"/>
        <item m="1" x="3146"/>
        <item m="1" x="3659"/>
        <item m="1" x="4173"/>
        <item m="1" x="4673"/>
        <item m="1" x="5170"/>
        <item m="1" x="5663"/>
        <item m="1" x="6160"/>
        <item m="1" x="6664"/>
        <item m="1" x="7167"/>
        <item m="1" x="7671"/>
        <item m="1" x="244"/>
        <item m="1" x="747"/>
        <item m="1" x="1253"/>
        <item m="1" x="1754"/>
        <item m="1" x="2252"/>
        <item m="1" x="2757"/>
        <item m="1" x="3270"/>
        <item m="1" x="3786"/>
        <item m="1" x="4296"/>
        <item m="1" x="4794"/>
        <item m="1" x="5290"/>
        <item m="1" x="5785"/>
        <item m="1" x="6284"/>
        <item m="1" x="6789"/>
        <item m="1" x="7288"/>
        <item m="1" x="7794"/>
        <item m="1" x="369"/>
        <item m="1" x="871"/>
        <item m="1" x="1372"/>
        <item m="1" x="1872"/>
        <item m="1" x="2374"/>
        <item m="1" x="2882"/>
        <item m="1" x="3394"/>
        <item m="1" x="3914"/>
        <item m="1" x="4421"/>
        <item m="1" x="4917"/>
        <item m="1" x="5409"/>
        <item m="1" x="5903"/>
        <item m="1" x="6406"/>
        <item m="1" x="6909"/>
        <item m="1" x="7407"/>
        <item m="1" x="7912"/>
        <item m="1" x="490"/>
        <item m="1" x="994"/>
        <item m="1" x="1492"/>
        <item m="1" x="1993"/>
        <item m="1" x="2500"/>
        <item m="1" x="3005"/>
        <item m="1" x="3518"/>
        <item m="1" x="4038"/>
        <item m="1" x="4545"/>
        <item m="1" x="5037"/>
        <item m="1" x="5529"/>
        <item m="1" x="6024"/>
        <item m="1" x="6529"/>
        <item m="1" x="7028"/>
        <item m="1" x="7530"/>
        <item m="1" x="108"/>
        <item m="1" x="615"/>
        <item m="1" x="1118"/>
        <item m="1" x="1617"/>
        <item m="1" x="2119"/>
        <item m="1" x="2625"/>
        <item m="1" x="3131"/>
        <item m="1" x="3643"/>
        <item m="1" x="4161"/>
        <item m="1" x="4661"/>
        <item m="1" x="5155"/>
        <item m="1" x="5649"/>
        <item m="1" x="6147"/>
        <item m="1" x="6652"/>
        <item m="1" x="7152"/>
        <item m="1" x="7655"/>
        <item m="1" x="231"/>
        <item m="1" x="735"/>
        <item m="1" x="1240"/>
        <item m="1" x="1740"/>
        <item m="1" x="2240"/>
        <item m="1" x="2746"/>
        <item m="1" x="3254"/>
        <item m="1" x="3768"/>
        <item m="1" x="4281"/>
        <item m="1" x="4781"/>
        <item m="1" x="5275"/>
        <item m="1" x="5769"/>
        <item m="1" x="6269"/>
        <item m="1" x="6775"/>
        <item m="1" x="7273"/>
        <item m="1" x="7774"/>
        <item m="1" x="352"/>
        <item m="1" x="857"/>
        <item m="1" x="1357"/>
        <item m="1" x="1855"/>
        <item m="1" x="2359"/>
        <item m="1" x="2869"/>
        <item m="1" x="3377"/>
        <item m="1" x="3892"/>
        <item m="1" x="4403"/>
        <item m="1" x="4903"/>
        <item m="1" x="5393"/>
        <item m="1" x="5888"/>
        <item m="1" x="6390"/>
        <item m="1" x="6896"/>
        <item m="1" x="7392"/>
        <item m="1" x="7894"/>
        <item m="1" x="474"/>
        <item m="1" x="981"/>
        <item m="1" x="1477"/>
        <item m="1" x="1978"/>
        <item m="1" x="2484"/>
        <item m="1" x="2993"/>
        <item m="1" x="3502"/>
        <item m="1" x="4020"/>
        <item m="1" x="4528"/>
        <item m="1" x="5024"/>
        <item m="1" x="5514"/>
        <item m="1" x="6009"/>
        <item m="1" x="6513"/>
        <item m="1" x="7015"/>
        <item m="1" x="7514"/>
        <item m="1" x="90"/>
        <item m="1" x="597"/>
        <item m="1" x="1104"/>
        <item m="1" x="1604"/>
        <item m="1" x="2103"/>
        <item m="1" x="2609"/>
        <item m="1" x="3118"/>
        <item m="1" x="3628"/>
        <item m="1" x="4142"/>
        <item m="1" x="4644"/>
        <item m="1" x="5141"/>
        <item m="1" x="5634"/>
        <item m="1" x="6131"/>
        <item m="1" x="6635"/>
        <item m="1" x="7136"/>
        <item m="1" x="7639"/>
        <item m="1" x="212"/>
        <item m="1" x="2925"/>
        <item m="1" x="3438"/>
        <item m="1" x="3958"/>
        <item m="1" x="4463"/>
        <item m="1" x="4955"/>
        <item m="1" x="5447"/>
        <item m="1" x="5944"/>
        <item m="1" x="6447"/>
        <item m="1" x="6948"/>
        <item m="1" x="7449"/>
        <item m="1" x="7955"/>
        <item m="1" x="531"/>
        <item m="1" x="1033"/>
        <item m="1" x="1532"/>
        <item m="1" x="2036"/>
        <item m="1" x="2543"/>
        <item m="1" x="3047"/>
        <item m="1" x="3562"/>
        <item m="1" x="4082"/>
        <item m="1" x="4583"/>
        <item m="1" x="5073"/>
        <item m="1" x="5566"/>
        <item m="1" x="6066"/>
        <item m="1" x="6569"/>
        <item m="1" x="7068"/>
        <item m="1" x="7572"/>
        <item m="1" x="150"/>
        <item m="1" x="654"/>
        <item m="1" x="1156"/>
        <item m="1" x="1658"/>
        <item m="1" x="2159"/>
        <item m="1" x="2667"/>
        <item m="1" x="3171"/>
        <item m="1" x="3686"/>
        <item m="1" x="4201"/>
        <item m="1" x="4701"/>
        <item m="1" x="5192"/>
        <item m="1" x="5687"/>
        <item m="1" x="6189"/>
        <item m="1" x="6695"/>
        <item m="1" x="7193"/>
        <item m="1" x="7696"/>
        <item m="1" x="273"/>
        <item m="1" x="775"/>
        <item m="1" x="1277"/>
        <item m="1" x="1777"/>
        <item m="1" x="2278"/>
        <item m="1" x="2788"/>
        <item m="1" x="3295"/>
        <item m="1" x="3810"/>
        <item m="1" x="4324"/>
        <item m="1" x="4821"/>
        <item m="1" x="5314"/>
        <item m="1" x="5807"/>
        <item m="1" x="6309"/>
        <item m="1" x="6817"/>
        <item m="1" x="7311"/>
        <item m="1" x="7817"/>
        <item m="1" x="393"/>
        <item m="1" x="896"/>
        <item m="1" x="1395"/>
        <item m="1" x="1894"/>
        <item m="1" x="2400"/>
        <item m="1" x="2910"/>
        <item m="1" x="3419"/>
        <item m="1" x="3938"/>
        <item m="1" x="4447"/>
        <item m="1" x="4942"/>
        <item m="1" x="5432"/>
        <item m="1" x="5926"/>
        <item m="1" x="6431"/>
        <item m="1" x="6936"/>
        <item m="1" x="7432"/>
        <item m="1" x="7938"/>
        <item m="1" x="517"/>
        <item m="1" x="1020"/>
        <item m="1" x="1518"/>
        <item m="1" x="2018"/>
        <item m="1" x="2527"/>
        <item m="1" x="3035"/>
        <item m="1" x="3545"/>
        <item m="1" x="4064"/>
        <item m="1" x="4569"/>
        <item m="1" x="5062"/>
        <item m="1" x="5551"/>
        <item m="1" x="6048"/>
        <item m="1" x="6553"/>
        <item m="1" x="7055"/>
        <item m="1" x="7555"/>
        <item m="1" x="133"/>
        <item m="1" x="640"/>
        <item m="1" x="1144"/>
        <item m="1" x="1643"/>
        <item m="1" x="2142"/>
        <item m="1" x="2650"/>
        <item m="1" x="3158"/>
        <item m="1" x="3669"/>
        <item m="1" x="4183"/>
        <item m="1" x="4685"/>
        <item m="1" x="5180"/>
        <item m="1" x="5672"/>
        <item m="1" x="6169"/>
        <item m="1" x="6676"/>
        <item m="1" x="7179"/>
        <item m="1" x="7681"/>
        <item m="1" x="254"/>
        <item m="1" x="759"/>
        <item m="1" x="1264"/>
        <item m="1" x="1764"/>
        <item m="1" x="2261"/>
        <item m="1" x="2770"/>
        <item m="1" x="3282"/>
        <item m="1" x="3796"/>
        <item m="1" x="4306"/>
        <item m="1" x="4806"/>
        <item m="1" x="5301"/>
        <item m="1" x="5794"/>
        <item m="1" x="6292"/>
        <item m="1" x="6801"/>
        <item m="1" x="7300"/>
        <item m="1" x="7803"/>
        <item m="1" x="378"/>
        <item m="1" x="883"/>
        <item m="1" x="1383"/>
        <item m="1" x="1882"/>
        <item m="1" x="2384"/>
        <item m="1" x="2895"/>
        <item m="1" x="3408"/>
        <item m="1" x="3924"/>
        <item m="1" x="4431"/>
        <item m="1" x="4928"/>
        <item m="1" x="5420"/>
        <item m="1" x="5914"/>
        <item m="1" x="6415"/>
        <item m="1" x="6921"/>
        <item m="1" x="7421"/>
        <item m="1" x="7924"/>
        <item m="1" x="500"/>
        <item m="1" x="1005"/>
        <item m="1" x="1505"/>
        <item m="1" x="2005"/>
        <item m="1" x="2512"/>
        <item m="1" x="3018"/>
        <item m="1" x="3533"/>
        <item m="1" x="4051"/>
        <item m="1" x="4554"/>
        <item m="1" x="5047"/>
        <item m="1" x="5539"/>
        <item m="1" x="6035"/>
        <item m="1" x="6537"/>
        <item m="1" x="7038"/>
        <item m="1" x="7543"/>
        <item m="1" x="119"/>
        <item m="1" x="623"/>
        <item m="1" x="1128"/>
        <item m="1" x="1628"/>
        <item m="1" x="2129"/>
        <item m="1" x="2634"/>
        <item m="1" x="3142"/>
        <item m="1" x="3656"/>
        <item m="1" x="4171"/>
        <item m="1" x="4670"/>
        <item m="1" x="5166"/>
        <item m="1" x="5660"/>
        <item m="1" x="6157"/>
        <item m="1" x="6661"/>
        <item m="1" x="7163"/>
        <item m="1" x="7668"/>
        <item m="1" x="242"/>
        <item m="1" x="744"/>
        <item m="1" x="1250"/>
        <item m="1" x="1751"/>
        <item m="1" x="2250"/>
        <item m="1" x="2755"/>
        <item m="1" x="3266"/>
        <item m="1" x="3782"/>
        <item m="1" x="4294"/>
        <item m="1" x="4791"/>
        <item m="1" x="5286"/>
        <item m="1" x="5782"/>
        <item m="1" x="6282"/>
        <item m="1" x="6786"/>
        <item m="1" x="7284"/>
        <item m="1" x="7790"/>
        <item m="1" x="366"/>
        <item m="1" x="867"/>
        <item m="1" x="1369"/>
        <item m="1" x="1868"/>
        <item m="1" x="2372"/>
        <item m="1" x="2880"/>
        <item m="1" x="3389"/>
        <item m="1" x="3907"/>
        <item m="1" x="4417"/>
        <item m="1" x="4913"/>
        <item m="1" x="5405"/>
        <item m="1" x="5899"/>
        <item m="1" x="6403"/>
        <item m="1" x="6905"/>
        <item m="1" x="7403"/>
        <item m="1" x="7907"/>
        <item m="1" x="487"/>
        <item m="1" x="990"/>
        <item m="1" x="1489"/>
        <item m="1" x="1989"/>
        <item m="1" x="2497"/>
        <item m="1" x="3002"/>
        <item m="1" x="3514"/>
        <item m="1" x="4033"/>
        <item m="1" x="4542"/>
        <item m="1" x="5033"/>
        <item m="1" x="5525"/>
        <item m="1" x="6020"/>
        <item m="1" x="6526"/>
        <item m="1" x="7024"/>
        <item m="1" x="7525"/>
        <item m="1" x="103"/>
        <item m="1" x="611"/>
        <item m="1" x="1113"/>
        <item m="1" x="1614"/>
        <item m="1" x="2115"/>
        <item m="1" x="2621"/>
        <item m="1" x="3128"/>
        <item m="1" x="3639"/>
        <item m="1" x="4156"/>
        <item m="1" x="4658"/>
        <item m="1" x="5151"/>
        <item m="1" x="5645"/>
        <item m="1" x="6143"/>
        <item m="1" x="6648"/>
        <item m="1" x="7148"/>
        <item m="1" x="7651"/>
        <item m="1" x="226"/>
        <item m="1" x="731"/>
        <item m="1" x="1237"/>
        <item m="1" x="1737"/>
        <item m="1" x="2236"/>
        <item m="1" x="2742"/>
        <item m="1" x="3251"/>
        <item m="1" x="3764"/>
        <item m="1" x="4276"/>
        <item m="1" x="4777"/>
        <item m="1" x="5272"/>
        <item m="1" x="5765"/>
        <item m="1" x="6266"/>
        <item m="1" x="6771"/>
        <item m="1" x="1548"/>
        <item m="1" x="2048"/>
        <item m="1" x="2555"/>
        <item m="1" x="3062"/>
        <item m="1" x="3576"/>
        <item m="1" x="4093"/>
        <item m="1" x="4593"/>
        <item m="1" x="5084"/>
        <item m="1" x="5579"/>
        <item m="1" x="6076"/>
        <item m="1" x="6579"/>
        <item m="1" x="7082"/>
        <item m="1" x="7585"/>
        <item m="1" x="161"/>
        <item m="1" x="663"/>
        <item m="1" x="1167"/>
        <item m="1" x="1671"/>
        <item m="1" x="2170"/>
        <item m="1" x="2677"/>
        <item m="1" x="3184"/>
        <item m="1" x="3701"/>
        <item m="1" x="4213"/>
        <item m="1" x="4710"/>
        <item m="1" x="5204"/>
        <item m="1" x="5700"/>
        <item m="1" x="6201"/>
        <item m="1" x="6705"/>
        <item m="1" x="7206"/>
        <item m="1" x="7710"/>
        <item m="1" x="284"/>
        <item m="1" x="784"/>
        <item m="1" x="1288"/>
        <item m="1" x="1790"/>
        <item m="1" x="2289"/>
        <item m="1" x="2797"/>
        <item m="1" x="3309"/>
        <item m="1" x="3825"/>
        <item m="1" x="4335"/>
        <item m="1" x="4832"/>
        <item m="1" x="5326"/>
        <item m="1" x="5821"/>
        <item m="1" x="6322"/>
        <item m="1" x="6827"/>
        <item m="1" x="7325"/>
        <item m="1" x="7832"/>
        <item m="1" x="405"/>
        <item m="1" x="907"/>
        <item m="1" x="1406"/>
        <item m="1" x="1908"/>
        <item m="1" x="2413"/>
        <item m="1" x="2921"/>
        <item m="1" x="3432"/>
        <item m="1" x="3953"/>
        <item m="1" x="4459"/>
        <item m="1" x="4952"/>
        <item m="1" x="5443"/>
        <item m="1" x="5939"/>
        <item m="1" x="6444"/>
        <item m="1" x="6944"/>
        <item m="1" x="7444"/>
        <item m="1" x="7951"/>
        <item m="1" x="528"/>
        <item m="1" x="1029"/>
        <item m="1" x="1528"/>
        <item m="1" x="2031"/>
        <item m="1" x="2539"/>
        <item m="1" x="3042"/>
        <item m="1" x="3557"/>
        <item m="1" x="4077"/>
        <item m="1" x="4580"/>
        <item m="1" x="5070"/>
        <item m="1" x="5562"/>
        <item m="1" x="6061"/>
        <item m="1" x="6566"/>
        <item m="1" x="7064"/>
        <item m="1" x="7567"/>
        <item m="1" x="146"/>
        <item m="1" x="651"/>
        <item m="1" x="1152"/>
        <item m="1" x="1653"/>
        <item m="1" x="2154"/>
        <item m="1" x="2664"/>
        <item m="1" x="3167"/>
        <item m="1" x="3681"/>
        <item m="1" x="4197"/>
        <item m="1" x="4697"/>
        <item m="1" x="5189"/>
        <item m="1" x="5683"/>
        <item m="1" x="6184"/>
        <item m="1" x="6691"/>
        <item m="1" x="7190"/>
        <item m="1" x="7691"/>
        <item m="1" x="269"/>
        <item m="1" x="771"/>
        <item m="1" x="1273"/>
        <item m="1" x="1772"/>
        <item m="1" x="2273"/>
        <item m="1" x="2783"/>
        <item m="1" x="3291"/>
        <item m="1" x="3805"/>
        <item m="1" x="4320"/>
        <item m="1" x="4816"/>
        <item m="1" x="5311"/>
        <item m="1" x="5803"/>
        <item m="1" x="6305"/>
        <item m="1" x="6813"/>
        <item m="1" x="7310"/>
        <item m="1" x="7813"/>
        <item m="1" x="391"/>
        <item m="1" x="893"/>
        <item m="1" x="1393"/>
        <item m="1" x="1890"/>
        <item m="1" x="2397"/>
        <item m="1" x="2907"/>
        <item m="1" x="3418"/>
        <item m="1" x="3934"/>
        <item m="1" x="4445"/>
        <item m="1" x="4939"/>
        <item m="1" x="5431"/>
        <item m="1" x="5923"/>
        <item m="1" x="6428"/>
        <item m="1" x="6933"/>
        <item m="1" x="7431"/>
        <item m="1" x="7934"/>
        <item m="1" x="513"/>
        <item m="1" x="1016"/>
        <item m="1" x="1516"/>
        <item m="1" x="2014"/>
        <item m="1" x="2524"/>
        <item m="1" x="3032"/>
        <item m="1" x="3543"/>
        <item m="1" x="4060"/>
        <item m="1" x="4567"/>
        <item m="1" x="5059"/>
        <item m="1" x="5549"/>
        <item m="1" x="6045"/>
        <item m="1" x="6549"/>
        <item m="1" x="7052"/>
        <item m="1" x="7553"/>
        <item m="1" x="130"/>
        <item m="1" x="636"/>
        <item m="1" x="1141"/>
        <item m="1" x="1640"/>
        <item m="1" x="2139"/>
        <item m="1" x="2646"/>
        <item m="1" x="3155"/>
        <item m="1" x="3667"/>
        <item m="1" x="4180"/>
        <item m="1" x="4682"/>
        <item m="1" x="5177"/>
        <item m="1" x="5670"/>
        <item m="1" x="6167"/>
        <item m="1" x="6672"/>
        <item m="1" x="7176"/>
        <item m="1" x="7679"/>
        <item m="1" x="251"/>
        <item m="1" x="755"/>
        <item m="1" x="1261"/>
        <item m="1" x="1761"/>
        <item m="1" x="2258"/>
        <item m="1" x="2766"/>
        <item m="1" x="3279"/>
        <item m="1" x="3793"/>
        <item m="1" x="4302"/>
        <item m="1" x="4803"/>
        <item m="1" x="5297"/>
        <item m="1" x="5792"/>
        <item m="1" x="6290"/>
        <item m="1" x="6797"/>
        <item m="1" x="7297"/>
        <item m="1" x="7801"/>
        <item m="1" x="375"/>
        <item m="1" x="879"/>
        <item m="1" x="1380"/>
        <item m="1" x="1880"/>
        <item m="1" x="2381"/>
        <item m="1" x="2891"/>
        <item m="1" x="3404"/>
        <item m="1" x="3922"/>
        <item m="1" x="4428"/>
        <item m="1" x="4925"/>
        <item m="1" x="5417"/>
        <item m="1" x="5912"/>
        <item m="1" x="6413"/>
        <item m="1" x="6917"/>
        <item m="1" x="7417"/>
        <item m="1" x="7922"/>
        <item m="1" x="497"/>
        <item m="1" x="1001"/>
        <item m="1" x="1501"/>
        <item m="1" x="2002"/>
        <item m="1" x="2507"/>
        <item m="1" x="3013"/>
        <item m="1" x="3527"/>
        <item m="1" x="4046"/>
        <item m="1" x="4549"/>
        <item m="1" x="5044"/>
        <item m="1" x="5535"/>
        <item m="1" x="6031"/>
        <item m="1" x="6534"/>
        <item m="1" x="7034"/>
        <item m="1" x="7538"/>
        <item m="1" x="115"/>
        <item m="1" x="619"/>
        <item m="1" x="1124"/>
        <item m="1" x="1624"/>
        <item m="1" x="2126"/>
        <item m="1" x="2630"/>
        <item m="1" x="3138"/>
        <item m="1" x="3651"/>
        <item m="1" x="4168"/>
        <item m="1" x="4666"/>
        <item m="1" x="5163"/>
        <item m="1" x="5656"/>
        <item m="1" x="6154"/>
        <item m="1" x="6658"/>
        <item m="1" x="7159"/>
        <item m="1" x="7663"/>
        <item m="1" x="239"/>
        <item m="1" x="740"/>
        <item m="1" x="1246"/>
        <item m="1" x="1747"/>
        <item m="1" x="2247"/>
        <item m="1" x="2751"/>
        <item m="1" x="3261"/>
        <item m="1" x="3777"/>
        <item m="1" x="4289"/>
        <item m="1" x="4787"/>
        <item m="1" x="5283"/>
        <item m="1" x="5778"/>
        <item m="1" x="6278"/>
        <item m="1" x="6783"/>
        <item m="1" x="7280"/>
        <item m="1" x="7784"/>
        <item m="1" x="362"/>
        <item m="1" x="864"/>
        <item m="1" x="1365"/>
        <item m="1" x="1864"/>
        <item m="1" x="2368"/>
        <item m="1" x="2876"/>
        <item m="1" x="3385"/>
        <item m="1" x="3902"/>
        <item m="1" x="4413"/>
        <item m="1" x="4911"/>
        <item m="1" x="7599"/>
        <item m="1" x="175"/>
        <item m="1" x="677"/>
        <item m="1" x="1182"/>
        <item m="1" x="1685"/>
        <item m="1" x="2182"/>
        <item m="1" x="2690"/>
        <item m="1" x="3198"/>
        <item m="1" x="3712"/>
        <item m="1" x="4223"/>
        <item m="1" x="4721"/>
        <item m="1" x="5217"/>
        <item m="1" x="5711"/>
        <item m="1" x="6211"/>
        <item m="1" x="6718"/>
        <item m="1" x="7219"/>
        <item m="1" x="7720"/>
        <item m="1" x="295"/>
        <item m="1" x="796"/>
        <item m="1" x="1301"/>
        <item m="1" x="1800"/>
        <item m="1" x="2301"/>
        <item m="1" x="2812"/>
        <item m="1" x="3324"/>
        <item m="1" x="3836"/>
        <item m="1" x="4346"/>
        <item m="1" x="4843"/>
        <item m="1" x="5339"/>
        <item m="1" x="5832"/>
        <item m="1" x="6333"/>
        <item m="1" x="6840"/>
        <item m="1" x="7341"/>
        <item m="1" x="7842"/>
        <item m="1" x="416"/>
        <item m="1" x="919"/>
        <item m="1" x="1420"/>
        <item m="1" x="1921"/>
        <item m="1" x="2424"/>
        <item m="1" x="2934"/>
        <item m="1" x="3450"/>
        <item m="1" x="3966"/>
        <item m="1" x="4471"/>
        <item m="1" x="4963"/>
        <item m="1" x="5458"/>
        <item m="1" x="5952"/>
        <item m="1" x="6454"/>
        <item m="1" x="6957"/>
        <item m="1" x="7460"/>
        <item m="1" x="7963"/>
        <item m="1" x="539"/>
        <item m="1" x="1041"/>
        <item m="1" x="1542"/>
        <item m="1" x="2044"/>
        <item m="1" x="2550"/>
        <item m="1" x="3056"/>
        <item m="1" x="3571"/>
        <item m="1" x="4089"/>
        <item m="1" x="4589"/>
        <item m="1" x="5080"/>
        <item m="1" x="5574"/>
        <item m="1" x="6073"/>
        <item m="1" x="6575"/>
        <item m="1" x="7077"/>
        <item m="1" x="7581"/>
        <item m="1" x="158"/>
        <item m="1" x="660"/>
        <item m="1" x="1163"/>
        <item m="1" x="1666"/>
        <item m="1" x="2167"/>
        <item m="1" x="2673"/>
        <item m="1" x="3179"/>
        <item m="1" x="3697"/>
        <item m="1" x="4210"/>
        <item m="1" x="4706"/>
        <item m="1" x="5199"/>
        <item m="1" x="5695"/>
        <item m="1" x="6197"/>
        <item m="1" x="6700"/>
        <item m="1" x="7201"/>
        <item m="1" x="7706"/>
        <item m="1" x="280"/>
        <item m="1" x="781"/>
        <item m="1" x="1284"/>
        <item m="1" x="1785"/>
        <item m="1" x="2286"/>
        <item m="1" x="2793"/>
        <item m="1" x="3303"/>
        <item m="1" x="3821"/>
        <item m="1" x="4331"/>
        <item m="1" x="4828"/>
        <item m="1" x="5321"/>
        <item m="1" x="5816"/>
        <item m="1" x="6318"/>
        <item m="1" x="6824"/>
        <item m="1" x="7320"/>
        <item m="1" x="7828"/>
        <item m="1" x="401"/>
        <item m="1" x="904"/>
        <item m="1" x="1402"/>
        <item m="1" x="1903"/>
        <item m="1" x="2409"/>
        <item m="1" x="2918"/>
        <item m="1" x="3427"/>
        <item m="1" x="3949"/>
        <item m="1" x="4455"/>
        <item m="1" x="4949"/>
        <item m="1" x="5439"/>
        <item m="1" x="5936"/>
        <item m="1" x="6440"/>
        <item m="1" x="6942"/>
        <item m="1" x="7440"/>
        <item m="1" x="7949"/>
        <item m="1" x="525"/>
        <item m="1" x="1027"/>
        <item m="1" x="1525"/>
        <item m="1" x="2027"/>
        <item m="1" x="2536"/>
        <item m="1" x="3041"/>
        <item m="1" x="3553"/>
        <item m="1" x="4075"/>
        <item m="1" x="4577"/>
        <item m="1" x="5068"/>
        <item m="1" x="5558"/>
        <item m="1" x="6058"/>
        <item m="1" x="6563"/>
        <item m="1" x="7063"/>
        <item m="1" x="7563"/>
        <item m="1" x="144"/>
        <item m="1" x="648"/>
        <item m="1" x="1151"/>
        <item m="1" x="1650"/>
        <item m="1" x="2151"/>
        <item m="1" x="2661"/>
        <item m="1" x="3166"/>
        <item m="1" x="3677"/>
        <item m="1" x="4194"/>
        <item m="1" x="4694"/>
        <item m="1" x="5187"/>
        <item m="1" x="5679"/>
        <item m="1" x="6180"/>
        <item m="1" x="6688"/>
        <item m="1" x="7187"/>
        <item m="1" x="7688"/>
        <item m="1" x="266"/>
        <item m="1" x="767"/>
        <item m="1" x="1271"/>
        <item m="1" x="1770"/>
        <item m="1" x="2269"/>
        <item m="1" x="2779"/>
        <item m="1" x="3289"/>
        <item m="1" x="3802"/>
        <item m="1" x="4316"/>
        <item m="1" x="4813"/>
        <item m="1" x="5308"/>
        <item m="1" x="5800"/>
        <item m="1" x="6301"/>
        <item m="1" x="6810"/>
        <item m="1" x="7308"/>
        <item m="1" x="7810"/>
        <item m="1" x="388"/>
        <item m="1" x="890"/>
        <item m="1" x="1391"/>
        <item m="1" x="1888"/>
        <item m="1" x="2393"/>
        <item m="1" x="2904"/>
        <item m="1" x="3416"/>
        <item m="1" x="3931"/>
        <item m="1" x="4441"/>
        <item m="1" x="4936"/>
        <item m="1" x="5428"/>
        <item m="1" x="5920"/>
        <item m="1" x="6424"/>
        <item m="1" x="6930"/>
        <item m="1" x="7428"/>
        <item m="1" x="7930"/>
        <item m="1" x="510"/>
        <item m="1" x="1013"/>
        <item m="1" x="1513"/>
        <item m="1" x="2012"/>
        <item m="1" x="2520"/>
        <item m="1" x="3028"/>
        <item m="1" x="3541"/>
        <item m="1" x="4057"/>
        <item m="1" x="4563"/>
        <item m="1" x="5056"/>
        <item m="1" x="5547"/>
        <item m="1" x="6042"/>
        <item m="1" x="6545"/>
        <item m="1" x="7048"/>
        <item m="1" x="7551"/>
        <item m="1" x="126"/>
        <item m="1" x="632"/>
        <item m="1" x="1136"/>
        <item m="1" x="1636"/>
        <item m="1" x="2135"/>
        <item m="1" x="2641"/>
        <item m="1" x="3150"/>
        <item m="1" x="3664"/>
        <item m="1" x="4176"/>
        <item m="1" x="4678"/>
        <item m="1" x="5173"/>
        <item m="1" x="5667"/>
        <item m="1" x="6163"/>
        <item m="1" x="6668"/>
        <item m="1" x="7171"/>
        <item m="1" x="7675"/>
        <item m="1" x="246"/>
        <item m="1" x="752"/>
        <item m="1" x="1256"/>
        <item m="1" x="1758"/>
        <item m="1" x="2255"/>
        <item m="1" x="2762"/>
        <item m="1" x="3274"/>
        <item m="1" x="3790"/>
        <item m="1" x="4298"/>
        <item m="1" x="4799"/>
        <item m="1" x="5293"/>
        <item m="1" x="5789"/>
        <item m="1" x="6286"/>
        <item m="1" x="6793"/>
        <item m="1" x="7292"/>
        <item m="1" x="7798"/>
        <item m="1" x="371"/>
        <item m="1" x="876"/>
        <item m="1" x="1376"/>
        <item m="1" x="1876"/>
        <item m="1" x="2378"/>
        <item m="1" x="2887"/>
        <item m="1" x="3399"/>
        <item m="1" x="3918"/>
        <item m="1" x="4425"/>
        <item m="1" x="4921"/>
        <item m="1" x="5413"/>
        <item m="1" x="5908"/>
        <item m="1" x="6409"/>
        <item m="1" x="6912"/>
        <item m="1" x="7412"/>
        <item m="1" x="7917"/>
        <item m="1" x="493"/>
        <item m="1" x="998"/>
        <item m="1" x="1497"/>
        <item m="1" x="1997"/>
        <item m="1" x="2504"/>
        <item m="1" x="3009"/>
        <item m="1" x="3523"/>
        <item m="1" x="5724"/>
        <item m="1" x="6227"/>
        <item m="1" x="6733"/>
        <item m="1" x="7231"/>
        <item m="1" x="7732"/>
        <item m="1" x="308"/>
        <item m="1" x="811"/>
        <item m="1" x="1313"/>
        <item m="1" x="1812"/>
        <item m="1" x="2315"/>
        <item m="1" x="2826"/>
        <item m="1" x="3335"/>
        <item m="1" x="3849"/>
        <item m="1" x="4358"/>
        <item m="1" x="4857"/>
        <item m="1" x="5351"/>
        <item m="1" x="5844"/>
        <item m="1" x="6347"/>
        <item m="1" x="6855"/>
        <item m="1" x="7352"/>
        <item m="1" x="7853"/>
        <item m="1" x="429"/>
        <item m="1" x="934"/>
        <item m="1" x="1433"/>
        <item m="1" x="1933"/>
        <item m="1" x="2439"/>
        <item m="1" x="2949"/>
        <item m="1" x="3461"/>
        <item m="1" x="3977"/>
        <item m="1" x="4484"/>
        <item m="1" x="4976"/>
        <item m="1" x="5470"/>
        <item m="1" x="5964"/>
        <item m="1" x="6469"/>
        <item m="1" x="6972"/>
        <item m="1" x="7472"/>
        <item m="1" x="7974"/>
        <item m="1" x="551"/>
        <item m="1" x="1055"/>
        <item m="1" x="1557"/>
        <item m="1" x="2057"/>
        <item m="1" x="2565"/>
        <item m="1" x="3073"/>
        <item m="1" x="3586"/>
        <item m="1" x="4102"/>
        <item m="1" x="4602"/>
        <item m="1" x="5094"/>
        <item m="1" x="5590"/>
        <item m="1" x="6085"/>
        <item m="1" x="6589"/>
        <item m="1" x="7093"/>
        <item m="1" x="7595"/>
        <item m="1" x="170"/>
        <item m="1" x="672"/>
        <item m="1" x="1176"/>
        <item m="1" x="1680"/>
        <item m="1" x="2176"/>
        <item m="1" x="2685"/>
        <item m="1" x="3193"/>
        <item m="1" x="3708"/>
        <item m="1" x="4220"/>
        <item m="1" x="4717"/>
        <item m="1" x="5212"/>
        <item m="1" x="5707"/>
        <item m="1" x="6207"/>
        <item m="1" x="6713"/>
        <item m="1" x="7215"/>
        <item m="1" x="7717"/>
        <item m="1" x="291"/>
        <item m="1" x="791"/>
        <item m="1" x="1296"/>
        <item m="1" x="1797"/>
        <item m="1" x="2297"/>
        <item m="1" x="2807"/>
        <item m="1" x="3320"/>
        <item m="1" x="3833"/>
        <item m="1" x="4343"/>
        <item m="1" x="4839"/>
        <item m="1" x="5334"/>
        <item m="1" x="5829"/>
        <item m="1" x="6329"/>
        <item m="1" x="6835"/>
        <item m="1" x="7336"/>
        <item m="1" x="7839"/>
        <item m="1" x="412"/>
        <item m="1" x="914"/>
        <item m="1" x="1415"/>
        <item m="1" x="1916"/>
        <item m="1" x="2420"/>
        <item m="1" x="2929"/>
        <item m="1" x="3445"/>
        <item m="1" x="3962"/>
        <item m="1" x="4468"/>
        <item m="1" x="4959"/>
        <item m="1" x="5452"/>
        <item m="1" x="5948"/>
        <item m="1" x="6451"/>
        <item m="1" x="6952"/>
        <item m="1" x="7455"/>
        <item m="1" x="7959"/>
        <item m="1" x="535"/>
        <item m="1" x="1036"/>
        <item m="1" x="1537"/>
        <item m="1" x="2040"/>
        <item m="1" x="2547"/>
        <item m="1" x="3051"/>
        <item m="1" x="3568"/>
        <item m="1" x="4086"/>
        <item m="1" x="4588"/>
        <item m="1" x="5077"/>
        <item m="1" x="5571"/>
        <item m="1" x="6070"/>
        <item m="1" x="6574"/>
        <item m="1" x="7073"/>
        <item m="1" x="7578"/>
        <item m="1" x="155"/>
        <item m="1" x="658"/>
        <item m="1" x="1159"/>
        <item m="1" x="1663"/>
        <item m="1" x="2163"/>
        <item m="1" x="2671"/>
        <item m="1" x="3175"/>
        <item m="1" x="3692"/>
        <item m="1" x="4205"/>
        <item m="1" x="4705"/>
        <item m="1" x="5196"/>
        <item m="1" x="5692"/>
        <item m="1" x="6194"/>
        <item m="1" x="6699"/>
        <item m="1" x="7197"/>
        <item m="1" x="7702"/>
        <item m="1" x="277"/>
        <item m="1" x="779"/>
        <item m="1" x="1280"/>
        <item m="1" x="1782"/>
        <item m="1" x="2283"/>
        <item m="1" x="2792"/>
        <item m="1" x="3299"/>
        <item m="1" x="3816"/>
        <item m="1" x="4328"/>
        <item m="1" x="4826"/>
        <item m="1" x="5319"/>
        <item m="1" x="5812"/>
        <item m="1" x="6315"/>
        <item m="1" x="6822"/>
        <item m="1" x="7317"/>
        <item m="1" x="7823"/>
        <item m="1" x="398"/>
        <item m="1" x="901"/>
        <item m="1" x="1399"/>
        <item m="1" x="1899"/>
        <item m="1" x="2406"/>
        <item m="1" x="2915"/>
        <item m="1" x="3424"/>
        <item m="1" x="3944"/>
        <item m="1" x="4452"/>
        <item m="1" x="4946"/>
        <item m="1" x="5437"/>
        <item m="1" x="5932"/>
        <item m="1" x="6437"/>
        <item m="1" x="6940"/>
        <item m="1" x="7437"/>
        <item m="1" x="7944"/>
        <item m="1" x="522"/>
        <item m="1" x="1024"/>
        <item m="1" x="1522"/>
        <item m="1" x="2023"/>
        <item m="1" x="2533"/>
        <item m="1" x="3039"/>
        <item m="1" x="3550"/>
        <item m="1" x="4070"/>
        <item m="1" x="4574"/>
        <item m="1" x="5066"/>
        <item m="1" x="5556"/>
        <item m="1" x="6054"/>
        <item m="1" x="6559"/>
        <item m="1" x="7061"/>
        <item m="1" x="7560"/>
        <item m="1" x="139"/>
        <item m="1" x="645"/>
        <item m="1" x="1149"/>
        <item m="1" x="1647"/>
        <item m="1" x="2147"/>
        <item m="1" x="2657"/>
        <item m="1" x="3163"/>
        <item m="1" x="3673"/>
        <item m="1" x="4189"/>
        <item m="1" x="4690"/>
        <item m="1" x="5185"/>
        <item m="1" x="5677"/>
        <item m="1" x="6175"/>
        <item m="1" x="6682"/>
        <item m="1" x="7184"/>
        <item m="1" x="7684"/>
        <item m="1" x="260"/>
        <item m="1" x="762"/>
        <item m="1" x="1268"/>
        <item m="1" x="1766"/>
        <item m="1" x="2265"/>
        <item m="1" x="2774"/>
        <item m="1" x="3286"/>
        <item m="1" x="3798"/>
        <item m="1" x="4311"/>
        <item m="1" x="4809"/>
        <item m="1" x="5305"/>
        <item m="1" x="5797"/>
        <item m="1" x="6297"/>
        <item m="1" x="6805"/>
        <item m="1" x="7305"/>
        <item m="1" x="7806"/>
        <item m="1" x="383"/>
        <item m="1" x="886"/>
        <item m="1" x="1388"/>
        <item m="1" x="1884"/>
        <item m="1" x="2388"/>
        <item m="1" x="2899"/>
        <item m="1" x="3412"/>
        <item m="1" x="3926"/>
        <item m="1" x="4436"/>
        <item m="1" x="4932"/>
        <item m="1" x="5424"/>
        <item m="1" x="5917"/>
        <item m="1" x="6420"/>
        <item m="1" x="6925"/>
        <item m="1" x="7425"/>
        <item m="1" x="7926"/>
        <item m="1" x="505"/>
        <item m="1" x="1009"/>
        <item m="1" x="1509"/>
        <item m="1" x="2008"/>
        <item m="1" x="2515"/>
        <item m="1" x="3023"/>
        <item m="1" x="3537"/>
        <item m="1" x="4054"/>
        <item m="1" x="4558"/>
        <item m="1" x="5052"/>
        <item m="1" x="5543"/>
        <item m="1" x="6039"/>
        <item m="1" x="6541"/>
        <item m="1" x="7043"/>
        <item m="1" x="7547"/>
        <item m="1" x="123"/>
        <item m="1" x="627"/>
        <item m="1" x="1132"/>
        <item m="1" x="1632"/>
        <item m="1" x="4372"/>
        <item m="1" x="4869"/>
        <item m="1" x="5362"/>
        <item m="1" x="5857"/>
        <item m="1" x="6361"/>
        <item m="1" x="6865"/>
        <item m="1" x="7363"/>
        <item m="1" x="7864"/>
        <item m="1" x="441"/>
        <item m="1" x="944"/>
        <item m="1" x="1444"/>
        <item m="1" x="1947"/>
        <item m="1" x="2452"/>
        <item m="1" x="2960"/>
        <item m="1" x="3471"/>
        <item m="1" x="3988"/>
        <item m="1" x="4496"/>
        <item m="1" x="4988"/>
        <item m="1" x="5481"/>
        <item m="1" x="5977"/>
        <item m="1" x="6483"/>
        <item m="1" x="6983"/>
        <item m="1" x="7483"/>
        <item m="1" x="7986"/>
        <item m="1" x="564"/>
        <item m="1" x="1067"/>
        <item m="1" x="1568"/>
        <item m="1" x="2070"/>
        <item m="1" x="2579"/>
        <item m="1" x="3084"/>
        <item m="1" x="3596"/>
        <item m="1" x="4113"/>
        <item m="1" x="4614"/>
        <item m="1" x="5105"/>
        <item m="1" x="5600"/>
        <item m="1" x="6099"/>
        <item m="1" x="6603"/>
        <item m="1" x="7104"/>
        <item m="1" x="7607"/>
        <item m="1" x="183"/>
        <item m="1" x="686"/>
        <item m="1" x="1190"/>
        <item m="1" x="1692"/>
        <item m="1" x="2191"/>
        <item m="1" x="2700"/>
        <item m="1" x="3206"/>
        <item m="1" x="3720"/>
        <item m="1" x="4231"/>
        <item m="1" x="4730"/>
        <item m="1" x="5225"/>
        <item m="1" x="5719"/>
        <item m="1" x="6220"/>
        <item m="1" x="6728"/>
        <item m="1" x="7227"/>
        <item m="1" x="7728"/>
        <item m="1" x="302"/>
        <item m="1" x="805"/>
        <item m="1" x="1309"/>
        <item m="1" x="1807"/>
        <item m="1" x="2309"/>
        <item m="1" x="2821"/>
        <item m="1" x="3331"/>
        <item m="1" x="3844"/>
        <item m="1" x="4353"/>
        <item m="1" x="4852"/>
        <item m="1" x="5346"/>
        <item m="1" x="5838"/>
        <item m="1" x="6341"/>
        <item m="1" x="6849"/>
        <item m="1" x="7348"/>
        <item m="1" x="7849"/>
        <item m="1" x="424"/>
        <item m="1" x="928"/>
        <item m="1" x="1429"/>
        <item m="1" x="1928"/>
        <item m="1" x="2433"/>
        <item m="1" x="2944"/>
        <item m="1" x="3457"/>
        <item m="1" x="3972"/>
        <item m="1" x="4478"/>
        <item m="1" x="4971"/>
        <item m="1" x="5466"/>
        <item m="1" x="5959"/>
        <item m="1" x="6463"/>
        <item m="1" x="6967"/>
        <item m="1" x="7468"/>
        <item m="1" x="7970"/>
        <item m="1" x="546"/>
        <item m="1" x="1050"/>
        <item m="1" x="1552"/>
        <item m="1" x="2053"/>
        <item m="1" x="2559"/>
        <item m="1" x="3068"/>
        <item m="1" x="3581"/>
        <item m="1" x="4097"/>
        <item m="1" x="4596"/>
        <item m="1" x="5089"/>
        <item m="1" x="5584"/>
        <item m="1" x="6080"/>
        <item m="1" x="6583"/>
        <item m="1" x="7088"/>
        <item m="1" x="7589"/>
        <item m="1" x="166"/>
        <item m="1" x="667"/>
        <item m="1" x="1172"/>
        <item m="1" x="1675"/>
        <item m="1" x="2174"/>
        <item m="1" x="2681"/>
        <item m="1" x="3190"/>
        <item m="1" x="3705"/>
        <item m="1" x="4217"/>
        <item m="1" x="4713"/>
        <item m="1" x="5209"/>
        <item m="1" x="5704"/>
        <item m="1" x="6205"/>
        <item m="1" x="6709"/>
        <item m="1" x="7212"/>
        <item m="1" x="7714"/>
        <item m="1" x="289"/>
        <item m="1" x="788"/>
        <item m="1" x="1293"/>
        <item m="1" x="1794"/>
        <item m="1" x="2294"/>
        <item m="1" x="2802"/>
        <item m="1" x="3315"/>
        <item m="1" x="3829"/>
        <item m="1" x="4340"/>
        <item m="1" x="4835"/>
        <item m="1" x="5331"/>
        <item m="1" x="5826"/>
        <item m="1" x="6326"/>
        <item m="1" x="6831"/>
        <item m="1" x="7332"/>
        <item m="1" x="7836"/>
        <item m="1" x="409"/>
        <item m="1" x="911"/>
        <item m="1" x="1411"/>
        <item m="1" x="1913"/>
        <item m="1" x="2417"/>
        <item m="1" x="2926"/>
        <item m="1" x="3439"/>
        <item m="1" x="3959"/>
        <item m="1" x="4464"/>
        <item m="1" x="4956"/>
        <item m="1" x="5448"/>
        <item m="1" x="5945"/>
        <item m="1" x="6448"/>
        <item m="1" x="6949"/>
        <item m="1" x="7450"/>
        <item m="1" x="7956"/>
        <item m="1" x="532"/>
        <item m="1" x="1034"/>
        <item m="1" x="1533"/>
        <item m="1" x="2037"/>
        <item m="1" x="2544"/>
        <item m="1" x="3048"/>
        <item m="1" x="3563"/>
        <item m="1" x="4083"/>
        <item m="1" x="4584"/>
        <item m="1" x="5074"/>
        <item m="1" x="5567"/>
        <item m="1" x="6067"/>
        <item m="1" x="6570"/>
        <item m="1" x="7069"/>
        <item m="1" x="7573"/>
        <item m="1" x="151"/>
        <item m="1" x="655"/>
        <item m="1" x="1157"/>
        <item m="1" x="1659"/>
        <item m="1" x="2160"/>
        <item m="1" x="2668"/>
        <item m="1" x="3172"/>
        <item m="1" x="3687"/>
        <item m="1" x="4202"/>
        <item m="1" x="4702"/>
        <item m="1" x="5193"/>
        <item m="1" x="5688"/>
        <item m="1" x="6190"/>
        <item m="1" x="6696"/>
        <item m="1" x="7194"/>
        <item m="1" x="7697"/>
        <item m="1" x="274"/>
        <item m="1" x="776"/>
        <item m="1" x="1278"/>
        <item m="1" x="1778"/>
        <item m="1" x="2279"/>
        <item m="1" x="2789"/>
        <item m="1" x="3296"/>
        <item m="1" x="3811"/>
        <item m="1" x="4325"/>
        <item m="1" x="4822"/>
        <item m="1" x="5315"/>
        <item m="1" x="5808"/>
        <item m="1" x="6310"/>
        <item m="1" x="6818"/>
        <item m="1" x="7312"/>
        <item m="1" x="7818"/>
        <item m="1" x="394"/>
        <item m="1" x="897"/>
        <item m="1" x="1396"/>
        <item m="1" x="1895"/>
        <item m="1" x="2401"/>
        <item m="1" x="2911"/>
        <item m="1" x="3420"/>
        <item m="1" x="3939"/>
        <item m="1" x="4448"/>
        <item m="1" x="4943"/>
        <item m="1" x="5433"/>
        <item m="1" x="5927"/>
        <item m="1" x="6432"/>
        <item m="1" x="6937"/>
        <item m="1" x="7433"/>
        <item m="1" x="7939"/>
        <item m="1" x="518"/>
        <item m="1" x="1021"/>
        <item m="1" x="1519"/>
        <item m="1" x="2019"/>
        <item m="1" x="2528"/>
        <item m="1" x="3036"/>
        <item m="1" x="3546"/>
        <item m="1" x="4065"/>
        <item m="1" x="4570"/>
        <item m="1" x="5063"/>
        <item m="1" x="5552"/>
        <item m="1" x="6049"/>
        <item m="1" x="6554"/>
        <item m="1" x="7056"/>
        <item m="1" x="7556"/>
        <item m="1" x="134"/>
        <item m="1" x="641"/>
        <item m="1" x="1145"/>
        <item m="1" x="1644"/>
        <item m="1" x="2143"/>
        <item m="1" x="2651"/>
        <item m="1" x="3159"/>
        <item m="1" x="3670"/>
        <item m="1" x="4184"/>
        <item m="1" x="4686"/>
        <item m="1" x="5181"/>
        <item m="1" x="5673"/>
        <item m="1" x="6170"/>
        <item m="1" x="6677"/>
        <item m="1" x="7180"/>
        <item m="1" x="7682"/>
        <item m="1" x="255"/>
        <item m="1" x="2466"/>
        <item m="1" x="2973"/>
        <item m="1" x="3485"/>
        <item m="1" x="4002"/>
        <item m="1" x="4509"/>
        <item m="1" x="5000"/>
        <item m="1" x="5495"/>
        <item m="1" x="5992"/>
        <item m="1" x="6494"/>
        <item m="1" x="6994"/>
        <item m="1" x="7495"/>
        <item m="1" x="7999"/>
        <item m="1" x="576"/>
        <item m="1" x="1078"/>
        <item m="1" x="1582"/>
        <item m="1" x="2084"/>
        <item m="1" x="2589"/>
        <item m="1" x="3096"/>
        <item m="1" x="3608"/>
        <item m="1" x="4126"/>
        <item m="1" x="4624"/>
        <item m="1" x="5117"/>
        <item m="1" x="5615"/>
        <item m="1" x="6114"/>
        <item m="1" x="6615"/>
        <item m="1" x="7116"/>
        <item m="1" x="7619"/>
        <item m="1" x="196"/>
        <item m="1" x="697"/>
        <item m="1" x="1202"/>
        <item m="1" x="1706"/>
        <item m="1" x="2207"/>
        <item m="1" x="2712"/>
        <item m="1" x="3218"/>
        <item m="1" x="3733"/>
        <item m="1" x="4245"/>
        <item m="1" x="4743"/>
        <item m="1" x="5237"/>
        <item m="1" x="5734"/>
        <item m="1" x="6238"/>
        <item m="1" x="6741"/>
        <item m="1" x="7239"/>
        <item m="1" x="7740"/>
        <item m="1" x="318"/>
        <item m="1" x="819"/>
        <item m="1" x="1320"/>
        <item m="1" x="1821"/>
        <item m="1" x="2326"/>
        <item m="1" x="2834"/>
        <item m="1" x="3343"/>
        <item m="1" x="3857"/>
        <item m="1" x="4367"/>
        <item m="1" x="4865"/>
        <item m="1" x="5358"/>
        <item m="1" x="5852"/>
        <item m="1" x="6356"/>
        <item m="1" x="6862"/>
        <item m="1" x="7359"/>
        <item m="1" x="7860"/>
        <item m="1" x="437"/>
        <item m="1" x="941"/>
        <item m="1" x="1440"/>
        <item m="1" x="1942"/>
        <item m="1" x="2448"/>
        <item m="1" x="2957"/>
        <item m="1" x="3468"/>
        <item m="1" x="3984"/>
        <item m="1" x="4492"/>
        <item m="1" x="4985"/>
        <item m="1" x="5477"/>
        <item m="1" x="5972"/>
        <item m="1" x="6479"/>
        <item m="1" x="6980"/>
        <item m="1" x="7479"/>
        <item m="1" x="7981"/>
        <item m="1" x="560"/>
        <item m="1" x="1063"/>
        <item m="1" x="1563"/>
        <item m="1" x="2065"/>
        <item m="1" x="2575"/>
        <item m="1" x="3080"/>
        <item m="1" x="3593"/>
        <item m="1" x="4109"/>
        <item m="1" x="4610"/>
        <item m="1" x="5102"/>
        <item m="1" x="5596"/>
        <item m="1" x="6093"/>
        <item m="1" x="6599"/>
        <item m="1" x="7100"/>
        <item m="1" x="7603"/>
        <item m="1" x="178"/>
        <item m="1" x="682"/>
        <item m="1" x="1186"/>
        <item m="1" x="1689"/>
        <item m="1" x="2186"/>
        <item m="1" x="2696"/>
        <item m="1" x="3202"/>
        <item m="1" x="3717"/>
        <item m="1" x="4227"/>
        <item m="1" x="4726"/>
        <item m="1" x="5221"/>
        <item m="1" x="5716"/>
        <item m="1" x="6215"/>
        <item m="1" x="6724"/>
        <item m="1" x="7223"/>
        <item m="1" x="7725"/>
        <item m="1" x="298"/>
        <item m="1" x="802"/>
        <item m="1" x="1305"/>
        <item m="1" x="1804"/>
        <item m="1" x="2305"/>
        <item m="1" x="2818"/>
        <item m="1" x="3328"/>
        <item m="1" x="3841"/>
        <item m="1" x="4350"/>
        <item m="1" x="4848"/>
        <item m="1" x="5343"/>
        <item m="1" x="5836"/>
        <item m="1" x="6337"/>
        <item m="1" x="6846"/>
        <item m="1" x="7345"/>
        <item m="1" x="7846"/>
        <item m="1" x="419"/>
        <item m="1" x="924"/>
        <item m="1" x="1425"/>
        <item m="1" x="1925"/>
        <item m="1" x="2428"/>
        <item m="1" x="2940"/>
        <item m="1" x="3454"/>
        <item m="1" x="3970"/>
        <item m="1" x="4475"/>
        <item m="1" x="4968"/>
        <item m="1" x="5463"/>
        <item m="1" x="5957"/>
        <item m="1" x="6459"/>
        <item m="1" x="6963"/>
        <item m="1" x="7465"/>
        <item m="1" x="7967"/>
        <item m="1" x="542"/>
        <item m="1" x="1046"/>
        <item m="1" x="1549"/>
        <item m="1" x="2049"/>
        <item m="1" x="2556"/>
        <item m="1" x="3063"/>
        <item m="1" x="3577"/>
        <item m="1" x="4094"/>
        <item m="1" x="4594"/>
        <item m="1" x="5085"/>
        <item m="1" x="5580"/>
        <item m="1" x="6077"/>
        <item m="1" x="6580"/>
        <item m="1" x="7083"/>
        <item m="1" x="7586"/>
        <item m="1" x="162"/>
        <item m="1" x="664"/>
        <item m="1" x="1168"/>
        <item m="1" x="1672"/>
        <item m="1" x="2171"/>
        <item m="1" x="2678"/>
        <item m="1" x="3185"/>
        <item m="1" x="3702"/>
        <item m="1" x="4214"/>
        <item m="1" x="4711"/>
        <item m="1" x="5205"/>
        <item m="1" x="5701"/>
        <item m="1" x="6202"/>
        <item m="1" x="6706"/>
        <item m="1" x="7207"/>
        <item m="1" x="7711"/>
        <item m="1" x="285"/>
        <item m="1" x="785"/>
        <item m="1" x="1289"/>
        <item m="1" x="1791"/>
        <item m="1" x="2290"/>
        <item m="1" x="2798"/>
        <item m="1" x="3310"/>
        <item m="1" x="3826"/>
        <item m="1" x="4336"/>
        <item m="1" x="4833"/>
        <item m="1" x="5327"/>
        <item m="1" x="5822"/>
        <item m="1" x="6323"/>
        <item m="1" x="6828"/>
        <item m="1" x="7326"/>
        <item m="1" x="7833"/>
        <item m="1" x="406"/>
        <item m="1" x="908"/>
        <item m="1" x="1407"/>
        <item m="1" x="1909"/>
        <item m="1" x="2414"/>
        <item m="1" x="2922"/>
        <item m="1" x="3433"/>
        <item m="1" x="3954"/>
        <item m="1" x="4460"/>
        <item m="1" x="4953"/>
        <item m="1" x="5444"/>
        <item m="1" x="5940"/>
        <item m="1" x="6445"/>
        <item m="1" x="6945"/>
        <item m="1" x="7445"/>
        <item m="1" x="7952"/>
        <item m="1" x="529"/>
        <item m="1" x="1030"/>
        <item m="1" x="1529"/>
        <item m="1" x="2032"/>
        <item m="1" x="2540"/>
        <item m="1" x="3043"/>
        <item m="1" x="3558"/>
        <item m="1" x="4078"/>
        <item m="1" x="4581"/>
        <item m="1" x="5071"/>
        <item m="1" x="5563"/>
        <item m="1" x="6062"/>
        <item m="1" x="6567"/>
        <item m="1" x="7065"/>
        <item m="1" x="7568"/>
        <item m="1" x="147"/>
        <item m="1" x="652"/>
        <item m="1" x="1153"/>
        <item m="1" x="1654"/>
        <item m="1" x="2155"/>
        <item m="1" x="2665"/>
        <item m="1" x="3168"/>
        <item m="1" x="3682"/>
        <item m="1" x="4198"/>
        <item m="1" x="4698"/>
        <item m="1" x="5190"/>
        <item m="1" x="5684"/>
        <item m="1" x="6185"/>
        <item m="1" x="6692"/>
        <item m="1" x="7191"/>
        <item m="1" x="7692"/>
        <item m="1" x="270"/>
        <item m="1" x="772"/>
        <item m="1" x="1274"/>
        <item m="1" x="1773"/>
        <item m="1" x="2274"/>
        <item m="1" x="2784"/>
        <item m="1" x="3292"/>
        <item m="1" x="3806"/>
        <item m="1" x="4321"/>
        <item m="1" x="4817"/>
        <item m="1" x="5312"/>
        <item m="1" x="5804"/>
        <item m="1" x="6306"/>
        <item m="1" x="1094"/>
        <item m="1" x="1598"/>
        <item m="1" x="2096"/>
        <item m="1" x="2602"/>
        <item m="1" x="3109"/>
        <item m="1" x="3623"/>
        <item m="1" x="4136"/>
        <item m="1" x="4636"/>
        <item m="1" x="5131"/>
        <item m="1" x="5629"/>
        <item m="1" x="6124"/>
        <item m="1" x="6628"/>
        <item m="1" x="7128"/>
        <item m="1" x="7633"/>
        <item m="1" x="206"/>
        <item m="1" x="709"/>
        <item m="1" x="1216"/>
        <item m="1" x="1721"/>
        <item m="1" x="2217"/>
        <item m="1" x="2723"/>
        <item m="1" x="3231"/>
        <item m="1" x="3748"/>
        <item m="1" x="4256"/>
        <item m="1" x="4754"/>
        <item m="1" x="5251"/>
        <item m="1" x="5749"/>
        <item m="1" x="6248"/>
        <item m="1" x="6752"/>
        <item m="1" x="7252"/>
        <item m="1" x="7753"/>
        <item m="1" x="329"/>
        <item m="1" x="831"/>
        <item m="1" x="1335"/>
        <item m="1" x="1836"/>
        <item m="1" x="2337"/>
        <item m="1" x="2845"/>
        <item m="1" x="3355"/>
        <item m="1" x="3871"/>
        <item m="1" x="4380"/>
        <item m="1" x="4878"/>
        <item m="1" x="5372"/>
        <item m="1" x="5868"/>
        <item m="1" x="6370"/>
        <item m="1" x="6874"/>
        <item m="1" x="7372"/>
        <item m="1" x="7874"/>
        <item m="1" x="451"/>
        <item m="1" x="953"/>
        <item m="1" x="1454"/>
        <item m="1" x="1958"/>
        <item m="1" x="2462"/>
        <item m="1" x="2969"/>
        <item m="1" x="3480"/>
        <item m="1" x="3997"/>
        <item m="1" x="4504"/>
        <item m="1" x="4995"/>
        <item m="1" x="5490"/>
        <item m="1" x="5987"/>
        <item m="1" x="6490"/>
        <item m="1" x="6991"/>
        <item m="1" x="7491"/>
        <item m="1" x="7995"/>
        <item m="1" x="572"/>
        <item m="1" x="1074"/>
        <item m="1" x="1577"/>
        <item m="1" x="2080"/>
        <item m="1" x="2586"/>
        <item m="1" x="3092"/>
        <item m="1" x="3604"/>
        <item m="1" x="4122"/>
        <item m="1" x="4621"/>
        <item m="1" x="5113"/>
        <item m="1" x="5610"/>
        <item m="1" x="6110"/>
        <item m="1" x="6612"/>
        <item m="1" x="7113"/>
        <item m="1" x="7615"/>
        <item m="1" x="192"/>
        <item m="1" x="694"/>
        <item m="1" x="1198"/>
        <item m="1" x="1701"/>
        <item m="1" x="2203"/>
        <item m="1" x="2709"/>
        <item m="1" x="3214"/>
        <item m="1" x="3728"/>
        <item m="1" x="4241"/>
        <item m="1" x="4738"/>
        <item m="1" x="5233"/>
        <item m="1" x="5729"/>
        <item m="1" x="6234"/>
        <item m="1" x="6737"/>
        <item m="1" x="7236"/>
        <item m="1" x="7736"/>
        <item m="1" x="313"/>
        <item m="1" x="815"/>
        <item m="1" x="1317"/>
        <item m="1" x="1816"/>
        <item m="1" x="2321"/>
        <item m="1" x="2830"/>
        <item m="1" x="3339"/>
        <item m="1" x="3852"/>
        <item m="1" x="4363"/>
        <item m="1" x="4861"/>
        <item m="1" x="5355"/>
        <item m="1" x="5848"/>
        <item m="1" x="6353"/>
        <item m="1" x="6859"/>
        <item m="1" x="7357"/>
        <item m="1" x="7857"/>
        <item m="1" x="434"/>
        <item m="1" x="938"/>
        <item m="1" x="1438"/>
        <item m="1" x="1938"/>
        <item m="1" x="2445"/>
        <item m="1" x="2954"/>
        <item m="1" x="3465"/>
        <item m="1" x="3980"/>
        <item m="1" x="4489"/>
        <item m="1" x="4981"/>
        <item m="1" x="5474"/>
        <item m="1" x="5968"/>
        <item m="1" x="6475"/>
        <item m="1" x="6976"/>
        <item m="1" x="7477"/>
        <item m="1" x="7978"/>
        <item m="1" x="556"/>
        <item m="1" x="1060"/>
        <item m="1" x="1561"/>
        <item m="1" x="2061"/>
        <item m="1" x="2571"/>
        <item m="1" x="3077"/>
        <item m="1" x="3590"/>
        <item m="1" x="4105"/>
        <item m="1" x="4607"/>
        <item m="1" x="5099"/>
        <item m="1" x="5594"/>
        <item m="1" x="6089"/>
        <item m="1" x="6595"/>
        <item m="1" x="7097"/>
        <item m="1" x="7600"/>
        <item m="1" x="176"/>
        <item m="1" x="678"/>
        <item m="1" x="1183"/>
        <item m="1" x="1686"/>
        <item m="1" x="2183"/>
        <item m="1" x="2691"/>
        <item m="1" x="3199"/>
        <item m="1" x="3713"/>
        <item m="1" x="4224"/>
        <item m="1" x="4722"/>
        <item m="1" x="5218"/>
        <item m="1" x="5712"/>
        <item m="1" x="6212"/>
        <item m="1" x="6719"/>
        <item m="1" x="7220"/>
        <item m="1" x="7721"/>
        <item m="1" x="296"/>
        <item m="1" x="797"/>
        <item m="1" x="1302"/>
        <item m="1" x="1801"/>
        <item m="1" x="2302"/>
        <item m="1" x="2813"/>
        <item m="1" x="3325"/>
        <item m="1" x="3837"/>
        <item m="1" x="4347"/>
        <item m="1" x="4844"/>
        <item m="1" x="5340"/>
        <item m="1" x="5833"/>
        <item m="1" x="6334"/>
        <item m="1" x="6841"/>
        <item m="1" x="7342"/>
        <item m="1" x="7843"/>
        <item m="1" x="417"/>
        <item m="1" x="920"/>
        <item m="1" x="1421"/>
        <item m="1" x="1922"/>
        <item m="1" x="2425"/>
        <item m="1" x="2935"/>
        <item m="1" x="3451"/>
        <item m="1" x="3967"/>
        <item m="1" x="4472"/>
        <item m="1" x="4964"/>
        <item m="1" x="5459"/>
        <item m="1" x="5953"/>
        <item m="1" x="6455"/>
        <item m="1" x="6958"/>
        <item m="1" x="7461"/>
        <item m="1" x="7964"/>
        <item m="1" x="540"/>
        <item m="1" x="1042"/>
        <item m="1" x="1543"/>
        <item m="1" x="2045"/>
        <item m="1" x="2551"/>
        <item m="1" x="3057"/>
        <item m="1" x="3572"/>
        <item m="1" x="4090"/>
        <item m="1" x="4590"/>
        <item m="1" x="5081"/>
        <item m="1" x="5575"/>
        <item m="1" x="6074"/>
        <item m="1" x="6576"/>
        <item m="1" x="7078"/>
        <item m="1" x="7582"/>
        <item m="1" x="159"/>
        <item m="1" x="661"/>
        <item m="1" x="1164"/>
        <item m="1" x="1667"/>
        <item m="1" x="2168"/>
        <item m="1" x="2674"/>
        <item m="1" x="3180"/>
        <item m="1" x="3698"/>
        <item m="1" x="4211"/>
        <item m="1" x="4707"/>
        <item m="1" x="5200"/>
        <item m="1" x="5696"/>
        <item m="1" x="6198"/>
        <item m="1" x="6701"/>
        <item m="1" x="7202"/>
        <item m="1" x="7707"/>
        <item m="1" x="281"/>
        <item m="1" x="782"/>
        <item m="1" x="1285"/>
        <item m="1" x="1786"/>
        <item m="1" x="2287"/>
        <item m="1" x="2794"/>
        <item m="1" x="3304"/>
        <item m="1" x="3822"/>
        <item m="1" x="4332"/>
        <item m="1" x="4829"/>
        <item m="1" x="5322"/>
        <item m="1" x="5817"/>
        <item m="1" x="6319"/>
        <item m="1" x="6825"/>
        <item m="1" x="7321"/>
        <item m="1" x="7829"/>
        <item m="1" x="402"/>
        <item m="1" x="905"/>
        <item m="1" x="1403"/>
        <item m="1" x="1904"/>
        <item m="1" x="2410"/>
        <item m="1" x="2919"/>
        <item m="1" x="3428"/>
        <item m="1" x="3950"/>
        <item m="1" x="4456"/>
        <item m="1" x="4950"/>
        <item m="1" x="7143"/>
        <item m="1" x="7644"/>
        <item m="1" x="218"/>
        <item m="1" x="722"/>
        <item m="1" x="1231"/>
        <item m="1" x="1729"/>
        <item m="1" x="2229"/>
        <item m="1" x="2734"/>
        <item m="1" x="3244"/>
        <item m="1" x="3757"/>
        <item m="1" x="4268"/>
        <item m="1" x="4768"/>
        <item m="1" x="5265"/>
        <item m="1" x="5758"/>
        <item m="1" x="6259"/>
        <item m="1" x="6763"/>
        <item m="1" x="7265"/>
        <item m="1" x="7763"/>
        <item m="1" x="341"/>
        <item m="1" x="844"/>
        <item m="1" x="1350"/>
        <item m="1" x="1846"/>
        <item m="1" x="2350"/>
        <item m="1" x="2858"/>
        <item m="1" x="3369"/>
        <item m="1" x="3883"/>
        <item m="1" x="4392"/>
        <item m="1" x="4891"/>
        <item m="1" x="5387"/>
        <item m="1" x="5878"/>
        <item m="1" x="6381"/>
        <item m="1" x="6885"/>
        <item m="1" x="7385"/>
        <item m="1" x="7884"/>
        <item m="1" x="462"/>
        <item m="1" x="968"/>
        <item m="1" x="1469"/>
        <item m="1" x="1968"/>
        <item m="1" x="2475"/>
        <item m="1" x="2982"/>
        <item m="1" x="3495"/>
        <item m="1" x="4010"/>
        <item m="1" x="4517"/>
        <item m="1" x="5010"/>
        <item m="1" x="5506"/>
        <item m="1" x="5999"/>
        <item m="1" x="6503"/>
        <item m="1" x="7003"/>
        <item m="1" x="7505"/>
        <item m="1" x="78"/>
        <item m="1" x="585"/>
        <item m="1" x="1088"/>
        <item m="1" x="1593"/>
        <item m="1" x="2092"/>
        <item m="1" x="2598"/>
        <item m="1" x="3104"/>
        <item m="1" x="3618"/>
        <item m="1" x="4133"/>
        <item m="1" x="4632"/>
        <item m="1" x="5126"/>
        <item m="1" x="5625"/>
        <item m="1" x="6121"/>
        <item m="1" x="6624"/>
        <item m="1" x="7124"/>
        <item m="1" x="7629"/>
        <item m="1" x="202"/>
        <item m="1" x="704"/>
        <item m="1" x="1211"/>
        <item m="1" x="1716"/>
        <item m="1" x="2213"/>
        <item m="1" x="2720"/>
        <item m="1" x="3227"/>
        <item m="1" x="3743"/>
        <item m="1" x="4253"/>
        <item m="1" x="4750"/>
        <item m="1" x="5246"/>
        <item m="1" x="5745"/>
        <item m="1" x="6245"/>
        <item m="1" x="6748"/>
        <item m="1" x="7247"/>
        <item m="1" x="7749"/>
        <item m="1" x="325"/>
        <item m="1" x="827"/>
        <item m="1" x="1330"/>
        <item m="1" x="1832"/>
        <item m="1" x="2334"/>
        <item m="1" x="2842"/>
        <item m="1" x="3351"/>
        <item m="1" x="3867"/>
        <item m="1" x="4376"/>
        <item m="1" x="4875"/>
        <item m="1" x="5367"/>
        <item m="1" x="5864"/>
        <item m="1" x="6366"/>
        <item m="1" x="6870"/>
        <item m="1" x="7367"/>
        <item m="1" x="7870"/>
        <item m="1" x="446"/>
        <item m="1" x="949"/>
        <item m="1" x="1449"/>
        <item m="1" x="1954"/>
        <item m="1" x="2457"/>
        <item m="1" x="2966"/>
        <item m="1" x="3476"/>
        <item m="1" x="3994"/>
        <item m="1" x="4500"/>
        <item m="1" x="4993"/>
        <item m="1" x="5486"/>
        <item m="1" x="5984"/>
        <item m="1" x="6487"/>
        <item m="1" x="6988"/>
        <item m="1" x="7487"/>
        <item m="1" x="7992"/>
        <item m="1" x="568"/>
        <item m="1" x="1072"/>
        <item m="1" x="1573"/>
        <item m="1" x="2077"/>
        <item m="1" x="2583"/>
        <item m="1" x="3090"/>
        <item m="1" x="3601"/>
        <item m="1" x="4119"/>
        <item m="1" x="4618"/>
        <item m="1" x="5111"/>
        <item m="1" x="5606"/>
        <item m="1" x="6106"/>
        <item m="1" x="6609"/>
        <item m="1" x="7110"/>
        <item m="1" x="7611"/>
        <item m="1" x="189"/>
        <item m="1" x="691"/>
        <item m="1" x="1195"/>
        <item m="1" x="1697"/>
        <item m="1" x="2199"/>
        <item m="1" x="2705"/>
        <item m="1" x="3211"/>
        <item m="1" x="3725"/>
        <item m="1" x="4237"/>
        <item m="1" x="4735"/>
        <item m="1" x="5230"/>
        <item m="1" x="5725"/>
        <item m="1" x="6228"/>
        <item m="1" x="6734"/>
        <item m="1" x="7232"/>
        <item m="1" x="7733"/>
        <item m="1" x="309"/>
        <item m="1" x="812"/>
        <item m="1" x="1314"/>
        <item m="1" x="1813"/>
        <item m="1" x="2316"/>
        <item m="1" x="2827"/>
        <item m="1" x="3336"/>
        <item m="1" x="3850"/>
        <item m="1" x="4359"/>
        <item m="1" x="4858"/>
        <item m="1" x="5352"/>
        <item m="1" x="5845"/>
        <item m="1" x="6348"/>
        <item m="1" x="6856"/>
        <item m="1" x="7353"/>
        <item m="1" x="7854"/>
        <item m="1" x="430"/>
        <item m="1" x="935"/>
        <item m="1" x="1434"/>
        <item m="1" x="1934"/>
        <item m="1" x="2440"/>
        <item m="1" x="2950"/>
        <item m="1" x="3462"/>
        <item m="1" x="3978"/>
        <item m="1" x="4485"/>
        <item m="1" x="4977"/>
        <item m="1" x="5471"/>
        <item m="1" x="5965"/>
        <item m="1" x="6470"/>
        <item m="1" x="6973"/>
        <item m="1" x="7473"/>
        <item m="1" x="7975"/>
        <item m="1" x="552"/>
        <item m="1" x="1056"/>
        <item m="1" x="1558"/>
        <item m="1" x="2058"/>
        <item m="1" x="2566"/>
        <item m="1" x="3074"/>
        <item m="1" x="3587"/>
        <item m="1" x="4103"/>
        <item m="1" x="4603"/>
        <item m="1" x="5095"/>
        <item m="1" x="5591"/>
        <item m="1" x="6086"/>
        <item m="1" x="6590"/>
        <item m="1" x="7094"/>
        <item m="1" x="7596"/>
        <item m="1" x="171"/>
        <item m="1" x="673"/>
        <item m="1" x="1177"/>
        <item m="1" x="1681"/>
        <item m="1" x="2177"/>
        <item m="1" x="2686"/>
        <item m="1" x="3194"/>
        <item m="1" x="3709"/>
        <item m="1" x="4221"/>
        <item m="1" x="4718"/>
        <item m="1" x="5213"/>
        <item m="1" x="5708"/>
        <item m="1" x="6208"/>
        <item m="1" x="6714"/>
        <item m="1" x="7216"/>
        <item m="1" x="7718"/>
        <item m="1" x="292"/>
        <item m="1" x="792"/>
        <item m="1" x="1297"/>
        <item m="1" x="1798"/>
        <item m="1" x="2298"/>
        <item m="1" x="2808"/>
        <item m="1" x="3321"/>
        <item m="1" x="3834"/>
        <item m="1" x="4344"/>
        <item m="1" x="4840"/>
        <item m="1" x="5335"/>
        <item m="1" x="5830"/>
        <item m="1" x="6330"/>
        <item m="1" x="6836"/>
        <item m="1" x="7337"/>
        <item m="1" x="7840"/>
        <item m="1" x="413"/>
        <item m="1" x="915"/>
        <item m="1" x="1416"/>
        <item m="1" x="1917"/>
        <item m="1" x="2421"/>
        <item m="1" x="2930"/>
        <item m="1" x="3446"/>
        <item m="1" x="3963"/>
        <item m="1" x="4469"/>
        <item m="1" x="4960"/>
        <item m="1" x="5453"/>
        <item m="1" x="5949"/>
        <item m="1" x="6452"/>
        <item m="1" x="6953"/>
        <item m="1" x="7456"/>
        <item m="1" x="7960"/>
        <item m="1" x="536"/>
        <item m="1" x="1037"/>
        <item m="1" x="1538"/>
        <item m="1" x="2041"/>
        <item m="1" x="2548"/>
        <item m="1" x="3052"/>
        <item m="1" x="5770"/>
        <item m="1" x="6270"/>
        <item m="1" x="6776"/>
        <item m="1" x="7274"/>
        <item m="1" x="7775"/>
        <item m="1" x="353"/>
        <item m="1" x="858"/>
        <item m="1" x="1358"/>
        <item m="1" x="1856"/>
        <item m="1" x="2360"/>
        <item m="1" x="2870"/>
        <item m="1" x="3378"/>
        <item m="1" x="3893"/>
        <item m="1" x="4404"/>
        <item m="1" x="4904"/>
        <item m="1" x="5394"/>
        <item m="1" x="5889"/>
        <item m="1" x="6391"/>
        <item m="1" x="6897"/>
        <item m="1" x="7393"/>
        <item m="1" x="7895"/>
        <item m="1" x="475"/>
        <item m="1" x="982"/>
        <item m="1" x="1478"/>
        <item m="1" x="1979"/>
        <item m="1" x="2485"/>
        <item m="1" x="2994"/>
        <item m="1" x="3503"/>
        <item m="1" x="4021"/>
        <item m="1" x="4529"/>
        <item m="1" x="5025"/>
        <item m="1" x="5515"/>
        <item m="1" x="6010"/>
        <item m="1" x="6514"/>
        <item m="1" x="7016"/>
        <item m="1" x="7515"/>
        <item m="1" x="91"/>
        <item m="1" x="598"/>
        <item m="1" x="1105"/>
        <item m="1" x="1605"/>
        <item m="1" x="2104"/>
        <item m="1" x="2610"/>
        <item m="1" x="3119"/>
        <item m="1" x="3629"/>
        <item m="1" x="4143"/>
        <item m="1" x="4645"/>
        <item m="1" x="5142"/>
        <item m="1" x="5635"/>
        <item m="1" x="6132"/>
        <item m="1" x="6636"/>
        <item m="1" x="7137"/>
        <item m="1" x="7640"/>
        <item m="1" x="213"/>
        <item m="1" x="717"/>
        <item m="1" x="1225"/>
        <item m="1" x="1726"/>
        <item m="1" x="2224"/>
        <item m="1" x="2730"/>
        <item m="1" x="3239"/>
        <item m="1" x="3753"/>
        <item m="1" x="4263"/>
        <item m="1" x="4763"/>
        <item m="1" x="5260"/>
        <item m="1" x="5755"/>
        <item m="1" x="6255"/>
        <item m="1" x="6759"/>
        <item m="1" x="7260"/>
        <item m="1" x="7760"/>
        <item m="1" x="336"/>
        <item m="1" x="839"/>
        <item m="1" x="1345"/>
        <item m="1" x="1843"/>
        <item m="1" x="2345"/>
        <item m="1" x="2853"/>
        <item m="1" x="3364"/>
        <item m="1" x="3879"/>
        <item m="1" x="4386"/>
        <item m="1" x="4886"/>
        <item m="1" x="5382"/>
        <item m="1" x="5874"/>
        <item m="1" x="6377"/>
        <item m="1" x="6881"/>
        <item m="1" x="7380"/>
        <item m="1" x="7880"/>
        <item m="1" x="457"/>
        <item m="1" x="961"/>
        <item m="1" x="1464"/>
        <item m="1" x="1964"/>
        <item m="1" x="2470"/>
        <item m="1" x="2976"/>
        <item m="1" x="3490"/>
        <item m="1" x="4005"/>
        <item m="1" x="4513"/>
        <item m="1" x="5004"/>
        <item m="1" x="5501"/>
        <item m="1" x="5995"/>
        <item m="1" x="6499"/>
        <item m="1" x="6998"/>
        <item m="1" x="7500"/>
        <item m="1" x="74"/>
        <item m="1" x="581"/>
        <item m="1" x="1082"/>
        <item m="1" x="1588"/>
        <item m="1" x="2088"/>
        <item m="1" x="2594"/>
        <item m="1" x="3099"/>
        <item m="1" x="3614"/>
        <item m="1" x="4129"/>
        <item m="1" x="4628"/>
        <item m="1" x="5121"/>
        <item m="1" x="5621"/>
        <item m="1" x="6117"/>
        <item m="1" x="6620"/>
        <item m="1" x="7120"/>
        <item m="1" x="7624"/>
        <item m="1" x="199"/>
        <item m="1" x="701"/>
        <item m="1" x="1206"/>
        <item m="1" x="1712"/>
        <item m="1" x="2210"/>
        <item m="1" x="2716"/>
        <item m="1" x="3221"/>
        <item m="1" x="3738"/>
        <item m="1" x="4249"/>
        <item m="1" x="4747"/>
        <item m="1" x="5241"/>
        <item m="1" x="5740"/>
        <item m="1" x="6242"/>
        <item m="1" x="6745"/>
        <item m="1" x="7243"/>
        <item m="1" x="7745"/>
        <item m="1" x="322"/>
        <item m="1" x="824"/>
        <item m="1" x="1325"/>
        <item m="1" x="1827"/>
        <item m="1" x="2331"/>
        <item m="1" x="2838"/>
        <item m="1" x="3346"/>
        <item m="1" x="3862"/>
        <item m="1" x="4373"/>
        <item m="1" x="4870"/>
        <item m="1" x="5363"/>
        <item m="1" x="5858"/>
        <item m="1" x="6362"/>
        <item m="1" x="6866"/>
        <item m="1" x="7364"/>
        <item m="1" x="7865"/>
        <item m="1" x="442"/>
        <item m="1" x="945"/>
        <item m="1" x="1445"/>
        <item m="1" x="1948"/>
        <item m="1" x="2453"/>
        <item m="1" x="2961"/>
        <item m="1" x="3472"/>
        <item m="1" x="3989"/>
        <item m="1" x="4497"/>
        <item m="1" x="4989"/>
        <item m="1" x="5482"/>
        <item m="1" x="5978"/>
        <item m="1" x="6484"/>
        <item m="1" x="6984"/>
        <item m="1" x="7484"/>
        <item m="1" x="7987"/>
        <item m="1" x="565"/>
        <item m="1" x="1068"/>
        <item m="1" x="1569"/>
        <item m="1" x="2071"/>
        <item m="1" x="2580"/>
        <item m="1" x="3085"/>
        <item m="1" x="3597"/>
        <item m="1" x="4114"/>
        <item m="1" x="4615"/>
        <item m="1" x="5106"/>
        <item m="1" x="5601"/>
        <item m="1" x="6100"/>
        <item m="1" x="6604"/>
        <item m="1" x="7105"/>
        <item m="1" x="7608"/>
        <item m="1" x="184"/>
        <item m="1" x="687"/>
        <item m="1" x="1191"/>
        <item m="1" x="1693"/>
        <item m="1" x="2192"/>
        <item m="1" x="2701"/>
        <item m="1" x="3207"/>
        <item m="1" x="3721"/>
        <item m="1" x="4232"/>
        <item m="1" x="4731"/>
        <item m="1" x="5226"/>
        <item m="1" x="5720"/>
        <item m="1" x="6221"/>
        <item m="1" x="6729"/>
        <item m="1" x="7228"/>
        <item m="1" x="7729"/>
        <item m="1" x="303"/>
        <item m="1" x="806"/>
        <item m="1" x="1310"/>
        <item m="1" x="1808"/>
        <item m="1" x="2310"/>
        <item m="1" x="2822"/>
        <item m="1" x="3332"/>
        <item m="1" x="3845"/>
        <item m="1" x="4354"/>
        <item m="1" x="4853"/>
        <item m="1" x="5347"/>
        <item m="1" x="5839"/>
        <item m="1" x="6342"/>
        <item m="1" x="6850"/>
        <item m="1" x="7349"/>
        <item m="1" x="7850"/>
        <item m="1" x="425"/>
        <item m="1" x="929"/>
        <item m="1" x="1430"/>
        <item m="1" x="1929"/>
        <item m="1" x="2434"/>
        <item m="1" x="2945"/>
        <item m="1" x="3458"/>
        <item m="1" x="3973"/>
        <item m="1" x="4479"/>
        <item m="1" x="4972"/>
        <item m="1" x="5467"/>
        <item m="1" x="5960"/>
        <item m="1" x="6464"/>
        <item m="1" x="6968"/>
        <item m="1" x="7469"/>
        <item m="1" x="7971"/>
        <item m="1" x="547"/>
        <item m="1" x="1051"/>
        <item m="1" x="1553"/>
        <item m="1" x="2054"/>
        <item m="1" x="2560"/>
        <item m="1" x="3069"/>
        <item m="1" x="3582"/>
        <item m="1" x="4098"/>
        <item m="1" x="4597"/>
        <item m="1" x="5090"/>
        <item m="1" x="5585"/>
        <item m="1" x="6081"/>
        <item m="1" x="6584"/>
        <item m="1" x="7089"/>
        <item m="1" x="7590"/>
        <item m="1" x="167"/>
        <item m="1" x="668"/>
        <item m="1" x="1173"/>
        <item m="1" x="1676"/>
        <item m="1" x="3908"/>
        <item m="1" x="4418"/>
        <item m="1" x="2508"/>
        <item m="1" x="3014"/>
        <item m="1" x="3528"/>
        <item m="1" x="4047"/>
        <item m="1" x="633"/>
        <item m="1" x="1137"/>
        <item m="1" x="1637"/>
        <item m="1" x="2136"/>
        <item m="1" x="2642"/>
        <item m="1" x="261"/>
        <item m="1" x="514"/>
        <item m="1" x="763"/>
        <item m="1" x="1017"/>
        <item m="1" x="3693"/>
        <item m="1" x="3955"/>
        <item m="1" x="4206"/>
        <item m="1" x="4461"/>
        <item m="1" x="2046"/>
        <item m="1" x="2295"/>
        <item m="1" x="2552"/>
        <item m="1" x="2803"/>
        <item m="1" x="3058"/>
        <item m="1" x="3316"/>
        <item m="1" x="3573"/>
        <item m="1" x="3830"/>
        <item m="1" x="4091"/>
        <item m="1" x="172"/>
        <item m="1" x="420"/>
        <item m="1" x="674"/>
        <item m="1" x="925"/>
        <item m="1" x="1178"/>
        <item m="1" x="1426"/>
        <item m="1" x="1682"/>
        <item m="1" x="1926"/>
        <item m="1" x="2178"/>
        <item m="1" x="2429"/>
        <item m="1" x="304"/>
        <item m="1" x="557"/>
        <item m="1" x="807"/>
        <item m="1" x="3222"/>
        <item m="1" x="3481"/>
        <item m="1" x="3739"/>
        <item m="1" x="3998"/>
        <item m="1" x="4250"/>
        <item m="1" x="4505"/>
        <item m="1" x="1594"/>
        <item m="1" x="1839"/>
        <item m="1" x="2093"/>
        <item m="1" x="2342"/>
        <item m="1" x="2599"/>
        <item m="1" x="2849"/>
        <item m="1" x="3105"/>
        <item m="1" x="3360"/>
        <item m="1" x="3619"/>
        <item m="1" x="3875"/>
        <item t="default"/>
      </items>
    </pivotField>
    <pivotField axis="axisRow" showAll="0" sortType="ascending">
      <items count="8001">
        <item sd="0" m="1" x="204"/>
        <item sd="0" m="1" x="205"/>
        <item sd="0" m="1" x="206"/>
        <item sd="0" m="1" x="207"/>
        <item sd="0" m="1" x="208"/>
        <item sd="0" m="1" x="209"/>
        <item sd="0" m="1" x="520"/>
        <item sd="0" m="1" x="837"/>
        <item sd="0" m="1" x="838"/>
        <item sd="0" m="1" x="521"/>
        <item sd="0" m="1" x="839"/>
        <item sd="0" m="1" x="840"/>
        <item sd="0" m="1" x="841"/>
        <item sd="0" m="1" x="274"/>
        <item sd="0" m="1" x="275"/>
        <item sd="0" m="1" x="276"/>
        <item sd="0" m="1" x="277"/>
        <item sd="0" m="1" x="278"/>
        <item sd="0" m="1" x="279"/>
        <item sd="0" m="1" x="280"/>
        <item sd="0" m="1" x="281"/>
        <item sd="0" m="1" x="282"/>
        <item sd="0" m="1" x="283"/>
        <item sd="0" m="1" x="284"/>
        <item sd="0" m="1" x="285"/>
        <item sd="0" m="1" x="286"/>
        <item sd="0" m="1" x="519"/>
        <item sd="0" m="1" x="1690"/>
        <item sd="0" m="1" x="938"/>
        <item sd="0" m="1" x="1459"/>
        <item sd="0" m="1" x="2168"/>
        <item sd="0" m="1" x="2995"/>
        <item sd="0" m="1" x="2197"/>
        <item sd="0" m="1" x="3041"/>
        <item sd="0" m="1" x="3988"/>
        <item sd="0" m="1" x="4938"/>
        <item sd="0" m="1" x="4038"/>
        <item sd="0" m="1" x="916"/>
        <item sd="0" m="1" x="1386"/>
        <item sd="0" m="1" x="2048"/>
        <item sd="0" m="1" x="2865"/>
        <item sd="0" m="1" x="6418"/>
        <item sd="0" m="1" x="7008"/>
        <item sd="0" m="1" x="7452"/>
        <item sd="0" m="1" x="2145"/>
        <item sd="0" m="1" x="2948"/>
        <item sd="0" m="1" x="3858"/>
        <item sd="0" m="1" x="4816"/>
        <item sd="0" m="1" x="7516"/>
        <item sd="0" m="1" x="7814"/>
        <item sd="0" m="1" x="7972"/>
        <item sd="0" m="1" x="3929"/>
        <item sd="0" m="1" x="4877"/>
        <item sd="0" m="1" x="5756"/>
        <item sd="0" m="1" x="6486"/>
        <item sd="0" m="1" x="782"/>
        <item sd="0" m="1" x="1237"/>
        <item sd="0" m="1" x="5445"/>
        <item sd="0" m="1" x="6233"/>
        <item sd="0" m="1" x="6853"/>
        <item sd="0" m="1" x="7337"/>
        <item sd="0" m="1" x="1941"/>
        <item sd="0" m="1" x="2719"/>
        <item sd="0" m="1" x="6925"/>
        <item sd="0" m="1" x="7399"/>
        <item sd="0" m="1" x="7742"/>
        <item sd="0" m="1" x="7942"/>
        <item sd="0" m="1" x="2017"/>
        <item sd="0" m="1" x="2820"/>
        <item sd="0" m="1" x="3746"/>
        <item sd="0" m="1" x="4706"/>
        <item sd="0" m="1" x="3802"/>
        <item sd="0" m="1" x="4768"/>
        <item sd="0" m="1" x="5676"/>
        <item sd="0" m="1" x="6434"/>
        <item sd="0" m="1" x="1200"/>
        <item sd="0" m="1" x="1819"/>
        <item sd="0" m="1" x="2613"/>
        <item sd="0" m="1" x="2666"/>
        <item sd="0" m="1" x="3566"/>
        <item sd="0" m="1" x="4534"/>
        <item sd="0" m="1" x="4588"/>
        <item sd="0" m="1" x="367"/>
        <item sd="0" m="1" x="643"/>
        <item sd="0" m="1" x="1060"/>
        <item sd="0" m="1" x="1632"/>
        <item sd="0" m="1" x="5993"/>
        <item sd="0" m="1" x="1115"/>
        <item sd="0" m="1" x="1670"/>
        <item sd="0" m="1" x="2424"/>
        <item sd="0" m="1" x="3292"/>
        <item sd="0" m="1" x="7221"/>
        <item sd="0" m="1" x="2504"/>
        <item sd="0" m="1" x="3354"/>
        <item sd="0" m="1" x="4313"/>
        <item sd="0" m="1" x="195"/>
        <item sd="0" m="1" x="302"/>
        <item sd="0" m="1" x="538"/>
        <item sd="0" m="1" x="939"/>
        <item sd="0" m="1" x="3967"/>
        <item sd="0" m="1" x="4913"/>
        <item sd="0" m="1" x="5769"/>
        <item sd="0" m="1" x="585"/>
        <item sd="0" m="1" x="979"/>
        <item sd="0" m="1" x="1504"/>
        <item sd="0" m="1" x="2223"/>
        <item sd="0" m="1" x="5842"/>
        <item sd="0" m="1" x="6542"/>
        <item sd="0" m="1" x="7102"/>
        <item sd="0" m="1" x="1583"/>
        <item sd="0" m="1" x="2294"/>
        <item sd="0" m="1" x="3131"/>
        <item sd="0" m="1" x="4082"/>
        <item sd="0" m="1" x="170"/>
        <item sd="0" m="1" x="255"/>
        <item sd="0" m="1" x="454"/>
        <item sd="0" m="1" x="2799"/>
        <item sd="0" m="1" x="3704"/>
        <item sd="0" m="1" x="4652"/>
        <item sd="0" m="1" x="5550"/>
        <item sd="0" m="1" x="509"/>
        <item sd="0" m="1" x="868"/>
        <item sd="0" m="1" x="4707"/>
        <item sd="0" m="1" x="5611"/>
        <item sd="0" m="1" x="6370"/>
        <item sd="0" m="1" x="6959"/>
        <item sd="0" m="1" x="1416"/>
        <item sd="0" m="1" x="2067"/>
        <item sd="0" m="1" x="615"/>
        <item sd="0" m="1" x="1009"/>
        <item sd="0" m="1" x="1534"/>
        <item sd="0" m="1" x="2248"/>
        <item sd="0" m="1" x="6579"/>
        <item sd="0" m="1" x="7128"/>
        <item sd="0" m="1" x="1618"/>
        <item sd="0" m="1" x="2328"/>
        <item sd="0" m="1" x="3165"/>
        <item sd="0" m="1" x="4107"/>
        <item sd="0" m="1" x="7587"/>
        <item sd="0" m="1" x="7858"/>
        <item sd="0" m="1" x="3226"/>
        <item sd="0" m="1" x="4157"/>
        <item sd="0" m="1" x="5102"/>
        <item sd="0" m="1" x="5949"/>
        <item sd="0" m="1" x="522"/>
        <item sd="0" m="1" x="901"/>
        <item sd="0" m="1" x="1364"/>
        <item sd="0" m="1" x="4748"/>
        <item sd="0" m="1" x="5638"/>
        <item sd="0" m="1" x="6402"/>
        <item sd="0" m="1" x="6986"/>
        <item sd="0" m="1" x="1442"/>
        <item sd="0" m="1" x="2127"/>
        <item sd="0" m="1" x="2923"/>
        <item sd="0" m="1" x="6459"/>
        <item sd="0" m="1" x="7046"/>
        <item sd="0" m="1" x="7504"/>
        <item sd="0" m="1" x="7804"/>
        <item sd="0" m="1" x="2996"/>
        <item sd="0" m="1" x="3910"/>
        <item sd="0" m="1" x="4867"/>
        <item sd="0" m="1" x="435"/>
        <item sd="0" m="1" x="3534"/>
        <item sd="0" m="1" x="4501"/>
        <item sd="0" m="1" x="5427"/>
        <item sd="0" m="1" x="6212"/>
        <item sd="0" m="1" x="1298"/>
        <item sd="0" m="1" x="5477"/>
        <item sd="0" m="1" x="6290"/>
        <item sd="0" m="1" x="6911"/>
        <item sd="0" m="1" x="7387"/>
        <item sd="0" m="1" x="2774"/>
        <item sd="0" m="1" x="2391"/>
        <item sd="0" m="1" x="3266"/>
        <item sd="0" m="1" x="4228"/>
        <item sd="0" m="1" x="4273"/>
        <item sd="0" m="1" x="5236"/>
        <item sd="0" m="1" x="6075"/>
        <item sd="0" m="1" x="960"/>
        <item sd="0" m="1" x="1473"/>
        <item sd="0" m="1" x="2198"/>
        <item sd="0" m="1" x="3042"/>
        <item sd="0" m="1" x="2249"/>
        <item sd="0" m="1" x="3100"/>
        <item sd="0" m="1" x="4049"/>
        <item sd="0" m="1" x="5007"/>
        <item sd="0" m="1" x="4108"/>
        <item sd="0" m="1" x="5063"/>
        <item sd="0" m="1" x="210"/>
        <item sd="0" m="1" x="343"/>
        <item sd="0" m="1" x="3238"/>
        <item sd="0" m="1" x="4179"/>
        <item sd="0" m="1" x="5115"/>
        <item sd="0" m="1" x="672"/>
        <item sd="0" m="1" x="1084"/>
        <item sd="0" m="1" x="5168"/>
        <item sd="0" m="1" x="6020"/>
        <item sd="0" m="1" x="6678"/>
        <item sd="0" m="1" x="1705"/>
        <item sd="0" m="1" x="2449"/>
        <item sd="0" m="1" x="180"/>
        <item sd="0" m="1" x="1460"/>
        <item sd="0" m="1" x="2169"/>
        <item sd="0" m="1" x="3005"/>
        <item sd="0" m="1" x="3922"/>
        <item sd="0" m="1" x="564"/>
        <item sd="0" m="1" x="3043"/>
        <item sd="0" m="1" x="3991"/>
        <item sd="0" m="1" x="4948"/>
        <item sd="0" m="1" x="5814"/>
        <item sd="0" m="1" x="1535"/>
        <item sd="0" m="1" x="1417"/>
        <item sd="0" m="1" x="2068"/>
        <item sd="0" m="1" x="2884"/>
        <item sd="0" m="1" x="3803"/>
        <item sd="0" m="1" x="7030"/>
        <item sd="0" m="1" x="7471"/>
        <item sd="0" m="1" x="2979"/>
        <item sd="0" m="1" x="3877"/>
        <item sd="0" m="1" x="4835"/>
        <item sd="0" m="1" x="5718"/>
        <item sd="0" m="1" x="7831"/>
        <item sd="0" m="1" x="7973"/>
        <item sd="0" m="1" x="4901"/>
        <item sd="0" m="1" x="5757"/>
        <item sd="0" m="1" x="6487"/>
        <item sd="0" m="1" x="805"/>
        <item sd="0" m="1" x="1257"/>
        <item sd="0" m="1" x="1878"/>
        <item sd="0" m="1" x="6266"/>
        <item sd="0" m="1" x="6873"/>
        <item sd="0" m="1" x="7357"/>
        <item sd="0" m="1" x="1964"/>
        <item sd="0" m="1" x="2739"/>
        <item sd="0" m="1" x="3625"/>
        <item sd="0" m="1" x="7413"/>
        <item sd="0" m="1" x="7743"/>
        <item sd="0" m="1" x="7943"/>
        <item sd="0" m="1" x="3683"/>
        <item sd="0" m="1" x="4634"/>
        <item sd="0" m="1" x="5532"/>
        <item sd="0" m="1" x="697"/>
        <item sd="0" m="1" x="1116"/>
        <item sd="0" m="1" x="5207"/>
        <item sd="0" m="1" x="6046"/>
        <item sd="0" m="1" x="6711"/>
        <item sd="0" m="1" x="1761"/>
        <item sd="0" m="1" x="2505"/>
        <item sd="0" m="1" x="6769"/>
        <item sd="0" m="1" x="7288"/>
        <item sd="0" m="1" x="7666"/>
        <item sd="0" m="1" x="3435"/>
        <item sd="0" m="1" x="4376"/>
        <item sd="0" m="1" x="1201"/>
        <item sd="0" m="1" x="1820"/>
        <item sd="0" m="1" x="2614"/>
        <item sd="0" m="1" x="6832"/>
        <item sd="0" m="1" x="2667"/>
        <item sd="0" m="1" x="3567"/>
        <item sd="0" m="1" x="4535"/>
        <item sd="0" m="1" x="7719"/>
        <item sd="0" m="1" x="4589"/>
        <item sd="0" m="1" x="5509"/>
        <item sd="0" m="1" x="368"/>
        <item sd="0" m="1" x="644"/>
        <item sd="0" m="1" x="1061"/>
        <item sd="0" m="1" x="1633"/>
        <item sd="0" m="1" x="5994"/>
        <item sd="0" m="1" x="6661"/>
        <item sd="0" m="1" x="1117"/>
        <item sd="0" m="1" x="1671"/>
        <item sd="0" m="1" x="2425"/>
        <item sd="0" m="1" x="3293"/>
        <item sd="0" m="1" x="7222"/>
        <item sd="0" m="1" x="7625"/>
        <item sd="0" m="1" x="2506"/>
        <item sd="0" m="1" x="3355"/>
        <item sd="0" m="1" x="4314"/>
        <item sd="0" m="1" x="5262"/>
        <item sd="0" m="1" x="303"/>
        <item sd="0" m="1" x="539"/>
        <item sd="0" m="1" x="940"/>
        <item sd="0" m="1" x="3968"/>
        <item sd="0" m="1" x="4914"/>
        <item sd="0" m="1" x="5770"/>
        <item sd="0" m="1" x="6495"/>
        <item sd="0" m="1" x="980"/>
        <item sd="0" m="1" x="1505"/>
        <item sd="0" m="1" x="2224"/>
        <item sd="0" m="1" x="5843"/>
        <item sd="0" m="1" x="6543"/>
        <item sd="0" m="1" x="7103"/>
        <item sd="0" m="1" x="7537"/>
        <item sd="0" m="1" x="2295"/>
        <item sd="0" m="1" x="3132"/>
        <item sd="0" m="1" x="4083"/>
        <item sd="0" m="1" x="256"/>
        <item sd="0" m="1" x="455"/>
        <item sd="0" m="1" x="2800"/>
        <item sd="0" m="1" x="3705"/>
        <item sd="0" m="1" x="4653"/>
        <item sd="0" m="1" x="5551"/>
        <item sd="0" m="1" x="869"/>
        <item sd="0" m="1" x="4708"/>
        <item sd="0" m="1" x="5612"/>
        <item sd="0" m="1" x="6371"/>
        <item sd="0" m="1" x="6960"/>
        <item sd="0" m="1" x="2069"/>
        <item sd="0" m="1" x="1793"/>
        <item sd="0" m="1" x="2579"/>
        <item sd="0" m="1" x="3453"/>
        <item sd="0" m="1" x="4397"/>
        <item sd="0" m="1" x="3502"/>
        <item sd="0" m="1" x="4475"/>
        <item sd="0" m="1" x="5398"/>
        <item sd="0" m="1" x="74"/>
        <item sd="0" m="1" x="806"/>
        <item sd="0" m="1" x="1258"/>
        <item sd="0" m="1" x="1879"/>
        <item sd="0" m="1" x="6267"/>
        <item sd="0" m="1" x="6874"/>
        <item sd="0" m="1" x="1965"/>
        <item sd="0" m="1" x="2740"/>
        <item sd="0" m="1" x="3626"/>
        <item sd="0" m="1" x="7414"/>
        <item sd="0" m="1" x="7744"/>
        <item sd="0" m="1" x="3684"/>
        <item sd="0" m="1" x="4635"/>
        <item sd="0" m="1" x="5533"/>
        <item sd="0" m="1" x="390"/>
        <item sd="0" m="1" x="698"/>
        <item sd="0" m="1" x="1118"/>
        <item sd="0" m="1" x="5208"/>
        <item sd="0" m="1" x="6047"/>
        <item sd="0" m="1" x="6712"/>
        <item sd="0" m="1" x="1174"/>
        <item sd="0" m="1" x="1762"/>
        <item sd="0" m="1" x="2507"/>
        <item sd="0" m="1" x="6770"/>
        <item sd="0" m="1" x="7289"/>
        <item sd="0" m="1" x="7667"/>
        <item sd="0" m="1" x="2571"/>
        <item sd="0" m="1" x="3436"/>
        <item sd="0" m="1" x="4377"/>
        <item sd="0" m="1" x="336"/>
        <item sd="0" m="1" x="586"/>
        <item sd="0" m="1" x="3078"/>
        <item sd="0" m="1" x="4015"/>
        <item sd="0" m="1" x="4978"/>
        <item sd="0" m="1" x="5844"/>
        <item sd="0" m="1" x="1050"/>
        <item sd="0" m="1" x="1584"/>
        <item sd="0" m="1" x="5041"/>
        <item sd="0" m="1" x="5901"/>
        <item sd="0" m="1" x="6623"/>
        <item sd="0" m="1" x="7164"/>
        <item sd="0" m="1" x="2369"/>
        <item sd="0" m="1" x="3201"/>
        <item sd="0" m="1" x="2018"/>
        <item sd="0" m="1" x="2821"/>
        <item sd="0" m="1" x="3747"/>
        <item sd="0" m="1" x="4709"/>
        <item sd="0" m="1" x="3804"/>
        <item sd="0" m="1" x="4769"/>
        <item sd="0" m="1" x="5677"/>
        <item sd="0" m="1" x="6435"/>
        <item sd="0" m="1" x="1202"/>
        <item sd="0" m="1" x="1821"/>
        <item sd="0" m="1" x="2615"/>
        <item sd="0" m="1" x="2668"/>
        <item sd="0" m="1" x="3568"/>
        <item sd="0" m="1" x="4536"/>
        <item sd="0" m="1" x="4590"/>
        <item sd="0" m="1" x="171"/>
        <item sd="0" m="1" x="257"/>
        <item sd="0" m="1" x="456"/>
        <item sd="0" m="1" x="2801"/>
        <item sd="0" m="1" x="3706"/>
        <item sd="0" m="1" x="4654"/>
        <item sd="0" m="1" x="5552"/>
        <item sd="0" m="1" x="510"/>
        <item sd="0" m="1" x="870"/>
        <item sd="0" m="1" x="4710"/>
        <item sd="0" m="1" x="5613"/>
        <item sd="0" m="1" x="6372"/>
        <item sd="0" m="1" x="6961"/>
        <item sd="0" m="1" x="1418"/>
        <item sd="0" m="1" x="2070"/>
        <item sd="0" m="1" x="161"/>
        <item sd="0" m="1" x="1794"/>
        <item sd="0" m="1" x="2580"/>
        <item sd="0" m="1" x="3454"/>
        <item sd="0" m="1" x="4398"/>
        <item sd="0" m="1" x="425"/>
        <item sd="0" m="1" x="3503"/>
        <item sd="0" m="1" x="4476"/>
        <item sd="0" m="1" x="5399"/>
        <item sd="0" m="1" x="1259"/>
        <item sd="0" m="1" x="1706"/>
        <item sd="0" m="1" x="2450"/>
        <item sd="0" m="1" x="3316"/>
        <item sd="0" m="1" x="7255"/>
        <item sd="0" m="1" x="3395"/>
        <item sd="0" m="1" x="4345"/>
        <item sd="0" m="1" x="5280"/>
        <item sd="0" m="1" x="7906"/>
        <item sd="0" m="1" x="5331"/>
        <item sd="0" m="1" x="6142"/>
        <item sd="0" m="1" x="616"/>
        <item sd="0" m="1" x="1010"/>
        <item sd="0" m="1" x="1536"/>
        <item sd="0" m="1" x="2250"/>
        <item sd="0" m="1" x="6580"/>
        <item sd="0" m="1" x="7129"/>
        <item sd="0" m="1" x="1619"/>
        <item sd="0" m="1" x="2329"/>
        <item sd="0" m="1" x="3166"/>
        <item sd="0" m="1" x="4109"/>
        <item sd="0" m="1" x="7588"/>
        <item sd="0" m="1" x="7859"/>
        <item sd="0" m="1" x="3227"/>
        <item sd="0" m="1" x="4158"/>
        <item sd="0" m="1" x="5103"/>
        <item sd="0" m="1" x="5950"/>
        <item sd="0" m="1" x="523"/>
        <item sd="0" m="1" x="902"/>
        <item sd="0" m="1" x="1365"/>
        <item sd="0" m="1" x="4749"/>
        <item sd="0" m="1" x="5639"/>
        <item sd="0" m="1" x="6403"/>
        <item sd="0" m="1" x="6987"/>
        <item sd="0" m="1" x="1443"/>
        <item sd="0" m="1" x="2128"/>
        <item sd="0" m="1" x="2924"/>
        <item sd="0" m="1" x="6460"/>
        <item sd="0" m="1" x="7047"/>
        <item sd="0" m="1" x="7505"/>
        <item sd="0" m="1" x="7805"/>
        <item sd="0" m="1" x="2997"/>
        <item sd="0" m="1" x="3911"/>
        <item sd="0" m="1" x="4868"/>
        <item sd="0" m="1" x="961"/>
        <item sd="0" m="1" x="1474"/>
        <item sd="0" m="1" x="2199"/>
        <item sd="0" m="1" x="3044"/>
        <item sd="0" m="1" x="2251"/>
        <item sd="0" m="1" x="3101"/>
        <item sd="0" m="1" x="4050"/>
        <item sd="0" m="1" x="5008"/>
        <item sd="0" m="1" x="4110"/>
        <item sd="0" m="1" x="5064"/>
        <item sd="0" m="1" x="474"/>
        <item sd="0" m="1" x="842"/>
        <item sd="0" m="1" x="1324"/>
        <item sd="0" m="1" x="1998"/>
        <item sd="0" m="1" x="5592"/>
        <item sd="0" m="1" x="6338"/>
        <item sd="0" m="1" x="1366"/>
        <item sd="0" m="1" x="2040"/>
        <item sd="0" m="1" x="2850"/>
        <item sd="0" m="1" x="3776"/>
        <item sd="0" m="1" x="6988"/>
        <item sd="0" m="1" x="7437"/>
        <item sd="0" m="1" x="2925"/>
        <item sd="0" m="1" x="3847"/>
        <item sd="0" m="1" x="4798"/>
        <item sd="0" m="1" x="233"/>
        <item sd="0" m="1" x="399"/>
        <item sd="0" m="1" x="729"/>
        <item sd="0" m="1" x="4438"/>
        <item sd="0" m="1" x="5354"/>
        <item sd="0" m="1" x="6156"/>
        <item sd="0" m="1" x="769"/>
        <item sd="0" m="1" x="1229"/>
        <item sd="0" m="1" x="1845"/>
        <item sd="0" m="1" x="6213"/>
        <item sd="0" m="1" x="6846"/>
        <item sd="0" m="1" x="7327"/>
        <item sd="0" m="1" x="1923"/>
        <item sd="0" m="1" x="2706"/>
        <item sd="0" m="1" x="3592"/>
        <item sd="0" m="1" x="211"/>
        <item sd="0" m="1" x="344"/>
        <item sd="0" m="1" x="3239"/>
        <item sd="0" m="1" x="4180"/>
        <item sd="0" m="1" x="5116"/>
        <item sd="0" m="1" x="673"/>
        <item sd="0" m="1" x="1085"/>
        <item sd="0" m="1" x="5169"/>
        <item sd="0" m="1" x="6021"/>
        <item sd="0" m="1" x="6679"/>
        <item sd="0" m="1" x="1707"/>
        <item sd="0" m="1" x="2451"/>
        <item sd="0" m="1" x="181"/>
        <item sd="0" m="1" x="1461"/>
        <item sd="0" m="1" x="2170"/>
        <item sd="0" m="1" x="3006"/>
        <item sd="0" m="1" x="3923"/>
        <item sd="0" m="1" x="565"/>
        <item sd="0" m="1" x="3045"/>
        <item sd="0" m="1" x="3992"/>
        <item sd="0" m="1" x="4949"/>
        <item sd="0" m="1" x="5815"/>
        <item sd="0" m="1" x="1537"/>
        <item sd="0" m="1" x="699"/>
        <item sd="0" m="1" x="1119"/>
        <item sd="0" m="1" x="5209"/>
        <item sd="0" m="1" x="6048"/>
        <item sd="0" m="1" x="6713"/>
        <item sd="0" m="1" x="1763"/>
        <item sd="0" m="1" x="2508"/>
        <item sd="0" m="1" x="6771"/>
        <item sd="0" m="1" x="7290"/>
        <item sd="0" m="1" x="7668"/>
        <item sd="0" m="1" x="3437"/>
        <item sd="0" m="1" x="4378"/>
        <item sd="0" m="1" x="587"/>
        <item sd="0" m="1" x="3079"/>
        <item sd="0" m="1" x="4016"/>
        <item sd="0" m="1" x="4979"/>
        <item sd="0" m="1" x="5845"/>
        <item sd="0" m="1" x="1585"/>
        <item sd="0" m="1" x="5042"/>
        <item sd="0" m="1" x="5902"/>
        <item sd="0" m="1" x="6624"/>
        <item sd="0" m="1" x="7165"/>
        <item sd="0" m="1" x="3202"/>
        <item sd="0" m="1" x="2019"/>
        <item sd="0" m="1" x="2822"/>
        <item sd="0" m="1" x="3748"/>
        <item sd="0" m="1" x="4711"/>
        <item sd="0" m="1" x="3805"/>
        <item sd="0" m="1" x="4770"/>
        <item sd="0" m="1" x="5678"/>
        <item sd="0" m="1" x="6436"/>
        <item sd="0" m="1" x="5719"/>
        <item sd="0" m="1" x="1203"/>
        <item sd="0" m="1" x="1822"/>
        <item sd="0" m="1" x="2616"/>
        <item sd="0" m="1" x="6833"/>
        <item sd="0" m="1" x="2669"/>
        <item sd="0" m="1" x="3569"/>
        <item sd="0" m="1" x="4537"/>
        <item sd="0" m="1" x="7720"/>
        <item sd="0" m="1" x="4591"/>
        <item sd="0" m="1" x="5510"/>
        <item sd="0" m="1" x="369"/>
        <item sd="0" m="1" x="645"/>
        <item sd="0" m="1" x="1062"/>
        <item sd="0" m="1" x="1634"/>
        <item sd="0" m="1" x="5995"/>
        <item sd="0" m="1" x="6662"/>
        <item sd="0" m="1" x="1120"/>
        <item sd="0" m="1" x="1672"/>
        <item sd="0" m="1" x="2426"/>
        <item sd="0" m="1" x="3294"/>
        <item sd="0" m="1" x="7223"/>
        <item sd="0" m="1" x="7626"/>
        <item sd="0" m="1" x="2509"/>
        <item sd="0" m="1" x="3356"/>
        <item sd="0" m="1" x="4315"/>
        <item sd="0" m="1" x="5263"/>
        <item sd="0" m="1" x="1795"/>
        <item sd="0" m="1" x="2581"/>
        <item sd="0" m="1" x="3455"/>
        <item sd="0" m="1" x="4399"/>
        <item sd="0" m="1" x="3504"/>
        <item sd="0" m="1" x="4477"/>
        <item sd="0" m="1" x="5400"/>
        <item sd="0" m="1" x="807"/>
        <item sd="0" m="1" x="1260"/>
        <item sd="0" m="1" x="1880"/>
        <item sd="0" m="1" x="6268"/>
        <item sd="0" m="1" x="6875"/>
        <item sd="0" m="1" x="1966"/>
        <item sd="0" m="1" x="2741"/>
        <item sd="0" m="1" x="3627"/>
        <item sd="0" m="1" x="7415"/>
        <item sd="0" m="1" x="7745"/>
        <item sd="0" m="1" x="3685"/>
        <item sd="0" m="1" x="4636"/>
        <item sd="0" m="1" x="5534"/>
        <item sd="0" m="1" x="391"/>
        <item sd="0" m="1" x="700"/>
        <item sd="0" m="1" x="1121"/>
        <item sd="0" m="1" x="5210"/>
        <item sd="0" m="1" x="6049"/>
        <item sd="0" m="1" x="6714"/>
        <item sd="0" m="1" x="1175"/>
        <item sd="0" m="1" x="1764"/>
        <item sd="0" m="1" x="2510"/>
        <item sd="0" m="1" x="6772"/>
        <item sd="0" m="1" x="7291"/>
        <item sd="0" m="1" x="7669"/>
        <item sd="0" m="1" x="2572"/>
        <item sd="0" m="1" x="3438"/>
        <item sd="0" m="1" x="4379"/>
        <item sd="0" m="1" x="337"/>
        <item sd="0" m="1" x="588"/>
        <item sd="0" m="1" x="3080"/>
        <item sd="0" m="1" x="4017"/>
        <item sd="0" m="1" x="4980"/>
        <item sd="0" m="1" x="5846"/>
        <item sd="0" m="1" x="1051"/>
        <item sd="0" m="1" x="1586"/>
        <item sd="0" m="1" x="5043"/>
        <item sd="0" m="1" x="5903"/>
        <item sd="0" m="1" x="6625"/>
        <item sd="0" m="1" x="7166"/>
        <item sd="0" m="1" x="2370"/>
        <item sd="0" m="1" x="3203"/>
        <item sd="0" m="1" x="2020"/>
        <item sd="0" m="1" x="2823"/>
        <item sd="0" m="1" x="3749"/>
        <item sd="0" m="1" x="4712"/>
        <item sd="0" m="1" x="3806"/>
        <item sd="0" m="1" x="4771"/>
        <item sd="0" m="1" x="5679"/>
        <item sd="0" m="1" x="6437"/>
        <item sd="0" m="1" x="196"/>
        <item sd="0" m="1" x="304"/>
        <item sd="0" m="1" x="540"/>
        <item sd="0" m="1" x="941"/>
        <item sd="0" m="1" x="3969"/>
        <item sd="0" m="1" x="4915"/>
        <item sd="0" m="1" x="5771"/>
        <item sd="0" m="1" x="589"/>
        <item sd="0" m="1" x="981"/>
        <item sd="0" m="1" x="1506"/>
        <item sd="0" m="1" x="2225"/>
        <item sd="0" m="1" x="5847"/>
        <item sd="0" m="1" x="6544"/>
        <item sd="0" m="1" x="7104"/>
        <item sd="0" m="1" x="1587"/>
        <item sd="0" m="1" x="2296"/>
        <item sd="0" m="1" x="3133"/>
        <item sd="0" m="1" x="4084"/>
        <item sd="0" m="1" x="172"/>
        <item sd="0" m="1" x="258"/>
        <item sd="0" m="1" x="457"/>
        <item sd="0" m="1" x="2802"/>
        <item sd="0" m="1" x="3707"/>
        <item sd="0" m="1" x="4655"/>
        <item sd="0" m="1" x="5553"/>
        <item sd="0" m="1" x="511"/>
        <item sd="0" m="1" x="871"/>
        <item sd="0" m="1" x="4713"/>
        <item sd="0" m="1" x="5614"/>
        <item sd="0" m="1" x="6373"/>
        <item sd="0" m="1" x="6962"/>
        <item sd="0" m="1" x="1419"/>
        <item sd="0" m="1" x="2071"/>
        <item sd="0" m="1" x="162"/>
        <item sd="0" m="1" x="1796"/>
        <item sd="0" m="1" x="2582"/>
        <item sd="0" m="1" x="3456"/>
        <item sd="0" m="1" x="4400"/>
        <item sd="0" m="1" x="426"/>
        <item sd="0" m="1" x="3505"/>
        <item sd="0" m="1" x="4478"/>
        <item sd="0" m="1" x="5401"/>
        <item sd="0" m="1" x="1261"/>
        <item sd="0" m="1" x="1708"/>
        <item sd="0" m="1" x="2452"/>
        <item sd="0" m="1" x="3317"/>
        <item sd="0" m="1" x="7256"/>
        <item sd="0" m="1" x="3396"/>
        <item sd="0" m="1" x="4346"/>
        <item sd="0" m="1" x="5281"/>
        <item sd="0" m="1" x="7907"/>
        <item sd="0" m="1" x="5332"/>
        <item sd="0" m="1" x="6143"/>
        <item sd="0" m="1" x="617"/>
        <item sd="0" m="1" x="1011"/>
        <item sd="0" m="1" x="1538"/>
        <item sd="0" m="1" x="2252"/>
        <item sd="0" m="1" x="6581"/>
        <item sd="0" m="1" x="7130"/>
        <item sd="0" m="1" x="1620"/>
        <item sd="0" m="1" x="2330"/>
        <item sd="0" m="1" x="3167"/>
        <item sd="0" m="1" x="4111"/>
        <item sd="0" m="1" x="7589"/>
        <item sd="0" m="1" x="7860"/>
        <item sd="0" m="1" x="3228"/>
        <item sd="0" m="1" x="4159"/>
        <item sd="0" m="1" x="5104"/>
        <item sd="0" m="1" x="5951"/>
        <item sd="0" m="1" x="2392"/>
        <item sd="0" m="1" x="3267"/>
        <item sd="0" m="1" x="4229"/>
        <item sd="0" m="1" x="4274"/>
        <item sd="0" m="1" x="5237"/>
        <item sd="0" m="1" x="6076"/>
        <item sd="0" m="1" x="962"/>
        <item sd="0" m="1" x="1475"/>
        <item sd="0" m="1" x="2200"/>
        <item sd="0" m="1" x="3046"/>
        <item sd="0" m="1" x="2253"/>
        <item sd="0" m="1" x="3102"/>
        <item sd="0" m="1" x="4051"/>
        <item sd="0" m="1" x="5009"/>
        <item sd="0" m="1" x="4112"/>
        <item sd="0" m="1" x="5065"/>
        <item sd="0" m="1" x="475"/>
        <item sd="0" m="1" x="843"/>
        <item sd="0" m="1" x="1325"/>
        <item sd="0" m="1" x="1999"/>
        <item sd="0" m="1" x="5593"/>
        <item sd="0" m="1" x="6339"/>
        <item sd="0" m="1" x="1367"/>
        <item sd="0" m="1" x="2041"/>
        <item sd="0" m="1" x="2851"/>
        <item sd="0" m="1" x="3777"/>
        <item sd="0" m="1" x="6989"/>
        <item sd="0" m="1" x="7438"/>
        <item sd="0" m="1" x="2926"/>
        <item sd="0" m="1" x="3848"/>
        <item sd="0" m="1" x="4799"/>
        <item sd="0" m="1" x="234"/>
        <item sd="0" m="1" x="400"/>
        <item sd="0" m="1" x="730"/>
        <item sd="0" m="1" x="4439"/>
        <item sd="0" m="1" x="5355"/>
        <item sd="0" m="1" x="6157"/>
        <item sd="0" m="1" x="770"/>
        <item sd="0" m="1" x="1230"/>
        <item sd="0" m="1" x="1846"/>
        <item sd="0" m="1" x="6214"/>
        <item sd="0" m="1" x="6847"/>
        <item sd="0" m="1" x="7328"/>
        <item sd="0" m="1" x="1924"/>
        <item sd="0" m="1" x="2707"/>
        <item sd="0" m="1" x="3593"/>
        <item sd="0" m="1" x="212"/>
        <item sd="0" m="1" x="345"/>
        <item sd="0" m="1" x="3240"/>
        <item sd="0" m="1" x="4181"/>
        <item sd="0" m="1" x="5117"/>
        <item sd="0" m="1" x="674"/>
        <item sd="0" m="1" x="1086"/>
        <item sd="0" m="1" x="5170"/>
        <item sd="0" m="1" x="6022"/>
        <item sd="0" m="1" x="6680"/>
        <item sd="0" m="1" x="1709"/>
        <item sd="0" m="1" x="2453"/>
        <item sd="0" m="1" x="808"/>
        <item sd="0" m="1" x="1262"/>
        <item sd="0" m="1" x="1881"/>
        <item sd="0" m="1" x="6269"/>
        <item sd="0" m="1" x="6876"/>
        <item sd="0" m="1" x="7358"/>
        <item sd="0" m="1" x="1967"/>
        <item sd="0" m="1" x="2742"/>
        <item sd="0" m="1" x="3628"/>
        <item sd="0" m="1" x="7416"/>
        <item sd="0" m="1" x="7746"/>
        <item sd="0" m="1" x="7944"/>
        <item sd="0" m="1" x="3686"/>
        <item sd="0" m="1" x="4637"/>
        <item sd="0" m="1" x="5535"/>
        <item sd="0" m="1" x="701"/>
        <item sd="0" m="1" x="1122"/>
        <item sd="0" m="1" x="5211"/>
        <item sd="0" m="1" x="6050"/>
        <item sd="0" m="1" x="6715"/>
        <item sd="0" m="1" x="1765"/>
        <item sd="0" m="1" x="2511"/>
        <item sd="0" m="1" x="6773"/>
        <item sd="0" m="1" x="7292"/>
        <item sd="0" m="1" x="7670"/>
        <item sd="0" m="1" x="3439"/>
        <item sd="0" m="1" x="4380"/>
        <item sd="0" m="1" x="590"/>
        <item sd="0" m="1" x="3081"/>
        <item sd="0" m="1" x="4018"/>
        <item sd="0" m="1" x="4981"/>
        <item sd="0" m="1" x="5848"/>
        <item sd="0" m="1" x="1588"/>
        <item sd="0" m="1" x="5044"/>
        <item sd="0" m="1" x="5904"/>
        <item sd="0" m="1" x="6626"/>
        <item sd="0" m="1" x="7167"/>
        <item sd="0" m="1" x="3204"/>
        <item sd="0" m="1" x="2021"/>
        <item sd="0" m="1" x="2824"/>
        <item sd="0" m="1" x="3750"/>
        <item sd="0" m="1" x="4714"/>
        <item sd="0" m="1" x="3807"/>
        <item sd="0" m="1" x="4772"/>
        <item sd="0" m="1" x="5680"/>
        <item sd="0" m="1" x="6438"/>
        <item sd="0" m="1" x="5720"/>
        <item sd="0" m="1" x="1204"/>
        <item sd="0" m="1" x="1823"/>
        <item sd="0" m="1" x="2617"/>
        <item sd="0" m="1" x="6834"/>
        <item sd="0" m="1" x="2670"/>
        <item sd="0" m="1" x="3570"/>
        <item sd="0" m="1" x="4538"/>
        <item sd="0" m="1" x="7721"/>
        <item sd="0" m="1" x="4592"/>
        <item sd="0" m="1" x="259"/>
        <item sd="0" m="1" x="458"/>
        <item sd="0" m="1" x="2803"/>
        <item sd="0" m="1" x="3708"/>
        <item sd="0" m="1" x="4656"/>
        <item sd="0" m="1" x="5554"/>
        <item sd="0" m="1" x="872"/>
        <item sd="0" m="1" x="4715"/>
        <item sd="0" m="1" x="5615"/>
        <item sd="0" m="1" x="6374"/>
        <item sd="0" m="1" x="6963"/>
        <item sd="0" m="1" x="2072"/>
        <item sd="0" m="1" x="1797"/>
        <item sd="0" m="1" x="2583"/>
        <item sd="0" m="1" x="3457"/>
        <item sd="0" m="1" x="4401"/>
        <item sd="0" m="1" x="3506"/>
        <item sd="0" m="1" x="4479"/>
        <item sd="0" m="1" x="5402"/>
        <item sd="0" m="1" x="1710"/>
        <item sd="0" m="1" x="2454"/>
        <item sd="0" m="1" x="3318"/>
        <item sd="0" m="1" x="7257"/>
        <item sd="0" m="1" x="7642"/>
        <item sd="0" m="1" x="3397"/>
        <item sd="0" m="1" x="4347"/>
        <item sd="0" m="1" x="5282"/>
        <item sd="0" m="1" x="7908"/>
        <item sd="0" m="1" x="97"/>
        <item sd="0" m="1" x="5333"/>
        <item sd="0" m="1" x="6144"/>
        <item sd="0" m="1" x="6798"/>
        <item sd="0" m="1" x="1012"/>
        <item sd="0" m="1" x="1539"/>
        <item sd="0" m="1" x="2254"/>
        <item sd="0" m="1" x="6582"/>
        <item sd="0" m="1" x="7131"/>
        <item sd="0" m="1" x="7552"/>
        <item sd="0" m="1" x="2331"/>
        <item sd="0" m="1" x="3168"/>
        <item sd="0" m="1" x="4113"/>
        <item sd="0" m="1" x="7590"/>
        <item sd="0" m="1" x="7861"/>
        <item sd="0" m="1" x="75"/>
        <item sd="0" m="1" x="4160"/>
        <item sd="0" m="1" x="5105"/>
        <item sd="0" m="1" x="5952"/>
        <item sd="0" m="1" x="809"/>
        <item sd="0" m="1" x="1263"/>
        <item sd="0" m="1" x="1882"/>
        <item sd="0" m="1" x="6270"/>
        <item sd="0" m="1" x="6877"/>
        <item sd="0" m="1" x="1968"/>
        <item sd="0" m="1" x="2743"/>
        <item sd="0" m="1" x="3629"/>
        <item sd="0" m="1" x="7417"/>
        <item sd="0" m="1" x="7747"/>
        <item sd="0" m="1" x="3687"/>
        <item sd="0" m="1" x="4638"/>
        <item sd="0" m="1" x="5536"/>
        <item sd="0" m="1" x="2022"/>
        <item sd="0" m="1" x="2825"/>
        <item sd="0" m="1" x="3751"/>
        <item sd="0" m="1" x="4716"/>
        <item sd="0" m="1" x="3808"/>
        <item sd="0" m="1" x="4773"/>
        <item sd="0" m="1" x="5681"/>
        <item sd="0" m="1" x="6439"/>
        <item sd="0" m="1" x="1205"/>
        <item sd="0" m="1" x="1824"/>
        <item sd="0" m="1" x="2618"/>
        <item sd="0" m="1" x="2671"/>
        <item sd="0" m="1" x="3571"/>
        <item sd="0" m="1" x="4539"/>
        <item sd="0" m="1" x="4593"/>
        <item sd="0" m="1" x="370"/>
        <item sd="0" m="1" x="646"/>
        <item sd="0" m="1" x="1063"/>
        <item sd="0" m="1" x="1635"/>
        <item sd="0" m="1" x="5996"/>
        <item sd="0" m="1" x="1123"/>
        <item sd="0" m="1" x="1673"/>
        <item sd="0" m="1" x="2427"/>
        <item sd="0" m="1" x="3295"/>
        <item sd="0" m="1" x="7224"/>
        <item sd="0" m="1" x="2512"/>
        <item sd="0" m="1" x="3357"/>
        <item sd="0" m="1" x="4316"/>
        <item sd="0" m="1" x="197"/>
        <item sd="0" m="1" x="305"/>
        <item sd="0" m="1" x="541"/>
        <item sd="0" m="1" x="942"/>
        <item sd="0" m="1" x="3970"/>
        <item sd="0" m="1" x="4916"/>
        <item sd="0" m="1" x="5772"/>
        <item sd="0" m="1" x="591"/>
        <item sd="0" m="1" x="982"/>
        <item sd="0" m="1" x="1507"/>
        <item sd="0" m="1" x="2226"/>
        <item sd="0" m="1" x="5849"/>
        <item sd="0" m="1" x="6545"/>
        <item sd="0" m="1" x="7105"/>
        <item sd="0" m="1" x="1589"/>
        <item sd="0" m="1" x="2297"/>
        <item sd="0" m="1" x="3134"/>
        <item sd="0" m="1" x="4085"/>
        <item sd="0" m="1" x="173"/>
        <item sd="0" m="1" x="260"/>
        <item sd="0" m="1" x="459"/>
        <item sd="0" m="1" x="2804"/>
        <item sd="0" m="1" x="3709"/>
        <item sd="0" m="1" x="4657"/>
        <item sd="0" m="1" x="5555"/>
        <item sd="0" m="1" x="512"/>
        <item sd="0" m="1" x="873"/>
        <item sd="0" m="1" x="4717"/>
        <item sd="0" m="1" x="5616"/>
        <item sd="0" m="1" x="6375"/>
        <item sd="0" m="1" x="6964"/>
        <item sd="0" m="1" x="1420"/>
        <item sd="0" m="1" x="2073"/>
        <item sd="0" m="1" x="618"/>
        <item sd="0" m="1" x="1013"/>
        <item sd="0" m="1" x="1540"/>
        <item sd="0" m="1" x="2255"/>
        <item sd="0" m="1" x="6583"/>
        <item sd="0" m="1" x="7132"/>
        <item sd="0" m="1" x="1621"/>
        <item sd="0" m="1" x="2332"/>
        <item sd="0" m="1" x="3169"/>
        <item sd="0" m="1" x="4114"/>
        <item sd="0" m="1" x="7591"/>
        <item sd="0" m="1" x="7862"/>
        <item sd="0" m="1" x="3229"/>
        <item sd="0" m="1" x="4161"/>
        <item sd="0" m="1" x="5106"/>
        <item sd="0" m="1" x="5953"/>
        <item sd="0" m="1" x="524"/>
        <item sd="0" m="1" x="903"/>
        <item sd="0" m="1" x="1368"/>
        <item sd="0" m="1" x="4750"/>
        <item sd="0" m="1" x="5640"/>
        <item sd="0" m="1" x="6404"/>
        <item sd="0" m="1" x="6990"/>
        <item sd="0" m="1" x="1444"/>
        <item sd="0" m="1" x="2129"/>
        <item sd="0" m="1" x="2927"/>
        <item sd="0" m="1" x="6461"/>
        <item sd="0" m="1" x="7048"/>
        <item sd="0" m="1" x="7506"/>
        <item sd="0" m="1" x="7806"/>
        <item sd="0" m="1" x="2998"/>
        <item sd="0" m="1" x="3912"/>
        <item sd="0" m="1" x="4869"/>
        <item sd="0" m="1" x="436"/>
        <item sd="0" m="1" x="3535"/>
        <item sd="0" m="1" x="4502"/>
        <item sd="0" m="1" x="5428"/>
        <item sd="0" m="1" x="6215"/>
        <item sd="0" m="1" x="1299"/>
        <item sd="0" m="1" x="5478"/>
        <item sd="0" m="1" x="6291"/>
        <item sd="0" m="1" x="6912"/>
        <item sd="0" m="1" x="7388"/>
        <item sd="0" m="1" x="2775"/>
        <item sd="0" m="1" x="2393"/>
        <item sd="0" m="1" x="3268"/>
        <item sd="0" m="1" x="4230"/>
        <item sd="0" m="1" x="4275"/>
        <item sd="0" m="1" x="5238"/>
        <item sd="0" m="1" x="6077"/>
        <item sd="0" m="1" x="963"/>
        <item sd="0" m="1" x="1476"/>
        <item sd="0" m="1" x="2201"/>
        <item sd="0" m="1" x="3047"/>
        <item sd="0" m="1" x="2256"/>
        <item sd="0" m="1" x="3103"/>
        <item sd="0" m="1" x="4052"/>
        <item sd="0" m="1" x="5010"/>
        <item sd="0" m="1" x="4115"/>
        <item sd="0" m="1" x="5066"/>
        <item sd="0" m="1" x="213"/>
        <item sd="0" m="1" x="346"/>
        <item sd="0" m="1" x="3241"/>
        <item sd="0" m="1" x="4182"/>
        <item sd="0" m="1" x="5118"/>
        <item sd="0" m="1" x="675"/>
        <item sd="0" m="1" x="1087"/>
        <item sd="0" m="1" x="5171"/>
        <item sd="0" m="1" x="6023"/>
        <item sd="0" m="1" x="6681"/>
        <item sd="0" m="1" x="1711"/>
        <item sd="0" m="1" x="2455"/>
        <item sd="0" m="1" x="182"/>
        <item sd="0" m="1" x="1462"/>
        <item sd="0" m="1" x="2171"/>
        <item sd="0" m="1" x="3007"/>
        <item sd="0" m="1" x="3924"/>
        <item sd="0" m="1" x="566"/>
        <item sd="0" m="1" x="3048"/>
        <item sd="0" m="1" x="3993"/>
        <item sd="0" m="1" x="4950"/>
        <item sd="0" m="1" x="5816"/>
        <item sd="0" m="1" x="1541"/>
        <item sd="0" m="1" x="1421"/>
        <item sd="0" m="1" x="2074"/>
        <item sd="0" m="1" x="2885"/>
        <item sd="0" m="1" x="3809"/>
        <item sd="0" m="1" x="7031"/>
        <item sd="0" m="1" x="7472"/>
        <item sd="0" m="1" x="2980"/>
        <item sd="0" m="1" x="3878"/>
        <item sd="0" m="1" x="4836"/>
        <item sd="0" m="1" x="5721"/>
        <item sd="0" m="1" x="7832"/>
        <item sd="0" m="1" x="7974"/>
        <item sd="0" m="1" x="4902"/>
        <item sd="0" m="1" x="5758"/>
        <item sd="0" m="1" x="6488"/>
        <item sd="0" m="1" x="810"/>
        <item sd="0" m="1" x="1264"/>
        <item sd="0" m="1" x="1883"/>
        <item sd="0" m="1" x="6271"/>
        <item sd="0" m="1" x="6878"/>
        <item sd="0" m="1" x="7359"/>
        <item sd="0" m="1" x="1969"/>
        <item sd="0" m="1" x="2744"/>
        <item sd="0" m="1" x="3630"/>
        <item sd="0" m="1" x="7418"/>
        <item sd="0" m="1" x="7748"/>
        <item sd="0" m="1" x="7945"/>
        <item sd="0" m="1" x="3688"/>
        <item sd="0" m="1" x="4639"/>
        <item sd="0" m="1" x="5537"/>
        <item sd="0" m="1" x="702"/>
        <item sd="0" m="1" x="1124"/>
        <item sd="0" m="1" x="5212"/>
        <item sd="0" m="1" x="6051"/>
        <item sd="0" m="1" x="6716"/>
        <item sd="0" m="1" x="1766"/>
        <item sd="0" m="1" x="2513"/>
        <item sd="0" m="1" x="6774"/>
        <item sd="0" m="1" x="7293"/>
        <item sd="0" m="1" x="7671"/>
        <item sd="0" m="1" x="3440"/>
        <item sd="0" m="1" x="4381"/>
        <item sd="0" m="1" x="1206"/>
        <item sd="0" m="1" x="1825"/>
        <item sd="0" m="1" x="2619"/>
        <item sd="0" m="1" x="6835"/>
        <item sd="0" m="1" x="2672"/>
        <item sd="0" m="1" x="3572"/>
        <item sd="0" m="1" x="4540"/>
        <item sd="0" m="1" x="7722"/>
        <item sd="0" m="1" x="4594"/>
        <item sd="0" m="1" x="5511"/>
        <item sd="0" m="1" x="371"/>
        <item sd="0" m="1" x="647"/>
        <item sd="0" m="1" x="1064"/>
        <item sd="0" m="1" x="1636"/>
        <item sd="0" m="1" x="5997"/>
        <item sd="0" m="1" x="6663"/>
        <item sd="0" m="1" x="1125"/>
        <item sd="0" m="1" x="1674"/>
        <item sd="0" m="1" x="2428"/>
        <item sd="0" m="1" x="3296"/>
        <item sd="0" m="1" x="7225"/>
        <item sd="0" m="1" x="7627"/>
        <item sd="0" m="1" x="2514"/>
        <item sd="0" m="1" x="3358"/>
        <item sd="0" m="1" x="4317"/>
        <item sd="0" m="1" x="5264"/>
        <item sd="0" m="1" x="306"/>
        <item sd="0" m="1" x="542"/>
        <item sd="0" m="1" x="943"/>
        <item sd="0" m="1" x="3971"/>
        <item sd="0" m="1" x="4917"/>
        <item sd="0" m="1" x="5773"/>
        <item sd="0" m="1" x="6496"/>
        <item sd="0" m="1" x="983"/>
        <item sd="0" m="1" x="1508"/>
        <item sd="0" m="1" x="2227"/>
        <item sd="0" m="1" x="5850"/>
        <item sd="0" m="1" x="6546"/>
        <item sd="0" m="1" x="7106"/>
        <item sd="0" m="1" x="7538"/>
        <item sd="0" m="1" x="2298"/>
        <item sd="0" m="1" x="3135"/>
        <item sd="0" m="1" x="4086"/>
        <item sd="0" m="1" x="261"/>
        <item sd="0" m="1" x="460"/>
        <item sd="0" m="1" x="2805"/>
        <item sd="0" m="1" x="3710"/>
        <item sd="0" m="1" x="4658"/>
        <item sd="0" m="1" x="5556"/>
        <item sd="0" m="1" x="874"/>
        <item sd="0" m="1" x="4718"/>
        <item sd="0" m="1" x="5617"/>
        <item sd="0" m="1" x="6376"/>
        <item sd="0" m="1" x="6965"/>
        <item sd="0" m="1" x="2075"/>
        <item sd="0" m="1" x="1798"/>
        <item sd="0" m="1" x="2584"/>
        <item sd="0" m="1" x="3458"/>
        <item sd="0" m="1" x="4402"/>
        <item sd="0" m="1" x="3507"/>
        <item sd="0" m="1" x="4480"/>
        <item sd="0" m="1" x="5403"/>
        <item sd="0" m="1" x="392"/>
        <item sd="0" m="1" x="703"/>
        <item sd="0" m="1" x="1126"/>
        <item sd="0" m="1" x="5213"/>
        <item sd="0" m="1" x="6052"/>
        <item sd="0" m="1" x="6717"/>
        <item sd="0" m="1" x="1176"/>
        <item sd="0" m="1" x="1767"/>
        <item sd="0" m="1" x="2515"/>
        <item sd="0" m="1" x="6775"/>
        <item sd="0" m="1" x="7294"/>
        <item sd="0" m="1" x="7672"/>
        <item sd="0" m="1" x="2573"/>
        <item sd="0" m="1" x="3441"/>
        <item sd="0" m="1" x="4382"/>
        <item sd="0" m="1" x="338"/>
        <item sd="0" m="1" x="592"/>
        <item sd="0" m="1" x="3082"/>
        <item sd="0" m="1" x="4019"/>
        <item sd="0" m="1" x="4982"/>
        <item sd="0" m="1" x="5851"/>
        <item sd="0" m="1" x="1052"/>
        <item sd="0" m="1" x="1590"/>
        <item sd="0" m="1" x="5045"/>
        <item sd="0" m="1" x="5905"/>
        <item sd="0" m="1" x="6627"/>
        <item sd="0" m="1" x="7168"/>
        <item sd="0" m="1" x="2371"/>
        <item sd="0" m="1" x="3205"/>
        <item sd="0" m="1" x="2023"/>
        <item sd="0" m="1" x="2826"/>
        <item sd="0" m="1" x="3752"/>
        <item sd="0" m="1" x="4719"/>
        <item sd="0" m="1" x="3810"/>
        <item sd="0" m="1" x="4774"/>
        <item sd="0" m="1" x="5682"/>
        <item sd="0" m="1" x="6440"/>
        <item sd="0" m="1" x="1207"/>
        <item sd="0" m="1" x="1826"/>
        <item sd="0" m="1" x="2620"/>
        <item sd="0" m="1" x="2673"/>
        <item sd="0" m="1" x="3573"/>
        <item sd="0" m="1" x="4541"/>
        <item sd="0" m="1" x="4595"/>
        <item sd="0" m="1" x="372"/>
        <item sd="0" m="1" x="648"/>
        <item sd="0" m="1" x="1065"/>
        <item sd="0" m="1" x="1637"/>
        <item sd="0" m="1" x="5998"/>
        <item sd="0" m="1" x="1127"/>
        <item sd="0" m="1" x="1675"/>
        <item sd="0" m="1" x="2429"/>
        <item sd="0" m="1" x="3297"/>
        <item sd="0" m="1" x="7226"/>
        <item sd="0" m="1" x="2516"/>
        <item sd="0" m="1" x="3359"/>
        <item sd="0" m="1" x="4318"/>
        <item sd="0" m="1" x="163"/>
        <item sd="0" m="1" x="1799"/>
        <item sd="0" m="1" x="2585"/>
        <item sd="0" m="1" x="3459"/>
        <item sd="0" m="1" x="4403"/>
        <item sd="0" m="1" x="427"/>
        <item sd="0" m="1" x="3508"/>
        <item sd="0" m="1" x="4481"/>
        <item sd="0" m="1" x="5404"/>
        <item sd="0" m="1" x="1265"/>
        <item sd="0" m="1" x="1712"/>
        <item sd="0" m="1" x="2456"/>
        <item sd="0" m="1" x="3319"/>
        <item sd="0" m="1" x="7258"/>
        <item sd="0" m="1" x="3398"/>
        <item sd="0" m="1" x="4348"/>
        <item sd="0" m="1" x="5283"/>
        <item sd="0" m="1" x="7909"/>
        <item sd="0" m="1" x="5334"/>
        <item sd="0" m="1" x="6145"/>
        <item sd="0" m="1" x="619"/>
        <item sd="0" m="1" x="1014"/>
        <item sd="0" m="1" x="1542"/>
        <item sd="0" m="1" x="2257"/>
        <item sd="0" m="1" x="6584"/>
        <item sd="0" m="1" x="7133"/>
        <item sd="0" m="1" x="1622"/>
        <item sd="0" m="1" x="2333"/>
        <item sd="0" m="1" x="3170"/>
        <item sd="0" m="1" x="4116"/>
        <item sd="0" m="1" x="7592"/>
        <item sd="0" m="1" x="7863"/>
        <item sd="0" m="1" x="3230"/>
        <item sd="0" m="1" x="4162"/>
        <item sd="0" m="1" x="5107"/>
        <item sd="0" m="1" x="5954"/>
        <item sd="0" m="1" x="525"/>
        <item sd="0" m="1" x="904"/>
        <item sd="0" m="1" x="1369"/>
        <item sd="0" m="1" x="4751"/>
        <item sd="0" m="1" x="5641"/>
        <item sd="0" m="1" x="6405"/>
        <item sd="0" m="1" x="6991"/>
        <item sd="0" m="1" x="1445"/>
        <item sd="0" m="1" x="2130"/>
        <item sd="0" m="1" x="2928"/>
        <item sd="0" m="1" x="6462"/>
        <item sd="0" m="1" x="7049"/>
        <item sd="0" m="1" x="7507"/>
        <item sd="0" m="1" x="7807"/>
        <item sd="0" m="1" x="2999"/>
        <item sd="0" m="1" x="3913"/>
        <item sd="0" m="1" x="4870"/>
        <item sd="0" m="1" x="437"/>
        <item sd="0" m="1" x="3536"/>
        <item sd="0" m="1" x="4503"/>
        <item sd="0" m="1" x="5429"/>
        <item sd="0" m="1" x="6216"/>
        <item sd="0" m="1" x="1300"/>
        <item sd="0" m="1" x="5479"/>
        <item sd="0" m="1" x="6292"/>
        <item sd="0" m="1" x="6913"/>
        <item sd="0" m="1" x="7389"/>
        <item sd="0" m="1" x="2776"/>
        <item sd="0" m="1" x="476"/>
        <item sd="0" m="1" x="844"/>
        <item sd="0" m="1" x="1326"/>
        <item sd="0" m="1" x="2000"/>
        <item sd="0" m="1" x="5594"/>
        <item sd="0" m="1" x="6340"/>
        <item sd="0" m="1" x="1370"/>
        <item sd="0" m="1" x="2042"/>
        <item sd="0" m="1" x="2852"/>
        <item sd="0" m="1" x="3778"/>
        <item sd="0" m="1" x="6992"/>
        <item sd="0" m="1" x="7439"/>
        <item sd="0" m="1" x="2929"/>
        <item sd="0" m="1" x="3849"/>
        <item sd="0" m="1" x="4800"/>
        <item sd="0" m="1" x="235"/>
        <item sd="0" m="1" x="401"/>
        <item sd="0" m="1" x="731"/>
        <item sd="0" m="1" x="4440"/>
        <item sd="0" m="1" x="5356"/>
        <item sd="0" m="1" x="6158"/>
        <item sd="0" m="1" x="771"/>
        <item sd="0" m="1" x="1231"/>
        <item sd="0" m="1" x="1847"/>
        <item sd="0" m="1" x="6217"/>
        <item sd="0" m="1" x="6848"/>
        <item sd="0" m="1" x="7329"/>
        <item sd="0" m="1" x="1925"/>
        <item sd="0" m="1" x="2708"/>
        <item sd="0" m="1" x="3594"/>
        <item sd="0" m="1" x="214"/>
        <item sd="0" m="1" x="347"/>
        <item sd="0" m="1" x="3242"/>
        <item sd="0" m="1" x="4183"/>
        <item sd="0" m="1" x="5119"/>
        <item sd="0" m="1" x="676"/>
        <item sd="0" m="1" x="1088"/>
        <item sd="0" m="1" x="5172"/>
        <item sd="0" m="1" x="6024"/>
        <item sd="0" m="1" x="6682"/>
        <item sd="0" m="1" x="1713"/>
        <item sd="0" m="1" x="2457"/>
        <item sd="0" m="1" x="183"/>
        <item sd="0" m="1" x="1463"/>
        <item sd="0" m="1" x="2172"/>
        <item sd="0" m="1" x="3008"/>
        <item sd="0" m="1" x="3925"/>
        <item sd="0" m="1" x="567"/>
        <item sd="0" m="1" x="3049"/>
        <item sd="0" m="1" x="3994"/>
        <item sd="0" m="1" x="4951"/>
        <item sd="0" m="1" x="5817"/>
        <item sd="0" m="1" x="1543"/>
        <item sd="0" m="1" x="1422"/>
        <item sd="0" m="1" x="2076"/>
        <item sd="0" m="1" x="2886"/>
        <item sd="0" m="1" x="3811"/>
        <item sd="0" m="1" x="7032"/>
        <item sd="0" m="1" x="7473"/>
        <item sd="0" m="1" x="2981"/>
        <item sd="0" m="1" x="3879"/>
        <item sd="0" m="1" x="4837"/>
        <item sd="0" m="1" x="5722"/>
        <item sd="0" m="1" x="7833"/>
        <item sd="0" m="1" x="7975"/>
        <item sd="0" m="1" x="4903"/>
        <item sd="0" m="1" x="5759"/>
        <item sd="0" m="1" x="6489"/>
        <item sd="0" m="1" x="593"/>
        <item sd="0" m="1" x="3083"/>
        <item sd="0" m="1" x="4020"/>
        <item sd="0" m="1" x="4983"/>
        <item sd="0" m="1" x="5852"/>
        <item sd="0" m="1" x="1591"/>
        <item sd="0" m="1" x="5046"/>
        <item sd="0" m="1" x="5906"/>
        <item sd="0" m="1" x="6628"/>
        <item sd="0" m="1" x="7169"/>
        <item sd="0" m="1" x="3206"/>
        <item sd="0" m="1" x="2024"/>
        <item sd="0" m="1" x="2827"/>
        <item sd="0" m="1" x="3753"/>
        <item sd="0" m="1" x="4720"/>
        <item sd="0" m="1" x="3812"/>
        <item sd="0" m="1" x="4775"/>
        <item sd="0" m="1" x="5683"/>
        <item sd="0" m="1" x="6441"/>
        <item sd="0" m="1" x="5723"/>
        <item sd="0" m="1" x="1208"/>
        <item sd="0" m="1" x="1827"/>
        <item sd="0" m="1" x="2621"/>
        <item sd="0" m="1" x="6836"/>
        <item sd="0" m="1" x="2674"/>
        <item sd="0" m="1" x="3574"/>
        <item sd="0" m="1" x="4542"/>
        <item sd="0" m="1" x="7723"/>
        <item sd="0" m="1" x="4596"/>
        <item sd="0" m="1" x="5512"/>
        <item sd="0" m="1" x="373"/>
        <item sd="0" m="1" x="649"/>
        <item sd="0" m="1" x="1066"/>
        <item sd="0" m="1" x="1638"/>
        <item sd="0" m="1" x="5999"/>
        <item sd="0" m="1" x="6664"/>
        <item sd="0" m="1" x="1128"/>
        <item sd="0" m="1" x="1676"/>
        <item sd="0" m="1" x="2430"/>
        <item sd="0" m="1" x="3298"/>
        <item sd="0" m="1" x="7227"/>
        <item sd="0" m="1" x="7628"/>
        <item sd="0" m="1" x="2517"/>
        <item sd="0" m="1" x="3360"/>
        <item sd="0" m="1" x="4319"/>
        <item sd="0" m="1" x="5265"/>
        <item sd="0" m="1" x="307"/>
        <item sd="0" m="1" x="543"/>
        <item sd="0" m="1" x="944"/>
        <item sd="0" m="1" x="3972"/>
        <item sd="0" m="1" x="4918"/>
        <item sd="0" m="1" x="5774"/>
        <item sd="0" m="1" x="6497"/>
        <item sd="0" m="1" x="984"/>
        <item sd="0" m="1" x="1509"/>
        <item sd="0" m="1" x="2228"/>
        <item sd="0" m="1" x="5853"/>
        <item sd="0" m="1" x="6547"/>
        <item sd="0" m="1" x="7107"/>
        <item sd="0" m="1" x="7539"/>
        <item sd="0" m="1" x="2299"/>
        <item sd="0" m="1" x="3136"/>
        <item sd="0" m="1" x="4087"/>
        <item sd="0" m="1" x="1714"/>
        <item sd="0" m="1" x="2458"/>
        <item sd="0" m="1" x="3320"/>
        <item sd="0" m="1" x="7259"/>
        <item sd="0" m="1" x="7643"/>
        <item sd="0" m="1" x="3399"/>
        <item sd="0" m="1" x="4349"/>
        <item sd="0" m="1" x="5284"/>
        <item sd="0" m="1" x="7910"/>
        <item sd="0" m="1" x="98"/>
        <item sd="0" m="1" x="5335"/>
        <item sd="0" m="1" x="6146"/>
        <item sd="0" m="1" x="6799"/>
        <item sd="0" m="1" x="1015"/>
        <item sd="0" m="1" x="1544"/>
        <item sd="0" m="1" x="2258"/>
        <item sd="0" m="1" x="6585"/>
        <item sd="0" m="1" x="7134"/>
        <item sd="0" m="1" x="7553"/>
        <item sd="0" m="1" x="2334"/>
        <item sd="0" m="1" x="3171"/>
        <item sd="0" m="1" x="4117"/>
        <item sd="0" m="1" x="7593"/>
        <item sd="0" m="1" x="7864"/>
        <item sd="0" m="1" x="76"/>
        <item sd="0" m="1" x="4163"/>
        <item sd="0" m="1" x="5108"/>
        <item sd="0" m="1" x="5955"/>
        <item sd="0" m="1" x="811"/>
        <item sd="0" m="1" x="1266"/>
        <item sd="0" m="1" x="1884"/>
        <item sd="0" m="1" x="6272"/>
        <item sd="0" m="1" x="6879"/>
        <item sd="0" m="1" x="1970"/>
        <item sd="0" m="1" x="2745"/>
        <item sd="0" m="1" x="3631"/>
        <item sd="0" m="1" x="7419"/>
        <item sd="0" m="1" x="7749"/>
        <item sd="0" m="1" x="3689"/>
        <item sd="0" m="1" x="4640"/>
        <item sd="0" m="1" x="5538"/>
        <item sd="0" m="1" x="393"/>
        <item sd="0" m="1" x="704"/>
        <item sd="0" m="1" x="1129"/>
        <item sd="0" m="1" x="5214"/>
        <item sd="0" m="1" x="6053"/>
        <item sd="0" m="1" x="6718"/>
        <item sd="0" m="1" x="1177"/>
        <item sd="0" m="1" x="1768"/>
        <item sd="0" m="1" x="2518"/>
        <item sd="0" m="1" x="6776"/>
        <item sd="0" m="1" x="7295"/>
        <item sd="0" m="1" x="7673"/>
        <item sd="0" m="1" x="2574"/>
        <item sd="0" m="1" x="3442"/>
        <item sd="0" m="1" x="4383"/>
        <item sd="0" m="1" x="339"/>
        <item sd="0" m="1" x="594"/>
        <item sd="0" m="1" x="3084"/>
        <item sd="0" m="1" x="4021"/>
        <item sd="0" m="1" x="4984"/>
        <item sd="0" m="1" x="5854"/>
        <item sd="0" m="1" x="1053"/>
        <item sd="0" m="1" x="1592"/>
        <item sd="0" m="1" x="5047"/>
        <item sd="0" m="1" x="5907"/>
        <item sd="0" m="1" x="6629"/>
        <item sd="0" m="1" x="7170"/>
        <item sd="0" m="1" x="2372"/>
        <item sd="0" m="1" x="3207"/>
        <item sd="0" m="1" x="374"/>
        <item sd="0" m="1" x="650"/>
        <item sd="0" m="1" x="1067"/>
        <item sd="0" m="1" x="1639"/>
        <item sd="0" m="1" x="6000"/>
        <item sd="0" m="1" x="1130"/>
        <item sd="0" m="1" x="1677"/>
        <item sd="0" m="1" x="2431"/>
        <item sd="0" m="1" x="3299"/>
        <item sd="0" m="1" x="7228"/>
        <item sd="0" m="1" x="2519"/>
        <item sd="0" m="1" x="3361"/>
        <item sd="0" m="1" x="4320"/>
        <item sd="0" m="1" x="198"/>
        <item sd="0" m="1" x="308"/>
        <item sd="0" m="1" x="544"/>
        <item sd="0" m="1" x="945"/>
        <item sd="0" m="1" x="3973"/>
        <item sd="0" m="1" x="4919"/>
        <item sd="0" m="1" x="5775"/>
        <item sd="0" m="1" x="595"/>
        <item sd="0" m="1" x="985"/>
        <item sd="0" m="1" x="1510"/>
        <item sd="0" m="1" x="2229"/>
        <item sd="0" m="1" x="5855"/>
        <item sd="0" m="1" x="6548"/>
        <item sd="0" m="1" x="7108"/>
        <item sd="0" m="1" x="1593"/>
        <item sd="0" m="1" x="2300"/>
        <item sd="0" m="1" x="3137"/>
        <item sd="0" m="1" x="4088"/>
        <item sd="0" m="1" x="174"/>
        <item sd="0" m="1" x="262"/>
        <item sd="0" m="1" x="461"/>
        <item sd="0" m="1" x="2806"/>
        <item sd="0" m="1" x="3711"/>
        <item sd="0" m="1" x="4659"/>
        <item sd="0" m="1" x="5557"/>
        <item sd="0" m="1" x="513"/>
        <item sd="0" m="1" x="875"/>
        <item sd="0" m="1" x="4721"/>
        <item sd="0" m="1" x="5618"/>
        <item sd="0" m="1" x="6377"/>
        <item sd="0" m="1" x="6966"/>
        <item sd="0" m="1" x="1423"/>
        <item sd="0" m="1" x="2077"/>
        <item sd="0" m="1" x="164"/>
        <item sd="0" m="1" x="1800"/>
        <item sd="0" m="1" x="2586"/>
        <item sd="0" m="1" x="3460"/>
        <item sd="0" m="1" x="4404"/>
        <item sd="0" m="1" x="428"/>
        <item sd="0" m="1" x="3509"/>
        <item sd="0" m="1" x="4482"/>
        <item sd="0" m="1" x="5405"/>
        <item sd="0" m="1" x="1267"/>
        <item sd="0" m="1" x="1715"/>
        <item sd="0" m="1" x="2459"/>
        <item sd="0" m="1" x="3321"/>
        <item sd="0" m="1" x="7260"/>
        <item sd="0" m="1" x="3400"/>
        <item sd="0" m="1" x="4350"/>
        <item sd="0" m="1" x="5285"/>
        <item sd="0" m="1" x="7911"/>
        <item sd="0" m="1" x="5336"/>
        <item sd="0" m="1" x="6147"/>
        <item sd="0" m="1" x="438"/>
        <item sd="0" m="1" x="3537"/>
        <item sd="0" m="1" x="4504"/>
        <item sd="0" m="1" x="5430"/>
        <item sd="0" m="1" x="6218"/>
        <item sd="0" m="1" x="1301"/>
        <item sd="0" m="1" x="5480"/>
        <item sd="0" m="1" x="6293"/>
        <item sd="0" m="1" x="6914"/>
        <item sd="0" m="1" x="7390"/>
        <item sd="0" m="1" x="2777"/>
        <item sd="0" m="1" x="2394"/>
        <item sd="0" m="1" x="3269"/>
        <item sd="0" m="1" x="4231"/>
        <item sd="0" m="1" x="4276"/>
        <item sd="0" m="1" x="5239"/>
        <item sd="0" m="1" x="6078"/>
        <item sd="0" m="1" x="964"/>
        <item sd="0" m="1" x="1477"/>
        <item sd="0" m="1" x="2202"/>
        <item sd="0" m="1" x="3050"/>
        <item sd="0" m="1" x="2259"/>
        <item sd="0" m="1" x="3104"/>
        <item sd="0" m="1" x="4053"/>
        <item sd="0" m="1" x="5011"/>
        <item sd="0" m="1" x="4118"/>
        <item sd="0" m="1" x="5067"/>
        <item sd="0" m="1" x="477"/>
        <item sd="0" m="1" x="845"/>
        <item sd="0" m="1" x="1327"/>
        <item sd="0" m="1" x="2001"/>
        <item sd="0" m="1" x="5595"/>
        <item sd="0" m="1" x="6341"/>
        <item sd="0" m="1" x="1371"/>
        <item sd="0" m="1" x="2043"/>
        <item sd="0" m="1" x="2853"/>
        <item sd="0" m="1" x="3779"/>
        <item sd="0" m="1" x="6993"/>
        <item sd="0" m="1" x="7440"/>
        <item sd="0" m="1" x="2930"/>
        <item sd="0" m="1" x="3850"/>
        <item sd="0" m="1" x="4801"/>
        <item sd="0" m="1" x="236"/>
        <item sd="0" m="1" x="402"/>
        <item sd="0" m="1" x="732"/>
        <item sd="0" m="1" x="4441"/>
        <item sd="0" m="1" x="5357"/>
        <item sd="0" m="1" x="6159"/>
        <item sd="0" m="1" x="772"/>
        <item sd="0" m="1" x="1232"/>
        <item sd="0" m="1" x="1848"/>
        <item sd="0" m="1" x="6219"/>
        <item sd="0" m="1" x="6849"/>
        <item sd="0" m="1" x="7330"/>
        <item sd="0" m="1" x="1926"/>
        <item sd="0" m="1" x="2709"/>
        <item sd="0" m="1" x="3595"/>
        <item sd="0" m="1" x="1424"/>
        <item sd="0" m="1" x="2078"/>
        <item sd="0" m="1" x="2887"/>
        <item sd="0" m="1" x="3813"/>
        <item sd="0" m="1" x="7033"/>
        <item sd="0" m="1" x="7474"/>
        <item sd="0" m="1" x="2982"/>
        <item sd="0" m="1" x="3880"/>
        <item sd="0" m="1" x="4838"/>
        <item sd="0" m="1" x="5724"/>
        <item sd="0" m="1" x="7834"/>
        <item sd="0" m="1" x="7976"/>
        <item sd="0" m="1" x="4904"/>
        <item sd="0" m="1" x="5760"/>
        <item sd="0" m="1" x="6490"/>
        <item sd="0" m="1" x="812"/>
        <item sd="0" m="1" x="1268"/>
        <item sd="0" m="1" x="1885"/>
        <item sd="0" m="1" x="6273"/>
        <item sd="0" m="1" x="6880"/>
        <item sd="0" m="1" x="7360"/>
        <item sd="0" m="1" x="1971"/>
        <item sd="0" m="1" x="2746"/>
        <item sd="0" m="1" x="3632"/>
        <item sd="0" m="1" x="7420"/>
        <item sd="0" m="1" x="7750"/>
        <item sd="0" m="1" x="7946"/>
        <item sd="0" m="1" x="3690"/>
        <item sd="0" m="1" x="4641"/>
        <item sd="0" m="1" x="5539"/>
        <item sd="0" m="1" x="705"/>
        <item sd="0" m="1" x="1131"/>
        <item sd="0" m="1" x="5215"/>
        <item sd="0" m="1" x="6054"/>
        <item sd="0" m="1" x="6719"/>
        <item sd="0" m="1" x="1769"/>
        <item sd="0" m="1" x="2520"/>
        <item sd="0" m="1" x="6777"/>
        <item sd="0" m="1" x="7296"/>
        <item sd="0" m="1" x="7674"/>
        <item sd="0" m="1" x="3443"/>
        <item sd="0" m="1" x="4384"/>
        <item sd="0" m="1" x="596"/>
        <item sd="0" m="1" x="3085"/>
        <item sd="0" m="1" x="4022"/>
        <item sd="0" m="1" x="4985"/>
        <item sd="0" m="1" x="5856"/>
        <item sd="0" m="1" x="1594"/>
        <item sd="0" m="1" x="5048"/>
        <item sd="0" m="1" x="5908"/>
        <item sd="0" m="1" x="6630"/>
        <item sd="0" m="1" x="7171"/>
        <item sd="0" m="1" x="3208"/>
        <item sd="0" m="1" x="2025"/>
        <item sd="0" m="1" x="2828"/>
        <item sd="0" m="1" x="3754"/>
        <item sd="0" m="1" x="4722"/>
        <item sd="0" m="1" x="3814"/>
        <item sd="0" m="1" x="4776"/>
        <item sd="0" m="1" x="5684"/>
        <item sd="0" m="1" x="6442"/>
        <item sd="0" m="1" x="5725"/>
        <item sd="0" m="1" x="309"/>
        <item sd="0" m="1" x="545"/>
        <item sd="0" m="1" x="946"/>
        <item sd="0" m="1" x="3974"/>
        <item sd="0" m="1" x="4920"/>
        <item sd="0" m="1" x="5776"/>
        <item sd="0" m="1" x="6498"/>
        <item sd="0" m="1" x="986"/>
        <item sd="0" m="1" x="1511"/>
        <item sd="0" m="1" x="2230"/>
        <item sd="0" m="1" x="5857"/>
        <item sd="0" m="1" x="6549"/>
        <item sd="0" m="1" x="7109"/>
        <item sd="0" m="1" x="7540"/>
        <item sd="0" m="1" x="2301"/>
        <item sd="0" m="1" x="3138"/>
        <item sd="0" m="1" x="4089"/>
        <item sd="0" m="1" x="263"/>
        <item sd="0" m="1" x="462"/>
        <item sd="0" m="1" x="2807"/>
        <item sd="0" m="1" x="3712"/>
        <item sd="0" m="1" x="4660"/>
        <item sd="0" m="1" x="5558"/>
        <item sd="0" m="1" x="876"/>
        <item sd="0" m="1" x="4723"/>
        <item sd="0" m="1" x="5619"/>
        <item sd="0" m="1" x="6378"/>
        <item sd="0" m="1" x="6967"/>
        <item sd="0" m="1" x="2079"/>
        <item sd="0" m="1" x="1801"/>
        <item sd="0" m="1" x="2587"/>
        <item sd="0" m="1" x="3461"/>
        <item sd="0" m="1" x="4405"/>
        <item sd="0" m="1" x="3510"/>
        <item sd="0" m="1" x="4483"/>
        <item sd="0" m="1" x="5406"/>
        <item sd="0" m="1" x="1716"/>
        <item sd="0" m="1" x="2460"/>
        <item sd="0" m="1" x="3322"/>
        <item sd="0" m="1" x="7261"/>
        <item sd="0" m="1" x="7644"/>
        <item sd="0" m="1" x="3401"/>
        <item sd="0" m="1" x="4351"/>
        <item sd="0" m="1" x="5286"/>
        <item sd="0" m="1" x="7912"/>
        <item sd="0" m="1" x="99"/>
        <item sd="0" m="1" x="5337"/>
        <item sd="0" m="1" x="6148"/>
        <item sd="0" m="1" x="6800"/>
        <item sd="0" m="1" x="813"/>
        <item sd="0" m="1" x="1269"/>
        <item sd="0" m="1" x="1886"/>
        <item sd="0" m="1" x="6274"/>
        <item sd="0" m="1" x="6881"/>
        <item sd="0" m="1" x="1972"/>
        <item sd="0" m="1" x="2747"/>
        <item sd="0" m="1" x="3633"/>
        <item sd="0" m="1" x="7421"/>
        <item sd="0" m="1" x="7751"/>
        <item sd="0" m="1" x="3691"/>
        <item sd="0" m="1" x="4642"/>
        <item sd="0" m="1" x="5540"/>
        <item sd="0" m="1" x="2026"/>
        <item sd="0" m="1" x="2829"/>
        <item sd="0" m="1" x="3755"/>
        <item sd="0" m="1" x="4724"/>
        <item sd="0" m="1" x="3815"/>
        <item sd="0" m="1" x="4777"/>
        <item sd="0" m="1" x="5685"/>
        <item sd="0" m="1" x="6443"/>
        <item sd="0" m="1" x="1209"/>
        <item sd="0" m="1" x="1828"/>
        <item sd="0" m="1" x="2622"/>
        <item sd="0" m="1" x="2675"/>
        <item sd="0" m="1" x="3575"/>
        <item sd="0" m="1" x="4543"/>
        <item sd="0" m="1" x="4597"/>
        <item sd="0" m="1" x="375"/>
        <item sd="0" m="1" x="651"/>
        <item sd="0" m="1" x="1068"/>
        <item sd="0" m="1" x="1640"/>
        <item sd="0" m="1" x="6001"/>
        <item sd="0" m="1" x="1132"/>
        <item sd="0" m="1" x="1678"/>
        <item sd="0" m="1" x="2432"/>
        <item sd="0" m="1" x="3300"/>
        <item sd="0" m="1" x="7229"/>
        <item sd="0" m="1" x="2521"/>
        <item sd="0" m="1" x="3362"/>
        <item sd="0" m="1" x="4321"/>
        <item sd="0" m="1" x="199"/>
        <item sd="0" m="1" x="310"/>
        <item sd="0" m="1" x="546"/>
        <item sd="0" m="1" x="947"/>
        <item sd="0" m="1" x="3975"/>
        <item sd="0" m="1" x="4921"/>
        <item sd="0" m="1" x="5777"/>
        <item sd="0" m="1" x="597"/>
        <item sd="0" m="1" x="987"/>
        <item sd="0" m="1" x="1512"/>
        <item sd="0" m="1" x="2231"/>
        <item sd="0" m="1" x="5858"/>
        <item sd="0" m="1" x="6550"/>
        <item sd="0" m="1" x="7110"/>
        <item sd="0" m="1" x="1595"/>
        <item sd="0" m="1" x="2302"/>
        <item sd="0" m="1" x="3139"/>
        <item sd="0" m="1" x="4090"/>
        <item sd="0" m="1" x="175"/>
        <item sd="0" m="1" x="264"/>
        <item sd="0" m="1" x="463"/>
        <item sd="0" m="1" x="2808"/>
        <item sd="0" m="1" x="3713"/>
        <item sd="0" m="1" x="4661"/>
        <item sd="0" m="1" x="5559"/>
        <item sd="0" m="1" x="514"/>
        <item sd="0" m="1" x="877"/>
        <item sd="0" m="1" x="4725"/>
        <item sd="0" m="1" x="5620"/>
        <item sd="0" m="1" x="6379"/>
        <item sd="0" m="1" x="6968"/>
        <item sd="0" m="1" x="1425"/>
        <item sd="0" m="1" x="2080"/>
        <item sd="0" m="1" x="620"/>
        <item sd="0" m="1" x="1016"/>
        <item sd="0" m="1" x="1545"/>
        <item sd="0" m="1" x="2260"/>
        <item sd="0" m="1" x="6586"/>
        <item sd="0" m="1" x="7135"/>
        <item sd="0" m="1" x="1623"/>
        <item sd="0" m="1" x="2335"/>
        <item sd="0" m="1" x="3172"/>
        <item sd="0" m="1" x="4119"/>
        <item sd="0" m="1" x="7594"/>
        <item sd="0" m="1" x="7865"/>
        <item sd="0" m="1" x="3231"/>
        <item sd="0" m="1" x="4164"/>
        <item sd="0" m="1" x="5109"/>
        <item sd="0" m="1" x="5956"/>
        <item sd="0" m="1" x="526"/>
        <item sd="0" m="1" x="905"/>
        <item sd="0" m="1" x="1372"/>
        <item sd="0" m="1" x="4752"/>
        <item sd="0" m="1" x="5642"/>
        <item sd="0" m="1" x="6406"/>
        <item sd="0" m="1" x="6994"/>
        <item sd="0" m="1" x="1446"/>
        <item sd="0" m="1" x="2131"/>
        <item sd="0" m="1" x="2931"/>
        <item sd="0" m="1" x="6463"/>
        <item sd="0" m="1" x="7050"/>
        <item sd="0" m="1" x="7508"/>
        <item sd="0" m="1" x="7808"/>
        <item sd="0" m="1" x="3000"/>
        <item sd="0" m="1" x="3914"/>
        <item sd="0" m="1" x="4871"/>
        <item sd="0" m="1" x="439"/>
        <item sd="0" m="1" x="3538"/>
        <item sd="0" m="1" x="4505"/>
        <item sd="0" m="1" x="5431"/>
        <item sd="0" m="1" x="6220"/>
        <item sd="0" m="1" x="1302"/>
        <item sd="0" m="1" x="5481"/>
        <item sd="0" m="1" x="6294"/>
        <item sd="0" m="1" x="6915"/>
        <item sd="0" m="1" x="7391"/>
        <item sd="0" m="1" x="2778"/>
        <item sd="0" m="1" x="2395"/>
        <item sd="0" m="1" x="3270"/>
        <item sd="0" m="1" x="4232"/>
        <item sd="0" m="1" x="4277"/>
        <item sd="0" m="1" x="5240"/>
        <item sd="0" m="1" x="6079"/>
        <item sd="0" m="1" x="965"/>
        <item sd="0" m="1" x="1478"/>
        <item sd="0" m="1" x="2203"/>
        <item sd="0" m="1" x="3051"/>
        <item sd="0" m="1" x="2261"/>
        <item sd="0" m="1" x="3105"/>
        <item sd="0" m="1" x="4054"/>
        <item sd="0" m="1" x="5012"/>
        <item sd="0" m="1" x="4120"/>
        <item sd="0" m="1" x="5068"/>
        <item sd="0" m="1" x="215"/>
        <item sd="0" m="1" x="348"/>
        <item sd="0" m="1" x="3243"/>
        <item sd="0" m="1" x="4184"/>
        <item sd="0" m="1" x="5120"/>
        <item sd="0" m="1" x="677"/>
        <item sd="0" m="1" x="1089"/>
        <item sd="0" m="1" x="5173"/>
        <item sd="0" m="1" x="6025"/>
        <item sd="0" m="1" x="6683"/>
        <item sd="0" m="1" x="1717"/>
        <item sd="0" m="1" x="2461"/>
        <item sd="0" m="1" x="184"/>
        <item sd="0" m="1" x="1464"/>
        <item sd="0" m="1" x="2173"/>
        <item sd="0" m="1" x="3009"/>
        <item sd="0" m="1" x="3926"/>
        <item sd="0" m="1" x="568"/>
        <item sd="0" m="1" x="3052"/>
        <item sd="0" m="1" x="3995"/>
        <item sd="0" m="1" x="4952"/>
        <item sd="0" m="1" x="5818"/>
        <item sd="0" m="1" x="1546"/>
        <item sd="0" m="1" x="1426"/>
        <item sd="0" m="1" x="2081"/>
        <item sd="0" m="1" x="2888"/>
        <item sd="0" m="1" x="3816"/>
        <item sd="0" m="1" x="7034"/>
        <item sd="0" m="1" x="7475"/>
        <item sd="0" m="1" x="2983"/>
        <item sd="0" m="1" x="3881"/>
        <item sd="0" m="1" x="4839"/>
        <item sd="0" m="1" x="5726"/>
        <item sd="0" m="1" x="7835"/>
        <item sd="0" m="1" x="7977"/>
        <item sd="0" m="1" x="4905"/>
        <item sd="0" m="1" x="5761"/>
        <item sd="0" m="1" x="6491"/>
        <item sd="0" m="1" x="814"/>
        <item sd="0" m="1" x="1270"/>
        <item sd="0" m="1" x="1887"/>
        <item sd="0" m="1" x="6275"/>
        <item sd="0" m="1" x="6882"/>
        <item sd="0" m="1" x="7361"/>
        <item sd="0" m="1" x="1973"/>
        <item sd="0" m="1" x="2748"/>
        <item sd="0" m="1" x="3634"/>
        <item sd="0" m="1" x="7422"/>
        <item sd="0" m="1" x="7752"/>
        <item sd="0" m="1" x="7947"/>
        <item sd="0" m="1" x="3692"/>
        <item sd="0" m="1" x="4643"/>
        <item sd="0" m="1" x="5541"/>
        <item sd="0" m="1" x="706"/>
        <item sd="0" m="1" x="1133"/>
        <item sd="0" m="1" x="5216"/>
        <item sd="0" m="1" x="6055"/>
        <item sd="0" m="1" x="6720"/>
        <item sd="0" m="1" x="1770"/>
        <item sd="0" m="1" x="2522"/>
        <item sd="0" m="1" x="6778"/>
        <item sd="0" m="1" x="7297"/>
        <item sd="0" m="1" x="7675"/>
        <item sd="0" m="1" x="3444"/>
        <item sd="0" m="1" x="4385"/>
        <item sd="0" m="1" x="1210"/>
        <item sd="0" m="1" x="1829"/>
        <item sd="0" m="1" x="2623"/>
        <item sd="0" m="1" x="6837"/>
        <item sd="0" m="1" x="2676"/>
        <item sd="0" m="1" x="3576"/>
        <item sd="0" m="1" x="4544"/>
        <item sd="0" m="1" x="7724"/>
        <item sd="0" m="1" x="4598"/>
        <item sd="0" m="1" x="5513"/>
        <item sd="0" m="1" x="376"/>
        <item sd="0" m="1" x="652"/>
        <item sd="0" m="1" x="1069"/>
        <item sd="0" m="1" x="1641"/>
        <item sd="0" m="1" x="6002"/>
        <item sd="0" m="1" x="6665"/>
        <item sd="0" m="1" x="1134"/>
        <item sd="0" m="1" x="1679"/>
        <item sd="0" m="1" x="2433"/>
        <item sd="0" m="1" x="3301"/>
        <item sd="0" m="1" x="7230"/>
        <item sd="0" m="1" x="7629"/>
        <item sd="0" m="1" x="2523"/>
        <item sd="0" m="1" x="3363"/>
        <item sd="0" m="1" x="4322"/>
        <item sd="0" m="1" x="5266"/>
        <item sd="0" m="1" x="311"/>
        <item sd="0" m="1" x="547"/>
        <item sd="0" m="1" x="948"/>
        <item sd="0" m="1" x="3976"/>
        <item sd="0" m="1" x="4922"/>
        <item sd="0" m="1" x="5778"/>
        <item sd="0" m="1" x="6499"/>
        <item sd="0" m="1" x="988"/>
        <item sd="0" m="1" x="1513"/>
        <item sd="0" m="1" x="2232"/>
        <item sd="0" m="1" x="5859"/>
        <item sd="0" m="1" x="6551"/>
        <item sd="0" m="1" x="7111"/>
        <item sd="0" m="1" x="7541"/>
        <item sd="0" m="1" x="2303"/>
        <item sd="0" m="1" x="3140"/>
        <item sd="0" m="1" x="4091"/>
        <item sd="0" m="1" x="265"/>
        <item sd="0" m="1" x="464"/>
        <item sd="0" m="1" x="2809"/>
        <item sd="0" m="1" x="3714"/>
        <item sd="0" m="1" x="4662"/>
        <item sd="0" m="1" x="5560"/>
        <item sd="0" m="1" x="878"/>
        <item sd="0" m="1" x="4726"/>
        <item sd="0" m="1" x="5621"/>
        <item sd="0" m="1" x="6380"/>
        <item sd="0" m="1" x="6969"/>
        <item sd="0" m="1" x="2082"/>
        <item sd="0" m="1" x="1802"/>
        <item sd="0" m="1" x="2588"/>
        <item sd="0" m="1" x="3462"/>
        <item sd="0" m="1" x="4406"/>
        <item sd="0" m="1" x="3511"/>
        <item sd="0" m="1" x="4484"/>
        <item sd="0" m="1" x="5407"/>
        <item sd="0" m="1" x="77"/>
        <item sd="0" m="1" x="815"/>
        <item sd="0" m="1" x="1271"/>
        <item sd="0" m="1" x="1888"/>
        <item sd="0" m="1" x="6276"/>
        <item sd="0" m="1" x="6883"/>
        <item sd="0" m="1" x="1974"/>
        <item sd="0" m="1" x="2749"/>
        <item sd="0" m="1" x="3635"/>
        <item sd="0" m="1" x="7423"/>
        <item sd="0" m="1" x="7753"/>
        <item sd="0" m="1" x="3693"/>
        <item sd="0" m="1" x="4644"/>
        <item sd="0" m="1" x="5542"/>
        <item sd="0" m="1" x="394"/>
        <item sd="0" m="1" x="707"/>
        <item sd="0" m="1" x="1135"/>
        <item sd="0" m="1" x="5217"/>
        <item sd="0" m="1" x="6056"/>
        <item sd="0" m="1" x="6721"/>
        <item sd="0" m="1" x="1178"/>
        <item sd="0" m="1" x="1771"/>
        <item sd="0" m="1" x="2524"/>
        <item sd="0" m="1" x="6779"/>
        <item sd="0" m="1" x="7298"/>
        <item sd="0" m="1" x="7676"/>
        <item sd="0" m="1" x="2575"/>
        <item sd="0" m="1" x="3445"/>
        <item sd="0" m="1" x="4386"/>
        <item sd="0" m="1" x="340"/>
        <item sd="0" m="1" x="598"/>
        <item sd="0" m="1" x="3086"/>
        <item sd="0" m="1" x="4023"/>
        <item sd="0" m="1" x="4986"/>
        <item sd="0" m="1" x="5860"/>
        <item sd="0" m="1" x="1054"/>
        <item sd="0" m="1" x="1596"/>
        <item sd="0" m="1" x="5049"/>
        <item sd="0" m="1" x="5909"/>
        <item sd="0" m="1" x="6631"/>
        <item sd="0" m="1" x="7172"/>
        <item sd="0" m="1" x="2373"/>
        <item sd="0" m="1" x="3209"/>
        <item sd="0" m="1" x="2027"/>
        <item sd="0" m="1" x="2830"/>
        <item sd="0" m="1" x="3756"/>
        <item sd="0" m="1" x="4727"/>
        <item sd="0" m="1" x="3817"/>
        <item sd="0" m="1" x="4778"/>
        <item sd="0" m="1" x="5686"/>
        <item sd="0" m="1" x="6444"/>
        <item sd="0" m="1" x="1211"/>
        <item sd="0" m="1" x="1830"/>
        <item sd="0" m="1" x="2624"/>
        <item sd="0" m="1" x="2677"/>
        <item sd="0" m="1" x="3577"/>
        <item sd="0" m="1" x="4545"/>
        <item sd="0" m="1" x="4599"/>
        <item sd="0" m="1" x="176"/>
        <item sd="0" m="1" x="266"/>
        <item sd="0" m="1" x="465"/>
        <item sd="0" m="1" x="2810"/>
        <item sd="0" m="1" x="3715"/>
        <item sd="0" m="1" x="4663"/>
        <item sd="0" m="1" x="5561"/>
        <item sd="0" m="1" x="515"/>
        <item sd="0" m="1" x="879"/>
        <item sd="0" m="1" x="4728"/>
        <item sd="0" m="1" x="5622"/>
        <item sd="0" m="1" x="6381"/>
        <item sd="0" m="1" x="6970"/>
        <item sd="0" m="1" x="1427"/>
        <item sd="0" m="1" x="2083"/>
        <item sd="0" m="1" x="165"/>
        <item sd="0" m="1" x="1803"/>
        <item sd="0" m="1" x="2589"/>
        <item sd="0" m="1" x="3463"/>
        <item sd="0" m="1" x="4407"/>
        <item sd="0" m="1" x="429"/>
        <item sd="0" m="1" x="3512"/>
        <item sd="0" m="1" x="4485"/>
        <item sd="0" m="1" x="5408"/>
        <item sd="0" m="1" x="1272"/>
        <item sd="0" m="1" x="1718"/>
        <item sd="0" m="1" x="2462"/>
        <item sd="0" m="1" x="3323"/>
        <item sd="0" m="1" x="7262"/>
        <item sd="0" m="1" x="3402"/>
        <item sd="0" m="1" x="4352"/>
        <item sd="0" m="1" x="5287"/>
        <item sd="0" m="1" x="7913"/>
        <item sd="0" m="1" x="5338"/>
        <item sd="0" m="1" x="6149"/>
        <item sd="0" m="1" x="621"/>
        <item sd="0" m="1" x="1017"/>
        <item sd="0" m="1" x="1547"/>
        <item sd="0" m="1" x="2262"/>
        <item sd="0" m="1" x="6587"/>
        <item sd="0" m="1" x="7136"/>
        <item sd="0" m="1" x="1624"/>
        <item sd="0" m="1" x="2336"/>
        <item sd="0" m="1" x="3173"/>
        <item sd="0" m="1" x="4121"/>
        <item sd="0" m="1" x="7595"/>
        <item sd="0" m="1" x="7866"/>
        <item sd="0" m="1" x="3232"/>
        <item sd="0" m="1" x="4165"/>
        <item sd="0" m="1" x="5110"/>
        <item sd="0" m="1" x="5957"/>
        <item sd="0" m="1" x="527"/>
        <item sd="0" m="1" x="906"/>
        <item sd="0" m="1" x="1373"/>
        <item sd="0" m="1" x="4753"/>
        <item sd="0" m="1" x="5643"/>
        <item sd="0" m="1" x="6407"/>
        <item sd="0" m="1" x="6995"/>
        <item sd="0" m="1" x="1447"/>
        <item sd="0" m="1" x="2132"/>
        <item sd="0" m="1" x="2932"/>
        <item sd="0" m="1" x="6464"/>
        <item sd="0" m="1" x="7051"/>
        <item sd="0" m="1" x="7509"/>
        <item sd="0" m="1" x="7809"/>
        <item sd="0" m="1" x="3001"/>
        <item sd="0" m="1" x="3915"/>
        <item sd="0" m="1" x="4872"/>
        <item sd="0" m="1" x="966"/>
        <item sd="0" m="1" x="1479"/>
        <item sd="0" m="1" x="2204"/>
        <item sd="0" m="1" x="3053"/>
        <item sd="0" m="1" x="2263"/>
        <item sd="0" m="1" x="3106"/>
        <item sd="0" m="1" x="4055"/>
        <item sd="0" m="1" x="5013"/>
        <item sd="0" m="1" x="4122"/>
        <item sd="0" m="1" x="5069"/>
        <item sd="0" m="1" x="478"/>
        <item sd="0" m="1" x="846"/>
        <item sd="0" m="1" x="1328"/>
        <item sd="0" m="1" x="2002"/>
        <item sd="0" m="1" x="5596"/>
        <item sd="0" m="1" x="6342"/>
        <item sd="0" m="1" x="1374"/>
        <item sd="0" m="1" x="2044"/>
        <item sd="0" m="1" x="2854"/>
        <item sd="0" m="1" x="3780"/>
        <item sd="0" m="1" x="6996"/>
        <item sd="0" m="1" x="7441"/>
        <item sd="0" m="1" x="2933"/>
        <item sd="0" m="1" x="3851"/>
        <item sd="0" m="1" x="4802"/>
        <item sd="0" m="1" x="237"/>
        <item sd="0" m="1" x="403"/>
        <item sd="0" m="1" x="733"/>
        <item sd="0" m="1" x="4442"/>
        <item sd="0" m="1" x="5358"/>
        <item sd="0" m="1" x="6160"/>
        <item sd="0" m="1" x="773"/>
        <item sd="0" m="1" x="1233"/>
        <item sd="0" m="1" x="1849"/>
        <item sd="0" m="1" x="6221"/>
        <item sd="0" m="1" x="6850"/>
        <item sd="0" m="1" x="7331"/>
        <item sd="0" m="1" x="1927"/>
        <item sd="0" m="1" x="2710"/>
        <item sd="0" m="1" x="3596"/>
        <item sd="0" m="1" x="216"/>
        <item sd="0" m="1" x="349"/>
        <item sd="0" m="1" x="3244"/>
        <item sd="0" m="1" x="4185"/>
        <item sd="0" m="1" x="5121"/>
        <item sd="0" m="1" x="678"/>
        <item sd="0" m="1" x="1090"/>
        <item sd="0" m="1" x="5174"/>
        <item sd="0" m="1" x="6026"/>
        <item sd="0" m="1" x="6684"/>
        <item sd="0" m="1" x="1719"/>
        <item sd="0" m="1" x="2463"/>
        <item sd="0" m="1" x="185"/>
        <item sd="0" m="1" x="1465"/>
        <item sd="0" m="1" x="2174"/>
        <item sd="0" m="1" x="3010"/>
        <item sd="0" m="1" x="3927"/>
        <item sd="0" m="1" x="569"/>
        <item sd="0" m="1" x="3054"/>
        <item sd="0" m="1" x="3996"/>
        <item sd="0" m="1" x="4953"/>
        <item sd="0" m="1" x="5819"/>
        <item sd="0" m="1" x="1548"/>
        <item sd="0" m="1" x="708"/>
        <item sd="0" m="1" x="1136"/>
        <item sd="0" m="1" x="5218"/>
        <item sd="0" m="1" x="6057"/>
        <item sd="0" m="1" x="6722"/>
        <item sd="0" m="1" x="1772"/>
        <item sd="0" m="1" x="2525"/>
        <item sd="0" m="1" x="6780"/>
        <item sd="0" m="1" x="7299"/>
        <item sd="0" m="1" x="7677"/>
        <item sd="0" m="1" x="3446"/>
        <item sd="0" m="1" x="4387"/>
        <item sd="0" m="1" x="599"/>
        <item sd="0" m="1" x="3087"/>
        <item sd="0" m="1" x="4024"/>
        <item sd="0" m="1" x="4987"/>
        <item sd="0" m="1" x="5861"/>
        <item sd="0" m="1" x="1597"/>
        <item sd="0" m="1" x="5050"/>
        <item sd="0" m="1" x="5910"/>
        <item sd="0" m="1" x="6632"/>
        <item sd="0" m="1" x="7173"/>
        <item sd="0" m="1" x="3210"/>
        <item sd="0" m="1" x="2028"/>
        <item sd="0" m="1" x="2831"/>
        <item sd="0" m="1" x="3757"/>
        <item sd="0" m="1" x="4729"/>
        <item sd="0" m="1" x="3818"/>
        <item sd="0" m="1" x="4779"/>
        <item sd="0" m="1" x="5687"/>
        <item sd="0" m="1" x="6445"/>
        <item sd="0" m="1" x="5727"/>
        <item sd="0" m="1" x="1212"/>
        <item sd="0" m="1" x="1831"/>
        <item sd="0" m="1" x="2625"/>
        <item sd="0" m="1" x="6838"/>
        <item sd="0" m="1" x="2678"/>
        <item sd="0" m="1" x="3578"/>
        <item sd="0" m="1" x="4546"/>
        <item sd="0" m="1" x="7725"/>
        <item sd="0" m="1" x="4600"/>
        <item sd="0" m="1" x="5514"/>
        <item sd="0" m="1" x="377"/>
        <item sd="0" m="1" x="653"/>
        <item sd="0" m="1" x="1070"/>
        <item sd="0" m="1" x="1642"/>
        <item sd="0" m="1" x="6003"/>
        <item sd="0" m="1" x="6666"/>
        <item sd="0" m="1" x="1137"/>
        <item sd="0" m="1" x="1680"/>
        <item sd="0" m="1" x="2434"/>
        <item sd="0" m="1" x="3302"/>
        <item sd="0" m="1" x="7231"/>
        <item sd="0" m="1" x="7630"/>
        <item sd="0" m="1" x="2526"/>
        <item sd="0" m="1" x="3364"/>
        <item sd="0" m="1" x="4323"/>
        <item sd="0" m="1" x="5267"/>
        <item sd="0" m="1" x="1804"/>
        <item sd="0" m="1" x="2590"/>
        <item sd="0" m="1" x="3464"/>
        <item sd="0" m="1" x="4408"/>
        <item sd="0" m="1" x="3513"/>
        <item sd="0" m="1" x="4486"/>
        <item sd="0" m="1" x="5409"/>
        <item sd="0" m="1" x="1720"/>
        <item sd="0" m="1" x="2464"/>
        <item sd="0" m="1" x="3324"/>
        <item sd="0" m="1" x="7263"/>
        <item sd="0" m="1" x="7645"/>
        <item sd="0" m="1" x="3403"/>
        <item sd="0" m="1" x="4353"/>
        <item sd="0" m="1" x="5288"/>
        <item sd="0" m="1" x="7914"/>
        <item sd="0" m="1" x="100"/>
        <item sd="0" m="1" x="5339"/>
        <item sd="0" m="1" x="6150"/>
        <item sd="0" m="1" x="6801"/>
        <item sd="0" m="1" x="1018"/>
        <item sd="0" m="1" x="1549"/>
        <item sd="0" m="1" x="2264"/>
        <item sd="0" m="1" x="6588"/>
        <item sd="0" m="1" x="7137"/>
        <item sd="0" m="1" x="7554"/>
        <item sd="0" m="1" x="2337"/>
        <item sd="0" m="1" x="3174"/>
        <item sd="0" m="1" x="4123"/>
        <item sd="0" m="1" x="7596"/>
        <item sd="0" m="1" x="7867"/>
        <item sd="0" m="1" x="78"/>
        <item sd="0" m="1" x="4166"/>
        <item sd="0" m="1" x="5111"/>
        <item sd="0" m="1" x="5958"/>
        <item sd="0" m="1" x="816"/>
        <item sd="0" m="1" x="1273"/>
        <item sd="0" m="1" x="1889"/>
        <item sd="0" m="1" x="6277"/>
        <item sd="0" m="1" x="6884"/>
        <item sd="0" m="1" x="1975"/>
        <item sd="0" m="1" x="2750"/>
        <item sd="0" m="1" x="3636"/>
        <item sd="0" m="1" x="7424"/>
        <item sd="0" m="1" x="7754"/>
        <item sd="0" m="1" x="3694"/>
        <item sd="0" m="1" x="4645"/>
        <item sd="0" m="1" x="5543"/>
        <item sd="0" m="1" x="395"/>
        <item sd="0" m="1" x="709"/>
        <item sd="0" m="1" x="1138"/>
        <item sd="0" m="1" x="5219"/>
        <item sd="0" m="1" x="6058"/>
        <item sd="0" m="1" x="6723"/>
        <item sd="0" m="1" x="1179"/>
        <item sd="0" m="1" x="1773"/>
        <item sd="0" m="1" x="2527"/>
        <item sd="0" m="1" x="6781"/>
        <item sd="0" m="1" x="7300"/>
        <item sd="0" m="1" x="7678"/>
        <item sd="0" m="1" x="2576"/>
        <item sd="0" m="1" x="3447"/>
        <item sd="0" m="1" x="4388"/>
        <item sd="0" m="1" x="1213"/>
        <item sd="0" m="1" x="1832"/>
        <item sd="0" m="1" x="2626"/>
        <item sd="0" m="1" x="2679"/>
        <item sd="0" m="1" x="3579"/>
        <item sd="0" m="1" x="4547"/>
        <item sd="0" m="1" x="4601"/>
        <item sd="0" m="1" x="378"/>
        <item sd="0" m="1" x="654"/>
        <item sd="0" m="1" x="1071"/>
        <item sd="0" m="1" x="1643"/>
        <item sd="0" m="1" x="6004"/>
        <item sd="0" m="1" x="1139"/>
        <item sd="0" m="1" x="1681"/>
        <item sd="0" m="1" x="2435"/>
        <item sd="0" m="1" x="3303"/>
        <item sd="0" m="1" x="7232"/>
        <item sd="0" m="1" x="2528"/>
        <item sd="0" m="1" x="3365"/>
        <item sd="0" m="1" x="4324"/>
        <item sd="0" m="1" x="200"/>
        <item sd="0" m="1" x="312"/>
        <item sd="0" m="1" x="548"/>
        <item sd="0" m="1" x="949"/>
        <item sd="0" m="1" x="3977"/>
        <item sd="0" m="1" x="4923"/>
        <item sd="0" m="1" x="5779"/>
        <item sd="0" m="1" x="600"/>
        <item sd="0" m="1" x="989"/>
        <item sd="0" m="1" x="1514"/>
        <item sd="0" m="1" x="2233"/>
        <item sd="0" m="1" x="5862"/>
        <item sd="0" m="1" x="6552"/>
        <item sd="0" m="1" x="7112"/>
        <item sd="0" m="1" x="1598"/>
        <item sd="0" m="1" x="2304"/>
        <item sd="0" m="1" x="3141"/>
        <item sd="0" m="1" x="4092"/>
        <item sd="0" m="1" x="177"/>
        <item sd="0" m="1" x="267"/>
        <item sd="0" m="1" x="466"/>
        <item sd="0" m="1" x="2811"/>
        <item sd="0" m="1" x="3716"/>
        <item sd="0" m="1" x="4664"/>
        <item sd="0" m="1" x="5562"/>
        <item sd="0" m="1" x="516"/>
        <item sd="0" m="1" x="880"/>
        <item sd="0" m="1" x="4730"/>
        <item sd="0" m="1" x="5623"/>
        <item sd="0" m="1" x="6382"/>
        <item sd="0" m="1" x="6971"/>
        <item sd="0" m="1" x="1428"/>
        <item sd="0" m="1" x="2084"/>
        <item sd="0" m="1" x="166"/>
        <item sd="0" m="1" x="1805"/>
        <item sd="0" m="1" x="2591"/>
        <item sd="0" m="1" x="3465"/>
        <item sd="0" m="1" x="4409"/>
        <item sd="0" m="1" x="430"/>
        <item sd="0" m="1" x="3514"/>
        <item sd="0" m="1" x="4487"/>
        <item sd="0" m="1" x="5410"/>
        <item sd="0" m="1" x="1274"/>
        <item sd="0" m="1" x="528"/>
        <item sd="0" m="1" x="907"/>
        <item sd="0" m="1" x="1375"/>
        <item sd="0" m="1" x="4754"/>
        <item sd="0" m="1" x="5644"/>
        <item sd="0" m="1" x="6408"/>
        <item sd="0" m="1" x="6997"/>
        <item sd="0" m="1" x="1448"/>
        <item sd="0" m="1" x="2133"/>
        <item sd="0" m="1" x="2934"/>
        <item sd="0" m="1" x="6465"/>
        <item sd="0" m="1" x="7052"/>
        <item sd="0" m="1" x="7510"/>
        <item sd="0" m="1" x="7810"/>
        <item sd="0" m="1" x="3002"/>
        <item sd="0" m="1" x="3916"/>
        <item sd="0" m="1" x="4873"/>
        <item sd="0" m="1" x="440"/>
        <item sd="0" m="1" x="3539"/>
        <item sd="0" m="1" x="4506"/>
        <item sd="0" m="1" x="5432"/>
        <item sd="0" m="1" x="6222"/>
        <item sd="0" m="1" x="1303"/>
        <item sd="0" m="1" x="5482"/>
        <item sd="0" m="1" x="6295"/>
        <item sd="0" m="1" x="6916"/>
        <item sd="0" m="1" x="7392"/>
        <item sd="0" m="1" x="2779"/>
        <item sd="0" m="1" x="2396"/>
        <item sd="0" m="1" x="3271"/>
        <item sd="0" m="1" x="4233"/>
        <item sd="0" m="1" x="4278"/>
        <item sd="0" m="1" x="5241"/>
        <item sd="0" m="1" x="6080"/>
        <item sd="0" m="1" x="967"/>
        <item sd="0" m="1" x="1480"/>
        <item sd="0" m="1" x="2205"/>
        <item sd="0" m="1" x="3055"/>
        <item sd="0" m="1" x="2265"/>
        <item sd="0" m="1" x="3107"/>
        <item sd="0" m="1" x="4056"/>
        <item sd="0" m="1" x="5014"/>
        <item sd="0" m="1" x="4124"/>
        <item sd="0" m="1" x="5070"/>
        <item sd="0" m="1" x="479"/>
        <item sd="0" m="1" x="847"/>
        <item sd="0" m="1" x="1329"/>
        <item sd="0" m="1" x="2003"/>
        <item sd="0" m="1" x="5597"/>
        <item sd="0" m="1" x="6343"/>
        <item sd="0" m="1" x="1376"/>
        <item sd="0" m="1" x="2045"/>
        <item sd="0" m="1" x="2855"/>
        <item sd="0" m="1" x="3781"/>
        <item sd="0" m="1" x="6998"/>
        <item sd="0" m="1" x="7442"/>
        <item sd="0" m="1" x="2935"/>
        <item sd="0" m="1" x="3852"/>
        <item sd="0" m="1" x="4803"/>
        <item sd="0" m="1" x="186"/>
        <item sd="0" m="1" x="1466"/>
        <item sd="0" m="1" x="2175"/>
        <item sd="0" m="1" x="3011"/>
        <item sd="0" m="1" x="3928"/>
        <item sd="0" m="1" x="570"/>
        <item sd="0" m="1" x="3056"/>
        <item sd="0" m="1" x="3997"/>
        <item sd="0" m="1" x="4954"/>
        <item sd="0" m="1" x="5820"/>
        <item sd="0" m="1" x="1550"/>
        <item sd="0" m="1" x="1429"/>
        <item sd="0" m="1" x="2085"/>
        <item sd="0" m="1" x="2889"/>
        <item sd="0" m="1" x="3819"/>
        <item sd="0" m="1" x="7035"/>
        <item sd="0" m="1" x="7476"/>
        <item sd="0" m="1" x="2984"/>
        <item sd="0" m="1" x="3882"/>
        <item sd="0" m="1" x="4840"/>
        <item sd="0" m="1" x="5728"/>
        <item sd="0" m="1" x="7836"/>
        <item sd="0" m="1" x="7978"/>
        <item sd="0" m="1" x="4906"/>
        <item sd="0" m="1" x="5762"/>
        <item sd="0" m="1" x="6492"/>
        <item sd="0" m="1" x="817"/>
        <item sd="0" m="1" x="1275"/>
        <item sd="0" m="1" x="1890"/>
        <item sd="0" m="1" x="6278"/>
        <item sd="0" m="1" x="6885"/>
        <item sd="0" m="1" x="7362"/>
        <item sd="0" m="1" x="1976"/>
        <item sd="0" m="1" x="2751"/>
        <item sd="0" m="1" x="3637"/>
        <item sd="0" m="1" x="7425"/>
        <item sd="0" m="1" x="7755"/>
        <item sd="0" m="1" x="7948"/>
        <item sd="0" m="1" x="3695"/>
        <item sd="0" m="1" x="4646"/>
        <item sd="0" m="1" x="5544"/>
        <item sd="0" m="1" x="710"/>
        <item sd="0" m="1" x="1140"/>
        <item sd="0" m="1" x="5220"/>
        <item sd="0" m="1" x="6059"/>
        <item sd="0" m="1" x="6724"/>
        <item sd="0" m="1" x="1774"/>
        <item sd="0" m="1" x="2529"/>
        <item sd="0" m="1" x="6782"/>
        <item sd="0" m="1" x="7301"/>
        <item sd="0" m="1" x="7679"/>
        <item sd="0" m="1" x="3448"/>
        <item sd="0" m="1" x="4389"/>
        <item sd="0" m="1" x="601"/>
        <item sd="0" m="1" x="3088"/>
        <item sd="0" m="1" x="4025"/>
        <item sd="0" m="1" x="4988"/>
        <item sd="0" m="1" x="5863"/>
        <item sd="0" m="1" x="1599"/>
        <item sd="0" m="1" x="5051"/>
        <item sd="0" m="1" x="5911"/>
        <item sd="0" m="1" x="6633"/>
        <item sd="0" m="1" x="7174"/>
        <item sd="0" m="1" x="3211"/>
        <item sd="0" m="1" x="379"/>
        <item sd="0" m="1" x="655"/>
        <item sd="0" m="1" x="1072"/>
        <item sd="0" m="1" x="1644"/>
        <item sd="0" m="1" x="6005"/>
        <item sd="0" m="1" x="6667"/>
        <item sd="0" m="1" x="1141"/>
        <item sd="0" m="1" x="1682"/>
        <item sd="0" m="1" x="2436"/>
        <item sd="0" m="1" x="3304"/>
        <item sd="0" m="1" x="7233"/>
        <item sd="0" m="1" x="7631"/>
        <item sd="0" m="1" x="2530"/>
        <item sd="0" m="1" x="3366"/>
        <item sd="0" m="1" x="4325"/>
        <item sd="0" m="1" x="5268"/>
        <item sd="0" m="1" x="313"/>
        <item sd="0" m="1" x="549"/>
        <item sd="0" m="1" x="950"/>
        <item sd="0" m="1" x="3978"/>
        <item sd="0" m="1" x="4924"/>
        <item sd="0" m="1" x="5780"/>
        <item sd="0" m="1" x="6500"/>
        <item sd="0" m="1" x="990"/>
        <item sd="0" m="1" x="1515"/>
        <item sd="0" m="1" x="2234"/>
        <item sd="0" m="1" x="5864"/>
        <item sd="0" m="1" x="6553"/>
        <item sd="0" m="1" x="7113"/>
        <item sd="0" m="1" x="7542"/>
        <item sd="0" m="1" x="2305"/>
        <item sd="0" m="1" x="3142"/>
        <item sd="0" m="1" x="4093"/>
        <item sd="0" m="1" x="268"/>
        <item sd="0" m="1" x="467"/>
        <item sd="0" m="1" x="2812"/>
        <item sd="0" m="1" x="3717"/>
        <item sd="0" m="1" x="4665"/>
        <item sd="0" m="1" x="5563"/>
        <item sd="0" m="1" x="881"/>
        <item sd="0" m="1" x="4731"/>
        <item sd="0" m="1" x="5624"/>
        <item sd="0" m="1" x="6383"/>
        <item sd="0" m="1" x="6972"/>
        <item sd="0" m="1" x="2086"/>
        <item sd="0" m="1" x="1806"/>
        <item sd="0" m="1" x="2592"/>
        <item sd="0" m="1" x="3466"/>
        <item sd="0" m="1" x="4410"/>
        <item sd="0" m="1" x="3515"/>
        <item sd="0" m="1" x="4488"/>
        <item sd="0" m="1" x="5411"/>
        <item sd="0" m="1" x="1721"/>
        <item sd="0" m="1" x="2465"/>
        <item sd="0" m="1" x="3325"/>
        <item sd="0" m="1" x="7264"/>
        <item sd="0" m="1" x="7646"/>
        <item sd="0" m="1" x="3404"/>
        <item sd="0" m="1" x="4354"/>
        <item sd="0" m="1" x="5289"/>
        <item sd="0" m="1" x="7915"/>
        <item sd="0" m="1" x="101"/>
        <item sd="0" m="1" x="5340"/>
        <item sd="0" m="1" x="6151"/>
        <item sd="0" m="1" x="6802"/>
        <item sd="0" m="1" x="341"/>
        <item sd="0" m="1" x="3089"/>
        <item sd="0" m="1" x="4026"/>
        <item sd="0" m="1" x="4989"/>
        <item sd="0" m="1" x="1055"/>
        <item sd="0" m="1" x="5052"/>
        <item sd="0" m="1" x="5912"/>
        <item sd="0" m="1" x="6634"/>
        <item sd="0" m="1" x="2374"/>
        <item sd="0" m="1" x="1349"/>
        <item sd="0" m="1" x="2029"/>
        <item sd="0" m="1" x="2832"/>
        <item sd="0" m="1" x="3758"/>
        <item sd="0" m="1" x="2890"/>
        <item sd="0" m="1" x="3820"/>
        <item sd="0" m="1" x="4780"/>
        <item sd="0" m="1" x="5688"/>
        <item sd="0" m="1" x="4841"/>
        <item sd="0" m="1" x="755"/>
        <item sd="0" m="1" x="1214"/>
        <item sd="0" m="1" x="1833"/>
        <item sd="0" m="1" x="2627"/>
        <item sd="0" m="1" x="6199"/>
        <item sd="0" m="1" x="1891"/>
        <item sd="0" m="1" x="2680"/>
        <item sd="0" m="1" x="3580"/>
        <item sd="0" m="1" x="4548"/>
        <item sd="0" m="1" x="7363"/>
        <item sd="0" m="1" x="3638"/>
        <item sd="0" m="1" x="4602"/>
        <item sd="0" m="1" x="380"/>
        <item sd="0" m="1" x="656"/>
        <item sd="0" m="1" x="1073"/>
        <item sd="0" m="1" x="1645"/>
        <item sd="0" m="1" x="5162"/>
        <item sd="0" m="1" x="6006"/>
        <item sd="0" m="1" x="1142"/>
        <item sd="0" m="1" x="1683"/>
        <item sd="0" m="1" x="2437"/>
        <item sd="0" m="1" x="6725"/>
        <item sd="0" m="1" x="7234"/>
        <item sd="0" m="1" x="2531"/>
        <item sd="0" m="1" x="3367"/>
        <item sd="0" m="1" x="4326"/>
        <item sd="0" m="1" x="201"/>
        <item sd="0" m="1" x="314"/>
        <item sd="0" m="1" x="550"/>
        <item sd="0" m="1" x="3979"/>
        <item sd="0" m="1" x="4925"/>
        <item sd="0" m="1" x="5781"/>
        <item sd="0" m="1" x="602"/>
        <item sd="0" m="1" x="991"/>
        <item sd="0" m="1" x="1516"/>
        <item sd="0" m="1" x="5865"/>
        <item sd="0" m="1" x="6554"/>
        <item sd="0" m="1" x="7114"/>
        <item sd="0" m="1" x="1600"/>
        <item sd="0" m="1" x="2306"/>
        <item sd="0" m="1" x="3143"/>
        <item sd="0" m="1" x="1159"/>
        <item sd="0" m="1" x="1722"/>
        <item sd="0" m="1" x="2466"/>
        <item sd="0" m="1" x="3326"/>
        <item sd="0" m="1" x="6744"/>
        <item sd="0" m="1" x="7265"/>
        <item sd="0" m="1" x="2555"/>
        <item sd="0" m="1" x="3405"/>
        <item sd="0" m="1" x="4355"/>
        <item sd="0" m="1" x="5290"/>
        <item sd="0" m="1" x="7699"/>
        <item sd="0" m="1" x="7916"/>
        <item sd="0" m="1" x="4425"/>
        <item sd="0" m="1" x="5341"/>
        <item sd="0" m="1" x="6152"/>
        <item sd="0" m="1" x="622"/>
        <item sd="0" m="1" x="1019"/>
        <item sd="0" m="1" x="1551"/>
        <item sd="0" m="1" x="5886"/>
        <item sd="0" m="1" x="6589"/>
        <item sd="0" m="1" x="7138"/>
        <item sd="0" m="1" x="1625"/>
        <item sd="0" m="1" x="2338"/>
        <item sd="0" m="1" x="3175"/>
        <item sd="0" m="1" x="7189"/>
        <item sd="0" m="1" x="7597"/>
        <item sd="0" m="1" x="7868"/>
        <item sd="0" m="1" x="3233"/>
        <item sd="0" m="1" x="4167"/>
        <item sd="0" m="1" x="5112"/>
        <item sd="0" m="1" x="529"/>
        <item sd="0" m="1" x="908"/>
        <item sd="0" m="1" x="4755"/>
        <item sd="0" m="1" x="5645"/>
        <item sd="0" m="1" x="6409"/>
        <item sd="0" m="1" x="1449"/>
        <item sd="0" m="1" x="2134"/>
        <item sd="0" m="1" x="6466"/>
        <item sd="0" m="1" x="7053"/>
        <item sd="0" m="1" x="7511"/>
        <item sd="0" m="1" x="3003"/>
        <item sd="0" m="1" x="3917"/>
        <item sd="0" m="1" x="441"/>
        <item sd="0" m="1" x="2643"/>
        <item sd="0" m="1" x="3540"/>
        <item sd="0" m="1" x="4507"/>
        <item sd="0" m="1" x="5433"/>
        <item sd="0" m="1" x="1304"/>
        <item sd="0" m="1" x="4565"/>
        <item sd="0" m="1" x="5483"/>
        <item sd="0" m="1" x="6296"/>
        <item sd="0" m="1" x="6917"/>
        <item sd="0" m="1" x="2780"/>
        <item sd="0" m="1" x="1656"/>
        <item sd="0" m="1" x="2397"/>
        <item sd="0" m="1" x="3272"/>
        <item sd="0" m="1" x="4234"/>
        <item sd="0" m="1" x="3327"/>
        <item sd="0" m="1" x="4279"/>
        <item sd="0" m="1" x="5242"/>
        <item sd="0" m="1" x="6081"/>
        <item sd="0" m="1" x="5291"/>
        <item sd="0" m="1" x="238"/>
        <item sd="0" m="1" x="404"/>
        <item sd="0" m="1" x="734"/>
        <item sd="0" m="1" x="3492"/>
        <item sd="0" m="1" x="4443"/>
        <item sd="0" m="1" x="5359"/>
        <item sd="0" m="1" x="6161"/>
        <item sd="0" m="1" x="774"/>
        <item sd="0" m="1" x="1234"/>
        <item sd="0" m="1" x="1850"/>
        <item sd="0" m="1" x="5434"/>
        <item sd="0" m="1" x="6223"/>
        <item sd="0" m="1" x="6851"/>
        <item sd="0" m="1" x="7332"/>
        <item sd="0" m="1" x="1928"/>
        <item sd="0" m="1" x="2711"/>
        <item sd="0" m="1" x="3597"/>
        <item sd="0" m="1" x="217"/>
        <item sd="0" m="1" x="2379"/>
        <item sd="0" m="1" x="3245"/>
        <item sd="0" m="1" x="4186"/>
        <item sd="0" m="1" x="5122"/>
        <item sd="0" m="1" x="679"/>
        <item sd="0" m="1" x="4235"/>
        <item sd="0" m="1" x="5175"/>
        <item sd="0" m="1" x="6027"/>
        <item sd="0" m="1" x="6685"/>
        <item sd="0" m="1" x="1723"/>
        <item sd="0" m="1" x="1467"/>
        <item sd="0" m="1" x="2176"/>
        <item sd="0" m="1" x="3012"/>
        <item sd="0" m="1" x="3057"/>
        <item sd="0" m="1" x="3998"/>
        <item sd="0" m="1" x="4955"/>
        <item sd="0" m="1" x="932"/>
        <item sd="0" m="1" x="1430"/>
        <item sd="0" m="1" x="2087"/>
        <item sd="0" m="1" x="2891"/>
        <item sd="0" m="1" x="7036"/>
        <item sd="0" m="1" x="7477"/>
        <item sd="0" m="1" x="2162"/>
        <item sd="0" m="1" x="2985"/>
        <item sd="0" m="1" x="3883"/>
        <item sd="0" m="1" x="4842"/>
        <item sd="0" m="1" x="7837"/>
        <item sd="0" m="1" x="7979"/>
        <item sd="0" m="1" x="3961"/>
        <item sd="0" m="1" x="4907"/>
        <item sd="0" m="1" x="5763"/>
        <item sd="0" m="1" x="6493"/>
        <item sd="0" m="1" x="818"/>
        <item sd="0" m="1" x="1276"/>
        <item sd="0" m="1" x="1892"/>
        <item sd="0" m="1" x="5463"/>
        <item sd="0" m="1" x="6279"/>
        <item sd="0" m="1" x="6886"/>
        <item sd="0" m="1" x="7364"/>
        <item sd="0" m="1" x="1977"/>
        <item sd="0" m="1" x="2752"/>
        <item sd="0" m="1" x="3639"/>
        <item sd="0" m="1" x="6943"/>
        <item sd="0" m="1" x="7426"/>
        <item sd="0" m="1" x="7756"/>
        <item sd="0" m="1" x="7949"/>
        <item sd="0" m="1" x="3696"/>
        <item sd="0" m="1" x="4647"/>
        <item sd="0" m="1" x="5545"/>
        <item sd="0" m="1" x="1350"/>
        <item sd="0" m="1" x="2030"/>
        <item sd="0" m="1" x="2833"/>
        <item sd="0" m="1" x="3759"/>
        <item sd="0" m="1" x="2892"/>
        <item sd="0" m="1" x="3821"/>
        <item sd="0" m="1" x="4781"/>
        <item sd="0" m="1" x="5689"/>
        <item sd="0" m="1" x="4843"/>
        <item sd="0" m="1" x="5729"/>
        <item sd="0" m="1" x="756"/>
        <item sd="0" m="1" x="1215"/>
        <item sd="0" m="1" x="1834"/>
        <item sd="0" m="1" x="2628"/>
        <item sd="0" m="1" x="6200"/>
        <item sd="0" m="1" x="6839"/>
        <item sd="0" m="1" x="1893"/>
        <item sd="0" m="1" x="2681"/>
        <item sd="0" m="1" x="3581"/>
        <item sd="0" m="1" x="4549"/>
        <item sd="0" m="1" x="7365"/>
        <item sd="0" m="1" x="7726"/>
        <item sd="0" m="1" x="3640"/>
        <item sd="0" m="1" x="4603"/>
        <item sd="0" m="1" x="5515"/>
        <item sd="0" m="1" x="381"/>
        <item sd="0" m="1" x="657"/>
        <item sd="0" m="1" x="1074"/>
        <item sd="0" m="1" x="1646"/>
        <item sd="0" m="1" x="5163"/>
        <item sd="0" m="1" x="6007"/>
        <item sd="0" m="1" x="6668"/>
        <item sd="0" m="1" x="1143"/>
        <item sd="0" m="1" x="1684"/>
        <item sd="0" m="1" x="2438"/>
        <item sd="0" m="1" x="6726"/>
        <item sd="0" m="1" x="7235"/>
        <item sd="0" m="1" x="7632"/>
        <item sd="0" m="1" x="2532"/>
        <item sd="0" m="1" x="3368"/>
        <item sd="0" m="1" x="4327"/>
        <item sd="0" m="1" x="315"/>
        <item sd="0" m="1" x="551"/>
        <item sd="0" m="1" x="3980"/>
        <item sd="0" m="1" x="4926"/>
        <item sd="0" m="1" x="5782"/>
        <item sd="0" m="1" x="6501"/>
        <item sd="0" m="1" x="992"/>
        <item sd="0" m="1" x="1517"/>
        <item sd="0" m="1" x="5866"/>
        <item sd="0" m="1" x="6555"/>
        <item sd="0" m="1" x="7115"/>
        <item sd="0" m="1" x="2307"/>
        <item sd="0" m="1" x="3144"/>
        <item sd="0" m="1" x="269"/>
        <item sd="0" m="1" x="1993"/>
        <item sd="0" m="1" x="2813"/>
        <item sd="0" m="1" x="3718"/>
        <item sd="0" m="1" x="4666"/>
        <item sd="0" m="1" x="882"/>
        <item sd="0" m="1" x="3760"/>
        <item sd="0" m="1" x="4732"/>
        <item sd="0" m="1" x="5625"/>
        <item sd="0" m="1" x="6384"/>
        <item sd="0" m="1" x="2088"/>
        <item sd="0" m="1" x="102"/>
        <item sd="0" m="1" x="1020"/>
        <item sd="0" m="1" x="1552"/>
        <item sd="0" m="1" x="5887"/>
        <item sd="0" m="1" x="6590"/>
        <item sd="0" m="1" x="7139"/>
        <item sd="0" m="1" x="7555"/>
        <item sd="0" m="1" x="2339"/>
        <item sd="0" m="1" x="3176"/>
        <item sd="0" m="1" x="7190"/>
        <item sd="0" m="1" x="7598"/>
        <item sd="0" m="1" x="7869"/>
        <item sd="0" m="1" x="79"/>
        <item sd="0" m="1" x="4168"/>
        <item sd="0" m="1" x="5113"/>
        <item sd="0" m="1" x="452"/>
        <item sd="0" m="1" x="819"/>
        <item sd="0" m="1" x="1277"/>
        <item sd="0" m="1" x="1894"/>
        <item sd="0" m="1" x="5464"/>
        <item sd="0" m="1" x="6280"/>
        <item sd="0" m="1" x="6887"/>
        <item sd="0" m="1" x="1322"/>
        <item sd="0" m="1" x="1978"/>
        <item sd="0" m="1" x="2753"/>
        <item sd="0" m="1" x="3641"/>
        <item sd="0" m="1" x="6944"/>
        <item sd="0" m="1" x="7427"/>
        <item sd="0" m="1" x="7757"/>
        <item sd="0" m="1" x="2797"/>
        <item sd="0" m="1" x="3697"/>
        <item sd="0" m="1" x="4648"/>
        <item sd="0" m="1" x="5546"/>
        <item sd="0" m="1" x="396"/>
        <item sd="0" m="1" x="711"/>
        <item sd="0" m="1" x="4260"/>
        <item sd="0" m="1" x="5221"/>
        <item sd="0" m="1" x="6060"/>
        <item sd="0" m="1" x="6727"/>
        <item sd="0" m="1" x="1180"/>
        <item sd="0" m="1" x="1775"/>
        <item sd="0" m="1" x="6109"/>
        <item sd="0" m="1" x="6783"/>
        <item sd="0" m="1" x="7302"/>
        <item sd="0" m="1" x="7680"/>
        <item sd="0" m="1" x="2577"/>
        <item sd="0" m="1" x="3449"/>
        <item sd="0" m="1" x="342"/>
        <item sd="0" m="1" x="3090"/>
        <item sd="0" m="1" x="4027"/>
        <item sd="0" m="1" x="4990"/>
        <item sd="0" m="1" x="1056"/>
        <item sd="0" m="1" x="5053"/>
        <item sd="0" m="1" x="5913"/>
        <item sd="0" m="1" x="6635"/>
        <item sd="0" m="1" x="2375"/>
        <item sd="0" m="1" x="1351"/>
        <item sd="0" m="1" x="2031"/>
        <item sd="0" m="1" x="2834"/>
        <item sd="0" m="1" x="3761"/>
        <item sd="0" m="1" x="2893"/>
        <item sd="0" m="1" x="3822"/>
        <item sd="0" m="1" x="4782"/>
        <item sd="0" m="1" x="5690"/>
        <item sd="0" m="1" x="202"/>
        <item sd="0" m="1" x="316"/>
        <item sd="0" m="1" x="552"/>
        <item sd="0" m="1" x="3981"/>
        <item sd="0" m="1" x="4927"/>
        <item sd="0" m="1" x="5783"/>
        <item sd="0" m="1" x="603"/>
        <item sd="0" m="1" x="993"/>
        <item sd="0" m="1" x="1518"/>
        <item sd="0" m="1" x="5867"/>
        <item sd="0" m="1" x="6556"/>
        <item sd="0" m="1" x="7116"/>
        <item sd="0" m="1" x="1601"/>
        <item sd="0" m="1" x="2308"/>
        <item sd="0" m="1" x="3145"/>
        <item sd="0" m="1" x="178"/>
        <item sd="0" m="1" x="270"/>
        <item sd="0" m="1" x="1994"/>
        <item sd="0" m="1" x="2814"/>
        <item sd="0" m="1" x="3719"/>
        <item sd="0" m="1" x="4667"/>
        <item sd="0" m="1" x="517"/>
        <item sd="0" m="1" x="883"/>
        <item sd="0" m="1" x="3762"/>
        <item sd="0" m="1" x="4733"/>
        <item sd="0" m="1" x="5626"/>
        <item sd="0" m="1" x="6385"/>
        <item sd="0" m="1" x="1431"/>
        <item sd="0" m="1" x="2089"/>
        <item sd="0" m="1" x="167"/>
        <item sd="0" m="1" x="1182"/>
        <item sd="0" m="1" x="1807"/>
        <item sd="0" m="1" x="2593"/>
        <item sd="0" m="1" x="3467"/>
        <item sd="0" m="1" x="2629"/>
        <item sd="0" m="1" x="3516"/>
        <item sd="0" m="1" x="4489"/>
        <item sd="0" m="1" x="5412"/>
        <item sd="0" m="1" x="1160"/>
        <item sd="0" m="1" x="1724"/>
        <item sd="0" m="1" x="2467"/>
        <item sd="0" m="1" x="3328"/>
        <item sd="0" m="1" x="6745"/>
        <item sd="0" m="1" x="7266"/>
        <item sd="0" m="1" x="2556"/>
        <item sd="0" m="1" x="3406"/>
        <item sd="0" m="1" x="4356"/>
        <item sd="0" m="1" x="5292"/>
        <item sd="0" m="1" x="7700"/>
        <item sd="0" m="1" x="7917"/>
        <item sd="0" m="1" x="4426"/>
        <item sd="0" m="1" x="5342"/>
        <item sd="0" m="1" x="6153"/>
        <item sd="0" m="1" x="623"/>
        <item sd="0" m="1" x="1021"/>
        <item sd="0" m="1" x="1553"/>
        <item sd="0" m="1" x="5888"/>
        <item sd="0" m="1" x="6591"/>
        <item sd="0" m="1" x="7140"/>
        <item sd="0" m="1" x="1626"/>
        <item sd="0" m="1" x="2340"/>
        <item sd="0" m="1" x="3177"/>
        <item sd="0" m="1" x="7191"/>
        <item sd="0" m="1" x="7599"/>
        <item sd="0" m="1" x="7870"/>
        <item sd="0" m="1" x="3234"/>
        <item sd="0" m="1" x="4169"/>
        <item sd="0" m="1" x="5114"/>
        <item sd="0" m="1" x="1657"/>
        <item sd="0" m="1" x="2398"/>
        <item sd="0" m="1" x="3273"/>
        <item sd="0" m="1" x="4236"/>
        <item sd="0" m="1" x="3329"/>
        <item sd="0" m="1" x="4280"/>
        <item sd="0" m="1" x="5243"/>
        <item sd="0" m="1" x="6082"/>
        <item sd="0" m="1" x="5293"/>
        <item sd="0" m="1" x="968"/>
        <item sd="0" m="1" x="1481"/>
        <item sd="0" m="1" x="2206"/>
        <item sd="0" m="1" x="6531"/>
        <item sd="0" m="1" x="2266"/>
        <item sd="0" m="1" x="3108"/>
        <item sd="0" m="1" x="4057"/>
        <item sd="0" m="1" x="7556"/>
        <item sd="0" m="1" x="4125"/>
        <item sd="0" m="1" x="5071"/>
        <item sd="0" m="1" x="295"/>
        <item sd="0" m="1" x="480"/>
        <item sd="0" m="1" x="848"/>
        <item sd="0" m="1" x="1330"/>
        <item sd="0" m="1" x="5598"/>
        <item sd="0" m="1" x="6344"/>
        <item sd="0" m="1" x="909"/>
        <item sd="0" m="1" x="1377"/>
        <item sd="0" m="1" x="2046"/>
        <item sd="0" m="1" x="2856"/>
        <item sd="0" m="1" x="6999"/>
        <item sd="0" m="1" x="7443"/>
        <item sd="0" m="1" x="2135"/>
        <item sd="0" m="1" x="2936"/>
        <item sd="0" m="1" x="3853"/>
        <item sd="0" m="1" x="4804"/>
        <item sd="0" m="1" x="239"/>
        <item sd="0" m="1" x="405"/>
        <item sd="0" m="1" x="735"/>
        <item sd="0" m="1" x="3493"/>
        <item sd="0" m="1" x="4444"/>
        <item sd="0" m="1" x="5360"/>
        <item sd="0" m="1" x="6162"/>
        <item sd="0" m="1" x="775"/>
        <item sd="0" m="1" x="1235"/>
        <item sd="0" m="1" x="1851"/>
        <item sd="0" m="1" x="5435"/>
        <item sd="0" m="1" x="6224"/>
        <item sd="0" m="1" x="6852"/>
        <item sd="0" m="1" x="7333"/>
        <item sd="0" m="1" x="1929"/>
        <item sd="0" m="1" x="2712"/>
        <item sd="0" m="1" x="3598"/>
        <item sd="0" m="1" x="218"/>
        <item sd="0" m="1" x="2380"/>
        <item sd="0" m="1" x="3246"/>
        <item sd="0" m="1" x="4187"/>
        <item sd="0" m="1" x="5123"/>
        <item sd="0" m="1" x="680"/>
        <item sd="0" m="1" x="4237"/>
        <item sd="0" m="1" x="5176"/>
        <item sd="0" m="1" x="6028"/>
        <item sd="0" m="1" x="6686"/>
        <item sd="0" m="1" x="1725"/>
        <item sd="0" m="1" x="820"/>
        <item sd="0" m="1" x="1278"/>
        <item sd="0" m="1" x="1895"/>
        <item sd="0" m="1" x="5465"/>
        <item sd="0" m="1" x="6281"/>
        <item sd="0" m="1" x="6888"/>
        <item sd="0" m="1" x="7366"/>
        <item sd="0" m="1" x="1979"/>
        <item sd="0" m="1" x="2754"/>
        <item sd="0" m="1" x="3642"/>
        <item sd="0" m="1" x="6945"/>
        <item sd="0" m="1" x="7428"/>
        <item sd="0" m="1" x="7758"/>
        <item sd="0" m="1" x="7950"/>
        <item sd="0" m="1" x="3698"/>
        <item sd="0" m="1" x="4649"/>
        <item sd="0" m="1" x="5547"/>
        <item sd="0" m="1" x="712"/>
        <item sd="0" m="1" x="4261"/>
        <item sd="0" m="1" x="5222"/>
        <item sd="0" m="1" x="6061"/>
        <item sd="0" m="1" x="6728"/>
        <item sd="0" m="1" x="1776"/>
        <item sd="0" m="1" x="6110"/>
        <item sd="0" m="1" x="6784"/>
        <item sd="0" m="1" x="7303"/>
        <item sd="0" m="1" x="7681"/>
        <item sd="0" m="1" x="3450"/>
        <item sd="0" m="1" x="3091"/>
        <item sd="0" m="1" x="4028"/>
        <item sd="0" m="1" x="4991"/>
        <item sd="0" m="1" x="5054"/>
        <item sd="0" m="1" x="5914"/>
        <item sd="0" m="1" x="6636"/>
        <item sd="0" m="1" x="1352"/>
        <item sd="0" m="1" x="2032"/>
        <item sd="0" m="1" x="2835"/>
        <item sd="0" m="1" x="3763"/>
        <item sd="0" m="1" x="2894"/>
        <item sd="0" m="1" x="3823"/>
        <item sd="0" m="1" x="4783"/>
        <item sd="0" m="1" x="5691"/>
        <item sd="0" m="1" x="4844"/>
        <item sd="0" m="1" x="5730"/>
        <item sd="0" m="1" x="757"/>
        <item sd="0" m="1" x="1216"/>
        <item sd="0" m="1" x="1835"/>
        <item sd="0" m="1" x="2630"/>
        <item sd="0" m="1" x="6201"/>
        <item sd="0" m="1" x="6840"/>
        <item sd="0" m="1" x="1896"/>
        <item sd="0" m="1" x="2682"/>
        <item sd="0" m="1" x="3582"/>
        <item sd="0" m="1" x="4550"/>
        <item sd="0" m="1" x="7367"/>
        <item sd="0" m="1" x="7727"/>
        <item sd="0" m="1" x="3643"/>
        <item sd="0" m="1" x="4604"/>
        <item sd="0" m="1" x="5516"/>
        <item sd="0" m="1" x="271"/>
        <item sd="0" m="1" x="1995"/>
        <item sd="0" m="1" x="2815"/>
        <item sd="0" m="1" x="3720"/>
        <item sd="0" m="1" x="4668"/>
        <item sd="0" m="1" x="884"/>
        <item sd="0" m="1" x="3764"/>
        <item sd="0" m="1" x="4734"/>
        <item sd="0" m="1" x="5627"/>
        <item sd="0" m="1" x="6386"/>
        <item sd="0" m="1" x="2090"/>
        <item sd="0" m="1" x="1183"/>
        <item sd="0" m="1" x="1808"/>
        <item sd="0" m="1" x="2594"/>
        <item sd="0" m="1" x="3468"/>
        <item sd="0" m="1" x="2631"/>
        <item sd="0" m="1" x="3517"/>
        <item sd="0" m="1" x="4490"/>
        <item sd="0" m="1" x="5413"/>
        <item sd="0" m="1" x="4551"/>
        <item sd="0" m="1" x="1161"/>
        <item sd="0" m="1" x="1726"/>
        <item sd="0" m="1" x="2468"/>
        <item sd="0" m="1" x="3330"/>
        <item sd="0" m="1" x="6746"/>
        <item sd="0" m="1" x="7267"/>
        <item sd="0" m="1" x="7647"/>
        <item sd="0" m="1" x="2557"/>
        <item sd="0" m="1" x="3407"/>
        <item sd="0" m="1" x="4357"/>
        <item sd="0" m="1" x="5294"/>
        <item sd="0" m="1" x="7701"/>
        <item sd="0" m="1" x="7918"/>
        <item sd="0" m="1" x="103"/>
        <item sd="0" m="1" x="4427"/>
        <item sd="0" m="1" x="5343"/>
        <item sd="0" m="1" x="6154"/>
        <item sd="0" m="1" x="6803"/>
        <item sd="0" m="1" x="453"/>
        <item sd="0" m="1" x="821"/>
        <item sd="0" m="1" x="1279"/>
        <item sd="0" m="1" x="1897"/>
        <item sd="0" m="1" x="5466"/>
        <item sd="0" m="1" x="6282"/>
        <item sd="0" m="1" x="6889"/>
        <item sd="0" m="1" x="1323"/>
        <item sd="0" m="1" x="1980"/>
        <item sd="0" m="1" x="2755"/>
        <item sd="0" m="1" x="3644"/>
        <item sd="0" m="1" x="6946"/>
        <item sd="0" m="1" x="7429"/>
        <item sd="0" m="1" x="7759"/>
        <item sd="0" m="1" x="2798"/>
        <item sd="0" m="1" x="3699"/>
        <item sd="0" m="1" x="4650"/>
        <item sd="0" m="1" x="5548"/>
        <item sd="0" m="1" x="397"/>
        <item sd="0" m="1" x="713"/>
        <item sd="0" m="1" x="4262"/>
        <item sd="0" m="1" x="5223"/>
        <item sd="0" m="1" x="6062"/>
        <item sd="0" m="1" x="6729"/>
        <item sd="0" m="1" x="1181"/>
        <item sd="0" m="1" x="1777"/>
        <item sd="0" m="1" x="6111"/>
        <item sd="0" m="1" x="6785"/>
        <item sd="0" m="1" x="7304"/>
        <item sd="0" m="1" x="7682"/>
        <item sd="0" m="1" x="2578"/>
        <item sd="0" m="1" x="3451"/>
        <item sd="0" m="1" x="758"/>
        <item sd="0" m="1" x="1217"/>
        <item sd="0" m="1" x="1836"/>
        <item sd="0" m="1" x="2632"/>
        <item sd="0" m="1" x="6202"/>
        <item sd="0" m="1" x="1898"/>
        <item sd="0" m="1" x="2683"/>
        <item sd="0" m="1" x="3583"/>
        <item sd="0" m="1" x="4552"/>
        <item sd="0" m="1" x="7368"/>
        <item sd="0" m="1" x="3645"/>
        <item sd="0" m="1" x="4605"/>
        <item sd="0" m="1" x="382"/>
        <item sd="0" m="1" x="658"/>
        <item sd="0" m="1" x="1075"/>
        <item sd="0" m="1" x="1647"/>
        <item sd="0" m="1" x="5164"/>
        <item sd="0" m="1" x="6008"/>
        <item sd="0" m="1" x="1144"/>
        <item sd="0" m="1" x="1685"/>
        <item sd="0" m="1" x="2439"/>
        <item sd="0" m="1" x="6730"/>
        <item sd="0" m="1" x="7236"/>
        <item sd="0" m="1" x="2533"/>
        <item sd="0" m="1" x="3369"/>
        <item sd="0" m="1" x="4328"/>
        <item sd="0" m="1" x="203"/>
        <item sd="0" m="1" x="317"/>
        <item sd="0" m="1" x="553"/>
        <item sd="0" m="1" x="3982"/>
        <item sd="0" m="1" x="4928"/>
        <item sd="0" m="1" x="5784"/>
        <item sd="0" m="1" x="604"/>
        <item sd="0" m="1" x="994"/>
        <item sd="0" m="1" x="1519"/>
        <item sd="0" m="1" x="5868"/>
        <item sd="0" m="1" x="6557"/>
        <item sd="0" m="1" x="7117"/>
        <item sd="0" m="1" x="1602"/>
        <item sd="0" m="1" x="2309"/>
        <item sd="0" m="1" x="3146"/>
        <item sd="0" m="1" x="179"/>
        <item sd="0" m="1" x="272"/>
        <item sd="0" m="1" x="1996"/>
        <item sd="0" m="1" x="2816"/>
        <item sd="0" m="1" x="3721"/>
        <item sd="0" m="1" x="4669"/>
        <item sd="0" m="1" x="518"/>
        <item sd="0" m="1" x="885"/>
        <item sd="0" m="1" x="3765"/>
        <item sd="0" m="1" x="4735"/>
        <item sd="0" m="1" x="5628"/>
        <item sd="0" m="1" x="6387"/>
        <item sd="0" m="1" x="1432"/>
        <item sd="0" m="1" x="2091"/>
        <item sd="0" m="1" x="168"/>
        <item sd="0" m="1" x="1184"/>
        <item sd="0" m="1" x="1809"/>
        <item sd="0" m="1" x="2595"/>
        <item sd="0" m="1" x="3469"/>
        <item sd="0" m="1" x="2633"/>
        <item sd="0" m="1" x="3518"/>
        <item sd="0" m="1" x="4491"/>
        <item sd="0" m="1" x="5414"/>
        <item sd="0" m="1" x="530"/>
        <item sd="0" m="1" x="910"/>
        <item sd="0" m="1" x="4756"/>
        <item sd="0" m="1" x="5646"/>
        <item sd="0" m="1" x="6410"/>
        <item sd="0" m="1" x="1450"/>
        <item sd="0" m="1" x="2136"/>
        <item sd="0" m="1" x="6467"/>
        <item sd="0" m="1" x="7054"/>
        <item sd="0" m="1" x="7512"/>
        <item sd="0" m="1" x="3004"/>
        <item sd="0" m="1" x="3918"/>
        <item sd="0" m="1" x="442"/>
        <item sd="0" m="1" x="2644"/>
        <item sd="0" m="1" x="3541"/>
        <item sd="0" m="1" x="4508"/>
        <item sd="0" m="1" x="5436"/>
        <item sd="0" m="1" x="1305"/>
        <item sd="0" m="1" x="4566"/>
        <item sd="0" m="1" x="5484"/>
        <item sd="0" m="1" x="6297"/>
        <item sd="0" m="1" x="6918"/>
        <item sd="0" m="1" x="2781"/>
        <item sd="0" m="1" x="1658"/>
        <item sd="0" m="1" x="2399"/>
        <item sd="0" m="1" x="3274"/>
        <item sd="0" m="1" x="4238"/>
        <item sd="0" m="1" x="3331"/>
        <item sd="0" m="1" x="4281"/>
        <item sd="0" m="1" x="5244"/>
        <item sd="0" m="1" x="6083"/>
        <item sd="0" m="1" x="5295"/>
        <item sd="0" m="1" x="969"/>
        <item sd="0" m="1" x="1482"/>
        <item sd="0" m="1" x="2207"/>
        <item sd="0" m="1" x="6532"/>
        <item sd="0" m="1" x="2267"/>
        <item sd="0" m="1" x="3109"/>
        <item sd="0" m="1" x="4058"/>
        <item sd="0" m="1" x="7557"/>
        <item sd="0" m="1" x="4126"/>
        <item sd="0" m="1" x="5072"/>
        <item sd="0" m="1" x="296"/>
        <item sd="0" m="1" x="481"/>
        <item sd="0" m="1" x="849"/>
        <item sd="0" m="1" x="1331"/>
        <item sd="0" m="1" x="5599"/>
        <item sd="0" m="1" x="6345"/>
        <item sd="0" m="1" x="911"/>
        <item sd="0" m="1" x="1378"/>
        <item sd="0" m="1" x="2047"/>
        <item sd="0" m="1" x="2857"/>
        <item sd="0" m="1" x="7000"/>
        <item sd="0" m="1" x="7444"/>
        <item sd="0" m="1" x="2137"/>
        <item sd="0" m="1" x="2937"/>
        <item sd="0" m="1" x="3854"/>
        <item sd="0" m="1" x="4805"/>
        <item sd="0" m="1" x="1468"/>
        <item sd="0" m="1" x="2177"/>
        <item sd="0" m="1" x="3013"/>
        <item sd="0" m="1" x="3058"/>
        <item sd="0" m="1" x="3999"/>
        <item sd="0" m="1" x="4956"/>
        <item sd="0" m="1" x="933"/>
        <item sd="0" m="1" x="1433"/>
        <item sd="0" m="1" x="2092"/>
        <item sd="0" m="1" x="2895"/>
        <item sd="0" m="1" x="7037"/>
        <item sd="0" m="1" x="7478"/>
        <item sd="0" m="1" x="2163"/>
        <item sd="0" m="1" x="2986"/>
        <item sd="0" m="1" x="3884"/>
        <item sd="0" m="1" x="4845"/>
        <item sd="0" m="1" x="7838"/>
        <item sd="0" m="1" x="7980"/>
        <item sd="0" m="1" x="3962"/>
        <item sd="0" m="1" x="4908"/>
        <item sd="0" m="1" x="5764"/>
        <item sd="0" m="1" x="6494"/>
        <item sd="0" m="1" x="822"/>
        <item sd="0" m="1" x="1280"/>
        <item sd="0" m="1" x="1899"/>
        <item sd="0" m="1" x="5467"/>
        <item sd="0" m="1" x="6283"/>
        <item sd="0" m="1" x="6890"/>
        <item sd="0" m="1" x="7369"/>
        <item sd="0" m="1" x="1981"/>
        <item sd="0" m="1" x="2756"/>
        <item sd="0" m="1" x="3646"/>
        <item sd="0" m="1" x="6947"/>
        <item sd="0" m="1" x="7430"/>
        <item sd="0" m="1" x="7760"/>
        <item sd="0" m="1" x="7951"/>
        <item sd="0" m="1" x="3700"/>
        <item sd="0" m="1" x="4651"/>
        <item sd="0" m="1" x="5549"/>
        <item sd="0" m="1" x="714"/>
        <item sd="0" m="1" x="4263"/>
        <item sd="0" m="1" x="5224"/>
        <item sd="0" m="1" x="6063"/>
        <item sd="0" m="1" x="6731"/>
        <item sd="0" m="1" x="1778"/>
        <item sd="0" m="1" x="6112"/>
        <item sd="0" m="1" x="6786"/>
        <item sd="0" m="1" x="7305"/>
        <item sd="0" m="1" x="7683"/>
        <item sd="0" m="1" x="3452"/>
        <item sd="0" m="1" x="3092"/>
        <item sd="0" m="1" x="4029"/>
        <item sd="0" m="1" x="4992"/>
        <item sd="0" m="1" x="5055"/>
        <item sd="0" m="1" x="5915"/>
        <item sd="0" m="1" x="6637"/>
        <item sd="0" m="1" x="383"/>
        <item sd="0" m="1" x="659"/>
        <item sd="0" m="1" x="6669"/>
        <item sd="0" m="1" x="1145"/>
        <item sd="0" m="1" x="1686"/>
        <item sd="0" m="1" x="2440"/>
        <item sd="0" m="1" x="6732"/>
        <item sd="0" m="1" x="7237"/>
        <item sd="0" m="1" x="7633"/>
        <item sd="0" m="1" x="2534"/>
        <item sd="0" m="1" x="3370"/>
        <item sd="0" m="1" x="4329"/>
        <item sd="0" m="1" x="318"/>
        <item sd="0" m="1" x="554"/>
        <item sd="0" m="1" x="3983"/>
        <item sd="0" m="1" x="4929"/>
        <item sd="0" m="1" x="5785"/>
        <item sd="0" m="1" x="6502"/>
        <item sd="0" m="1" x="995"/>
        <item sd="0" m="1" x="1520"/>
        <item sd="0" m="1" x="5869"/>
        <item sd="0" m="1" x="6558"/>
        <item sd="0" m="1" x="7118"/>
        <item sd="0" m="1" x="2310"/>
        <item sd="0" m="1" x="3147"/>
        <item sd="0" m="1" x="273"/>
        <item sd="0" m="1" x="1997"/>
        <item sd="0" m="1" x="2817"/>
        <item sd="0" m="1" x="3722"/>
        <item sd="0" m="1" x="4670"/>
        <item sd="0" m="1" x="886"/>
        <item sd="0" m="1" x="3766"/>
        <item sd="0" m="1" x="4736"/>
        <item sd="0" m="1" x="5629"/>
        <item sd="0" m="1" x="6388"/>
        <item sd="0" m="1" x="2093"/>
        <item sd="0" m="1" x="1185"/>
        <item sd="0" m="1" x="1810"/>
        <item sd="0" m="1" x="2596"/>
        <item sd="0" m="1" x="3470"/>
        <item sd="0" m="1" x="2634"/>
        <item sd="0" m="1" x="3519"/>
        <item sd="0" m="1" x="4492"/>
        <item sd="0" m="1" x="5415"/>
        <item sd="0" m="1" x="4553"/>
        <item sd="0" m="1" x="1162"/>
        <item sd="0" m="1" x="1727"/>
        <item sd="0" m="1" x="2469"/>
        <item sd="0" m="1" x="3332"/>
        <item sd="0" m="1" x="6747"/>
        <item sd="0" m="1" x="7268"/>
        <item sd="0" m="1" x="7648"/>
        <item sd="0" m="1" x="2558"/>
        <item sd="0" m="1" x="3408"/>
        <item sd="0" m="1" x="4358"/>
        <item sd="0" m="1" x="5296"/>
        <item sd="0" m="1" x="7702"/>
        <item sd="0" m="1" x="7919"/>
        <item sd="0" m="1" x="104"/>
        <item sd="0" m="1" x="4428"/>
        <item sd="0" m="1" x="5344"/>
        <item sd="0" m="1" x="6155"/>
        <item sd="0" m="1" x="6804"/>
        <item sd="0" m="1" x="7009"/>
        <item sd="0" m="1" x="1451"/>
        <item sd="0" m="1" x="2146"/>
        <item sd="0" m="1" x="2949"/>
        <item sd="0" m="1" x="7062"/>
        <item sd="0" m="1" x="7517"/>
        <item sd="0" m="1" x="7815"/>
        <item sd="0" m="1" x="3014"/>
        <item sd="0" m="1" x="3930"/>
        <item sd="0" m="1" x="4878"/>
        <item sd="0" m="1" x="443"/>
        <item sd="0" m="1" x="783"/>
        <item sd="0" m="1" x="3549"/>
        <item sd="0" m="1" x="4517"/>
        <item sd="0" m="1" x="5446"/>
        <item sd="0" m="1" x="6234"/>
        <item sd="0" m="1" x="1313"/>
        <item sd="0" m="1" x="1942"/>
        <item sd="0" m="1" x="5492"/>
        <item sd="0" m="1" x="6298"/>
        <item sd="0" m="1" x="6926"/>
        <item sd="0" m="1" x="7400"/>
        <item sd="0" m="1" x="2788"/>
        <item sd="0" m="1" x="3670"/>
        <item sd="0" m="1" x="2407"/>
        <item sd="0" m="1" x="3275"/>
        <item sd="0" m="1" x="4239"/>
        <item sd="0" m="1" x="5177"/>
        <item sd="0" m="1" x="4289"/>
        <item sd="0" m="1" x="5245"/>
        <item sd="0" m="1" x="6092"/>
        <item sd="0" m="1" x="6756"/>
        <item sd="0" m="1" x="1489"/>
        <item sd="0" m="1" x="2208"/>
        <item sd="0" m="1" x="3059"/>
        <item sd="0" m="1" x="3116"/>
        <item sd="0" m="1" x="4067"/>
        <item sd="0" m="1" x="5023"/>
        <item sd="0" m="1" x="5079"/>
        <item sd="0" m="1" x="491"/>
        <item sd="0" m="1" x="850"/>
        <item sd="0" m="1" x="1332"/>
        <item sd="0" m="1" x="2004"/>
        <item sd="0" m="1" x="6353"/>
        <item sd="0" m="1" x="1387"/>
        <item sd="0" m="1" x="2049"/>
        <item sd="0" m="1" x="2866"/>
        <item sd="0" m="1" x="3789"/>
        <item sd="0" m="1" x="7453"/>
        <item sd="0" m="1" x="2950"/>
        <item sd="0" m="1" x="3859"/>
        <item sd="0" m="1" x="4817"/>
        <item sd="0" m="1" x="187"/>
        <item sd="0" m="1" x="2178"/>
        <item sd="0" m="1" x="3022"/>
        <item sd="0" m="1" x="3946"/>
        <item sd="0" m="1" x="4890"/>
        <item sd="0" m="1" x="579"/>
        <item sd="0" m="1" x="4000"/>
        <item sd="0" m="1" x="4963"/>
        <item sd="0" m="1" x="5827"/>
        <item sd="0" m="1" x="1560"/>
        <item sd="0" m="1" x="2103"/>
        <item sd="0" m="1" x="2901"/>
        <item sd="0" m="1" x="3829"/>
        <item sd="0" m="1" x="7488"/>
        <item sd="0" m="1" x="3894"/>
        <item sd="0" m="1" x="4851"/>
        <item sd="0" m="1" x="5735"/>
        <item sd="0" m="1" x="7985"/>
        <item sd="0" m="1" x="5786"/>
        <item sd="0" m="1" x="6503"/>
        <item sd="0" m="1" x="827"/>
        <item sd="0" m="1" x="1284"/>
        <item sd="0" m="1" x="1903"/>
        <item sd="0" m="1" x="2687"/>
        <item sd="0" m="1" x="6897"/>
        <item sd="0" m="1" x="7373"/>
        <item sd="0" m="1" x="1985"/>
        <item sd="0" m="1" x="2760"/>
        <item sd="0" m="1" x="3650"/>
        <item sd="0" m="1" x="4609"/>
        <item sd="0" m="1" x="7764"/>
        <item sd="0" m="1" x="7952"/>
        <item sd="0" m="1" x="3723"/>
        <item sd="0" m="1" x="4671"/>
        <item sd="0" m="1" x="5564"/>
        <item sd="0" m="1" x="6321"/>
        <item sd="0" m="1" x="715"/>
        <item sd="0" m="1" x="1149"/>
        <item sd="0" m="1" x="1691"/>
        <item sd="0" m="1" x="5228"/>
        <item sd="0" m="1" x="6067"/>
        <item sd="0" m="1" x="6736"/>
        <item sd="0" m="1" x="7241"/>
        <item sd="0" m="1" x="1780"/>
        <item sd="0" m="1" x="2545"/>
        <item sd="0" m="1" x="3381"/>
        <item sd="0" m="1" x="6790"/>
        <item sd="0" m="1" x="7306"/>
        <item sd="0" m="1" x="7691"/>
        <item sd="0" m="1" x="7900"/>
        <item sd="0" m="1" x="3471"/>
        <item sd="0" m="1" x="4411"/>
        <item sd="0" m="1" x="5325"/>
        <item sd="0" m="1" x="605"/>
        <item sd="0" m="1" x="4039"/>
        <item sd="0" m="1" x="4997"/>
        <item sd="0" m="1" x="5874"/>
        <item sd="0" m="1" x="6563"/>
        <item sd="0" m="1" x="1608"/>
        <item sd="0" m="1" x="5920"/>
        <item sd="0" m="1" x="6638"/>
        <item sd="0" m="1" x="7179"/>
        <item sd="0" m="1" x="7580"/>
        <item sd="0" m="1" x="3216"/>
        <item sd="0" m="1" x="664"/>
        <item sd="0" m="1" x="1076"/>
        <item sd="0" m="1" x="1648"/>
        <item sd="0" m="1" x="2385"/>
        <item sd="0" m="1" x="6012"/>
        <item sd="0" m="1" x="6670"/>
        <item sd="0" m="1" x="1692"/>
        <item sd="0" m="1" x="2441"/>
        <item sd="0" m="1" x="3308"/>
        <item sd="0" m="1" x="4267"/>
        <item sd="0" m="1" x="7242"/>
        <item sd="0" m="1" x="7634"/>
        <item sd="0" m="1" x="3382"/>
        <item sd="0" m="1" x="4337"/>
        <item sd="0" m="1" x="5272"/>
        <item sd="0" m="1" x="323"/>
        <item sd="0" m="1" x="555"/>
        <item sd="0" m="1" x="951"/>
        <item sd="0" m="1" x="4939"/>
        <item sd="0" m="1" x="5802"/>
        <item sd="0" m="1" x="6519"/>
        <item sd="0" m="1" x="1000"/>
        <item sd="0" m="1" x="1525"/>
        <item sd="0" m="1" x="2239"/>
        <item sd="0" m="1" x="6564"/>
        <item sd="0" m="1" x="7119"/>
        <item sd="0" m="1" x="7543"/>
        <item sd="0" m="1" x="2319"/>
        <item sd="0" m="1" x="3156"/>
        <item sd="0" m="1" x="4098"/>
        <item sd="0" m="1" x="287"/>
        <item sd="0" m="1" x="468"/>
        <item sd="0" m="1" x="3731"/>
        <item sd="0" m="1" x="4685"/>
        <item sd="0" m="1" x="5578"/>
        <item sd="0" m="1" x="893"/>
        <item sd="0" m="1" x="1358"/>
        <item sd="0" m="1" x="5630"/>
        <item sd="0" m="1" x="6394"/>
        <item sd="0" m="1" x="6978"/>
        <item sd="0" m="1" x="2104"/>
        <item sd="0" m="1" x="2902"/>
        <item sd="0" m="1" x="227"/>
        <item sd="0" m="1" x="1811"/>
        <item sd="0" m="1" x="2597"/>
        <item sd="0" m="1" x="3479"/>
        <item sd="0" m="1" x="4419"/>
        <item sd="0" m="1" x="763"/>
        <item sd="0" m="1" x="3520"/>
        <item sd="0" m="1" x="4493"/>
        <item sd="0" m="1" x="5419"/>
        <item sd="0" m="1" x="6206"/>
        <item sd="0" m="1" x="1904"/>
        <item sd="0" m="1" x="1743"/>
        <item sd="0" m="1" x="2477"/>
        <item sd="0" m="1" x="3340"/>
        <item sd="0" m="1" x="4290"/>
        <item sd="0" m="1" x="7278"/>
        <item sd="0" m="1" x="7656"/>
        <item sd="0" m="1" x="3425"/>
        <item sd="0" m="1" x="4366"/>
        <item sd="0" m="1" x="5304"/>
        <item sd="0" m="1" x="6120"/>
        <item sd="0" m="1" x="7929"/>
        <item sd="0" m="1" x="105"/>
        <item sd="0" m="1" x="5369"/>
        <item sd="0" m="1" x="6163"/>
        <item sd="0" m="1" x="6805"/>
        <item sd="0" m="1" x="784"/>
        <item sd="0" m="1" x="3550"/>
        <item sd="0" m="1" x="4518"/>
        <item sd="0" m="1" x="5447"/>
        <item sd="0" m="1" x="6235"/>
        <item sd="0" m="1" x="1943"/>
        <item sd="0" m="1" x="5493"/>
        <item sd="0" m="1" x="6299"/>
        <item sd="0" m="1" x="6927"/>
        <item sd="0" m="1" x="7401"/>
        <item sd="0" m="1" x="3671"/>
        <item sd="0" m="1" x="2408"/>
        <item sd="0" m="1" x="3276"/>
        <item sd="0" m="1" x="4240"/>
        <item sd="0" m="1" x="5178"/>
        <item sd="0" m="1" x="4291"/>
        <item sd="0" m="1" x="5246"/>
        <item sd="0" m="1" x="6093"/>
        <item sd="0" m="1" x="6757"/>
        <item sd="0" m="1" x="6121"/>
        <item sd="0" m="1" x="1490"/>
        <item sd="0" m="1" x="2209"/>
        <item sd="0" m="1" x="3060"/>
        <item sd="0" m="1" x="7095"/>
        <item sd="0" m="1" x="3117"/>
        <item sd="0" m="1" x="4068"/>
        <item sd="0" m="1" x="5024"/>
        <item sd="0" m="1" x="7850"/>
        <item sd="0" m="1" x="5080"/>
        <item sd="0" m="1" x="5938"/>
        <item sd="0" m="1" x="492"/>
        <item sd="0" m="1" x="851"/>
        <item sd="0" m="1" x="1333"/>
        <item sd="0" m="1" x="2005"/>
        <item sd="0" m="1" x="6354"/>
        <item sd="0" m="1" x="6951"/>
        <item sd="0" m="1" x="1388"/>
        <item sd="0" m="1" x="2050"/>
        <item sd="0" m="1" x="2867"/>
        <item sd="0" m="1" x="3790"/>
        <item sd="0" m="1" x="7454"/>
        <item sd="0" m="1" x="7784"/>
        <item sd="0" m="1" x="2951"/>
        <item sd="0" m="1" x="3860"/>
        <item sd="0" m="1" x="4818"/>
        <item sd="0" m="1" x="5712"/>
        <item sd="0" m="1" x="406"/>
        <item sd="0" m="1" x="736"/>
        <item sd="0" m="1" x="1186"/>
        <item sd="0" m="1" x="4456"/>
        <item sd="0" m="1" x="5379"/>
        <item sd="0" m="1" x="6173"/>
        <item sd="0" m="1" x="6815"/>
        <item sd="0" m="1" x="1238"/>
        <item sd="0" m="1" x="1859"/>
        <item sd="0" m="1" x="2652"/>
        <item sd="0" m="1" x="6236"/>
        <item sd="0" m="1" x="6854"/>
        <item sd="0" m="1" x="7338"/>
        <item sd="0" m="1" x="7712"/>
        <item sd="0" m="1" x="2720"/>
        <item sd="0" m="1" x="3606"/>
        <item sd="0" m="1" x="4574"/>
        <item sd="0" m="1" x="2105"/>
        <item sd="0" m="1" x="2903"/>
        <item sd="0" m="1" x="3830"/>
        <item sd="0" m="1" x="7489"/>
        <item sd="0" m="1" x="7797"/>
        <item sd="0" m="1" x="3895"/>
        <item sd="0" m="1" x="4852"/>
        <item sd="0" m="1" x="5736"/>
        <item sd="0" m="1" x="7986"/>
        <item sd="0" m="1" x="138"/>
        <item sd="0" m="1" x="5787"/>
        <item sd="0" m="1" x="6504"/>
        <item sd="0" m="1" x="7082"/>
        <item sd="0" m="1" x="1285"/>
        <item sd="0" m="1" x="1905"/>
        <item sd="0" m="1" x="2688"/>
        <item sd="0" m="1" x="6898"/>
        <item sd="0" m="1" x="7374"/>
        <item sd="0" m="1" x="7731"/>
        <item sd="0" m="1" x="2761"/>
        <item sd="0" m="1" x="3651"/>
        <item sd="0" m="1" x="4610"/>
        <item sd="0" m="1" x="7765"/>
        <item sd="0" m="1" x="7953"/>
        <item sd="0" m="1" x="126"/>
        <item sd="0" m="1" x="4672"/>
        <item sd="0" m="1" x="5565"/>
        <item sd="0" m="1" x="6322"/>
        <item sd="0" m="1" x="1033"/>
        <item sd="0" m="1" x="1561"/>
        <item sd="0" m="1" x="2274"/>
        <item sd="0" m="1" x="6606"/>
        <item sd="0" m="1" x="7147"/>
        <item sd="0" m="1" x="2352"/>
        <item sd="0" m="1" x="3184"/>
        <item sd="0" m="1" x="4133"/>
        <item sd="0" m="1" x="7608"/>
        <item sd="0" m="1" x="7871"/>
        <item sd="0" m="1" x="4188"/>
        <item sd="0" m="1" x="5124"/>
        <item sd="0" m="1" x="5959"/>
        <item sd="0" m="1" x="531"/>
        <item sd="0" m="1" x="917"/>
        <item sd="0" m="1" x="1389"/>
        <item sd="0" m="1" x="5661"/>
        <item sd="0" m="1" x="6419"/>
        <item sd="0" m="1" x="7010"/>
        <item sd="0" m="1" x="1452"/>
        <item sd="0" m="1" x="2147"/>
        <item sd="0" m="1" x="2952"/>
        <item sd="0" m="1" x="7063"/>
        <item sd="0" m="1" x="7518"/>
        <item sd="0" m="1" x="7816"/>
        <item sd="0" m="1" x="3015"/>
        <item sd="0" m="1" x="3931"/>
        <item sd="0" m="1" x="4879"/>
        <item sd="0" m="1" x="444"/>
        <item sd="0" m="1" x="785"/>
        <item sd="0" m="1" x="3551"/>
        <item sd="0" m="1" x="4519"/>
        <item sd="0" m="1" x="5448"/>
        <item sd="0" m="1" x="6237"/>
        <item sd="0" m="1" x="1314"/>
        <item sd="0" m="1" x="1944"/>
        <item sd="0" m="1" x="5494"/>
        <item sd="0" m="1" x="6300"/>
        <item sd="0" m="1" x="6928"/>
        <item sd="0" m="1" x="7402"/>
        <item sd="0" m="1" x="2789"/>
        <item sd="0" m="1" x="3672"/>
        <item sd="0" m="1" x="493"/>
        <item sd="0" m="1" x="852"/>
        <item sd="0" m="1" x="1334"/>
        <item sd="0" m="1" x="2006"/>
        <item sd="0" m="1" x="6355"/>
        <item sd="0" m="1" x="1390"/>
        <item sd="0" m="1" x="2051"/>
        <item sd="0" m="1" x="2868"/>
        <item sd="0" m="1" x="3791"/>
        <item sd="0" m="1" x="7455"/>
        <item sd="0" m="1" x="2953"/>
        <item sd="0" m="1" x="3861"/>
        <item sd="0" m="1" x="4819"/>
        <item sd="0" m="1" x="246"/>
        <item sd="0" m="1" x="407"/>
        <item sd="0" m="1" x="737"/>
        <item sd="0" m="1" x="1187"/>
        <item sd="0" m="1" x="4457"/>
        <item sd="0" m="1" x="5380"/>
        <item sd="0" m="1" x="6174"/>
        <item sd="0" m="1" x="786"/>
        <item sd="0" m="1" x="1239"/>
        <item sd="0" m="1" x="1860"/>
        <item sd="0" m="1" x="2653"/>
        <item sd="0" m="1" x="6238"/>
        <item sd="0" m="1" x="6855"/>
        <item sd="0" m="1" x="7339"/>
        <item sd="0" m="1" x="1945"/>
        <item sd="0" m="1" x="2721"/>
        <item sd="0" m="1" x="3607"/>
        <item sd="0" m="1" x="4575"/>
        <item sd="0" m="1" x="219"/>
        <item sd="0" m="1" x="350"/>
        <item sd="0" m="1" x="630"/>
        <item sd="0" m="1" x="3249"/>
        <item sd="0" m="1" x="4205"/>
        <item sd="0" m="1" x="5141"/>
        <item sd="0" m="1" x="5976"/>
        <item sd="0" m="1" x="689"/>
        <item sd="0" m="1" x="1098"/>
        <item sd="0" m="1" x="5179"/>
        <item sd="0" m="1" x="6029"/>
        <item sd="0" m="1" x="6694"/>
        <item sd="0" m="1" x="7208"/>
        <item sd="0" m="1" x="1744"/>
        <item sd="0" m="1" x="2478"/>
        <item sd="0" m="1" x="188"/>
        <item sd="0" m="1" x="2179"/>
        <item sd="0" m="1" x="3023"/>
        <item sd="0" m="1" x="3947"/>
        <item sd="0" m="1" x="4891"/>
        <item sd="0" m="1" x="580"/>
        <item sd="0" m="1" x="4001"/>
        <item sd="0" m="1" x="4964"/>
        <item sd="0" m="1" x="5828"/>
        <item sd="0" m="1" x="1562"/>
        <item sd="0" m="1" x="2106"/>
        <item sd="0" m="1" x="2904"/>
        <item sd="0" m="1" x="3831"/>
        <item sd="0" m="1" x="7490"/>
        <item sd="0" m="1" x="3896"/>
        <item sd="0" m="1" x="4853"/>
        <item sd="0" m="1" x="5737"/>
        <item sd="0" m="1" x="7987"/>
        <item sd="0" m="1" x="5788"/>
        <item sd="0" m="1" x="6505"/>
        <item sd="0" m="1" x="606"/>
        <item sd="0" m="1" x="4040"/>
        <item sd="0" m="1" x="4998"/>
        <item sd="0" m="1" x="5875"/>
        <item sd="0" m="1" x="6565"/>
        <item sd="0" m="1" x="1609"/>
        <item sd="0" m="1" x="5921"/>
        <item sd="0" m="1" x="6639"/>
        <item sd="0" m="1" x="7180"/>
        <item sd="0" m="1" x="7581"/>
        <item sd="0" m="1" x="3217"/>
        <item sd="0" m="1" x="2841"/>
        <item sd="0" m="1" x="3767"/>
        <item sd="0" m="1" x="4737"/>
        <item sd="0" m="1" x="4789"/>
        <item sd="0" m="1" x="5696"/>
        <item sd="0" m="1" x="6450"/>
        <item sd="0" m="1" x="1221"/>
        <item sd="0" m="1" x="1837"/>
        <item sd="0" m="1" x="2635"/>
        <item sd="0" m="1" x="3521"/>
        <item sd="0" m="1" x="2689"/>
        <item sd="0" m="1" x="3584"/>
        <item sd="0" m="1" x="4557"/>
        <item sd="0" m="1" x="5471"/>
        <item sd="0" m="1" x="4611"/>
        <item sd="0" m="1" x="5517"/>
        <item sd="0" m="1" x="665"/>
        <item sd="0" m="1" x="1077"/>
        <item sd="0" m="1" x="1649"/>
        <item sd="0" m="1" x="2386"/>
        <item sd="0" m="1" x="6013"/>
        <item sd="0" m="1" x="6671"/>
        <item sd="0" m="1" x="1693"/>
        <item sd="0" m="1" x="2442"/>
        <item sd="0" m="1" x="3309"/>
        <item sd="0" m="1" x="4268"/>
        <item sd="0" m="1" x="7243"/>
        <item sd="0" m="1" x="7635"/>
        <item sd="0" m="1" x="3383"/>
        <item sd="0" m="1" x="4338"/>
        <item sd="0" m="1" x="5273"/>
        <item sd="0" m="1" x="324"/>
        <item sd="0" m="1" x="556"/>
        <item sd="0" m="1" x="952"/>
        <item sd="0" m="1" x="4940"/>
        <item sd="0" m="1" x="5803"/>
        <item sd="0" m="1" x="6520"/>
        <item sd="0" m="1" x="1001"/>
        <item sd="0" m="1" x="1526"/>
        <item sd="0" m="1" x="2240"/>
        <item sd="0" m="1" x="6566"/>
        <item sd="0" m="1" x="7120"/>
        <item sd="0" m="1" x="7544"/>
        <item sd="0" m="1" x="2320"/>
        <item sd="0" m="1" x="3157"/>
        <item sd="0" m="1" x="4099"/>
        <item sd="0" m="1" x="1745"/>
        <item sd="0" m="1" x="2479"/>
        <item sd="0" m="1" x="3341"/>
        <item sd="0" m="1" x="4292"/>
        <item sd="0" m="1" x="7279"/>
        <item sd="0" m="1" x="7657"/>
        <item sd="0" m="1" x="3426"/>
        <item sd="0" m="1" x="4367"/>
        <item sd="0" m="1" x="5305"/>
        <item sd="0" m="1" x="6122"/>
        <item sd="0" m="1" x="7930"/>
        <item sd="0" m="1" x="106"/>
        <item sd="0" m="1" x="5370"/>
        <item sd="0" m="1" x="6164"/>
        <item sd="0" m="1" x="6806"/>
        <item sd="0" m="1" x="1034"/>
        <item sd="0" m="1" x="1563"/>
        <item sd="0" m="1" x="2275"/>
        <item sd="0" m="1" x="6607"/>
        <item sd="0" m="1" x="7148"/>
        <item sd="0" m="1" x="7564"/>
        <item sd="0" m="1" x="2353"/>
        <item sd="0" m="1" x="3185"/>
        <item sd="0" m="1" x="4134"/>
        <item sd="0" m="1" x="7609"/>
        <item sd="0" m="1" x="7872"/>
        <item sd="0" m="1" x="80"/>
        <item sd="0" m="1" x="4189"/>
        <item sd="0" m="1" x="5125"/>
        <item sd="0" m="1" x="5960"/>
        <item sd="0" m="1" x="918"/>
        <item sd="0" m="1" x="1391"/>
        <item sd="0" m="1" x="5662"/>
        <item sd="0" m="1" x="6420"/>
        <item sd="0" m="1" x="7011"/>
        <item sd="0" m="1" x="2148"/>
        <item sd="0" m="1" x="2954"/>
        <item sd="0" m="1" x="7064"/>
        <item sd="0" m="1" x="7519"/>
        <item sd="0" m="1" x="7817"/>
        <item sd="0" m="1" x="3932"/>
        <item sd="0" m="1" x="4880"/>
        <item sd="0" m="1" x="787"/>
        <item sd="0" m="1" x="3552"/>
        <item sd="0" m="1" x="4520"/>
        <item sd="0" m="1" x="5449"/>
        <item sd="0" m="1" x="6239"/>
        <item sd="0" m="1" x="1946"/>
        <item sd="0" m="1" x="5495"/>
        <item sd="0" m="1" x="6301"/>
        <item sd="0" m="1" x="6929"/>
        <item sd="0" m="1" x="7403"/>
        <item sd="0" m="1" x="3673"/>
        <item sd="0" m="1" x="2409"/>
        <item sd="0" m="1" x="3277"/>
        <item sd="0" m="1" x="4241"/>
        <item sd="0" m="1" x="5180"/>
        <item sd="0" m="1" x="4293"/>
        <item sd="0" m="1" x="5247"/>
        <item sd="0" m="1" x="6094"/>
        <item sd="0" m="1" x="6758"/>
        <item sd="0" m="1" x="6123"/>
        <item sd="0" m="1" x="408"/>
        <item sd="0" m="1" x="738"/>
        <item sd="0" m="1" x="1188"/>
        <item sd="0" m="1" x="4458"/>
        <item sd="0" m="1" x="5381"/>
        <item sd="0" m="1" x="6175"/>
        <item sd="0" m="1" x="6816"/>
        <item sd="0" m="1" x="1240"/>
        <item sd="0" m="1" x="1861"/>
        <item sd="0" m="1" x="2654"/>
        <item sd="0" m="1" x="6240"/>
        <item sd="0" m="1" x="6856"/>
        <item sd="0" m="1" x="7340"/>
        <item sd="0" m="1" x="7713"/>
        <item sd="0" m="1" x="2722"/>
        <item sd="0" m="1" x="3608"/>
        <item sd="0" m="1" x="4576"/>
        <item sd="0" m="1" x="351"/>
        <item sd="0" m="1" x="631"/>
        <item sd="0" m="1" x="3250"/>
        <item sd="0" m="1" x="4206"/>
        <item sd="0" m="1" x="5142"/>
        <item sd="0" m="1" x="5977"/>
        <item sd="0" m="1" x="1099"/>
        <item sd="0" m="1" x="5181"/>
        <item sd="0" m="1" x="6030"/>
        <item sd="0" m="1" x="6695"/>
        <item sd="0" m="1" x="7209"/>
        <item sd="0" m="1" x="2480"/>
        <item sd="0" m="1" x="1035"/>
        <item sd="0" m="1" x="1564"/>
        <item sd="0" m="1" x="2276"/>
        <item sd="0" m="1" x="6608"/>
        <item sd="0" m="1" x="7149"/>
        <item sd="0" m="1" x="2354"/>
        <item sd="0" m="1" x="3186"/>
        <item sd="0" m="1" x="4135"/>
        <item sd="0" m="1" x="7610"/>
        <item sd="0" m="1" x="7873"/>
        <item sd="0" m="1" x="4190"/>
        <item sd="0" m="1" x="5126"/>
        <item sd="0" m="1" x="5961"/>
        <item sd="0" m="1" x="532"/>
        <item sd="0" m="1" x="919"/>
        <item sd="0" m="1" x="1392"/>
        <item sd="0" m="1" x="5663"/>
        <item sd="0" m="1" x="6421"/>
        <item sd="0" m="1" x="7012"/>
        <item sd="0" m="1" x="1453"/>
        <item sd="0" m="1" x="2149"/>
        <item sd="0" m="1" x="2955"/>
        <item sd="0" m="1" x="7065"/>
        <item sd="0" m="1" x="7520"/>
        <item sd="0" m="1" x="7818"/>
        <item sd="0" m="1" x="3016"/>
        <item sd="0" m="1" x="3933"/>
        <item sd="0" m="1" x="4881"/>
        <item sd="0" m="1" x="445"/>
        <item sd="0" m="1" x="788"/>
        <item sd="0" m="1" x="3553"/>
        <item sd="0" m="1" x="4521"/>
        <item sd="0" m="1" x="5450"/>
        <item sd="0" m="1" x="6241"/>
        <item sd="0" m="1" x="1315"/>
        <item sd="0" m="1" x="1947"/>
        <item sd="0" m="1" x="5496"/>
        <item sd="0" m="1" x="6302"/>
        <item sd="0" m="1" x="6930"/>
        <item sd="0" m="1" x="7404"/>
        <item sd="0" m="1" x="2790"/>
        <item sd="0" m="1" x="3674"/>
        <item sd="0" m="1" x="494"/>
        <item sd="0" m="1" x="853"/>
        <item sd="0" m="1" x="1335"/>
        <item sd="0" m="1" x="2007"/>
        <item sd="0" m="1" x="6356"/>
        <item sd="0" m="1" x="1393"/>
        <item sd="0" m="1" x="2052"/>
        <item sd="0" m="1" x="2869"/>
        <item sd="0" m="1" x="3792"/>
        <item sd="0" m="1" x="7456"/>
        <item sd="0" m="1" x="2956"/>
        <item sd="0" m="1" x="3862"/>
        <item sd="0" m="1" x="4820"/>
        <item sd="0" m="1" x="247"/>
        <item sd="0" m="1" x="409"/>
        <item sd="0" m="1" x="739"/>
        <item sd="0" m="1" x="1189"/>
        <item sd="0" m="1" x="4459"/>
        <item sd="0" m="1" x="5382"/>
        <item sd="0" m="1" x="6176"/>
        <item sd="0" m="1" x="789"/>
        <item sd="0" m="1" x="1241"/>
        <item sd="0" m="1" x="1862"/>
        <item sd="0" m="1" x="2655"/>
        <item sd="0" m="1" x="6242"/>
        <item sd="0" m="1" x="6857"/>
        <item sd="0" m="1" x="7341"/>
        <item sd="0" m="1" x="1948"/>
        <item sd="0" m="1" x="2723"/>
        <item sd="0" m="1" x="3609"/>
        <item sd="0" m="1" x="4577"/>
        <item sd="0" m="1" x="220"/>
        <item sd="0" m="1" x="352"/>
        <item sd="0" m="1" x="632"/>
        <item sd="0" m="1" x="3251"/>
        <item sd="0" m="1" x="4207"/>
        <item sd="0" m="1" x="5143"/>
        <item sd="0" m="1" x="5978"/>
        <item sd="0" m="1" x="690"/>
        <item sd="0" m="1" x="1100"/>
        <item sd="0" m="1" x="5182"/>
        <item sd="0" m="1" x="6031"/>
        <item sd="0" m="1" x="6696"/>
        <item sd="0" m="1" x="7210"/>
        <item sd="0" m="1" x="1746"/>
        <item sd="0" m="1" x="2481"/>
        <item sd="0" m="1" x="189"/>
        <item sd="0" m="1" x="2180"/>
        <item sd="0" m="1" x="3024"/>
        <item sd="0" m="1" x="3948"/>
        <item sd="0" m="1" x="4892"/>
        <item sd="0" m="1" x="581"/>
        <item sd="0" m="1" x="4002"/>
        <item sd="0" m="1" x="4965"/>
        <item sd="0" m="1" x="5829"/>
        <item sd="0" m="1" x="1565"/>
        <item sd="0" m="1" x="2107"/>
        <item sd="0" m="1" x="2905"/>
        <item sd="0" m="1" x="3832"/>
        <item sd="0" m="1" x="7491"/>
        <item sd="0" m="1" x="3897"/>
        <item sd="0" m="1" x="4854"/>
        <item sd="0" m="1" x="5738"/>
        <item sd="0" m="1" x="7988"/>
        <item sd="0" m="1" x="5789"/>
        <item sd="0" m="1" x="6506"/>
        <item sd="0" m="1" x="607"/>
        <item sd="0" m="1" x="4041"/>
        <item sd="0" m="1" x="4999"/>
        <item sd="0" m="1" x="5876"/>
        <item sd="0" m="1" x="6567"/>
        <item sd="0" m="1" x="1610"/>
        <item sd="0" m="1" x="5922"/>
        <item sd="0" m="1" x="6640"/>
        <item sd="0" m="1" x="7181"/>
        <item sd="0" m="1" x="7582"/>
        <item sd="0" m="1" x="3218"/>
        <item sd="0" m="1" x="2842"/>
        <item sd="0" m="1" x="3768"/>
        <item sd="0" m="1" x="4738"/>
        <item sd="0" m="1" x="4790"/>
        <item sd="0" m="1" x="5697"/>
        <item sd="0" m="1" x="6451"/>
        <item sd="0" m="1" x="1222"/>
        <item sd="0" m="1" x="1838"/>
        <item sd="0" m="1" x="2636"/>
        <item sd="0" m="1" x="3522"/>
        <item sd="0" m="1" x="2690"/>
        <item sd="0" m="1" x="3585"/>
        <item sd="0" m="1" x="4558"/>
        <item sd="0" m="1" x="5472"/>
        <item sd="0" m="1" x="4612"/>
        <item sd="0" m="1" x="5518"/>
        <item sd="0" m="1" x="666"/>
        <item sd="0" m="1" x="1078"/>
        <item sd="0" m="1" x="1650"/>
        <item sd="0" m="1" x="2387"/>
        <item sd="0" m="1" x="6014"/>
        <item sd="0" m="1" x="6672"/>
        <item sd="0" m="1" x="1694"/>
        <item sd="0" m="1" x="2443"/>
        <item sd="0" m="1" x="3310"/>
        <item sd="0" m="1" x="4269"/>
        <item sd="0" m="1" x="7244"/>
        <item sd="0" m="1" x="7636"/>
        <item sd="0" m="1" x="3384"/>
        <item sd="0" m="1" x="4339"/>
        <item sd="0" m="1" x="5274"/>
        <item sd="0" m="1" x="325"/>
        <item sd="0" m="1" x="557"/>
        <item sd="0" m="1" x="953"/>
        <item sd="0" m="1" x="4941"/>
        <item sd="0" m="1" x="5804"/>
        <item sd="0" m="1" x="6521"/>
        <item sd="0" m="1" x="1002"/>
        <item sd="0" m="1" x="1527"/>
        <item sd="0" m="1" x="2241"/>
        <item sd="0" m="1" x="6568"/>
        <item sd="0" m="1" x="7121"/>
        <item sd="0" m="1" x="7545"/>
        <item sd="0" m="1" x="2321"/>
        <item sd="0" m="1" x="3158"/>
        <item sd="0" m="1" x="4100"/>
        <item sd="0" m="1" x="1747"/>
        <item sd="0" m="1" x="2482"/>
        <item sd="0" m="1" x="3342"/>
        <item sd="0" m="1" x="4294"/>
        <item sd="0" m="1" x="7280"/>
        <item sd="0" m="1" x="7658"/>
        <item sd="0" m="1" x="3427"/>
        <item sd="0" m="1" x="4368"/>
        <item sd="0" m="1" x="5306"/>
        <item sd="0" m="1" x="6124"/>
        <item sd="0" m="1" x="7931"/>
        <item sd="0" m="1" x="107"/>
        <item sd="0" m="1" x="5371"/>
        <item sd="0" m="1" x="6165"/>
        <item sd="0" m="1" x="6807"/>
        <item sd="0" m="1" x="1036"/>
        <item sd="0" m="1" x="1566"/>
        <item sd="0" m="1" x="2277"/>
        <item sd="0" m="1" x="6609"/>
        <item sd="0" m="1" x="7150"/>
        <item sd="0" m="1" x="7565"/>
        <item sd="0" m="1" x="2355"/>
        <item sd="0" m="1" x="3187"/>
        <item sd="0" m="1" x="4136"/>
        <item sd="0" m="1" x="7611"/>
        <item sd="0" m="1" x="7874"/>
        <item sd="0" m="1" x="81"/>
        <item sd="0" m="1" x="4191"/>
        <item sd="0" m="1" x="5127"/>
        <item sd="0" m="1" x="5962"/>
        <item sd="0" m="1" x="920"/>
        <item sd="0" m="1" x="1394"/>
        <item sd="0" m="1" x="5664"/>
        <item sd="0" m="1" x="6422"/>
        <item sd="0" m="1" x="7013"/>
        <item sd="0" m="1" x="2150"/>
        <item sd="0" m="1" x="2957"/>
        <item sd="0" m="1" x="7066"/>
        <item sd="0" m="1" x="7521"/>
        <item sd="0" m="1" x="7819"/>
        <item sd="0" m="1" x="3934"/>
        <item sd="0" m="1" x="4882"/>
        <item sd="0" m="1" x="790"/>
        <item sd="0" m="1" x="3554"/>
        <item sd="0" m="1" x="4522"/>
        <item sd="0" m="1" x="5451"/>
        <item sd="0" m="1" x="6243"/>
        <item sd="0" m="1" x="1949"/>
        <item sd="0" m="1" x="5497"/>
        <item sd="0" m="1" x="6303"/>
        <item sd="0" m="1" x="6931"/>
        <item sd="0" m="1" x="7405"/>
        <item sd="0" m="1" x="3675"/>
        <item sd="0" m="1" x="2410"/>
        <item sd="0" m="1" x="3278"/>
        <item sd="0" m="1" x="4242"/>
        <item sd="0" m="1" x="5183"/>
        <item sd="0" m="1" x="4295"/>
        <item sd="0" m="1" x="5248"/>
        <item sd="0" m="1" x="6095"/>
        <item sd="0" m="1" x="6759"/>
        <item sd="0" m="1" x="410"/>
        <item sd="0" m="1" x="740"/>
        <item sd="0" m="1" x="1190"/>
        <item sd="0" m="1" x="4460"/>
        <item sd="0" m="1" x="5383"/>
        <item sd="0" m="1" x="6177"/>
        <item sd="0" m="1" x="6817"/>
        <item sd="0" m="1" x="1242"/>
        <item sd="0" m="1" x="1863"/>
        <item sd="0" m="1" x="2656"/>
        <item sd="0" m="1" x="6244"/>
        <item sd="0" m="1" x="6858"/>
        <item sd="0" m="1" x="7342"/>
        <item sd="0" m="1" x="7714"/>
        <item sd="0" m="1" x="2724"/>
        <item sd="0" m="1" x="3610"/>
        <item sd="0" m="1" x="4578"/>
        <item sd="0" m="1" x="353"/>
        <item sd="0" m="1" x="633"/>
        <item sd="0" m="1" x="3252"/>
        <item sd="0" m="1" x="4208"/>
        <item sd="0" m="1" x="5144"/>
        <item sd="0" m="1" x="5979"/>
        <item sd="0" m="1" x="1101"/>
        <item sd="0" m="1" x="5184"/>
        <item sd="0" m="1" x="6032"/>
        <item sd="0" m="1" x="6697"/>
        <item sd="0" m="1" x="7211"/>
        <item sd="0" m="1" x="2483"/>
        <item sd="0" m="1" x="2181"/>
        <item sd="0" m="1" x="3025"/>
        <item sd="0" m="1" x="3949"/>
        <item sd="0" m="1" x="4893"/>
        <item sd="0" m="1" x="4003"/>
        <item sd="0" m="1" x="4966"/>
        <item sd="0" m="1" x="5830"/>
        <item sd="0" m="1" x="2108"/>
        <item sd="0" m="1" x="2906"/>
        <item sd="0" m="1" x="3833"/>
        <item sd="0" m="1" x="7492"/>
        <item sd="0" m="1" x="7798"/>
        <item sd="0" m="1" x="3898"/>
        <item sd="0" m="1" x="4855"/>
        <item sd="0" m="1" x="5739"/>
        <item sd="0" m="1" x="7989"/>
        <item sd="0" m="1" x="139"/>
        <item sd="0" m="1" x="5790"/>
        <item sd="0" m="1" x="6507"/>
        <item sd="0" m="1" x="7083"/>
        <item sd="0" m="1" x="1286"/>
        <item sd="0" m="1" x="1906"/>
        <item sd="0" m="1" x="2691"/>
        <item sd="0" m="1" x="6899"/>
        <item sd="0" m="1" x="7375"/>
        <item sd="0" m="1" x="7732"/>
        <item sd="0" m="1" x="2762"/>
        <item sd="0" m="1" x="3652"/>
        <item sd="0" m="1" x="4613"/>
        <item sd="0" m="1" x="7766"/>
        <item sd="0" m="1" x="7954"/>
        <item sd="0" m="1" x="127"/>
        <item sd="0" m="1" x="4673"/>
        <item sd="0" m="1" x="5566"/>
        <item sd="0" m="1" x="6323"/>
        <item sd="0" m="1" x="446"/>
        <item sd="0" m="1" x="791"/>
        <item sd="0" m="1" x="3555"/>
        <item sd="0" m="1" x="4523"/>
        <item sd="0" m="1" x="5452"/>
        <item sd="0" m="1" x="6245"/>
        <item sd="0" m="1" x="1316"/>
        <item sd="0" m="1" x="1950"/>
        <item sd="0" m="1" x="5498"/>
        <item sd="0" m="1" x="6304"/>
        <item sd="0" m="1" x="6932"/>
        <item sd="0" m="1" x="7406"/>
        <item sd="0" m="1" x="2791"/>
        <item sd="0" m="1" x="3676"/>
        <item sd="0" m="1" x="2411"/>
        <item sd="0" m="1" x="3279"/>
        <item sd="0" m="1" x="4243"/>
        <item sd="0" m="1" x="5185"/>
        <item sd="0" m="1" x="4296"/>
        <item sd="0" m="1" x="5249"/>
        <item sd="0" m="1" x="6096"/>
        <item sd="0" m="1" x="6760"/>
        <item sd="0" m="1" x="1491"/>
        <item sd="0" m="1" x="2210"/>
        <item sd="0" m="1" x="3061"/>
        <item sd="0" m="1" x="3118"/>
        <item sd="0" m="1" x="4069"/>
        <item sd="0" m="1" x="5025"/>
        <item sd="0" m="1" x="5081"/>
        <item sd="0" m="1" x="495"/>
        <item sd="0" m="1" x="854"/>
        <item sd="0" m="1" x="1336"/>
        <item sd="0" m="1" x="2008"/>
        <item sd="0" m="1" x="6357"/>
        <item sd="0" m="1" x="1395"/>
        <item sd="0" m="1" x="2053"/>
        <item sd="0" m="1" x="2870"/>
        <item sd="0" m="1" x="3793"/>
        <item sd="0" m="1" x="7457"/>
        <item sd="0" m="1" x="2958"/>
        <item sd="0" m="1" x="3863"/>
        <item sd="0" m="1" x="4821"/>
        <item sd="0" m="1" x="248"/>
        <item sd="0" m="1" x="411"/>
        <item sd="0" m="1" x="741"/>
        <item sd="0" m="1" x="1191"/>
        <item sd="0" m="1" x="4461"/>
        <item sd="0" m="1" x="5384"/>
        <item sd="0" m="1" x="6178"/>
        <item sd="0" m="1" x="792"/>
        <item sd="0" m="1" x="1243"/>
        <item sd="0" m="1" x="1864"/>
        <item sd="0" m="1" x="2657"/>
        <item sd="0" m="1" x="6246"/>
        <item sd="0" m="1" x="6859"/>
        <item sd="0" m="1" x="7343"/>
        <item sd="0" m="1" x="1951"/>
        <item sd="0" m="1" x="2725"/>
        <item sd="0" m="1" x="3611"/>
        <item sd="0" m="1" x="4579"/>
        <item sd="0" m="1" x="2109"/>
        <item sd="0" m="1" x="2907"/>
        <item sd="0" m="1" x="3834"/>
        <item sd="0" m="1" x="7493"/>
        <item sd="0" m="1" x="3899"/>
        <item sd="0" m="1" x="4856"/>
        <item sd="0" m="1" x="5740"/>
        <item sd="0" m="1" x="7990"/>
        <item sd="0" m="1" x="5791"/>
        <item sd="0" m="1" x="6508"/>
        <item sd="0" m="1" x="828"/>
        <item sd="0" m="1" x="1287"/>
        <item sd="0" m="1" x="1907"/>
        <item sd="0" m="1" x="2692"/>
        <item sd="0" m="1" x="6900"/>
        <item sd="0" m="1" x="7376"/>
        <item sd="0" m="1" x="1986"/>
        <item sd="0" m="1" x="2763"/>
        <item sd="0" m="1" x="3653"/>
        <item sd="0" m="1" x="4614"/>
        <item sd="0" m="1" x="7767"/>
        <item sd="0" m="1" x="7955"/>
        <item sd="0" m="1" x="3724"/>
        <item sd="0" m="1" x="4674"/>
        <item sd="0" m="1" x="5567"/>
        <item sd="0" m="1" x="6324"/>
        <item sd="0" m="1" x="716"/>
        <item sd="0" m="1" x="1150"/>
        <item sd="0" m="1" x="1695"/>
        <item sd="0" m="1" x="5229"/>
        <item sd="0" m="1" x="6068"/>
        <item sd="0" m="1" x="6737"/>
        <item sd="0" m="1" x="7245"/>
        <item sd="0" m="1" x="1781"/>
        <item sd="0" m="1" x="2546"/>
        <item sd="0" m="1" x="3385"/>
        <item sd="0" m="1" x="6791"/>
        <item sd="0" m="1" x="7307"/>
        <item sd="0" m="1" x="7692"/>
        <item sd="0" m="1" x="7901"/>
        <item sd="0" m="1" x="3472"/>
        <item sd="0" m="1" x="4412"/>
        <item sd="0" m="1" x="5326"/>
        <item sd="0" m="1" x="608"/>
        <item sd="0" m="1" x="4042"/>
        <item sd="0" m="1" x="5000"/>
        <item sd="0" m="1" x="5877"/>
        <item sd="0" m="1" x="6569"/>
        <item sd="0" m="1" x="1611"/>
        <item sd="0" m="1" x="5923"/>
        <item sd="0" m="1" x="6641"/>
        <item sd="0" m="1" x="7182"/>
        <item sd="0" m="1" x="7583"/>
        <item sd="0" m="1" x="3219"/>
        <item sd="0" m="1" x="2843"/>
        <item sd="0" m="1" x="3769"/>
        <item sd="0" m="1" x="4739"/>
        <item sd="0" m="1" x="4791"/>
        <item sd="0" m="1" x="5698"/>
        <item sd="0" m="1" x="6452"/>
        <item sd="0" m="1" x="326"/>
        <item sd="0" m="1" x="558"/>
        <item sd="0" m="1" x="954"/>
        <item sd="0" m="1" x="4942"/>
        <item sd="0" m="1" x="5805"/>
        <item sd="0" m="1" x="6522"/>
        <item sd="0" m="1" x="1003"/>
        <item sd="0" m="1" x="1528"/>
        <item sd="0" m="1" x="2242"/>
        <item sd="0" m="1" x="6570"/>
        <item sd="0" m="1" x="7122"/>
        <item sd="0" m="1" x="7546"/>
        <item sd="0" m="1" x="2322"/>
        <item sd="0" m="1" x="3159"/>
        <item sd="0" m="1" x="4101"/>
        <item sd="0" m="1" x="288"/>
        <item sd="0" m="1" x="469"/>
        <item sd="0" m="1" x="3732"/>
        <item sd="0" m="1" x="4686"/>
        <item sd="0" m="1" x="5579"/>
        <item sd="0" m="1" x="894"/>
        <item sd="0" m="1" x="1359"/>
        <item sd="0" m="1" x="5631"/>
        <item sd="0" m="1" x="6395"/>
        <item sd="0" m="1" x="6979"/>
        <item sd="0" m="1" x="2110"/>
        <item sd="0" m="1" x="2908"/>
        <item sd="0" m="1" x="228"/>
        <item sd="0" m="1" x="1812"/>
        <item sd="0" m="1" x="2598"/>
        <item sd="0" m="1" x="3480"/>
        <item sd="0" m="1" x="4420"/>
        <item sd="0" m="1" x="764"/>
        <item sd="0" m="1" x="3523"/>
        <item sd="0" m="1" x="4494"/>
        <item sd="0" m="1" x="5420"/>
        <item sd="0" m="1" x="6207"/>
        <item sd="0" m="1" x="1908"/>
        <item sd="0" m="1" x="1748"/>
        <item sd="0" m="1" x="2484"/>
        <item sd="0" m="1" x="3343"/>
        <item sd="0" m="1" x="4297"/>
        <item sd="0" m="1" x="7281"/>
        <item sd="0" m="1" x="7659"/>
        <item sd="0" m="1" x="3428"/>
        <item sd="0" m="1" x="4369"/>
        <item sd="0" m="1" x="5307"/>
        <item sd="0" m="1" x="6125"/>
        <item sd="0" m="1" x="7932"/>
        <item sd="0" m="1" x="108"/>
        <item sd="0" m="1" x="5372"/>
        <item sd="0" m="1" x="6166"/>
        <item sd="0" m="1" x="6808"/>
        <item sd="0" m="1" x="1037"/>
        <item sd="0" m="1" x="1567"/>
        <item sd="0" m="1" x="2278"/>
        <item sd="0" m="1" x="6610"/>
        <item sd="0" m="1" x="7151"/>
        <item sd="0" m="1" x="7566"/>
        <item sd="0" m="1" x="2356"/>
        <item sd="0" m="1" x="3188"/>
        <item sd="0" m="1" x="4137"/>
        <item sd="0" m="1" x="7612"/>
        <item sd="0" m="1" x="7875"/>
        <item sd="0" m="1" x="82"/>
        <item sd="0" m="1" x="4192"/>
        <item sd="0" m="1" x="5128"/>
        <item sd="0" m="1" x="5963"/>
        <item sd="0" m="1" x="2412"/>
        <item sd="0" m="1" x="3280"/>
        <item sd="0" m="1" x="4244"/>
        <item sd="0" m="1" x="5186"/>
        <item sd="0" m="1" x="4298"/>
        <item sd="0" m="1" x="5250"/>
        <item sd="0" m="1" x="6097"/>
        <item sd="0" m="1" x="6761"/>
        <item sd="0" m="1" x="6126"/>
        <item sd="0" m="1" x="1492"/>
        <item sd="0" m="1" x="2211"/>
        <item sd="0" m="1" x="3062"/>
        <item sd="0" m="1" x="7096"/>
        <item sd="0" m="1" x="3119"/>
        <item sd="0" m="1" x="4070"/>
        <item sd="0" m="1" x="5026"/>
        <item sd="0" m="1" x="7851"/>
        <item sd="0" m="1" x="5082"/>
        <item sd="0" m="1" x="5939"/>
        <item sd="0" m="1" x="496"/>
        <item sd="0" m="1" x="855"/>
        <item sd="0" m="1" x="1337"/>
        <item sd="0" m="1" x="2009"/>
        <item sd="0" m="1" x="6358"/>
        <item sd="0" m="1" x="6952"/>
        <item sd="0" m="1" x="1396"/>
        <item sd="0" m="1" x="2054"/>
        <item sd="0" m="1" x="2871"/>
        <item sd="0" m="1" x="3794"/>
        <item sd="0" m="1" x="7458"/>
        <item sd="0" m="1" x="7785"/>
        <item sd="0" m="1" x="2959"/>
        <item sd="0" m="1" x="3864"/>
        <item sd="0" m="1" x="4822"/>
        <item sd="0" m="1" x="5713"/>
        <item sd="0" m="1" x="412"/>
        <item sd="0" m="1" x="742"/>
        <item sd="0" m="1" x="1192"/>
        <item sd="0" m="1" x="4462"/>
        <item sd="0" m="1" x="5385"/>
        <item sd="0" m="1" x="6179"/>
        <item sd="0" m="1" x="6818"/>
        <item sd="0" m="1" x="1244"/>
        <item sd="0" m="1" x="1865"/>
        <item sd="0" m="1" x="2658"/>
        <item sd="0" m="1" x="6247"/>
        <item sd="0" m="1" x="6860"/>
        <item sd="0" m="1" x="7344"/>
        <item sd="0" m="1" x="7715"/>
        <item sd="0" m="1" x="2726"/>
        <item sd="0" m="1" x="3612"/>
        <item sd="0" m="1" x="4580"/>
        <item sd="0" m="1" x="354"/>
        <item sd="0" m="1" x="634"/>
        <item sd="0" m="1" x="3253"/>
        <item sd="0" m="1" x="4209"/>
        <item sd="0" m="1" x="5145"/>
        <item sd="0" m="1" x="5980"/>
        <item sd="0" m="1" x="1102"/>
        <item sd="0" m="1" x="5187"/>
        <item sd="0" m="1" x="6033"/>
        <item sd="0" m="1" x="6698"/>
        <item sd="0" m="1" x="7212"/>
        <item sd="0" m="1" x="2485"/>
        <item sd="0" m="1" x="140"/>
        <item sd="0" m="1" x="1038"/>
        <item sd="0" m="1" x="1568"/>
        <item sd="0" m="1" x="2279"/>
        <item sd="0" m="1" x="6611"/>
        <item sd="0" m="1" x="7152"/>
        <item sd="0" m="1" x="2357"/>
        <item sd="0" m="1" x="3189"/>
        <item sd="0" m="1" x="4138"/>
        <item sd="0" m="1" x="7613"/>
        <item sd="0" m="1" x="7876"/>
        <item sd="0" m="1" x="4193"/>
        <item sd="0" m="1" x="5129"/>
        <item sd="0" m="1" x="5964"/>
        <item sd="0" m="1" x="533"/>
        <item sd="0" m="1" x="921"/>
        <item sd="0" m="1" x="1397"/>
        <item sd="0" m="1" x="5665"/>
        <item sd="0" m="1" x="6423"/>
        <item sd="0" m="1" x="7014"/>
        <item sd="0" m="1" x="1454"/>
        <item sd="0" m="1" x="2151"/>
        <item sd="0" m="1" x="2960"/>
        <item sd="0" m="1" x="7067"/>
        <item sd="0" m="1" x="7522"/>
        <item sd="0" m="1" x="7820"/>
        <item sd="0" m="1" x="3017"/>
        <item sd="0" m="1" x="3935"/>
        <item sd="0" m="1" x="4883"/>
        <item sd="0" m="1" x="447"/>
        <item sd="0" m="1" x="793"/>
        <item sd="0" m="1" x="3556"/>
        <item sd="0" m="1" x="4524"/>
        <item sd="0" m="1" x="5453"/>
        <item sd="0" m="1" x="6248"/>
        <item sd="0" m="1" x="1317"/>
        <item sd="0" m="1" x="1952"/>
        <item sd="0" m="1" x="5499"/>
        <item sd="0" m="1" x="6305"/>
        <item sd="0" m="1" x="6933"/>
        <item sd="0" m="1" x="7407"/>
        <item sd="0" m="1" x="2792"/>
        <item sd="0" m="1" x="3677"/>
        <item sd="0" m="1" x="2413"/>
        <item sd="0" m="1" x="3281"/>
        <item sd="0" m="1" x="4245"/>
        <item sd="0" m="1" x="5188"/>
        <item sd="0" m="1" x="4299"/>
        <item sd="0" m="1" x="5251"/>
        <item sd="0" m="1" x="6098"/>
        <item sd="0" m="1" x="6762"/>
        <item sd="0" m="1" x="1493"/>
        <item sd="0" m="1" x="2212"/>
        <item sd="0" m="1" x="3063"/>
        <item sd="0" m="1" x="3120"/>
        <item sd="0" m="1" x="4071"/>
        <item sd="0" m="1" x="5027"/>
        <item sd="0" m="1" x="5083"/>
        <item sd="0" m="1" x="221"/>
        <item sd="0" m="1" x="355"/>
        <item sd="0" m="1" x="635"/>
        <item sd="0" m="1" x="3254"/>
        <item sd="0" m="1" x="4210"/>
        <item sd="0" m="1" x="5146"/>
        <item sd="0" m="1" x="5981"/>
        <item sd="0" m="1" x="691"/>
        <item sd="0" m="1" x="1103"/>
        <item sd="0" m="1" x="5189"/>
        <item sd="0" m="1" x="6034"/>
        <item sd="0" m="1" x="6699"/>
        <item sd="0" m="1" x="7213"/>
        <item sd="0" m="1" x="1749"/>
        <item sd="0" m="1" x="2486"/>
        <item sd="0" m="1" x="190"/>
        <item sd="0" m="1" x="2182"/>
        <item sd="0" m="1" x="3026"/>
        <item sd="0" m="1" x="3950"/>
        <item sd="0" m="1" x="4894"/>
        <item sd="0" m="1" x="582"/>
        <item sd="0" m="1" x="4004"/>
        <item sd="0" m="1" x="4967"/>
        <item sd="0" m="1" x="5831"/>
        <item sd="0" m="1" x="1569"/>
        <item sd="0" m="1" x="2111"/>
        <item sd="0" m="1" x="2909"/>
        <item sd="0" m="1" x="3835"/>
        <item sd="0" m="1" x="7494"/>
        <item sd="0" m="1" x="3900"/>
        <item sd="0" m="1" x="4857"/>
        <item sd="0" m="1" x="5741"/>
        <item sd="0" m="1" x="7991"/>
        <item sd="0" m="1" x="5792"/>
        <item sd="0" m="1" x="6509"/>
        <item sd="0" m="1" x="829"/>
        <item sd="0" m="1" x="1288"/>
        <item sd="0" m="1" x="1909"/>
        <item sd="0" m="1" x="2693"/>
        <item sd="0" m="1" x="6901"/>
        <item sd="0" m="1" x="7377"/>
        <item sd="0" m="1" x="1987"/>
        <item sd="0" m="1" x="2764"/>
        <item sd="0" m="1" x="3654"/>
        <item sd="0" m="1" x="4615"/>
        <item sd="0" m="1" x="7768"/>
        <item sd="0" m="1" x="7956"/>
        <item sd="0" m="1" x="3725"/>
        <item sd="0" m="1" x="4675"/>
        <item sd="0" m="1" x="5568"/>
        <item sd="0" m="1" x="6325"/>
        <item sd="0" m="1" x="717"/>
        <item sd="0" m="1" x="1151"/>
        <item sd="0" m="1" x="1696"/>
        <item sd="0" m="1" x="5230"/>
        <item sd="0" m="1" x="6069"/>
        <item sd="0" m="1" x="6738"/>
        <item sd="0" m="1" x="7246"/>
        <item sd="0" m="1" x="1782"/>
        <item sd="0" m="1" x="2547"/>
        <item sd="0" m="1" x="3386"/>
        <item sd="0" m="1" x="6792"/>
        <item sd="0" m="1" x="7308"/>
        <item sd="0" m="1" x="7693"/>
        <item sd="0" m="1" x="7902"/>
        <item sd="0" m="1" x="3473"/>
        <item sd="0" m="1" x="4413"/>
        <item sd="0" m="1" x="5327"/>
        <item sd="0" m="1" x="1223"/>
        <item sd="0" m="1" x="1839"/>
        <item sd="0" m="1" x="2637"/>
        <item sd="0" m="1" x="3524"/>
        <item sd="0" m="1" x="2694"/>
        <item sd="0" m="1" x="3586"/>
        <item sd="0" m="1" x="4559"/>
        <item sd="0" m="1" x="5473"/>
        <item sd="0" m="1" x="4616"/>
        <item sd="0" m="1" x="5519"/>
        <item sd="0" m="1" x="667"/>
        <item sd="0" m="1" x="1079"/>
        <item sd="0" m="1" x="1651"/>
        <item sd="0" m="1" x="2388"/>
        <item sd="0" m="1" x="6015"/>
        <item sd="0" m="1" x="6673"/>
        <item sd="0" m="1" x="1697"/>
        <item sd="0" m="1" x="2444"/>
        <item sd="0" m="1" x="3311"/>
        <item sd="0" m="1" x="4270"/>
        <item sd="0" m="1" x="7247"/>
        <item sd="0" m="1" x="7637"/>
        <item sd="0" m="1" x="3387"/>
        <item sd="0" m="1" x="4340"/>
        <item sd="0" m="1" x="5275"/>
        <item sd="0" m="1" x="327"/>
        <item sd="0" m="1" x="559"/>
        <item sd="0" m="1" x="955"/>
        <item sd="0" m="1" x="4943"/>
        <item sd="0" m="1" x="5806"/>
        <item sd="0" m="1" x="6523"/>
        <item sd="0" m="1" x="1004"/>
        <item sd="0" m="1" x="1529"/>
        <item sd="0" m="1" x="2243"/>
        <item sd="0" m="1" x="6571"/>
        <item sd="0" m="1" x="7123"/>
        <item sd="0" m="1" x="7547"/>
        <item sd="0" m="1" x="2323"/>
        <item sd="0" m="1" x="3160"/>
        <item sd="0" m="1" x="4102"/>
        <item sd="0" m="1" x="289"/>
        <item sd="0" m="1" x="470"/>
        <item sd="0" m="1" x="3733"/>
        <item sd="0" m="1" x="4687"/>
        <item sd="0" m="1" x="5580"/>
        <item sd="0" m="1" x="895"/>
        <item sd="0" m="1" x="1360"/>
        <item sd="0" m="1" x="5632"/>
        <item sd="0" m="1" x="6396"/>
        <item sd="0" m="1" x="6980"/>
        <item sd="0" m="1" x="2112"/>
        <item sd="0" m="1" x="2910"/>
        <item sd="0" m="1" x="229"/>
        <item sd="0" m="1" x="1813"/>
        <item sd="0" m="1" x="2599"/>
        <item sd="0" m="1" x="3481"/>
        <item sd="0" m="1" x="4421"/>
        <item sd="0" m="1" x="765"/>
        <item sd="0" m="1" x="3525"/>
        <item sd="0" m="1" x="4495"/>
        <item sd="0" m="1" x="5421"/>
        <item sd="0" m="1" x="6208"/>
        <item sd="0" m="1" x="1910"/>
        <item sd="0" m="1" x="83"/>
        <item sd="0" m="1" x="922"/>
        <item sd="0" m="1" x="1398"/>
        <item sd="0" m="1" x="5666"/>
        <item sd="0" m="1" x="6424"/>
        <item sd="0" m="1" x="7015"/>
        <item sd="0" m="1" x="2152"/>
        <item sd="0" m="1" x="2961"/>
        <item sd="0" m="1" x="7068"/>
        <item sd="0" m="1" x="7523"/>
        <item sd="0" m="1" x="7821"/>
        <item sd="0" m="1" x="3936"/>
        <item sd="0" m="1" x="4884"/>
        <item sd="0" m="1" x="794"/>
        <item sd="0" m="1" x="3557"/>
        <item sd="0" m="1" x="4525"/>
        <item sd="0" m="1" x="5454"/>
        <item sd="0" m="1" x="6249"/>
        <item sd="0" m="1" x="1953"/>
        <item sd="0" m="1" x="5500"/>
        <item sd="0" m="1" x="6306"/>
        <item sd="0" m="1" x="6934"/>
        <item sd="0" m="1" x="7408"/>
        <item sd="0" m="1" x="3678"/>
        <item sd="0" m="1" x="2414"/>
        <item sd="0" m="1" x="3282"/>
        <item sd="0" m="1" x="4246"/>
        <item sd="0" m="1" x="5190"/>
        <item sd="0" m="1" x="4300"/>
        <item sd="0" m="1" x="5252"/>
        <item sd="0" m="1" x="6099"/>
        <item sd="0" m="1" x="6763"/>
        <item sd="0" m="1" x="6127"/>
        <item sd="0" m="1" x="1494"/>
        <item sd="0" m="1" x="2213"/>
        <item sd="0" m="1" x="3064"/>
        <item sd="0" m="1" x="7097"/>
        <item sd="0" m="1" x="3121"/>
        <item sd="0" m="1" x="4072"/>
        <item sd="0" m="1" x="5028"/>
        <item sd="0" m="1" x="7852"/>
        <item sd="0" m="1" x="5084"/>
        <item sd="0" m="1" x="5940"/>
        <item sd="0" m="1" x="497"/>
        <item sd="0" m="1" x="856"/>
        <item sd="0" m="1" x="1338"/>
        <item sd="0" m="1" x="2010"/>
        <item sd="0" m="1" x="6359"/>
        <item sd="0" m="1" x="6953"/>
        <item sd="0" m="1" x="1399"/>
        <item sd="0" m="1" x="2055"/>
        <item sd="0" m="1" x="2872"/>
        <item sd="0" m="1" x="3795"/>
        <item sd="0" m="1" x="7459"/>
        <item sd="0" m="1" x="7786"/>
        <item sd="0" m="1" x="2962"/>
        <item sd="0" m="1" x="3865"/>
        <item sd="0" m="1" x="4823"/>
        <item sd="0" m="1" x="5714"/>
        <item sd="0" m="1" x="2183"/>
        <item sd="0" m="1" x="3027"/>
        <item sd="0" m="1" x="3951"/>
        <item sd="0" m="1" x="4895"/>
        <item sd="0" m="1" x="4005"/>
        <item sd="0" m="1" x="4968"/>
        <item sd="0" m="1" x="5832"/>
        <item sd="0" m="1" x="2113"/>
        <item sd="0" m="1" x="2911"/>
        <item sd="0" m="1" x="3836"/>
        <item sd="0" m="1" x="7495"/>
        <item sd="0" m="1" x="7799"/>
        <item sd="0" m="1" x="3901"/>
        <item sd="0" m="1" x="4858"/>
        <item sd="0" m="1" x="5742"/>
        <item sd="0" m="1" x="7992"/>
        <item sd="0" m="1" x="141"/>
        <item sd="0" m="1" x="5793"/>
        <item sd="0" m="1" x="6510"/>
        <item sd="0" m="1" x="7084"/>
        <item sd="0" m="1" x="1289"/>
        <item sd="0" m="1" x="1911"/>
        <item sd="0" m="1" x="2695"/>
        <item sd="0" m="1" x="6902"/>
        <item sd="0" m="1" x="7378"/>
        <item sd="0" m="1" x="7733"/>
        <item sd="0" m="1" x="2765"/>
        <item sd="0" m="1" x="3655"/>
        <item sd="0" m="1" x="4617"/>
        <item sd="0" m="1" x="7769"/>
        <item sd="0" m="1" x="7957"/>
        <item sd="0" m="1" x="128"/>
        <item sd="0" m="1" x="4676"/>
        <item sd="0" m="1" x="5569"/>
        <item sd="0" m="1" x="6326"/>
        <item sd="0" m="1" x="1039"/>
        <item sd="0" m="1" x="1570"/>
        <item sd="0" m="1" x="2280"/>
        <item sd="0" m="1" x="6612"/>
        <item sd="0" m="1" x="7153"/>
        <item sd="0" m="1" x="2358"/>
        <item sd="0" m="1" x="3190"/>
        <item sd="0" m="1" x="4139"/>
        <item sd="0" m="1" x="7614"/>
        <item sd="0" m="1" x="7877"/>
        <item sd="0" m="1" x="4194"/>
        <item sd="0" m="1" x="5130"/>
        <item sd="0" m="1" x="5965"/>
        <item sd="0" m="1" x="534"/>
        <item sd="0" m="1" x="923"/>
        <item sd="0" m="1" x="1400"/>
        <item sd="0" m="1" x="5667"/>
        <item sd="0" m="1" x="6425"/>
        <item sd="0" m="1" x="7016"/>
        <item sd="0" m="1" x="1455"/>
        <item sd="0" m="1" x="2153"/>
        <item sd="0" m="1" x="2963"/>
        <item sd="0" m="1" x="7069"/>
        <item sd="0" m="1" x="7524"/>
        <item sd="0" m="1" x="7822"/>
        <item sd="0" m="1" x="3018"/>
        <item sd="0" m="1" x="3937"/>
        <item sd="0" m="1" x="4885"/>
        <item sd="0" m="1" x="1495"/>
        <item sd="0" m="1" x="2214"/>
        <item sd="0" m="1" x="3065"/>
        <item sd="0" m="1" x="3122"/>
        <item sd="0" m="1" x="4073"/>
        <item sd="0" m="1" x="5029"/>
        <item sd="0" m="1" x="5085"/>
        <item sd="0" m="1" x="498"/>
        <item sd="0" m="1" x="857"/>
        <item sd="0" m="1" x="1339"/>
        <item sd="0" m="1" x="2011"/>
        <item sd="0" m="1" x="6360"/>
        <item sd="0" m="1" x="1401"/>
        <item sd="0" m="1" x="2056"/>
        <item sd="0" m="1" x="2873"/>
        <item sd="0" m="1" x="3796"/>
        <item sd="0" m="1" x="7460"/>
        <item sd="0" m="1" x="2964"/>
        <item sd="0" m="1" x="3866"/>
        <item sd="0" m="1" x="4824"/>
        <item sd="0" m="1" x="249"/>
        <item sd="0" m="1" x="413"/>
        <item sd="0" m="1" x="743"/>
        <item sd="0" m="1" x="1193"/>
        <item sd="0" m="1" x="4463"/>
        <item sd="0" m="1" x="5386"/>
        <item sd="0" m="1" x="6180"/>
        <item sd="0" m="1" x="795"/>
        <item sd="0" m="1" x="1245"/>
        <item sd="0" m="1" x="1866"/>
        <item sd="0" m="1" x="2659"/>
        <item sd="0" m="1" x="6250"/>
        <item sd="0" m="1" x="6861"/>
        <item sd="0" m="1" x="7345"/>
        <item sd="0" m="1" x="1954"/>
        <item sd="0" m="1" x="2727"/>
        <item sd="0" m="1" x="3613"/>
        <item sd="0" m="1" x="4581"/>
        <item sd="0" m="1" x="222"/>
        <item sd="0" m="1" x="356"/>
        <item sd="0" m="1" x="636"/>
        <item sd="0" m="1" x="3255"/>
        <item sd="0" m="1" x="4211"/>
        <item sd="0" m="1" x="5147"/>
        <item sd="0" m="1" x="5982"/>
        <item sd="0" m="1" x="692"/>
        <item sd="0" m="1" x="1104"/>
        <item sd="0" m="1" x="5191"/>
        <item sd="0" m="1" x="6035"/>
        <item sd="0" m="1" x="6700"/>
        <item sd="0" m="1" x="7214"/>
        <item sd="0" m="1" x="1750"/>
        <item sd="0" m="1" x="2487"/>
        <item sd="0" m="1" x="191"/>
        <item sd="0" m="1" x="2184"/>
        <item sd="0" m="1" x="3028"/>
        <item sd="0" m="1" x="3952"/>
        <item sd="0" m="1" x="4896"/>
        <item sd="0" m="1" x="583"/>
        <item sd="0" m="1" x="4006"/>
        <item sd="0" m="1" x="4969"/>
        <item sd="0" m="1" x="5833"/>
        <item sd="0" m="1" x="1571"/>
        <item sd="0" m="1" x="718"/>
        <item sd="0" m="1" x="1152"/>
        <item sd="0" m="1" x="1698"/>
        <item sd="0" m="1" x="5231"/>
        <item sd="0" m="1" x="6070"/>
        <item sd="0" m="1" x="6739"/>
        <item sd="0" m="1" x="7248"/>
        <item sd="0" m="1" x="1783"/>
        <item sd="0" m="1" x="2548"/>
        <item sd="0" m="1" x="3388"/>
        <item sd="0" m="1" x="6793"/>
        <item sd="0" m="1" x="7309"/>
        <item sd="0" m="1" x="7694"/>
        <item sd="0" m="1" x="7903"/>
        <item sd="0" m="1" x="3474"/>
        <item sd="0" m="1" x="4414"/>
        <item sd="0" m="1" x="5328"/>
        <item sd="0" m="1" x="609"/>
        <item sd="0" m="1" x="4043"/>
        <item sd="0" m="1" x="5001"/>
        <item sd="0" m="1" x="5878"/>
        <item sd="0" m="1" x="6572"/>
        <item sd="0" m="1" x="1612"/>
        <item sd="0" m="1" x="5924"/>
        <item sd="0" m="1" x="6642"/>
        <item sd="0" m="1" x="7183"/>
        <item sd="0" m="1" x="7584"/>
        <item sd="0" m="1" x="3220"/>
        <item sd="0" m="1" x="2844"/>
        <item sd="0" m="1" x="3770"/>
        <item sd="0" m="1" x="4740"/>
        <item sd="0" m="1" x="4792"/>
        <item sd="0" m="1" x="5699"/>
        <item sd="0" m="1" x="6453"/>
        <item sd="0" m="1" x="1224"/>
        <item sd="0" m="1" x="1840"/>
        <item sd="0" m="1" x="2638"/>
        <item sd="0" m="1" x="3526"/>
        <item sd="0" m="1" x="2696"/>
        <item sd="0" m="1" x="3587"/>
        <item sd="0" m="1" x="4560"/>
        <item sd="0" m="1" x="5474"/>
        <item sd="0" m="1" x="4618"/>
        <item sd="0" m="1" x="5520"/>
        <item sd="0" m="1" x="668"/>
        <item sd="0" m="1" x="1080"/>
        <item sd="0" m="1" x="1652"/>
        <item sd="0" m="1" x="2389"/>
        <item sd="0" m="1" x="6016"/>
        <item sd="0" m="1" x="6674"/>
        <item sd="0" m="1" x="1699"/>
        <item sd="0" m="1" x="2445"/>
        <item sd="0" m="1" x="3312"/>
        <item sd="0" m="1" x="4271"/>
        <item sd="0" m="1" x="7249"/>
        <item sd="0" m="1" x="7638"/>
        <item sd="0" m="1" x="3389"/>
        <item sd="0" m="1" x="4341"/>
        <item sd="0" m="1" x="5276"/>
        <item sd="0" m="1" x="230"/>
        <item sd="0" m="1" x="1814"/>
        <item sd="0" m="1" x="2600"/>
        <item sd="0" m="1" x="3482"/>
        <item sd="0" m="1" x="4422"/>
        <item sd="0" m="1" x="766"/>
        <item sd="0" m="1" x="3527"/>
        <item sd="0" m="1" x="4496"/>
        <item sd="0" m="1" x="5422"/>
        <item sd="0" m="1" x="6209"/>
        <item sd="0" m="1" x="1912"/>
        <item sd="0" m="1" x="1751"/>
        <item sd="0" m="1" x="2488"/>
        <item sd="0" m="1" x="3344"/>
        <item sd="0" m="1" x="4301"/>
        <item sd="0" m="1" x="7282"/>
        <item sd="0" m="1" x="7660"/>
        <item sd="0" m="1" x="3429"/>
        <item sd="0" m="1" x="4370"/>
        <item sd="0" m="1" x="5308"/>
        <item sd="0" m="1" x="6128"/>
        <item sd="0" m="1" x="7933"/>
        <item sd="0" m="1" x="109"/>
        <item sd="0" m="1" x="5373"/>
        <item sd="0" m="1" x="6167"/>
        <item sd="0" m="1" x="6809"/>
        <item sd="0" m="1" x="1040"/>
        <item sd="0" m="1" x="1572"/>
        <item sd="0" m="1" x="2281"/>
        <item sd="0" m="1" x="6613"/>
        <item sd="0" m="1" x="7154"/>
        <item sd="0" m="1" x="7567"/>
        <item sd="0" m="1" x="2359"/>
        <item sd="0" m="1" x="3191"/>
        <item sd="0" m="1" x="4140"/>
        <item sd="0" m="1" x="7615"/>
        <item sd="0" m="1" x="7878"/>
        <item sd="0" m="1" x="84"/>
        <item sd="0" m="1" x="4195"/>
        <item sd="0" m="1" x="5131"/>
        <item sd="0" m="1" x="5966"/>
        <item sd="0" m="1" x="924"/>
        <item sd="0" m="1" x="1402"/>
        <item sd="0" m="1" x="5668"/>
        <item sd="0" m="1" x="6426"/>
        <item sd="0" m="1" x="7017"/>
        <item sd="0" m="1" x="2154"/>
        <item sd="0" m="1" x="2965"/>
        <item sd="0" m="1" x="7070"/>
        <item sd="0" m="1" x="7525"/>
        <item sd="0" m="1" x="7823"/>
        <item sd="0" m="1" x="3938"/>
        <item sd="0" m="1" x="4886"/>
        <item sd="0" m="1" x="796"/>
        <item sd="0" m="1" x="3558"/>
        <item sd="0" m="1" x="4526"/>
        <item sd="0" m="1" x="5455"/>
        <item sd="0" m="1" x="6251"/>
        <item sd="0" m="1" x="1955"/>
        <item sd="0" m="1" x="5501"/>
        <item sd="0" m="1" x="6307"/>
        <item sd="0" m="1" x="6935"/>
        <item sd="0" m="1" x="7409"/>
        <item sd="0" m="1" x="3679"/>
        <item sd="0" m="1" x="499"/>
        <item sd="0" m="1" x="858"/>
        <item sd="0" m="1" x="1340"/>
        <item sd="0" m="1" x="2012"/>
        <item sd="0" m="1" x="6361"/>
        <item sd="0" m="1" x="6954"/>
        <item sd="0" m="1" x="1403"/>
        <item sd="0" m="1" x="2057"/>
        <item sd="0" m="1" x="2874"/>
        <item sd="0" m="1" x="3797"/>
        <item sd="0" m="1" x="7461"/>
        <item sd="0" m="1" x="7787"/>
        <item sd="0" m="1" x="2966"/>
        <item sd="0" m="1" x="3867"/>
        <item sd="0" m="1" x="4825"/>
        <item sd="0" m="1" x="5715"/>
        <item sd="0" m="1" x="414"/>
        <item sd="0" m="1" x="744"/>
        <item sd="0" m="1" x="1194"/>
        <item sd="0" m="1" x="4464"/>
        <item sd="0" m="1" x="5387"/>
        <item sd="0" m="1" x="6181"/>
        <item sd="0" m="1" x="6819"/>
        <item sd="0" m="1" x="1246"/>
        <item sd="0" m="1" x="1867"/>
        <item sd="0" m="1" x="2660"/>
        <item sd="0" m="1" x="6252"/>
        <item sd="0" m="1" x="6862"/>
        <item sd="0" m="1" x="7346"/>
        <item sd="0" m="1" x="7716"/>
        <item sd="0" m="1" x="2728"/>
        <item sd="0" m="1" x="3614"/>
        <item sd="0" m="1" x="4582"/>
        <item sd="0" m="1" x="357"/>
        <item sd="0" m="1" x="637"/>
        <item sd="0" m="1" x="3256"/>
        <item sd="0" m="1" x="4212"/>
        <item sd="0" m="1" x="5148"/>
        <item sd="0" m="1" x="5983"/>
        <item sd="0" m="1" x="1105"/>
        <item sd="0" m="1" x="5192"/>
        <item sd="0" m="1" x="6036"/>
        <item sd="0" m="1" x="6701"/>
        <item sd="0" m="1" x="7215"/>
        <item sd="0" m="1" x="2489"/>
        <item sd="0" m="1" x="2185"/>
        <item sd="0" m="1" x="3029"/>
        <item sd="0" m="1" x="3953"/>
        <item sd="0" m="1" x="4897"/>
        <item sd="0" m="1" x="4007"/>
        <item sd="0" m="1" x="4970"/>
        <item sd="0" m="1" x="5834"/>
        <item sd="0" m="1" x="2114"/>
        <item sd="0" m="1" x="2912"/>
        <item sd="0" m="1" x="3837"/>
        <item sd="0" m="1" x="7496"/>
        <item sd="0" m="1" x="7800"/>
        <item sd="0" m="1" x="3902"/>
        <item sd="0" m="1" x="4859"/>
        <item sd="0" m="1" x="5743"/>
        <item sd="0" m="1" x="7993"/>
        <item sd="0" m="1" x="142"/>
        <item sd="0" m="1" x="5794"/>
        <item sd="0" m="1" x="6511"/>
        <item sd="0" m="1" x="7085"/>
        <item sd="0" m="1" x="448"/>
        <item sd="0" m="1" x="797"/>
        <item sd="0" m="1" x="3559"/>
        <item sd="0" m="1" x="4527"/>
        <item sd="0" m="1" x="5456"/>
        <item sd="0" m="1" x="6253"/>
        <item sd="0" m="1" x="1318"/>
        <item sd="0" m="1" x="1956"/>
        <item sd="0" m="1" x="5502"/>
        <item sd="0" m="1" x="6308"/>
        <item sd="0" m="1" x="6936"/>
        <item sd="0" m="1" x="7410"/>
        <item sd="0" m="1" x="2793"/>
        <item sd="0" m="1" x="3680"/>
        <item sd="0" m="1" x="2415"/>
        <item sd="0" m="1" x="3283"/>
        <item sd="0" m="1" x="4247"/>
        <item sd="0" m="1" x="5193"/>
        <item sd="0" m="1" x="4302"/>
        <item sd="0" m="1" x="5253"/>
        <item sd="0" m="1" x="6100"/>
        <item sd="0" m="1" x="6764"/>
        <item sd="0" m="1" x="1496"/>
        <item sd="0" m="1" x="2215"/>
        <item sd="0" m="1" x="3066"/>
        <item sd="0" m="1" x="3123"/>
        <item sd="0" m="1" x="4074"/>
        <item sd="0" m="1" x="5030"/>
        <item sd="0" m="1" x="5086"/>
        <item sd="0" m="1" x="500"/>
        <item sd="0" m="1" x="859"/>
        <item sd="0" m="1" x="1341"/>
        <item sd="0" m="1" x="2013"/>
        <item sd="0" m="1" x="6362"/>
        <item sd="0" m="1" x="1404"/>
        <item sd="0" m="1" x="2058"/>
        <item sd="0" m="1" x="2875"/>
        <item sd="0" m="1" x="3798"/>
        <item sd="0" m="1" x="7462"/>
        <item sd="0" m="1" x="2967"/>
        <item sd="0" m="1" x="3868"/>
        <item sd="0" m="1" x="4826"/>
        <item sd="0" m="1" x="250"/>
        <item sd="0" m="1" x="415"/>
        <item sd="0" m="1" x="745"/>
        <item sd="0" m="1" x="1195"/>
        <item sd="0" m="1" x="4465"/>
        <item sd="0" m="1" x="5388"/>
        <item sd="0" m="1" x="6182"/>
        <item sd="0" m="1" x="798"/>
        <item sd="0" m="1" x="1247"/>
        <item sd="0" m="1" x="1868"/>
        <item sd="0" m="1" x="2661"/>
        <item sd="0" m="1" x="6254"/>
        <item sd="0" m="1" x="6863"/>
        <item sd="0" m="1" x="7347"/>
        <item sd="0" m="1" x="1957"/>
        <item sd="0" m="1" x="2729"/>
        <item sd="0" m="1" x="3615"/>
        <item sd="0" m="1" x="4583"/>
        <item sd="0" m="1" x="2115"/>
        <item sd="0" m="1" x="2913"/>
        <item sd="0" m="1" x="3838"/>
        <item sd="0" m="1" x="7497"/>
        <item sd="0" m="1" x="3903"/>
        <item sd="0" m="1" x="4860"/>
        <item sd="0" m="1" x="5744"/>
        <item sd="0" m="1" x="7994"/>
        <item sd="0" m="1" x="5795"/>
        <item sd="0" m="1" x="6512"/>
        <item sd="0" m="1" x="830"/>
        <item sd="0" m="1" x="1290"/>
        <item sd="0" m="1" x="1913"/>
        <item sd="0" m="1" x="2697"/>
        <item sd="0" m="1" x="6903"/>
        <item sd="0" m="1" x="7379"/>
        <item sd="0" m="1" x="1988"/>
        <item sd="0" m="1" x="2766"/>
        <item sd="0" m="1" x="3656"/>
        <item sd="0" m="1" x="4619"/>
        <item sd="0" m="1" x="7770"/>
        <item sd="0" m="1" x="7958"/>
        <item sd="0" m="1" x="3726"/>
        <item sd="0" m="1" x="4677"/>
        <item sd="0" m="1" x="5570"/>
        <item sd="0" m="1" x="6327"/>
        <item sd="0" m="1" x="719"/>
        <item sd="0" m="1" x="1153"/>
        <item sd="0" m="1" x="1700"/>
        <item sd="0" m="1" x="5232"/>
        <item sd="0" m="1" x="6071"/>
        <item sd="0" m="1" x="6740"/>
        <item sd="0" m="1" x="7250"/>
        <item sd="0" m="1" x="1784"/>
        <item sd="0" m="1" x="2549"/>
        <item sd="0" m="1" x="3390"/>
        <item sd="0" m="1" x="6794"/>
        <item sd="0" m="1" x="7310"/>
        <item sd="0" m="1" x="7695"/>
        <item sd="0" m="1" x="7904"/>
        <item sd="0" m="1" x="3475"/>
        <item sd="0" m="1" x="4415"/>
        <item sd="0" m="1" x="5329"/>
        <item sd="0" m="1" x="610"/>
        <item sd="0" m="1" x="4044"/>
        <item sd="0" m="1" x="5002"/>
        <item sd="0" m="1" x="5879"/>
        <item sd="0" m="1" x="6573"/>
        <item sd="0" m="1" x="1613"/>
        <item sd="0" m="1" x="5925"/>
        <item sd="0" m="1" x="6643"/>
        <item sd="0" m="1" x="7184"/>
        <item sd="0" m="1" x="7585"/>
        <item sd="0" m="1" x="3221"/>
        <item sd="0" m="1" x="2845"/>
        <item sd="0" m="1" x="3771"/>
        <item sd="0" m="1" x="4741"/>
        <item sd="0" m="1" x="4793"/>
        <item sd="0" m="1" x="5700"/>
        <item sd="0" m="1" x="6454"/>
        <item sd="0" m="1" x="328"/>
        <item sd="0" m="1" x="560"/>
        <item sd="0" m="1" x="956"/>
        <item sd="0" m="1" x="4944"/>
        <item sd="0" m="1" x="5807"/>
        <item sd="0" m="1" x="6524"/>
        <item sd="0" m="1" x="1005"/>
        <item sd="0" m="1" x="1530"/>
        <item sd="0" m="1" x="2244"/>
        <item sd="0" m="1" x="6574"/>
        <item sd="0" m="1" x="7124"/>
        <item sd="0" m="1" x="7548"/>
        <item sd="0" m="1" x="2324"/>
        <item sd="0" m="1" x="3161"/>
        <item sd="0" m="1" x="4103"/>
        <item sd="0" m="1" x="290"/>
        <item sd="0" m="1" x="471"/>
        <item sd="0" m="1" x="3734"/>
        <item sd="0" m="1" x="4688"/>
        <item sd="0" m="1" x="5581"/>
        <item sd="0" m="1" x="896"/>
        <item sd="0" m="1" x="1361"/>
        <item sd="0" m="1" x="5633"/>
        <item sd="0" m="1" x="6397"/>
        <item sd="0" m="1" x="6981"/>
        <item sd="0" m="1" x="2116"/>
        <item sd="0" m="1" x="2914"/>
        <item sd="0" m="1" x="231"/>
        <item sd="0" m="1" x="1815"/>
        <item sd="0" m="1" x="2601"/>
        <item sd="0" m="1" x="3483"/>
        <item sd="0" m="1" x="4423"/>
        <item sd="0" m="1" x="767"/>
        <item sd="0" m="1" x="3528"/>
        <item sd="0" m="1" x="4497"/>
        <item sd="0" m="1" x="5423"/>
        <item sd="0" m="1" x="6210"/>
        <item sd="0" m="1" x="1914"/>
        <item sd="0" m="1" x="1752"/>
        <item sd="0" m="1" x="2490"/>
        <item sd="0" m="1" x="3345"/>
        <item sd="0" m="1" x="4303"/>
        <item sd="0" m="1" x="7283"/>
        <item sd="0" m="1" x="7661"/>
        <item sd="0" m="1" x="3430"/>
        <item sd="0" m="1" x="4371"/>
        <item sd="0" m="1" x="5309"/>
        <item sd="0" m="1" x="6129"/>
        <item sd="0" m="1" x="7934"/>
        <item sd="0" m="1" x="110"/>
        <item sd="0" m="1" x="5374"/>
        <item sd="0" m="1" x="6168"/>
        <item sd="0" m="1" x="6810"/>
        <item sd="0" m="1" x="1041"/>
        <item sd="0" m="1" x="1573"/>
        <item sd="0" m="1" x="2282"/>
        <item sd="0" m="1" x="6614"/>
        <item sd="0" m="1" x="7155"/>
        <item sd="0" m="1" x="7568"/>
        <item sd="0" m="1" x="2360"/>
        <item sd="0" m="1" x="3192"/>
        <item sd="0" m="1" x="4141"/>
        <item sd="0" m="1" x="7616"/>
        <item sd="0" m="1" x="7879"/>
        <item sd="0" m="1" x="85"/>
        <item sd="0" m="1" x="4196"/>
        <item sd="0" m="1" x="5132"/>
        <item sd="0" m="1" x="5967"/>
        <item sd="0" m="1" x="2416"/>
        <item sd="0" m="1" x="3284"/>
        <item sd="0" m="1" x="4248"/>
        <item sd="0" m="1" x="5194"/>
        <item sd="0" m="1" x="4304"/>
        <item sd="0" m="1" x="5254"/>
        <item sd="0" m="1" x="6101"/>
        <item sd="0" m="1" x="6765"/>
        <item sd="0" m="1" x="6130"/>
        <item sd="0" m="1" x="1497"/>
        <item sd="0" m="1" x="2216"/>
        <item sd="0" m="1" x="3067"/>
        <item sd="0" m="1" x="7098"/>
        <item sd="0" m="1" x="3124"/>
        <item sd="0" m="1" x="4075"/>
        <item sd="0" m="1" x="5031"/>
        <item sd="0" m="1" x="7853"/>
        <item sd="0" m="1" x="5087"/>
        <item sd="0" m="1" x="5941"/>
        <item sd="0" m="1" x="501"/>
        <item sd="0" m="1" x="860"/>
        <item sd="0" m="1" x="1342"/>
        <item sd="0" m="1" x="2014"/>
        <item sd="0" m="1" x="6363"/>
        <item sd="0" m="1" x="6955"/>
        <item sd="0" m="1" x="1405"/>
        <item sd="0" m="1" x="2059"/>
        <item sd="0" m="1" x="2876"/>
        <item sd="0" m="1" x="3799"/>
        <item sd="0" m="1" x="7463"/>
        <item sd="0" m="1" x="7788"/>
        <item sd="0" m="1" x="2968"/>
        <item sd="0" m="1" x="3869"/>
        <item sd="0" m="1" x="4827"/>
        <item sd="0" m="1" x="5716"/>
        <item sd="0" m="1" x="416"/>
        <item sd="0" m="1" x="746"/>
        <item sd="0" m="1" x="1196"/>
        <item sd="0" m="1" x="4466"/>
        <item sd="0" m="1" x="5389"/>
        <item sd="0" m="1" x="6183"/>
        <item sd="0" m="1" x="6820"/>
        <item sd="0" m="1" x="1248"/>
        <item sd="0" m="1" x="1869"/>
        <item sd="0" m="1" x="2662"/>
        <item sd="0" m="1" x="6255"/>
        <item sd="0" m="1" x="6864"/>
        <item sd="0" m="1" x="7348"/>
        <item sd="0" m="1" x="7717"/>
        <item sd="0" m="1" x="2730"/>
        <item sd="0" m="1" x="3616"/>
        <item sd="0" m="1" x="4584"/>
        <item sd="0" m="1" x="358"/>
        <item sd="0" m="1" x="638"/>
        <item sd="0" m="1" x="3257"/>
        <item sd="0" m="1" x="4213"/>
        <item sd="0" m="1" x="5149"/>
        <item sd="0" m="1" x="5984"/>
        <item sd="0" m="1" x="1106"/>
        <item sd="0" m="1" x="5195"/>
        <item sd="0" m="1" x="6037"/>
        <item sd="0" m="1" x="6702"/>
        <item sd="0" m="1" x="7216"/>
        <item sd="0" m="1" x="2491"/>
        <item sd="0" m="1" x="143"/>
        <item sd="0" m="1" x="1291"/>
        <item sd="0" m="1" x="1915"/>
        <item sd="0" m="1" x="2698"/>
        <item sd="0" m="1" x="6904"/>
        <item sd="0" m="1" x="7380"/>
        <item sd="0" m="1" x="7734"/>
        <item sd="0" m="1" x="2767"/>
        <item sd="0" m="1" x="3657"/>
        <item sd="0" m="1" x="4620"/>
        <item sd="0" m="1" x="7771"/>
        <item sd="0" m="1" x="7959"/>
        <item sd="0" m="1" x="129"/>
        <item sd="0" m="1" x="4678"/>
        <item sd="0" m="1" x="5571"/>
        <item sd="0" m="1" x="6328"/>
        <item sd="0" m="1" x="1042"/>
        <item sd="0" m="1" x="1574"/>
        <item sd="0" m="1" x="2283"/>
        <item sd="0" m="1" x="6615"/>
        <item sd="0" m="1" x="7156"/>
        <item sd="0" m="1" x="2361"/>
        <item sd="0" m="1" x="3193"/>
        <item sd="0" m="1" x="4142"/>
        <item sd="0" m="1" x="7617"/>
        <item sd="0" m="1" x="7880"/>
        <item sd="0" m="1" x="4197"/>
        <item sd="0" m="1" x="5133"/>
        <item sd="0" m="1" x="5968"/>
        <item sd="0" m="1" x="535"/>
        <item sd="0" m="1" x="925"/>
        <item sd="0" m="1" x="1406"/>
        <item sd="0" m="1" x="5669"/>
        <item sd="0" m="1" x="6427"/>
        <item sd="0" m="1" x="7018"/>
        <item sd="0" m="1" x="1456"/>
        <item sd="0" m="1" x="2155"/>
        <item sd="0" m="1" x="2969"/>
        <item sd="0" m="1" x="7071"/>
        <item sd="0" m="1" x="7526"/>
        <item sd="0" m="1" x="7824"/>
        <item sd="0" m="1" x="3019"/>
        <item sd="0" m="1" x="3939"/>
        <item sd="0" m="1" x="4887"/>
        <item sd="0" m="1" x="449"/>
        <item sd="0" m="1" x="799"/>
        <item sd="0" m="1" x="3560"/>
        <item sd="0" m="1" x="4528"/>
        <item sd="0" m="1" x="5457"/>
        <item sd="0" m="1" x="6256"/>
        <item sd="0" m="1" x="1319"/>
        <item sd="0" m="1" x="1958"/>
        <item sd="0" m="1" x="5503"/>
        <item sd="0" m="1" x="6309"/>
        <item sd="0" m="1" x="6937"/>
        <item sd="0" m="1" x="7411"/>
        <item sd="0" m="1" x="2794"/>
        <item sd="0" m="1" x="3681"/>
        <item sd="0" m="1" x="2417"/>
        <item sd="0" m="1" x="3285"/>
        <item sd="0" m="1" x="4249"/>
        <item sd="0" m="1" x="5196"/>
        <item sd="0" m="1" x="4305"/>
        <item sd="0" m="1" x="5255"/>
        <item sd="0" m="1" x="6102"/>
        <item sd="0" m="1" x="6766"/>
        <item sd="0" m="1" x="251"/>
        <item sd="0" m="1" x="417"/>
        <item sd="0" m="1" x="747"/>
        <item sd="0" m="1" x="1197"/>
        <item sd="0" m="1" x="4467"/>
        <item sd="0" m="1" x="5390"/>
        <item sd="0" m="1" x="6184"/>
        <item sd="0" m="1" x="800"/>
        <item sd="0" m="1" x="1249"/>
        <item sd="0" m="1" x="1870"/>
        <item sd="0" m="1" x="2663"/>
        <item sd="0" m="1" x="6257"/>
        <item sd="0" m="1" x="6865"/>
        <item sd="0" m="1" x="7349"/>
        <item sd="0" m="1" x="1959"/>
        <item sd="0" m="1" x="2731"/>
        <item sd="0" m="1" x="3617"/>
        <item sd="0" m="1" x="4585"/>
        <item sd="0" m="1" x="223"/>
        <item sd="0" m="1" x="359"/>
        <item sd="0" m="1" x="639"/>
        <item sd="0" m="1" x="3258"/>
        <item sd="0" m="1" x="4214"/>
        <item sd="0" m="1" x="5150"/>
        <item sd="0" m="1" x="5985"/>
        <item sd="0" m="1" x="693"/>
        <item sd="0" m="1" x="1107"/>
        <item sd="0" m="1" x="5197"/>
        <item sd="0" m="1" x="6038"/>
        <item sd="0" m="1" x="6703"/>
        <item sd="0" m="1" x="7217"/>
        <item sd="0" m="1" x="1753"/>
        <item sd="0" m="1" x="2492"/>
        <item sd="0" m="1" x="192"/>
        <item sd="0" m="1" x="2186"/>
        <item sd="0" m="1" x="3030"/>
        <item sd="0" m="1" x="3954"/>
        <item sd="0" m="1" x="4898"/>
        <item sd="0" m="1" x="584"/>
        <item sd="0" m="1" x="4008"/>
        <item sd="0" m="1" x="4971"/>
        <item sd="0" m="1" x="5835"/>
        <item sd="0" m="1" x="1575"/>
        <item sd="0" m="1" x="2117"/>
        <item sd="0" m="1" x="2915"/>
        <item sd="0" m="1" x="3839"/>
        <item sd="0" m="1" x="7498"/>
        <item sd="0" m="1" x="3904"/>
        <item sd="0" m="1" x="4861"/>
        <item sd="0" m="1" x="5745"/>
        <item sd="0" m="1" x="7995"/>
        <item sd="0" m="1" x="5796"/>
        <item sd="0" m="1" x="6513"/>
        <item sd="0" m="1" x="831"/>
        <item sd="0" m="1" x="1292"/>
        <item sd="0" m="1" x="1916"/>
        <item sd="0" m="1" x="2699"/>
        <item sd="0" m="1" x="6905"/>
        <item sd="0" m="1" x="7381"/>
        <item sd="0" m="1" x="1989"/>
        <item sd="0" m="1" x="2768"/>
        <item sd="0" m="1" x="3658"/>
        <item sd="0" m="1" x="4621"/>
        <item sd="0" m="1" x="7772"/>
        <item sd="0" m="1" x="7960"/>
        <item sd="0" m="1" x="3727"/>
        <item sd="0" m="1" x="4679"/>
        <item sd="0" m="1" x="5572"/>
        <item sd="0" m="1" x="6329"/>
        <item sd="0" m="1" x="2846"/>
        <item sd="0" m="1" x="3772"/>
        <item sd="0" m="1" x="4742"/>
        <item sd="0" m="1" x="4794"/>
        <item sd="0" m="1" x="5701"/>
        <item sd="0" m="1" x="6455"/>
        <item sd="0" m="1" x="1225"/>
        <item sd="0" m="1" x="1841"/>
        <item sd="0" m="1" x="2639"/>
        <item sd="0" m="1" x="3529"/>
        <item sd="0" m="1" x="2700"/>
        <item sd="0" m="1" x="3588"/>
        <item sd="0" m="1" x="4561"/>
        <item sd="0" m="1" x="5475"/>
        <item sd="0" m="1" x="4622"/>
        <item sd="0" m="1" x="5521"/>
        <item sd="0" m="1" x="669"/>
        <item sd="0" m="1" x="1081"/>
        <item sd="0" m="1" x="1653"/>
        <item sd="0" m="1" x="2390"/>
        <item sd="0" m="1" x="6017"/>
        <item sd="0" m="1" x="6675"/>
        <item sd="0" m="1" x="1701"/>
        <item sd="0" m="1" x="2446"/>
        <item sd="0" m="1" x="3313"/>
        <item sd="0" m="1" x="4272"/>
        <item sd="0" m="1" x="7251"/>
        <item sd="0" m="1" x="7639"/>
        <item sd="0" m="1" x="3391"/>
        <item sd="0" m="1" x="4342"/>
        <item sd="0" m="1" x="5277"/>
        <item sd="0" m="1" x="329"/>
        <item sd="0" m="1" x="561"/>
        <item sd="0" m="1" x="957"/>
        <item sd="0" m="1" x="4945"/>
        <item sd="0" m="1" x="5808"/>
        <item sd="0" m="1" x="6525"/>
        <item sd="0" m="1" x="1006"/>
        <item sd="0" m="1" x="1531"/>
        <item sd="0" m="1" x="2245"/>
        <item sd="0" m="1" x="6575"/>
        <item sd="0" m="1" x="7125"/>
        <item sd="0" m="1" x="7549"/>
        <item sd="0" m="1" x="2325"/>
        <item sd="0" m="1" x="3162"/>
        <item sd="0" m="1" x="4104"/>
        <item sd="0" m="1" x="291"/>
        <item sd="0" m="1" x="472"/>
        <item sd="0" m="1" x="3735"/>
        <item sd="0" m="1" x="4689"/>
        <item sd="0" m="1" x="5582"/>
        <item sd="0" m="1" x="897"/>
        <item sd="0" m="1" x="1362"/>
        <item sd="0" m="1" x="5634"/>
        <item sd="0" m="1" x="6398"/>
        <item sd="0" m="1" x="6982"/>
        <item sd="0" m="1" x="2118"/>
        <item sd="0" m="1" x="2916"/>
        <item sd="0" m="1" x="111"/>
        <item sd="0" m="1" x="1043"/>
        <item sd="0" m="1" x="1576"/>
        <item sd="0" m="1" x="2284"/>
        <item sd="0" m="1" x="6616"/>
        <item sd="0" m="1" x="7157"/>
        <item sd="0" m="1" x="7569"/>
        <item sd="0" m="1" x="2362"/>
        <item sd="0" m="1" x="3194"/>
        <item sd="0" m="1" x="4143"/>
        <item sd="0" m="1" x="7618"/>
        <item sd="0" m="1" x="7881"/>
        <item sd="0" m="1" x="86"/>
        <item sd="0" m="1" x="4198"/>
        <item sd="0" m="1" x="5134"/>
        <item sd="0" m="1" x="5969"/>
        <item sd="0" m="1" x="926"/>
        <item sd="0" m="1" x="1407"/>
        <item sd="0" m="1" x="5670"/>
        <item sd="0" m="1" x="6428"/>
        <item sd="0" m="1" x="7019"/>
        <item sd="0" m="1" x="2156"/>
        <item sd="0" m="1" x="2970"/>
        <item sd="0" m="1" x="7072"/>
        <item sd="0" m="1" x="7527"/>
        <item sd="0" m="1" x="7825"/>
        <item sd="0" m="1" x="3940"/>
        <item sd="0" m="1" x="4888"/>
        <item sd="0" m="1" x="801"/>
        <item sd="0" m="1" x="3561"/>
        <item sd="0" m="1" x="4529"/>
        <item sd="0" m="1" x="5458"/>
        <item sd="0" m="1" x="6258"/>
        <item sd="0" m="1" x="1960"/>
        <item sd="0" m="1" x="5504"/>
        <item sd="0" m="1" x="6310"/>
        <item sd="0" m="1" x="6938"/>
        <item sd="0" m="1" x="7412"/>
        <item sd="0" m="1" x="3682"/>
        <item sd="0" m="1" x="2418"/>
        <item sd="0" m="1" x="3286"/>
        <item sd="0" m="1" x="4250"/>
        <item sd="0" m="1" x="5198"/>
        <item sd="0" m="1" x="4306"/>
        <item sd="0" m="1" x="5256"/>
        <item sd="0" m="1" x="6103"/>
        <item sd="0" m="1" x="6767"/>
        <item sd="0" m="1" x="6131"/>
        <item sd="0" m="1" x="1498"/>
        <item sd="0" m="1" x="2217"/>
        <item sd="0" m="1" x="3068"/>
        <item sd="0" m="1" x="7099"/>
        <item sd="0" m="1" x="3125"/>
        <item sd="0" m="1" x="4076"/>
        <item sd="0" m="1" x="5032"/>
        <item sd="0" m="1" x="7854"/>
        <item sd="0" m="1" x="5088"/>
        <item sd="0" m="1" x="5942"/>
        <item sd="0" m="1" x="360"/>
        <item sd="0" m="1" x="640"/>
        <item sd="0" m="1" x="3259"/>
        <item sd="0" m="1" x="4215"/>
        <item sd="0" m="1" x="5151"/>
        <item sd="0" m="1" x="5986"/>
        <item sd="0" m="1" x="1108"/>
        <item sd="0" m="1" x="5199"/>
        <item sd="0" m="1" x="6039"/>
        <item sd="0" m="1" x="6704"/>
        <item sd="0" m="1" x="7218"/>
        <item sd="0" m="1" x="2493"/>
        <item sd="0" m="1" x="2187"/>
        <item sd="0" m="1" x="3031"/>
        <item sd="0" m="1" x="3955"/>
        <item sd="0" m="1" x="4899"/>
        <item sd="0" m="1" x="4009"/>
        <item sd="0" m="1" x="4972"/>
        <item sd="0" m="1" x="5836"/>
        <item sd="0" m="1" x="2119"/>
        <item sd="0" m="1" x="2917"/>
        <item sd="0" m="1" x="3840"/>
        <item sd="0" m="1" x="7499"/>
        <item sd="0" m="1" x="7801"/>
        <item sd="0" m="1" x="3905"/>
        <item sd="0" m="1" x="4862"/>
        <item sd="0" m="1" x="5746"/>
        <item sd="0" m="1" x="7996"/>
        <item sd="0" m="1" x="144"/>
        <item sd="0" m="1" x="5797"/>
        <item sd="0" m="1" x="6514"/>
        <item sd="0" m="1" x="7086"/>
        <item sd="0" m="1" x="1293"/>
        <item sd="0" m="1" x="1917"/>
        <item sd="0" m="1" x="2701"/>
        <item sd="0" m="1" x="6906"/>
        <item sd="0" m="1" x="7382"/>
        <item sd="0" m="1" x="7735"/>
        <item sd="0" m="1" x="2769"/>
        <item sd="0" m="1" x="3659"/>
        <item sd="0" m="1" x="4623"/>
        <item sd="0" m="1" x="7773"/>
        <item sd="0" m="1" x="7961"/>
        <item sd="0" m="1" x="130"/>
        <item sd="0" m="1" x="4680"/>
        <item sd="0" m="1" x="5573"/>
        <item sd="0" m="1" x="6330"/>
        <item sd="0" m="1" x="1044"/>
        <item sd="0" m="1" x="1577"/>
        <item sd="0" m="1" x="2285"/>
        <item sd="0" m="1" x="6617"/>
        <item sd="0" m="1" x="7158"/>
        <item sd="0" m="1" x="2363"/>
        <item sd="0" m="1" x="3195"/>
        <item sd="0" m="1" x="4144"/>
        <item sd="0" m="1" x="7619"/>
        <item sd="0" m="1" x="7882"/>
        <item sd="0" m="1" x="4199"/>
        <item sd="0" m="1" x="5135"/>
        <item sd="0" m="1" x="5970"/>
        <item sd="0" m="1" x="2419"/>
        <item sd="0" m="1" x="3287"/>
        <item sd="0" m="1" x="4251"/>
        <item sd="0" m="1" x="5200"/>
        <item sd="0" m="1" x="4307"/>
        <item sd="0" m="1" x="5257"/>
        <item sd="0" m="1" x="6104"/>
        <item sd="0" m="1" x="6768"/>
        <item sd="0" m="1" x="1499"/>
        <item sd="0" m="1" x="2218"/>
        <item sd="0" m="1" x="3069"/>
        <item sd="0" m="1" x="3126"/>
        <item sd="0" m="1" x="4077"/>
        <item sd="0" m="1" x="5033"/>
        <item sd="0" m="1" x="5089"/>
        <item sd="0" m="1" x="502"/>
        <item sd="0" m="1" x="861"/>
        <item sd="0" m="1" x="1343"/>
        <item sd="0" m="1" x="2015"/>
        <item sd="0" m="1" x="6364"/>
        <item sd="0" m="1" x="1408"/>
        <item sd="0" m="1" x="2060"/>
        <item sd="0" m="1" x="2877"/>
        <item sd="0" m="1" x="3800"/>
        <item sd="0" m="1" x="7464"/>
        <item sd="0" m="1" x="2971"/>
        <item sd="0" m="1" x="3870"/>
        <item sd="0" m="1" x="4828"/>
        <item sd="0" m="1" x="252"/>
        <item sd="0" m="1" x="418"/>
        <item sd="0" m="1" x="748"/>
        <item sd="0" m="1" x="1198"/>
        <item sd="0" m="1" x="4468"/>
        <item sd="0" m="1" x="5391"/>
        <item sd="0" m="1" x="6185"/>
        <item sd="0" m="1" x="802"/>
        <item sd="0" m="1" x="1250"/>
        <item sd="0" m="1" x="1871"/>
        <item sd="0" m="1" x="2664"/>
        <item sd="0" m="1" x="6259"/>
        <item sd="0" m="1" x="6866"/>
        <item sd="0" m="1" x="7350"/>
        <item sd="0" m="1" x="1961"/>
        <item sd="0" m="1" x="2732"/>
        <item sd="0" m="1" x="3618"/>
        <item sd="0" m="1" x="4586"/>
        <item sd="0" m="1" x="224"/>
        <item sd="0" m="1" x="361"/>
        <item sd="0" m="1" x="641"/>
        <item sd="0" m="1" x="3260"/>
        <item sd="0" m="1" x="4216"/>
        <item sd="0" m="1" x="5152"/>
        <item sd="0" m="1" x="5987"/>
        <item sd="0" m="1" x="694"/>
        <item sd="0" m="1" x="1109"/>
        <item sd="0" m="1" x="5201"/>
        <item sd="0" m="1" x="6040"/>
        <item sd="0" m="1" x="6705"/>
        <item sd="0" m="1" x="7219"/>
        <item sd="0" m="1" x="1754"/>
        <item sd="0" m="1" x="2494"/>
        <item sd="0" m="1" x="832"/>
        <item sd="0" m="1" x="1294"/>
        <item sd="0" m="1" x="1918"/>
        <item sd="0" m="1" x="2702"/>
        <item sd="0" m="1" x="6907"/>
        <item sd="0" m="1" x="7383"/>
        <item sd="0" m="1" x="1990"/>
        <item sd="0" m="1" x="2770"/>
        <item sd="0" m="1" x="3660"/>
        <item sd="0" m="1" x="4624"/>
        <item sd="0" m="1" x="7774"/>
        <item sd="0" m="1" x="7962"/>
        <item sd="0" m="1" x="3728"/>
        <item sd="0" m="1" x="4681"/>
        <item sd="0" m="1" x="5574"/>
        <item sd="0" m="1" x="6331"/>
        <item sd="0" m="1" x="720"/>
        <item sd="0" m="1" x="1154"/>
        <item sd="0" m="1" x="1702"/>
        <item sd="0" m="1" x="5233"/>
        <item sd="0" m="1" x="6072"/>
        <item sd="0" m="1" x="6741"/>
        <item sd="0" m="1" x="7252"/>
        <item sd="0" m="1" x="1785"/>
        <item sd="0" m="1" x="2550"/>
        <item sd="0" m="1" x="3392"/>
        <item sd="0" m="1" x="6795"/>
        <item sd="0" m="1" x="7311"/>
        <item sd="0" m="1" x="7696"/>
        <item sd="0" m="1" x="7905"/>
        <item sd="0" m="1" x="3476"/>
        <item sd="0" m="1" x="4416"/>
        <item sd="0" m="1" x="5330"/>
        <item sd="0" m="1" x="611"/>
        <item sd="0" m="1" x="4045"/>
        <item sd="0" m="1" x="5003"/>
        <item sd="0" m="1" x="5880"/>
        <item sd="0" m="1" x="6576"/>
        <item sd="0" m="1" x="1614"/>
        <item sd="0" m="1" x="5926"/>
        <item sd="0" m="1" x="6644"/>
        <item sd="0" m="1" x="7185"/>
        <item sd="0" m="1" x="7586"/>
        <item sd="0" m="1" x="3222"/>
        <item sd="0" m="1" x="2847"/>
        <item sd="0" m="1" x="3773"/>
        <item sd="0" m="1" x="4743"/>
        <item sd="0" m="1" x="4795"/>
        <item sd="0" m="1" x="5702"/>
        <item sd="0" m="1" x="6456"/>
        <item sd="0" m="1" x="1226"/>
        <item sd="0" m="1" x="1842"/>
        <item sd="0" m="1" x="2640"/>
        <item sd="0" m="1" x="3530"/>
        <item sd="0" m="1" x="2703"/>
        <item sd="0" m="1" x="3589"/>
        <item sd="0" m="1" x="4562"/>
        <item sd="0" m="1" x="5476"/>
        <item sd="0" m="1" x="4625"/>
        <item sd="0" m="1" x="5522"/>
        <item sd="0" m="1" x="292"/>
        <item sd="0" m="1" x="473"/>
        <item sd="0" m="1" x="3736"/>
        <item sd="0" m="1" x="4690"/>
        <item sd="0" m="1" x="5583"/>
        <item sd="0" m="1" x="898"/>
        <item sd="0" m="1" x="1363"/>
        <item sd="0" m="1" x="5635"/>
        <item sd="0" m="1" x="6399"/>
        <item sd="0" m="1" x="6983"/>
        <item sd="0" m="1" x="2120"/>
        <item sd="0" m="1" x="2918"/>
        <item sd="0" m="1" x="232"/>
        <item sd="0" m="1" x="1816"/>
        <item sd="0" m="1" x="2602"/>
        <item sd="0" m="1" x="3484"/>
        <item sd="0" m="1" x="4424"/>
        <item sd="0" m="1" x="768"/>
        <item sd="0" m="1" x="3531"/>
        <item sd="0" m="1" x="4498"/>
        <item sd="0" m="1" x="5424"/>
        <item sd="0" m="1" x="6211"/>
        <item sd="0" m="1" x="1919"/>
        <item sd="0" m="1" x="1755"/>
        <item sd="0" m="1" x="2495"/>
        <item sd="0" m="1" x="3346"/>
        <item sd="0" m="1" x="4308"/>
        <item sd="0" m="1" x="7284"/>
        <item sd="0" m="1" x="7662"/>
        <item sd="0" m="1" x="3431"/>
        <item sd="0" m="1" x="4372"/>
        <item sd="0" m="1" x="5310"/>
        <item sd="0" m="1" x="6132"/>
        <item sd="0" m="1" x="7935"/>
        <item sd="0" m="1" x="112"/>
        <item sd="0" m="1" x="5375"/>
        <item sd="0" m="1" x="6169"/>
        <item sd="0" m="1" x="6811"/>
        <item sd="0" m="1" x="1045"/>
        <item sd="0" m="1" x="1578"/>
        <item sd="0" m="1" x="2286"/>
        <item sd="0" m="1" x="6618"/>
        <item sd="0" m="1" x="7159"/>
        <item sd="0" m="1" x="7570"/>
        <item sd="0" m="1" x="2364"/>
        <item sd="0" m="1" x="3196"/>
        <item sd="0" m="1" x="4145"/>
        <item sd="0" m="1" x="7620"/>
        <item sd="0" m="1" x="7883"/>
        <item sd="0" m="1" x="87"/>
        <item sd="0" m="1" x="4200"/>
        <item sd="0" m="1" x="5136"/>
        <item sd="0" m="1" x="5971"/>
        <item sd="0" m="1" x="927"/>
        <item sd="0" m="1" x="1409"/>
        <item sd="0" m="1" x="5671"/>
        <item sd="0" m="1" x="6429"/>
        <item sd="0" m="1" x="7020"/>
        <item sd="0" m="1" x="2157"/>
        <item sd="0" m="1" x="2972"/>
        <item sd="0" m="1" x="7073"/>
        <item sd="0" m="1" x="7528"/>
        <item sd="0" m="1" x="7826"/>
        <item sd="0" m="1" x="3941"/>
        <item sd="0" m="1" x="4889"/>
        <item sd="0" m="1" x="1500"/>
        <item sd="0" m="1" x="2219"/>
        <item sd="0" m="1" x="3070"/>
        <item sd="0" m="1" x="7100"/>
        <item sd="0" m="1" x="3127"/>
        <item sd="0" m="1" x="4078"/>
        <item sd="0" m="1" x="5034"/>
        <item sd="0" m="1" x="7855"/>
        <item sd="0" m="1" x="5090"/>
        <item sd="0" m="1" x="5943"/>
        <item sd="0" m="1" x="503"/>
        <item sd="0" m="1" x="862"/>
        <item sd="0" m="1" x="1344"/>
        <item sd="0" m="1" x="2016"/>
        <item sd="0" m="1" x="6365"/>
        <item sd="0" m="1" x="6956"/>
        <item sd="0" m="1" x="1410"/>
        <item sd="0" m="1" x="2061"/>
        <item sd="0" m="1" x="2878"/>
        <item sd="0" m="1" x="3801"/>
        <item sd="0" m="1" x="7465"/>
        <item sd="0" m="1" x="7789"/>
        <item sd="0" m="1" x="2973"/>
        <item sd="0" m="1" x="3871"/>
        <item sd="0" m="1" x="4829"/>
        <item sd="0" m="1" x="5717"/>
        <item sd="0" m="1" x="419"/>
        <item sd="0" m="1" x="749"/>
        <item sd="0" m="1" x="1199"/>
        <item sd="0" m="1" x="4469"/>
        <item sd="0" m="1" x="5392"/>
        <item sd="0" m="1" x="6186"/>
        <item sd="0" m="1" x="6821"/>
        <item sd="0" m="1" x="1251"/>
        <item sd="0" m="1" x="1872"/>
        <item sd="0" m="1" x="2665"/>
        <item sd="0" m="1" x="6260"/>
        <item sd="0" m="1" x="6867"/>
        <item sd="0" m="1" x="7351"/>
        <item sd="0" m="1" x="7718"/>
        <item sd="0" m="1" x="2733"/>
        <item sd="0" m="1" x="3619"/>
        <item sd="0" m="1" x="4587"/>
        <item sd="0" m="1" x="362"/>
        <item sd="0" m="1" x="642"/>
        <item sd="0" m="1" x="3261"/>
        <item sd="0" m="1" x="4217"/>
        <item sd="0" m="1" x="5153"/>
        <item sd="0" m="1" x="5988"/>
        <item sd="0" m="1" x="1110"/>
        <item sd="0" m="1" x="5202"/>
        <item sd="0" m="1" x="6041"/>
        <item sd="0" m="1" x="6706"/>
        <item sd="0" m="1" x="7220"/>
        <item sd="0" m="1" x="2496"/>
        <item sd="0" m="1" x="2188"/>
        <item sd="0" m="1" x="3032"/>
        <item sd="0" m="1" x="3956"/>
        <item sd="0" m="1" x="4900"/>
        <item sd="0" m="1" x="4010"/>
        <item sd="0" m="1" x="4973"/>
        <item sd="0" m="1" x="5837"/>
        <item sd="0" m="1" x="536"/>
        <item sd="0" m="1" x="928"/>
        <item sd="0" m="1" x="4764"/>
        <item sd="0" m="1" x="5672"/>
        <item sd="0" m="1" x="6430"/>
        <item sd="0" m="1" x="7021"/>
        <item sd="0" m="1" x="1457"/>
        <item sd="0" m="1" x="2158"/>
        <item sd="0" m="1" x="6475"/>
        <item sd="0" m="1" x="7074"/>
        <item sd="0" m="1" x="7529"/>
        <item sd="0" m="1" x="7827"/>
        <item sd="0" m="1" x="3020"/>
        <item sd="0" m="1" x="3942"/>
        <item sd="0" m="1" x="450"/>
        <item sd="0" m="1" x="3562"/>
        <item sd="0" m="1" x="4530"/>
        <item sd="0" m="1" x="5459"/>
        <item sd="0" m="1" x="1320"/>
        <item sd="0" m="1" x="5505"/>
        <item sd="0" m="1" x="6311"/>
        <item sd="0" m="1" x="6939"/>
        <item sd="0" m="1" x="2795"/>
        <item sd="0" m="1" x="1666"/>
        <item sd="0" m="1" x="2420"/>
        <item sd="0" m="1" x="3288"/>
        <item sd="0" m="1" x="4252"/>
        <item sd="0" m="1" x="3347"/>
        <item sd="0" m="1" x="4309"/>
        <item sd="0" m="1" x="5258"/>
        <item sd="0" m="1" x="6105"/>
        <item sd="0" m="1" x="5311"/>
        <item sd="0" m="1" x="976"/>
        <item sd="0" m="1" x="1501"/>
        <item sd="0" m="1" x="2220"/>
        <item sd="0" m="1" x="3071"/>
        <item sd="0" m="1" x="6539"/>
        <item sd="0" m="1" x="2287"/>
        <item sd="0" m="1" x="3128"/>
        <item sd="0" m="1" x="4079"/>
        <item sd="0" m="1" x="5035"/>
        <item sd="0" m="1" x="7571"/>
        <item sd="0" m="1" x="4146"/>
        <item sd="0" m="1" x="5091"/>
        <item sd="0" m="1" x="504"/>
        <item sd="0" m="1" x="863"/>
        <item sd="0" m="1" x="1345"/>
        <item sd="0" m="1" x="5607"/>
        <item sd="0" m="1" x="6366"/>
        <item sd="0" m="1" x="1411"/>
        <item sd="0" m="1" x="2062"/>
        <item sd="0" m="1" x="2879"/>
        <item sd="0" m="1" x="7022"/>
        <item sd="0" m="1" x="7466"/>
        <item sd="0" m="1" x="2974"/>
        <item sd="0" m="1" x="3872"/>
        <item sd="0" m="1" x="4830"/>
        <item sd="0" m="1" x="193"/>
        <item sd="0" m="1" x="1469"/>
        <item sd="0" m="1" x="2189"/>
        <item sd="0" m="1" x="3033"/>
        <item sd="0" m="1" x="3957"/>
        <item sd="0" m="1" x="3072"/>
        <item sd="0" m="1" x="4011"/>
        <item sd="0" m="1" x="4974"/>
        <item sd="0" m="1" x="5838"/>
        <item sd="0" m="1" x="1438"/>
        <item sd="0" m="1" x="2121"/>
        <item sd="0" m="1" x="2919"/>
        <item sd="0" m="1" x="3841"/>
        <item sd="0" m="1" x="7042"/>
        <item sd="0" m="1" x="7500"/>
        <item sd="0" m="1" x="2991"/>
        <item sd="0" m="1" x="3906"/>
        <item sd="0" m="1" x="4863"/>
        <item sd="0" m="1" x="5747"/>
        <item sd="0" m="1" x="7843"/>
        <item sd="0" m="1" x="7997"/>
        <item sd="0" m="1" x="4934"/>
        <item sd="0" m="1" x="5798"/>
        <item sd="0" m="1" x="6515"/>
        <item sd="0" m="1" x="833"/>
        <item sd="0" m="1" x="1295"/>
        <item sd="0" m="1" x="1920"/>
        <item sd="0" m="1" x="6287"/>
        <item sd="0" m="1" x="6908"/>
        <item sd="0" m="1" x="7384"/>
        <item sd="0" m="1" x="1991"/>
        <item sd="0" m="1" x="2771"/>
        <item sd="0" m="1" x="3661"/>
        <item sd="0" m="1" x="7434"/>
        <item sd="0" m="1" x="7775"/>
        <item sd="0" m="1" x="7963"/>
        <item sd="0" m="1" x="3729"/>
        <item sd="0" m="1" x="4682"/>
        <item sd="0" m="1" x="5575"/>
        <item sd="0" m="1" x="721"/>
        <item sd="0" m="1" x="1155"/>
        <item sd="0" m="1" x="5234"/>
        <item sd="0" m="1" x="6073"/>
        <item sd="0" m="1" x="6742"/>
        <item sd="0" m="1" x="1786"/>
        <item sd="0" m="1" x="2551"/>
        <item sd="0" m="1" x="6796"/>
        <item sd="0" m="1" x="7312"/>
        <item sd="0" m="1" x="7697"/>
        <item sd="0" m="1" x="3477"/>
        <item sd="0" m="1" x="4417"/>
        <item sd="0" m="1" x="612"/>
        <item sd="0" m="1" x="3097"/>
        <item sd="0" m="1" x="4046"/>
        <item sd="0" m="1" x="5004"/>
        <item sd="0" m="1" x="5881"/>
        <item sd="0" m="1" x="1615"/>
        <item sd="0" m="1" x="5060"/>
        <item sd="0" m="1" x="5927"/>
        <item sd="0" m="1" x="6645"/>
        <item sd="0" m="1" x="7186"/>
        <item sd="0" m="1" x="3223"/>
        <item sd="0" m="1" x="388"/>
        <item sd="0" m="1" x="670"/>
        <item sd="0" m="1" x="1082"/>
        <item sd="0" m="1" x="1654"/>
        <item sd="0" m="1" x="6018"/>
        <item sd="0" m="1" x="6676"/>
        <item sd="0" m="1" x="1156"/>
        <item sd="0" m="1" x="1703"/>
        <item sd="0" m="1" x="2447"/>
        <item sd="0" m="1" x="3314"/>
        <item sd="0" m="1" x="7253"/>
        <item sd="0" m="1" x="7640"/>
        <item sd="0" m="1" x="2552"/>
        <item sd="0" m="1" x="3393"/>
        <item sd="0" m="1" x="4343"/>
        <item sd="0" m="1" x="5278"/>
        <item sd="0" m="1" x="330"/>
        <item sd="0" m="1" x="562"/>
        <item sd="0" m="1" x="958"/>
        <item sd="0" m="1" x="3989"/>
        <item sd="0" m="1" x="4946"/>
        <item sd="0" m="1" x="5809"/>
        <item sd="0" m="1" x="6526"/>
        <item sd="0" m="1" x="1007"/>
        <item sd="0" m="1" x="1532"/>
        <item sd="0" m="1" x="2246"/>
        <item sd="0" m="1" x="5882"/>
        <item sd="0" m="1" x="6577"/>
        <item sd="0" m="1" x="7126"/>
        <item sd="0" m="1" x="7550"/>
        <item sd="0" m="1" x="2326"/>
        <item sd="0" m="1" x="3163"/>
        <item sd="0" m="1" x="4105"/>
        <item sd="0" m="1" x="293"/>
        <item sd="0" m="1" x="2818"/>
        <item sd="0" m="1" x="3737"/>
        <item sd="0" m="1" x="4691"/>
        <item sd="0" m="1" x="5584"/>
        <item sd="0" m="1" x="899"/>
        <item sd="0" m="1" x="4744"/>
        <item sd="0" m="1" x="5636"/>
        <item sd="0" m="1" x="6400"/>
        <item sd="0" m="1" x="6984"/>
        <item sd="0" m="1" x="2122"/>
        <item sd="0" m="1" x="1817"/>
        <item sd="0" m="1" x="2603"/>
        <item sd="0" m="1" x="3485"/>
        <item sd="0" m="1" x="3532"/>
        <item sd="0" m="1" x="4499"/>
        <item sd="0" m="1" x="5425"/>
        <item sd="0" m="1" x="1171"/>
        <item sd="0" m="1" x="1756"/>
        <item sd="0" m="1" x="2497"/>
        <item sd="0" m="1" x="3348"/>
        <item sd="0" m="1" x="7285"/>
        <item sd="0" m="1" x="7663"/>
        <item sd="0" m="1" x="2568"/>
        <item sd="0" m="1" x="3432"/>
        <item sd="0" m="1" x="4373"/>
        <item sd="0" m="1" x="5312"/>
        <item sd="0" m="1" x="7936"/>
        <item sd="0" m="1" x="113"/>
        <item sd="0" m="1" x="4453"/>
        <item sd="0" m="1" x="5376"/>
        <item sd="0" m="1" x="6170"/>
        <item sd="0" m="1" x="6812"/>
        <item sd="0" m="1" x="3563"/>
        <item sd="0" m="1" x="4531"/>
        <item sd="0" m="1" x="5460"/>
        <item sd="0" m="1" x="5506"/>
        <item sd="0" m="1" x="6312"/>
        <item sd="0" m="1" x="6940"/>
        <item sd="0" m="1" x="1667"/>
        <item sd="0" m="1" x="2421"/>
        <item sd="0" m="1" x="3289"/>
        <item sd="0" m="1" x="4253"/>
        <item sd="0" m="1" x="3349"/>
        <item sd="0" m="1" x="4310"/>
        <item sd="0" m="1" x="5259"/>
        <item sd="0" m="1" x="6106"/>
        <item sd="0" m="1" x="5313"/>
        <item sd="0" m="1" x="6133"/>
        <item sd="0" m="1" x="977"/>
        <item sd="0" m="1" x="1502"/>
        <item sd="0" m="1" x="2221"/>
        <item sd="0" m="1" x="3073"/>
        <item sd="0" m="1" x="6540"/>
        <item sd="0" m="1" x="7101"/>
        <item sd="0" m="1" x="2288"/>
        <item sd="0" m="1" x="3129"/>
        <item sd="0" m="1" x="4080"/>
        <item sd="0" m="1" x="5036"/>
        <item sd="0" m="1" x="7572"/>
        <item sd="0" m="1" x="7856"/>
        <item sd="0" m="1" x="4147"/>
        <item sd="0" m="1" x="5092"/>
        <item sd="0" m="1" x="5944"/>
        <item sd="0" m="1" x="505"/>
        <item sd="0" m="1" x="864"/>
        <item sd="0" m="1" x="1346"/>
        <item sd="0" m="1" x="5608"/>
        <item sd="0" m="1" x="6367"/>
        <item sd="0" m="1" x="6957"/>
        <item sd="0" m="1" x="1412"/>
        <item sd="0" m="1" x="2063"/>
        <item sd="0" m="1" x="2880"/>
        <item sd="0" m="1" x="7023"/>
        <item sd="0" m="1" x="7467"/>
        <item sd="0" m="1" x="7790"/>
        <item sd="0" m="1" x="2975"/>
        <item sd="0" m="1" x="3873"/>
        <item sd="0" m="1" x="4831"/>
        <item sd="0" m="1" x="420"/>
        <item sd="0" m="1" x="750"/>
        <item sd="0" m="1" x="4470"/>
        <item sd="0" m="1" x="5393"/>
        <item sd="0" m="1" x="6187"/>
        <item sd="0" m="1" x="6822"/>
        <item sd="0" m="1" x="1252"/>
        <item sd="0" m="1" x="1873"/>
        <item sd="0" m="1" x="6261"/>
        <item sd="0" m="1" x="6868"/>
        <item sd="0" m="1" x="7352"/>
        <item sd="0" m="1" x="2734"/>
        <item sd="0" m="1" x="3620"/>
        <item sd="0" m="1" x="5037"/>
        <item sd="0" m="1" x="1439"/>
        <item sd="0" m="1" x="2123"/>
        <item sd="0" m="1" x="2920"/>
        <item sd="0" m="1" x="3842"/>
        <item sd="0" m="1" x="7043"/>
        <item sd="0" m="1" x="7501"/>
        <item sd="0" m="1" x="7802"/>
        <item sd="0" m="1" x="2992"/>
        <item sd="0" m="1" x="3907"/>
        <item sd="0" m="1" x="4864"/>
        <item sd="0" m="1" x="5748"/>
        <item sd="0" m="1" x="7844"/>
        <item sd="0" m="1" x="7998"/>
        <item sd="0" m="1" x="145"/>
        <item sd="0" m="1" x="4935"/>
        <item sd="0" m="1" x="5799"/>
        <item sd="0" m="1" x="6516"/>
        <item sd="0" m="1" x="7087"/>
        <item sd="0" m="1" x="1296"/>
        <item sd="0" m="1" x="1921"/>
        <item sd="0" m="1" x="6288"/>
        <item sd="0" m="1" x="6909"/>
        <item sd="0" m="1" x="7385"/>
        <item sd="0" m="1" x="7736"/>
        <item sd="0" m="1" x="2772"/>
        <item sd="0" m="1" x="3662"/>
        <item sd="0" m="1" x="7435"/>
        <item sd="0" m="1" x="7776"/>
        <item sd="0" m="1" x="7964"/>
        <item sd="0" m="1" x="131"/>
        <item sd="0" m="1" x="4683"/>
        <item sd="0" m="1" x="5576"/>
        <item sd="0" m="1" x="628"/>
        <item sd="0" m="1" x="1046"/>
        <item sd="0" m="1" x="1579"/>
        <item sd="0" m="1" x="2289"/>
        <item sd="0" m="1" x="5897"/>
        <item sd="0" m="1" x="6619"/>
        <item sd="0" m="1" x="7160"/>
        <item sd="0" m="1" x="1630"/>
        <item sd="0" m="1" x="2365"/>
        <item sd="0" m="1" x="3197"/>
        <item sd="0" m="1" x="4148"/>
        <item sd="0" m="1" x="7200"/>
        <item sd="0" m="1" x="7621"/>
        <item sd="0" m="1" x="7884"/>
        <item sd="0" m="1" x="3247"/>
        <item sd="0" m="1" x="4201"/>
        <item sd="0" m="1" x="5137"/>
        <item sd="0" m="1" x="5972"/>
        <item sd="0" m="1" x="537"/>
        <item sd="0" m="1" x="929"/>
        <item sd="0" m="1" x="4765"/>
        <item sd="0" m="1" x="5673"/>
        <item sd="0" m="1" x="6431"/>
        <item sd="0" m="1" x="7024"/>
        <item sd="0" m="1" x="1458"/>
        <item sd="0" m="1" x="2159"/>
        <item sd="0" m="1" x="6476"/>
        <item sd="0" m="1" x="7075"/>
        <item sd="0" m="1" x="7530"/>
        <item sd="0" m="1" x="7828"/>
        <item sd="0" m="1" x="3021"/>
        <item sd="0" m="1" x="3943"/>
        <item sd="0" m="1" x="451"/>
        <item sd="0" m="1" x="3564"/>
        <item sd="0" m="1" x="4532"/>
        <item sd="0" m="1" x="5461"/>
        <item sd="0" m="1" x="1321"/>
        <item sd="0" m="1" x="5507"/>
        <item sd="0" m="1" x="6313"/>
        <item sd="0" m="1" x="6941"/>
        <item sd="0" m="1" x="2796"/>
        <item sd="0" m="1" x="506"/>
        <item sd="0" m="1" x="865"/>
        <item sd="0" m="1" x="1347"/>
        <item sd="0" m="1" x="5609"/>
        <item sd="0" m="1" x="6368"/>
        <item sd="0" m="1" x="1413"/>
        <item sd="0" m="1" x="2064"/>
        <item sd="0" m="1" x="2881"/>
        <item sd="0" m="1" x="7025"/>
        <item sd="0" m="1" x="7468"/>
        <item sd="0" m="1" x="2976"/>
        <item sd="0" m="1" x="3874"/>
        <item sd="0" m="1" x="4832"/>
        <item sd="0" m="1" x="253"/>
        <item sd="0" m="1" x="421"/>
        <item sd="0" m="1" x="751"/>
        <item sd="0" m="1" x="4471"/>
        <item sd="0" m="1" x="5394"/>
        <item sd="0" m="1" x="6188"/>
        <item sd="0" m="1" x="803"/>
        <item sd="0" m="1" x="1253"/>
        <item sd="0" m="1" x="1874"/>
        <item sd="0" m="1" x="6262"/>
        <item sd="0" m="1" x="6869"/>
        <item sd="0" m="1" x="7353"/>
        <item sd="0" m="1" x="1962"/>
        <item sd="0" m="1" x="2735"/>
        <item sd="0" m="1" x="3621"/>
        <item sd="0" m="1" x="225"/>
        <item sd="0" m="1" x="363"/>
        <item sd="0" m="1" x="2381"/>
        <item sd="0" m="1" x="3262"/>
        <item sd="0" m="1" x="4218"/>
        <item sd="0" m="1" x="5154"/>
        <item sd="0" m="1" x="695"/>
        <item sd="0" m="1" x="1111"/>
        <item sd="0" m="1" x="4254"/>
        <item sd="0" m="1" x="5203"/>
        <item sd="0" m="1" x="6042"/>
        <item sd="0" m="1" x="6707"/>
        <item sd="0" m="1" x="1757"/>
        <item sd="0" m="1" x="2498"/>
        <item sd="0" m="1" x="194"/>
        <item sd="0" m="1" x="1470"/>
        <item sd="0" m="1" x="2190"/>
        <item sd="0" m="1" x="3034"/>
        <item sd="0" m="1" x="3958"/>
        <item sd="0" m="1" x="3074"/>
        <item sd="0" m="1" x="4012"/>
        <item sd="0" m="1" x="4975"/>
        <item sd="0" m="1" x="5839"/>
        <item sd="0" m="1" x="1440"/>
        <item sd="0" m="1" x="2124"/>
        <item sd="0" m="1" x="2921"/>
        <item sd="0" m="1" x="3843"/>
        <item sd="0" m="1" x="7044"/>
        <item sd="0" m="1" x="7502"/>
        <item sd="0" m="1" x="2993"/>
        <item sd="0" m="1" x="3908"/>
        <item sd="0" m="1" x="4865"/>
        <item sd="0" m="1" x="5749"/>
        <item sd="0" m="1" x="7845"/>
        <item sd="0" m="1" x="7999"/>
        <item sd="0" m="1" x="4936"/>
        <item sd="0" m="1" x="5800"/>
        <item sd="0" m="1" x="6517"/>
        <item sd="0" m="1" x="613"/>
        <item sd="0" m="1" x="3098"/>
        <item sd="0" m="1" x="4047"/>
        <item sd="0" m="1" x="5005"/>
        <item sd="0" m="1" x="5883"/>
        <item sd="0" m="1" x="1616"/>
        <item sd="0" m="1" x="5061"/>
        <item sd="0" m="1" x="5928"/>
        <item sd="0" m="1" x="6646"/>
        <item sd="0" m="1" x="7187"/>
        <item sd="0" m="1" x="3224"/>
        <item sd="0" m="1" x="2038"/>
        <item sd="0" m="1" x="2848"/>
        <item sd="0" m="1" x="3774"/>
        <item sd="0" m="1" x="4745"/>
        <item sd="0" m="1" x="3844"/>
        <item sd="0" m="1" x="4796"/>
        <item sd="0" m="1" x="5703"/>
        <item sd="0" m="1" x="6457"/>
        <item sd="0" m="1" x="5750"/>
        <item sd="0" m="1" x="1227"/>
        <item sd="0" m="1" x="1843"/>
        <item sd="0" m="1" x="2641"/>
        <item sd="0" m="1" x="6844"/>
        <item sd="0" m="1" x="2704"/>
        <item sd="0" m="1" x="3590"/>
        <item sd="0" m="1" x="4563"/>
        <item sd="0" m="1" x="7737"/>
        <item sd="0" m="1" x="4626"/>
        <item sd="0" m="1" x="5523"/>
        <item sd="0" m="1" x="389"/>
        <item sd="0" m="1" x="671"/>
        <item sd="0" m="1" x="1083"/>
        <item sd="0" m="1" x="1655"/>
        <item sd="0" m="1" x="6019"/>
        <item sd="0" m="1" x="6677"/>
        <item sd="0" m="1" x="1157"/>
        <item sd="0" m="1" x="1704"/>
        <item sd="0" m="1" x="2448"/>
        <item sd="0" m="1" x="3315"/>
        <item sd="0" m="1" x="7254"/>
        <item sd="0" m="1" x="7641"/>
        <item sd="0" m="1" x="2553"/>
        <item sd="0" m="1" x="3394"/>
        <item sd="0" m="1" x="4344"/>
        <item sd="0" m="1" x="5279"/>
        <item sd="0" m="1" x="331"/>
        <item sd="0" m="1" x="563"/>
        <item sd="0" m="1" x="959"/>
        <item sd="0" m="1" x="3990"/>
        <item sd="0" m="1" x="4947"/>
        <item sd="0" m="1" x="5810"/>
        <item sd="0" m="1" x="6527"/>
        <item sd="0" m="1" x="1008"/>
        <item sd="0" m="1" x="1533"/>
        <item sd="0" m="1" x="2247"/>
        <item sd="0" m="1" x="5884"/>
        <item sd="0" m="1" x="6578"/>
        <item sd="0" m="1" x="7127"/>
        <item sd="0" m="1" x="7551"/>
        <item sd="0" m="1" x="2327"/>
        <item sd="0" m="1" x="3164"/>
        <item sd="0" m="1" x="4106"/>
        <item sd="0" m="1" x="1172"/>
        <item sd="0" m="1" x="1758"/>
        <item sd="0" m="1" x="2499"/>
        <item sd="0" m="1" x="3350"/>
        <item sd="0" m="1" x="7286"/>
        <item sd="0" m="1" x="7664"/>
        <item sd="0" m="1" x="2569"/>
        <item sd="0" m="1" x="3433"/>
        <item sd="0" m="1" x="4374"/>
        <item sd="0" m="1" x="5314"/>
        <item sd="0" m="1" x="7937"/>
        <item sd="0" m="1" x="114"/>
        <item sd="0" m="1" x="4454"/>
        <item sd="0" m="1" x="5377"/>
        <item sd="0" m="1" x="6171"/>
        <item sd="0" m="1" x="6813"/>
        <item sd="0" m="1" x="1047"/>
        <item sd="0" m="1" x="1580"/>
        <item sd="0" m="1" x="2290"/>
        <item sd="0" m="1" x="5898"/>
        <item sd="0" m="1" x="6620"/>
        <item sd="0" m="1" x="7161"/>
        <item sd="0" m="1" x="7573"/>
        <item sd="0" m="1" x="2366"/>
        <item sd="0" m="1" x="3198"/>
        <item sd="0" m="1" x="4149"/>
        <item sd="0" m="1" x="7201"/>
        <item sd="0" m="1" x="7622"/>
        <item sd="0" m="1" x="7885"/>
        <item sd="0" m="1" x="88"/>
        <item sd="0" m="1" x="4202"/>
        <item sd="0" m="1" x="5138"/>
        <item sd="0" m="1" x="5973"/>
        <item sd="0" m="1" x="930"/>
        <item sd="0" m="1" x="4766"/>
        <item sd="0" m="1" x="5674"/>
        <item sd="0" m="1" x="6432"/>
        <item sd="0" m="1" x="7026"/>
        <item sd="0" m="1" x="2160"/>
        <item sd="0" m="1" x="6477"/>
        <item sd="0" m="1" x="7076"/>
        <item sd="0" m="1" x="7531"/>
        <item sd="0" m="1" x="7829"/>
        <item sd="0" m="1" x="3944"/>
        <item sd="0" m="1" x="3565"/>
        <item sd="0" m="1" x="4533"/>
        <item sd="0" m="1" x="5462"/>
        <item sd="0" m="1" x="5508"/>
        <item sd="0" m="1" x="6314"/>
        <item sd="0" m="1" x="6942"/>
        <item sd="0" m="1" x="1668"/>
        <item sd="0" m="1" x="2422"/>
        <item sd="0" m="1" x="3290"/>
        <item sd="0" m="1" x="4255"/>
        <item sd="0" m="1" x="3351"/>
        <item sd="0" m="1" x="4311"/>
        <item sd="0" m="1" x="5260"/>
        <item sd="0" m="1" x="6107"/>
        <item sd="0" m="1" x="5315"/>
        <item sd="0" m="1" x="6134"/>
        <item sd="0" m="1" x="422"/>
        <item sd="0" m="1" x="752"/>
        <item sd="0" m="1" x="4472"/>
        <item sd="0" m="1" x="5395"/>
        <item sd="0" m="1" x="6189"/>
        <item sd="0" m="1" x="6823"/>
        <item sd="0" m="1" x="1254"/>
        <item sd="0" m="1" x="1875"/>
        <item sd="0" m="1" x="6263"/>
        <item sd="0" m="1" x="6870"/>
        <item sd="0" m="1" x="7354"/>
        <item sd="0" m="1" x="2736"/>
        <item sd="0" m="1" x="3622"/>
        <item sd="0" m="1" x="364"/>
        <item sd="0" m="1" x="2382"/>
        <item sd="0" m="1" x="3263"/>
        <item sd="0" m="1" x="4219"/>
        <item sd="0" m="1" x="5155"/>
        <item sd="0" m="1" x="1112"/>
        <item sd="0" m="1" x="4256"/>
        <item sd="0" m="1" x="5204"/>
        <item sd="0" m="1" x="6043"/>
        <item sd="0" m="1" x="6708"/>
        <item sd="0" m="1" x="2500"/>
        <item sd="0" m="1" x="1471"/>
        <item sd="0" m="1" x="2191"/>
        <item sd="0" m="1" x="3035"/>
        <item sd="0" m="1" x="3959"/>
        <item sd="0" m="1" x="3075"/>
        <item sd="0" m="1" x="4013"/>
        <item sd="0" m="1" x="4976"/>
        <item sd="0" m="1" x="5840"/>
        <item sd="0" m="1" x="5038"/>
        <item sd="0" m="1" x="1441"/>
        <item sd="0" m="1" x="2125"/>
        <item sd="0" m="1" x="2922"/>
        <item sd="0" m="1" x="3845"/>
        <item sd="0" m="1" x="7045"/>
        <item sd="0" m="1" x="7503"/>
        <item sd="0" m="1" x="7803"/>
        <item sd="0" m="1" x="2994"/>
        <item sd="0" m="1" x="3909"/>
        <item sd="0" m="1" x="4866"/>
        <item sd="0" m="1" x="5751"/>
        <item sd="0" m="1" x="7846"/>
        <item sd="0" m="1" x="146"/>
        <item sd="0" m="1" x="4937"/>
        <item sd="0" m="1" x="5801"/>
        <item sd="0" m="1" x="6518"/>
        <item sd="0" m="1" x="7088"/>
        <item sd="0" m="1" x="629"/>
        <item sd="0" m="1" x="1048"/>
        <item sd="0" m="1" x="1581"/>
        <item sd="0" m="1" x="2291"/>
        <item sd="0" m="1" x="5899"/>
        <item sd="0" m="1" x="6621"/>
        <item sd="0" m="1" x="7162"/>
        <item sd="0" m="1" x="1631"/>
        <item sd="0" m="1" x="2367"/>
        <item sd="0" m="1" x="3199"/>
        <item sd="0" m="1" x="4150"/>
        <item sd="0" m="1" x="7202"/>
        <item sd="0" m="1" x="7623"/>
        <item sd="0" m="1" x="7886"/>
        <item sd="0" m="1" x="3248"/>
        <item sd="0" m="1" x="4203"/>
        <item sd="0" m="1" x="5139"/>
        <item sd="0" m="1" x="5974"/>
        <item sd="0" m="1" x="1669"/>
        <item sd="0" m="1" x="2423"/>
        <item sd="0" m="1" x="3291"/>
        <item sd="0" m="1" x="4257"/>
        <item sd="0" m="1" x="3352"/>
        <item sd="0" m="1" x="4312"/>
        <item sd="0" m="1" x="5261"/>
        <item sd="0" m="1" x="6108"/>
        <item sd="0" m="1" x="5316"/>
        <item sd="0" m="1" x="978"/>
        <item sd="0" m="1" x="1503"/>
        <item sd="0" m="1" x="2222"/>
        <item sd="0" m="1" x="3076"/>
        <item sd="0" m="1" x="6541"/>
        <item sd="0" m="1" x="2292"/>
        <item sd="0" m="1" x="3130"/>
        <item sd="0" m="1" x="4081"/>
        <item sd="0" m="1" x="5039"/>
        <item sd="0" m="1" x="7574"/>
        <item sd="0" m="1" x="4151"/>
        <item sd="0" m="1" x="5093"/>
        <item sd="0" m="1" x="507"/>
        <item sd="0" m="1" x="866"/>
        <item sd="0" m="1" x="1348"/>
        <item sd="0" m="1" x="5610"/>
        <item sd="0" m="1" x="6369"/>
        <item sd="0" m="1" x="1414"/>
        <item sd="0" m="1" x="2065"/>
        <item sd="0" m="1" x="2882"/>
        <item sd="0" m="1" x="7027"/>
        <item sd="0" m="1" x="7469"/>
        <item sd="0" m="1" x="2977"/>
        <item sd="0" m="1" x="3875"/>
        <item sd="0" m="1" x="4833"/>
        <item sd="0" m="1" x="254"/>
        <item sd="0" m="1" x="423"/>
        <item sd="0" m="1" x="753"/>
        <item sd="0" m="1" x="4473"/>
        <item sd="0" m="1" x="5396"/>
        <item sd="0" m="1" x="6190"/>
        <item sd="0" m="1" x="804"/>
        <item sd="0" m="1" x="1255"/>
        <item sd="0" m="1" x="1876"/>
        <item sd="0" m="1" x="6264"/>
        <item sd="0" m="1" x="6871"/>
        <item sd="0" m="1" x="7355"/>
        <item sd="0" m="1" x="1963"/>
        <item sd="0" m="1" x="2737"/>
        <item sd="0" m="1" x="3623"/>
        <item sd="0" m="1" x="226"/>
        <item sd="0" m="1" x="365"/>
        <item sd="0" m="1" x="2383"/>
        <item sd="0" m="1" x="3264"/>
        <item sd="0" m="1" x="4220"/>
        <item sd="0" m="1" x="5156"/>
        <item sd="0" m="1" x="696"/>
        <item sd="0" m="1" x="1113"/>
        <item sd="0" m="1" x="4258"/>
        <item sd="0" m="1" x="5205"/>
        <item sd="0" m="1" x="6044"/>
        <item sd="0" m="1" x="6709"/>
        <item sd="0" m="1" x="1759"/>
        <item sd="0" m="1" x="2501"/>
        <item sd="0" m="1" x="834"/>
        <item sd="0" m="1" x="1297"/>
        <item sd="0" m="1" x="1922"/>
        <item sd="0" m="1" x="6289"/>
        <item sd="0" m="1" x="6910"/>
        <item sd="0" m="1" x="7386"/>
        <item sd="0" m="1" x="1992"/>
        <item sd="0" m="1" x="2773"/>
        <item sd="0" m="1" x="3663"/>
        <item sd="0" m="1" x="7436"/>
        <item sd="0" m="1" x="7777"/>
        <item sd="0" m="1" x="7965"/>
        <item sd="0" m="1" x="3730"/>
        <item sd="0" m="1" x="4684"/>
        <item sd="0" m="1" x="5577"/>
        <item sd="0" m="1" x="722"/>
        <item sd="0" m="1" x="1158"/>
        <item sd="0" m="1" x="5235"/>
        <item sd="0" m="1" x="6074"/>
        <item sd="0" m="1" x="6743"/>
        <item sd="0" m="1" x="1787"/>
        <item sd="0" m="1" x="2554"/>
        <item sd="0" m="1" x="6797"/>
        <item sd="0" m="1" x="7313"/>
        <item sd="0" m="1" x="7698"/>
        <item sd="0" m="1" x="3478"/>
        <item sd="0" m="1" x="4418"/>
        <item sd="0" m="1" x="614"/>
        <item sd="0" m="1" x="3099"/>
        <item sd="0" m="1" x="4048"/>
        <item sd="0" m="1" x="5006"/>
        <item sd="0" m="1" x="5885"/>
        <item sd="0" m="1" x="1617"/>
        <item sd="0" m="1" x="5062"/>
        <item sd="0" m="1" x="5929"/>
        <item sd="0" m="1" x="6647"/>
        <item sd="0" m="1" x="7188"/>
        <item sd="0" m="1" x="3225"/>
        <item sd="0" m="1" x="2039"/>
        <item sd="0" m="1" x="2849"/>
        <item sd="0" m="1" x="3775"/>
        <item sd="0" m="1" x="4746"/>
        <item sd="0" m="1" x="3846"/>
        <item sd="0" m="1" x="4797"/>
        <item sd="0" m="1" x="5704"/>
        <item sd="0" m="1" x="6458"/>
        <item sd="0" m="1" x="5752"/>
        <item sd="0" m="1" x="1228"/>
        <item sd="0" m="1" x="1844"/>
        <item sd="0" m="1" x="2642"/>
        <item sd="0" m="1" x="6845"/>
        <item sd="0" m="1" x="2705"/>
        <item sd="0" m="1" x="3591"/>
        <item sd="0" m="1" x="4564"/>
        <item sd="0" m="1" x="7738"/>
        <item sd="0" m="1" x="4627"/>
        <item sd="0" m="1" x="5524"/>
        <item sd="0" m="1" x="294"/>
        <item sd="0" m="1" x="2819"/>
        <item sd="0" m="1" x="3738"/>
        <item sd="0" m="1" x="4692"/>
        <item sd="0" m="1" x="5585"/>
        <item sd="0" m="1" x="900"/>
        <item sd="0" m="1" x="4747"/>
        <item sd="0" m="1" x="5637"/>
        <item sd="0" m="1" x="6401"/>
        <item sd="0" m="1" x="6985"/>
        <item sd="0" m="1" x="2126"/>
        <item sd="0" m="1" x="1818"/>
        <item sd="0" m="1" x="2604"/>
        <item sd="0" m="1" x="3486"/>
        <item sd="0" m="1" x="3533"/>
        <item sd="0" m="1" x="4500"/>
        <item sd="0" m="1" x="5426"/>
        <item sd="0" m="1" x="1173"/>
        <item sd="0" m="1" x="1760"/>
        <item sd="0" m="1" x="2502"/>
        <item sd="0" m="1" x="3353"/>
        <item sd="0" m="1" x="7287"/>
        <item sd="0" m="1" x="7665"/>
        <item sd="0" m="1" x="2570"/>
        <item sd="0" m="1" x="3434"/>
        <item sd="0" m="1" x="4375"/>
        <item sd="0" m="1" x="5317"/>
        <item sd="0" m="1" x="7938"/>
        <item sd="0" m="1" x="115"/>
        <item sd="0" m="1" x="4455"/>
        <item sd="0" m="1" x="5378"/>
        <item sd="0" m="1" x="6172"/>
        <item sd="0" m="1" x="6814"/>
        <item sd="0" m="1" x="1049"/>
        <item sd="0" m="1" x="1582"/>
        <item sd="0" m="1" x="2293"/>
        <item sd="0" m="1" x="5900"/>
        <item sd="0" m="1" x="6622"/>
        <item sd="0" m="1" x="7163"/>
        <item sd="0" m="1" x="7575"/>
        <item sd="0" m="1" x="2368"/>
        <item sd="0" m="1" x="3200"/>
        <item sd="0" m="1" x="4152"/>
        <item sd="0" m="1" x="7203"/>
        <item sd="0" m="1" x="7624"/>
        <item sd="0" m="1" x="7887"/>
        <item sd="0" m="1" x="89"/>
        <item sd="0" m="1" x="4204"/>
        <item sd="0" m="1" x="5140"/>
        <item sd="0" m="1" x="5975"/>
        <item sd="0" m="1" x="931"/>
        <item sd="0" m="1" x="4767"/>
        <item sd="0" m="1" x="5675"/>
        <item sd="0" m="1" x="6433"/>
        <item sd="0" m="1" x="7028"/>
        <item sd="0" m="1" x="2161"/>
        <item sd="0" m="1" x="6478"/>
        <item sd="0" m="1" x="7077"/>
        <item sd="0" m="1" x="7532"/>
        <item sd="0" m="1" x="7830"/>
        <item sd="0" m="1" x="3945"/>
        <item sd="0" m="1" x="508"/>
        <item sd="0" m="1" x="867"/>
        <item sd="0" m="1" x="6958"/>
        <item sd="0" m="1" x="1415"/>
        <item sd="0" m="1" x="2066"/>
        <item sd="0" m="1" x="2883"/>
        <item sd="0" m="1" x="7029"/>
        <item sd="0" m="1" x="7470"/>
        <item sd="0" m="1" x="7791"/>
        <item sd="0" m="1" x="2978"/>
        <item sd="0" m="1" x="3876"/>
        <item sd="0" m="1" x="4834"/>
        <item sd="0" m="1" x="424"/>
        <item sd="0" m="1" x="754"/>
        <item sd="0" m="1" x="4474"/>
        <item sd="0" m="1" x="5397"/>
        <item sd="0" m="1" x="6191"/>
        <item sd="0" m="1" x="6824"/>
        <item sd="0" m="1" x="1256"/>
        <item sd="0" m="1" x="1877"/>
        <item sd="0" m="1" x="6265"/>
        <item sd="0" m="1" x="6872"/>
        <item sd="0" m="1" x="7356"/>
        <item sd="0" m="1" x="2738"/>
        <item sd="0" m="1" x="3624"/>
        <item sd="0" m="1" x="366"/>
        <item sd="0" m="1" x="2384"/>
        <item sd="0" m="1" x="3265"/>
        <item sd="0" m="1" x="4221"/>
        <item sd="0" m="1" x="5157"/>
        <item sd="0" m="1" x="1114"/>
        <item sd="0" m="1" x="4259"/>
        <item sd="0" m="1" x="5206"/>
        <item sd="0" m="1" x="6045"/>
        <item sd="0" m="1" x="6710"/>
        <item sd="0" m="1" x="2503"/>
        <item sd="0" m="1" x="1472"/>
        <item sd="0" m="1" x="2192"/>
        <item sd="0" m="1" x="3036"/>
        <item sd="0" m="1" x="3960"/>
        <item sd="0" m="1" x="3077"/>
        <item sd="0" m="1" x="4014"/>
        <item sd="0" m="1" x="4977"/>
        <item sd="0" m="1" x="5841"/>
        <item sd="0" m="1" x="5040"/>
        <item sd="0" m="1" x="723"/>
        <item sd="0" m="1" x="7269"/>
        <item sd="0" m="1" x="1788"/>
        <item sd="0" m="1" x="2559"/>
        <item sd="0" m="1" x="3409"/>
        <item sd="0" m="1" x="7314"/>
        <item sd="0" m="1" x="7703"/>
        <item sd="0" m="1" x="7920"/>
        <item sd="0" m="1" x="3487"/>
        <item sd="0" m="1" x="4429"/>
        <item sd="0" m="1" x="5345"/>
        <item sd="0" m="1" x="624"/>
        <item sd="0" m="1" x="1022"/>
        <item sd="0" m="1" x="4059"/>
        <item sd="0" m="1" x="5015"/>
        <item sd="0" m="1" x="5889"/>
        <item sd="0" m="1" x="6592"/>
        <item sd="0" m="1" x="1627"/>
        <item sd="0" m="1" x="2341"/>
        <item sd="0" m="1" x="5930"/>
        <item sd="0" m="1" x="6648"/>
        <item sd="0" m="1" x="7192"/>
        <item sd="0" m="1" x="7600"/>
        <item sd="0" m="1" x="3235"/>
        <item sd="0" m="1" x="4170"/>
        <item sd="0" m="1" x="2858"/>
        <item sd="0" m="1" x="3782"/>
        <item sd="0" m="1" x="4757"/>
        <item sd="0" m="1" x="5647"/>
        <item sd="0" m="1" x="4806"/>
        <item sd="0" m="1" x="5705"/>
        <item sd="0" m="1" x="6468"/>
        <item sd="0" m="1" x="7055"/>
        <item sd="0" m="1" x="1852"/>
        <item sd="0" m="1" x="2645"/>
        <item sd="0" m="1" x="3542"/>
        <item sd="0" m="1" x="3599"/>
        <item sd="0" m="1" x="4567"/>
        <item sd="0" m="1" x="5485"/>
        <item sd="0" m="1" x="5525"/>
        <item sd="0" m="1" x="297"/>
        <item sd="0" m="1" x="482"/>
        <item sd="0" m="1" x="3739"/>
        <item sd="0" m="1" x="4699"/>
        <item sd="0" m="1" x="5600"/>
        <item sd="0" m="1" x="6346"/>
        <item sd="0" m="1" x="912"/>
        <item sd="0" m="1" x="1379"/>
        <item sd="0" m="1" x="5648"/>
        <item sd="0" m="1" x="6411"/>
        <item sd="0" m="1" x="7001"/>
        <item sd="0" m="1" x="7445"/>
        <item sd="0" m="1" x="2138"/>
        <item sd="0" m="1" x="2938"/>
        <item sd="0" m="1" x="240"/>
        <item sd="0" m="1" x="2605"/>
        <item sd="0" m="1" x="3494"/>
        <item sd="0" m="1" x="4445"/>
        <item sd="0" m="1" x="5361"/>
        <item sd="0" m="1" x="776"/>
        <item sd="0" m="1" x="4509"/>
        <item sd="0" m="1" x="5437"/>
        <item sd="0" m="1" x="6225"/>
        <item sd="0" m="1" x="1930"/>
        <item sd="0" m="1" x="2535"/>
        <item sd="0" m="1" x="3371"/>
        <item sd="0" m="1" x="4330"/>
        <item sd="0" m="1" x="7684"/>
        <item sd="0" m="1" x="4390"/>
        <item sd="0" m="1" x="5318"/>
        <item sd="0" m="1" x="6135"/>
        <item sd="0" m="1" x="117"/>
        <item sd="0" m="1" x="6192"/>
        <item sd="0" m="1" x="6825"/>
        <item sd="0" m="1" x="1057"/>
        <item sd="0" m="1" x="1603"/>
        <item sd="0" m="1" x="2311"/>
        <item sd="0" m="1" x="3148"/>
        <item sd="0" m="1" x="7175"/>
        <item sd="0" m="1" x="7576"/>
        <item sd="0" m="1" x="2376"/>
        <item sd="0" m="1" x="3212"/>
        <item sd="0" m="1" x="4153"/>
        <item sd="0" m="1" x="5094"/>
        <item sd="0" m="1" x="7888"/>
        <item sd="0" m="1" x="90"/>
        <item sd="0" m="1" x="4222"/>
        <item sd="0" m="1" x="5158"/>
        <item sd="0" m="1" x="5989"/>
        <item sd="0" m="1" x="6656"/>
        <item sd="0" m="1" x="934"/>
        <item sd="0" m="1" x="1434"/>
        <item sd="0" m="1" x="2094"/>
        <item sd="0" m="1" x="5692"/>
        <item sd="0" m="1" x="6446"/>
        <item sd="0" m="1" x="7038"/>
        <item sd="0" m="1" x="7479"/>
        <item sd="0" m="1" x="2164"/>
        <item sd="0" m="1" x="2987"/>
        <item sd="0" m="1" x="3885"/>
        <item sd="0" m="1" x="7078"/>
        <item sd="0" m="1" x="7533"/>
        <item sd="0" m="1" x="7839"/>
        <item sd="0" m="1" x="7981"/>
        <item sd="0" m="1" x="3963"/>
        <item sd="0" m="1" x="4909"/>
        <item sd="0" m="1" x="5765"/>
        <item sd="0" m="1" x="1521"/>
        <item sd="0" m="1" x="2235"/>
        <item sd="0" m="1" x="3093"/>
        <item sd="0" m="1" x="4030"/>
        <item sd="0" m="1" x="3149"/>
        <item sd="0" m="1" x="4094"/>
        <item sd="0" m="1" x="5056"/>
        <item sd="0" m="1" x="5916"/>
        <item sd="0" m="1" x="5095"/>
        <item sd="0" m="1" x="5945"/>
        <item sd="0" m="1" x="887"/>
        <item sd="0" m="1" x="1353"/>
        <item sd="0" m="1" x="2033"/>
        <item sd="0" m="1" x="2836"/>
        <item sd="0" m="1" x="6389"/>
        <item sd="0" m="1" x="6973"/>
        <item sd="0" m="1" x="2095"/>
        <item sd="0" m="1" x="2896"/>
        <item sd="0" m="1" x="3824"/>
        <item sd="0" m="1" x="4784"/>
        <item sd="0" m="1" x="7480"/>
        <item sd="0" m="1" x="7792"/>
        <item sd="0" m="1" x="3886"/>
        <item sd="0" m="1" x="4846"/>
        <item sd="0" m="1" x="5731"/>
        <item sd="0" m="1" x="431"/>
        <item sd="0" m="1" x="759"/>
        <item sd="0" m="1" x="1218"/>
        <item sd="0" m="1" x="5416"/>
        <item sd="0" m="1" x="6203"/>
        <item sd="0" m="1" x="6841"/>
        <item sd="0" m="1" x="1281"/>
        <item sd="0" m="1" x="1900"/>
        <item sd="0" m="1" x="2684"/>
        <item sd="0" m="1" x="6891"/>
        <item sd="0" m="1" x="7370"/>
        <item sd="0" m="1" x="7728"/>
        <item sd="0" m="1" x="2757"/>
        <item sd="0" m="1" x="3647"/>
        <item sd="0" m="1" x="4606"/>
        <item sd="0" m="1" x="384"/>
        <item sd="0" m="1" x="660"/>
        <item sd="0" m="1" x="4225"/>
        <item sd="0" m="1" x="5165"/>
        <item sd="0" m="1" x="6009"/>
        <item sd="0" m="1" x="1146"/>
        <item sd="0" m="1" x="1687"/>
        <item sd="0" m="1" x="6064"/>
        <item sd="0" m="1" x="6733"/>
        <item sd="0" m="1" x="7238"/>
        <item sd="0" m="1" x="2536"/>
        <item sd="0" m="1" x="3372"/>
        <item sd="0" m="1" x="319"/>
        <item sd="0" m="1" x="2193"/>
        <item sd="0" m="1" x="3037"/>
        <item sd="0" m="1" x="3984"/>
        <item sd="0" m="1" x="4930"/>
        <item sd="0" m="1" x="996"/>
        <item sd="0" m="1" x="4031"/>
        <item sd="0" m="1" x="4993"/>
        <item sd="0" m="1" x="5870"/>
        <item sd="0" m="1" x="6559"/>
        <item sd="0" m="1" x="2312"/>
        <item sd="0" m="1" x="132"/>
        <item sd="0" m="1" x="1163"/>
        <item sd="0" m="1" x="1728"/>
        <item sd="0" m="1" x="6084"/>
        <item sd="0" m="1" x="6748"/>
        <item sd="0" m="1" x="7270"/>
        <item sd="0" m="1" x="2560"/>
        <item sd="0" m="1" x="3410"/>
        <item sd="0" m="1" x="7315"/>
        <item sd="0" m="1" x="7704"/>
        <item sd="0" m="1" x="7921"/>
        <item sd="0" m="1" x="4430"/>
        <item sd="0" m="1" x="5346"/>
        <item sd="0" m="1" x="1023"/>
        <item sd="0" m="1" x="4060"/>
        <item sd="0" m="1" x="5016"/>
        <item sd="0" m="1" x="5890"/>
        <item sd="0" m="1" x="6593"/>
        <item sd="0" m="1" x="2342"/>
        <item sd="0" m="1" x="5931"/>
        <item sd="0" m="1" x="6649"/>
        <item sd="0" m="1" x="7193"/>
        <item sd="0" m="1" x="7601"/>
        <item sd="0" m="1" x="4171"/>
        <item sd="0" m="1" x="2859"/>
        <item sd="0" m="1" x="3783"/>
        <item sd="0" m="1" x="4758"/>
        <item sd="0" m="1" x="5649"/>
        <item sd="0" m="1" x="4807"/>
        <item sd="0" m="1" x="5706"/>
        <item sd="0" m="1" x="6469"/>
        <item sd="0" m="1" x="7056"/>
        <item sd="0" m="1" x="6479"/>
        <item sd="0" m="1" x="1853"/>
        <item sd="0" m="1" x="2646"/>
        <item sd="0" m="1" x="3543"/>
        <item sd="0" m="1" x="7334"/>
        <item sd="0" m="1" x="3600"/>
        <item sd="0" m="1" x="4568"/>
        <item sd="0" m="1" x="5486"/>
        <item sd="0" m="1" x="7939"/>
        <item sd="0" m="1" x="5526"/>
        <item sd="0" m="1" x="6318"/>
        <item sd="0" m="1" x="681"/>
        <item sd="0" m="1" x="1091"/>
        <item sd="0" m="1" x="1659"/>
        <item sd="0" m="1" x="2400"/>
        <item sd="0" m="1" x="6687"/>
        <item sd="0" m="1" x="7204"/>
        <item sd="0" m="1" x="1729"/>
        <item sd="0" m="1" x="2470"/>
        <item sd="0" m="1" x="3333"/>
        <item sd="0" m="1" x="4282"/>
        <item sd="0" m="1" x="7649"/>
        <item sd="0" m="1" x="7892"/>
        <item sd="0" m="1" x="3411"/>
        <item sd="0" m="1" x="4359"/>
        <item sd="0" m="1" x="5297"/>
        <item sd="0" m="1" x="6116"/>
        <item sd="0" m="1" x="2606"/>
        <item sd="0" m="1" x="3495"/>
        <item sd="0" m="1" x="4446"/>
        <item sd="0" m="1" x="5362"/>
        <item sd="0" m="1" x="4510"/>
        <item sd="0" m="1" x="5438"/>
        <item sd="0" m="1" x="6226"/>
        <item sd="0" m="1" x="2537"/>
        <item sd="0" m="1" x="3373"/>
        <item sd="0" m="1" x="4331"/>
        <item sd="0" m="1" x="7685"/>
        <item sd="0" m="1" x="7896"/>
        <item sd="0" m="1" x="4391"/>
        <item sd="0" m="1" x="5319"/>
        <item sd="0" m="1" x="6136"/>
        <item sd="0" m="1" x="118"/>
        <item sd="0" m="1" x="156"/>
        <item sd="0" m="1" x="6193"/>
        <item sd="0" m="1" x="6826"/>
        <item sd="0" m="1" x="7323"/>
        <item sd="0" m="1" x="1604"/>
        <item sd="0" m="1" x="2313"/>
        <item sd="0" m="1" x="3150"/>
        <item sd="0" m="1" x="7176"/>
        <item sd="0" m="1" x="7577"/>
        <item sd="0" m="1" x="7857"/>
        <item sd="0" m="1" x="3213"/>
        <item sd="0" m="1" x="4154"/>
        <item sd="0" m="1" x="5096"/>
        <item sd="0" m="1" x="7889"/>
        <item sd="0" m="1" x="91"/>
        <item sd="0" m="1" x="154"/>
        <item sd="0" m="1" x="5159"/>
        <item sd="0" m="1" x="5990"/>
        <item sd="0" m="1" x="6657"/>
        <item sd="0" m="1" x="1306"/>
        <item sd="0" m="1" x="1931"/>
        <item sd="0" m="1" x="2713"/>
        <item sd="0" m="1" x="6919"/>
        <item sd="0" m="1" x="7393"/>
        <item sd="0" m="1" x="2782"/>
        <item sd="0" m="1" x="3664"/>
        <item sd="0" m="1" x="4628"/>
        <item sd="0" m="1" x="7778"/>
        <item sd="0" m="1" x="7966"/>
        <item sd="0" m="1" x="4693"/>
        <item sd="0" m="1" x="5586"/>
        <item sd="0" m="1" x="6332"/>
        <item sd="0" m="1" x="724"/>
        <item sd="0" m="1" x="1164"/>
        <item sd="0" m="1" x="1730"/>
        <item sd="0" m="1" x="6085"/>
        <item sd="0" m="1" x="6749"/>
        <item sd="0" m="1" x="7271"/>
        <item sd="0" m="1" x="1789"/>
        <item sd="0" m="1" x="2561"/>
        <item sd="0" m="1" x="3412"/>
        <item sd="0" m="1" x="7316"/>
        <item sd="0" m="1" x="7705"/>
        <item sd="0" m="1" x="7922"/>
        <item sd="0" m="1" x="3488"/>
        <item sd="0" m="1" x="4431"/>
        <item sd="0" m="1" x="5347"/>
        <item sd="0" m="1" x="1854"/>
        <item sd="0" m="1" x="2647"/>
        <item sd="0" m="1" x="3544"/>
        <item sd="0" m="1" x="3601"/>
        <item sd="0" m="1" x="4569"/>
        <item sd="0" m="1" x="5487"/>
        <item sd="0" m="1" x="5527"/>
        <item sd="0" m="1" x="682"/>
        <item sd="0" m="1" x="1092"/>
        <item sd="0" m="1" x="1660"/>
        <item sd="0" m="1" x="2401"/>
        <item sd="0" m="1" x="6688"/>
        <item sd="0" m="1" x="1731"/>
        <item sd="0" m="1" x="2471"/>
        <item sd="0" m="1" x="3334"/>
        <item sd="0" m="1" x="4283"/>
        <item sd="0" m="1" x="7650"/>
        <item sd="0" m="1" x="3413"/>
        <item sd="0" m="1" x="4360"/>
        <item sd="0" m="1" x="5298"/>
        <item sd="0" m="1" x="332"/>
        <item sd="0" m="1" x="571"/>
        <item sd="0" m="1" x="970"/>
        <item sd="0" m="1" x="1483"/>
        <item sd="0" m="1" x="4957"/>
        <item sd="0" m="1" x="5821"/>
        <item sd="0" m="1" x="6533"/>
        <item sd="0" m="1" x="1024"/>
        <item sd="0" m="1" x="1554"/>
        <item sd="0" m="1" x="2268"/>
        <item sd="0" m="1" x="3110"/>
        <item sd="0" m="1" x="6594"/>
        <item sd="0" m="1" x="7141"/>
        <item sd="0" m="1" x="7558"/>
        <item sd="0" m="1" x="2343"/>
        <item sd="0" m="1" x="3178"/>
        <item sd="0" m="1" x="4127"/>
        <item sd="0" m="1" x="5073"/>
        <item sd="0" m="1" x="298"/>
        <item sd="0" m="1" x="483"/>
        <item sd="0" m="1" x="3740"/>
        <item sd="0" m="1" x="4700"/>
        <item sd="0" m="1" x="5601"/>
        <item sd="0" m="1" x="6347"/>
        <item sd="0" m="1" x="913"/>
        <item sd="0" m="1" x="1380"/>
        <item sd="0" m="1" x="5650"/>
        <item sd="0" m="1" x="6412"/>
        <item sd="0" m="1" x="7002"/>
        <item sd="0" m="1" x="7446"/>
        <item sd="0" m="1" x="2139"/>
        <item sd="0" m="1" x="2939"/>
        <item sd="0" m="1" x="241"/>
        <item sd="0" m="1" x="2607"/>
        <item sd="0" m="1" x="3496"/>
        <item sd="0" m="1" x="4447"/>
        <item sd="0" m="1" x="5363"/>
        <item sd="0" m="1" x="777"/>
        <item sd="0" m="1" x="4511"/>
        <item sd="0" m="1" x="5439"/>
        <item sd="0" m="1" x="6227"/>
        <item sd="0" m="1" x="1932"/>
        <item sd="0" m="1" x="92"/>
        <item sd="0" m="1" x="935"/>
        <item sd="0" m="1" x="1435"/>
        <item sd="0" m="1" x="2096"/>
        <item sd="0" m="1" x="5693"/>
        <item sd="0" m="1" x="6447"/>
        <item sd="0" m="1" x="7039"/>
        <item sd="0" m="1" x="7481"/>
        <item sd="0" m="1" x="2165"/>
        <item sd="0" m="1" x="2988"/>
        <item sd="0" m="1" x="3887"/>
        <item sd="0" m="1" x="7079"/>
        <item sd="0" m="1" x="7534"/>
        <item sd="0" m="1" x="7840"/>
        <item sd="0" m="1" x="7982"/>
        <item sd="0" m="1" x="3964"/>
        <item sd="0" m="1" x="4910"/>
        <item sd="0" m="1" x="5766"/>
        <item sd="0" m="1" x="823"/>
        <item sd="0" m="1" x="4554"/>
        <item sd="0" m="1" x="5468"/>
        <item sd="0" m="1" x="6284"/>
        <item sd="0" m="1" x="6892"/>
        <item sd="0" m="1" x="1982"/>
        <item sd="0" m="1" x="6315"/>
        <item sd="0" m="1" x="6948"/>
        <item sd="0" m="1" x="7431"/>
        <item sd="0" m="1" x="7761"/>
        <item sd="0" m="1" x="3701"/>
        <item sd="0" m="1" x="3305"/>
        <item sd="0" m="1" x="4264"/>
        <item sd="0" m="1" x="5225"/>
        <item sd="0" m="1" x="5269"/>
        <item sd="0" m="1" x="6113"/>
        <item sd="0" m="1" x="6787"/>
        <item sd="0" m="1" x="1522"/>
        <item sd="0" m="1" x="2236"/>
        <item sd="0" m="1" x="3094"/>
        <item sd="0" m="1" x="4032"/>
        <item sd="0" m="1" x="3151"/>
        <item sd="0" m="1" x="4095"/>
        <item sd="0" m="1" x="5057"/>
        <item sd="0" m="1" x="5917"/>
        <item sd="0" m="1" x="5097"/>
        <item sd="0" m="1" x="5946"/>
        <item sd="0" m="1" x="888"/>
        <item sd="0" m="1" x="1354"/>
        <item sd="0" m="1" x="2034"/>
        <item sd="0" m="1" x="2837"/>
        <item sd="0" m="1" x="6390"/>
        <item sd="0" m="1" x="6974"/>
        <item sd="0" m="1" x="2097"/>
        <item sd="0" m="1" x="2897"/>
        <item sd="0" m="1" x="3825"/>
        <item sd="0" m="1" x="4785"/>
        <item sd="0" m="1" x="7482"/>
        <item sd="0" m="1" x="7793"/>
        <item sd="0" m="1" x="3888"/>
        <item sd="0" m="1" x="4847"/>
        <item sd="0" m="1" x="5732"/>
        <item sd="0" m="1" x="320"/>
        <item sd="0" m="1" x="2194"/>
        <item sd="0" m="1" x="3038"/>
        <item sd="0" m="1" x="3985"/>
        <item sd="0" m="1" x="4931"/>
        <item sd="0" m="1" x="997"/>
        <item sd="0" m="1" x="4033"/>
        <item sd="0" m="1" x="4994"/>
        <item sd="0" m="1" x="5871"/>
        <item sd="0" m="1" x="6560"/>
        <item sd="0" m="1" x="2314"/>
        <item sd="0" m="1" x="2140"/>
        <item sd="0" m="1" x="2940"/>
        <item sd="0" m="1" x="3855"/>
        <item sd="0" m="1" x="4808"/>
        <item sd="0" m="1" x="7513"/>
        <item sd="0" m="1" x="7811"/>
        <item sd="0" m="1" x="3919"/>
        <item sd="0" m="1" x="4874"/>
        <item sd="0" m="1" x="5753"/>
        <item sd="0" m="1" x="6480"/>
        <item sd="0" m="1" x="147"/>
        <item sd="0" m="1" x="5811"/>
        <item sd="0" m="1" x="6528"/>
        <item sd="0" m="1" x="7089"/>
        <item sd="0" m="1" x="1307"/>
        <item sd="0" m="1" x="1933"/>
        <item sd="0" m="1" x="2714"/>
        <item sd="0" m="1" x="6920"/>
        <item sd="0" m="1" x="7394"/>
        <item sd="0" m="1" x="7739"/>
        <item sd="0" m="1" x="2783"/>
        <item sd="0" m="1" x="3665"/>
        <item sd="0" m="1" x="4629"/>
        <item sd="0" m="1" x="7779"/>
        <item sd="0" m="1" x="7967"/>
        <item sd="0" m="1" x="133"/>
        <item sd="0" m="1" x="4694"/>
        <item sd="0" m="1" x="5587"/>
        <item sd="0" m="1" x="6333"/>
        <item sd="0" m="1" x="1165"/>
        <item sd="0" m="1" x="1732"/>
        <item sd="0" m="1" x="6086"/>
        <item sd="0" m="1" x="6750"/>
        <item sd="0" m="1" x="7272"/>
        <item sd="0" m="1" x="2562"/>
        <item sd="0" m="1" x="3414"/>
        <item sd="0" m="1" x="7317"/>
        <item sd="0" m="1" x="7706"/>
        <item sd="0" m="1" x="7923"/>
        <item sd="0" m="1" x="4432"/>
        <item sd="0" m="1" x="5348"/>
        <item sd="0" m="1" x="1025"/>
        <item sd="0" m="1" x="4061"/>
        <item sd="0" m="1" x="5017"/>
        <item sd="0" m="1" x="5891"/>
        <item sd="0" m="1" x="6595"/>
        <item sd="0" m="1" x="2344"/>
        <item sd="0" m="1" x="5932"/>
        <item sd="0" m="1" x="6650"/>
        <item sd="0" m="1" x="7194"/>
        <item sd="0" m="1" x="7602"/>
        <item sd="0" m="1" x="4172"/>
        <item sd="0" m="1" x="683"/>
        <item sd="0" m="1" x="1093"/>
        <item sd="0" m="1" x="1661"/>
        <item sd="0" m="1" x="2402"/>
        <item sd="0" m="1" x="6689"/>
        <item sd="0" m="1" x="7205"/>
        <item sd="0" m="1" x="1733"/>
        <item sd="0" m="1" x="2472"/>
        <item sd="0" m="1" x="3335"/>
        <item sd="0" m="1" x="4284"/>
        <item sd="0" m="1" x="7651"/>
        <item sd="0" m="1" x="7893"/>
        <item sd="0" m="1" x="3415"/>
        <item sd="0" m="1" x="4361"/>
        <item sd="0" m="1" x="5299"/>
        <item sd="0" m="1" x="6117"/>
        <item sd="0" m="1" x="572"/>
        <item sd="0" m="1" x="971"/>
        <item sd="0" m="1" x="1484"/>
        <item sd="0" m="1" x="4958"/>
        <item sd="0" m="1" x="5822"/>
        <item sd="0" m="1" x="6534"/>
        <item sd="0" m="1" x="7092"/>
        <item sd="0" m="1" x="1555"/>
        <item sd="0" m="1" x="2269"/>
        <item sd="0" m="1" x="3111"/>
        <item sd="0" m="1" x="6596"/>
        <item sd="0" m="1" x="7142"/>
        <item sd="0" m="1" x="7559"/>
        <item sd="0" m="1" x="7847"/>
        <item sd="0" m="1" x="3179"/>
        <item sd="0" m="1" x="4128"/>
        <item sd="0" m="1" x="5074"/>
        <item sd="0" m="1" x="484"/>
        <item sd="0" m="1" x="3741"/>
        <item sd="0" m="1" x="4701"/>
        <item sd="0" m="1" x="5602"/>
        <item sd="0" m="1" x="6348"/>
        <item sd="0" m="1" x="1381"/>
        <item sd="0" m="1" x="5651"/>
        <item sd="0" m="1" x="6413"/>
        <item sd="0" m="1" x="7003"/>
        <item sd="0" m="1" x="7447"/>
        <item sd="0" m="1" x="2941"/>
        <item sd="0" m="1" x="1308"/>
        <item sd="0" m="1" x="1934"/>
        <item sd="0" m="1" x="2715"/>
        <item sd="0" m="1" x="6921"/>
        <item sd="0" m="1" x="7395"/>
        <item sd="0" m="1" x="2784"/>
        <item sd="0" m="1" x="3666"/>
        <item sd="0" m="1" x="4630"/>
        <item sd="0" m="1" x="7780"/>
        <item sd="0" m="1" x="7968"/>
        <item sd="0" m="1" x="4695"/>
        <item sd="0" m="1" x="5588"/>
        <item sd="0" m="1" x="6334"/>
        <item sd="0" m="1" x="725"/>
        <item sd="0" m="1" x="1166"/>
        <item sd="0" m="1" x="1734"/>
        <item sd="0" m="1" x="6087"/>
        <item sd="0" m="1" x="6751"/>
        <item sd="0" m="1" x="7273"/>
        <item sd="0" m="1" x="1790"/>
        <item sd="0" m="1" x="2563"/>
        <item sd="0" m="1" x="3416"/>
        <item sd="0" m="1" x="7318"/>
        <item sd="0" m="1" x="7707"/>
        <item sd="0" m="1" x="7924"/>
        <item sd="0" m="1" x="3489"/>
        <item sd="0" m="1" x="4433"/>
        <item sd="0" m="1" x="5349"/>
        <item sd="0" m="1" x="1855"/>
        <item sd="0" m="1" x="2648"/>
        <item sd="0" m="1" x="3545"/>
        <item sd="0" m="1" x="3602"/>
        <item sd="0" m="1" x="4570"/>
        <item sd="0" m="1" x="5488"/>
        <item sd="0" m="1" x="5528"/>
        <item sd="0" m="1" x="684"/>
        <item sd="0" m="1" x="1094"/>
        <item sd="0" m="1" x="1662"/>
        <item sd="0" m="1" x="2403"/>
        <item sd="0" m="1" x="6690"/>
        <item sd="0" m="1" x="1735"/>
        <item sd="0" m="1" x="2473"/>
        <item sd="0" m="1" x="3336"/>
        <item sd="0" m="1" x="4285"/>
        <item sd="0" m="1" x="7652"/>
        <item sd="0" m="1" x="3417"/>
        <item sd="0" m="1" x="4362"/>
        <item sd="0" m="1" x="5300"/>
        <item sd="0" m="1" x="333"/>
        <item sd="0" m="1" x="573"/>
        <item sd="0" m="1" x="972"/>
        <item sd="0" m="1" x="1485"/>
        <item sd="0" m="1" x="4959"/>
        <item sd="0" m="1" x="5823"/>
        <item sd="0" m="1" x="6535"/>
        <item sd="0" m="1" x="1026"/>
        <item sd="0" m="1" x="1556"/>
        <item sd="0" m="1" x="2270"/>
        <item sd="0" m="1" x="3112"/>
        <item sd="0" m="1" x="6597"/>
        <item sd="0" m="1" x="7143"/>
        <item sd="0" m="1" x="7560"/>
        <item sd="0" m="1" x="2345"/>
        <item sd="0" m="1" x="3180"/>
        <item sd="0" m="1" x="4129"/>
        <item sd="0" m="1" x="5075"/>
        <item sd="0" m="1" x="299"/>
        <item sd="0" m="1" x="485"/>
        <item sd="0" m="1" x="3742"/>
        <item sd="0" m="1" x="4702"/>
        <item sd="0" m="1" x="5603"/>
        <item sd="0" m="1" x="6349"/>
        <item sd="0" m="1" x="914"/>
        <item sd="0" m="1" x="1382"/>
        <item sd="0" m="1" x="5652"/>
        <item sd="0" m="1" x="6414"/>
        <item sd="0" m="1" x="7004"/>
        <item sd="0" m="1" x="7448"/>
        <item sd="0" m="1" x="2141"/>
        <item sd="0" m="1" x="2942"/>
        <item sd="0" m="1" x="242"/>
        <item sd="0" m="1" x="2608"/>
        <item sd="0" m="1" x="3497"/>
        <item sd="0" m="1" x="4448"/>
        <item sd="0" m="1" x="5364"/>
        <item sd="0" m="1" x="778"/>
        <item sd="0" m="1" x="4512"/>
        <item sd="0" m="1" x="5440"/>
        <item sd="0" m="1" x="6228"/>
        <item sd="0" m="1" x="1935"/>
        <item sd="0" m="1" x="93"/>
        <item sd="0" m="1" x="6658"/>
        <item sd="0" m="1" x="936"/>
        <item sd="0" m="1" x="1436"/>
        <item sd="0" m="1" x="2098"/>
        <item sd="0" m="1" x="5694"/>
        <item sd="0" m="1" x="6448"/>
        <item sd="0" m="1" x="7040"/>
        <item sd="0" m="1" x="7483"/>
        <item sd="0" m="1" x="2166"/>
        <item sd="0" m="1" x="2989"/>
        <item sd="0" m="1" x="3889"/>
        <item sd="0" m="1" x="7080"/>
        <item sd="0" m="1" x="7535"/>
        <item sd="0" m="1" x="7841"/>
        <item sd="0" m="1" x="7983"/>
        <item sd="0" m="1" x="3965"/>
        <item sd="0" m="1" x="4911"/>
        <item sd="0" m="1" x="5767"/>
        <item sd="0" m="1" x="824"/>
        <item sd="0" m="1" x="4555"/>
        <item sd="0" m="1" x="5469"/>
        <item sd="0" m="1" x="6285"/>
        <item sd="0" m="1" x="6893"/>
        <item sd="0" m="1" x="1983"/>
        <item sd="0" m="1" x="6316"/>
        <item sd="0" m="1" x="6949"/>
        <item sd="0" m="1" x="7432"/>
        <item sd="0" m="1" x="7762"/>
        <item sd="0" m="1" x="3702"/>
        <item sd="0" m="1" x="3306"/>
        <item sd="0" m="1" x="4265"/>
        <item sd="0" m="1" x="5226"/>
        <item sd="0" m="1" x="5270"/>
        <item sd="0" m="1" x="6114"/>
        <item sd="0" m="1" x="6788"/>
        <item sd="0" m="1" x="1523"/>
        <item sd="0" m="1" x="2237"/>
        <item sd="0" m="1" x="3095"/>
        <item sd="0" m="1" x="4034"/>
        <item sd="0" m="1" x="3152"/>
        <item sd="0" m="1" x="4096"/>
        <item sd="0" m="1" x="5058"/>
        <item sd="0" m="1" x="5918"/>
        <item sd="0" m="1" x="5098"/>
        <item sd="0" m="1" x="5947"/>
        <item sd="0" m="1" x="889"/>
        <item sd="0" m="1" x="1355"/>
        <item sd="0" m="1" x="2035"/>
        <item sd="0" m="1" x="2838"/>
        <item sd="0" m="1" x="6391"/>
        <item sd="0" m="1" x="6975"/>
        <item sd="0" m="1" x="2099"/>
        <item sd="0" m="1" x="2898"/>
        <item sd="0" m="1" x="3826"/>
        <item sd="0" m="1" x="4786"/>
        <item sd="0" m="1" x="7484"/>
        <item sd="0" m="1" x="7794"/>
        <item sd="0" m="1" x="3890"/>
        <item sd="0" m="1" x="4848"/>
        <item sd="0" m="1" x="321"/>
        <item sd="0" m="1" x="2195"/>
        <item sd="0" m="1" x="3039"/>
        <item sd="0" m="1" x="3986"/>
        <item sd="0" m="1" x="4932"/>
        <item sd="0" m="1" x="998"/>
        <item sd="0" m="1" x="4035"/>
        <item sd="0" m="1" x="4995"/>
        <item sd="0" m="1" x="5872"/>
        <item sd="0" m="1" x="6561"/>
        <item sd="0" m="1" x="2315"/>
        <item sd="0" m="1" x="2142"/>
        <item sd="0" m="1" x="2943"/>
        <item sd="0" m="1" x="3856"/>
        <item sd="0" m="1" x="4809"/>
        <item sd="0" m="1" x="7514"/>
        <item sd="0" m="1" x="7812"/>
        <item sd="0" m="1" x="3920"/>
        <item sd="0" m="1" x="4875"/>
        <item sd="0" m="1" x="5754"/>
        <item sd="0" m="1" x="6481"/>
        <item sd="0" m="1" x="148"/>
        <item sd="0" m="1" x="5812"/>
        <item sd="0" m="1" x="6529"/>
        <item sd="0" m="1" x="7090"/>
        <item sd="0" m="1" x="1309"/>
        <item sd="0" m="1" x="1936"/>
        <item sd="0" m="1" x="2716"/>
        <item sd="0" m="1" x="6922"/>
        <item sd="0" m="1" x="7396"/>
        <item sd="0" m="1" x="7740"/>
        <item sd="0" m="1" x="2785"/>
        <item sd="0" m="1" x="3667"/>
        <item sd="0" m="1" x="4631"/>
        <item sd="0" m="1" x="7781"/>
        <item sd="0" m="1" x="7969"/>
        <item sd="0" m="1" x="134"/>
        <item sd="0" m="1" x="4696"/>
        <item sd="0" m="1" x="5589"/>
        <item sd="0" m="1" x="6335"/>
        <item sd="0" m="1" x="1167"/>
        <item sd="0" m="1" x="1736"/>
        <item sd="0" m="1" x="6088"/>
        <item sd="0" m="1" x="6752"/>
        <item sd="0" m="1" x="7274"/>
        <item sd="0" m="1" x="2564"/>
        <item sd="0" m="1" x="3418"/>
        <item sd="0" m="1" x="7319"/>
        <item sd="0" m="1" x="7708"/>
        <item sd="0" m="1" x="7925"/>
        <item sd="0" m="1" x="4434"/>
        <item sd="0" m="1" x="5350"/>
        <item sd="0" m="1" x="1027"/>
        <item sd="0" m="1" x="4062"/>
        <item sd="0" m="1" x="5018"/>
        <item sd="0" m="1" x="5892"/>
        <item sd="0" m="1" x="6598"/>
        <item sd="0" m="1" x="2346"/>
        <item sd="0" m="1" x="5933"/>
        <item sd="0" m="1" x="6651"/>
        <item sd="0" m="1" x="7195"/>
        <item sd="0" m="1" x="7603"/>
        <item sd="0" m="1" x="4173"/>
        <item sd="0" m="1" x="685"/>
        <item sd="0" m="1" x="1095"/>
        <item sd="0" m="1" x="1663"/>
        <item sd="0" m="1" x="2404"/>
        <item sd="0" m="1" x="6691"/>
        <item sd="0" m="1" x="7206"/>
        <item sd="0" m="1" x="1737"/>
        <item sd="0" m="1" x="2474"/>
        <item sd="0" m="1" x="3337"/>
        <item sd="0" m="1" x="4286"/>
        <item sd="0" m="1" x="7653"/>
        <item sd="0" m="1" x="7894"/>
        <item sd="0" m="1" x="3419"/>
        <item sd="0" m="1" x="4363"/>
        <item sd="0" m="1" x="5301"/>
        <item sd="0" m="1" x="6118"/>
        <item sd="0" m="1" x="574"/>
        <item sd="0" m="1" x="973"/>
        <item sd="0" m="1" x="1486"/>
        <item sd="0" m="1" x="4960"/>
        <item sd="0" m="1" x="5824"/>
        <item sd="0" m="1" x="6536"/>
        <item sd="0" m="1" x="7093"/>
        <item sd="0" m="1" x="1557"/>
        <item sd="0" m="1" x="2271"/>
        <item sd="0" m="1" x="3113"/>
        <item sd="0" m="1" x="6599"/>
        <item sd="0" m="1" x="7144"/>
        <item sd="0" m="1" x="7561"/>
        <item sd="0" m="1" x="7848"/>
        <item sd="0" m="1" x="3181"/>
        <item sd="0" m="1" x="4130"/>
        <item sd="0" m="1" x="5076"/>
        <item sd="0" m="1" x="486"/>
        <item sd="0" m="1" x="3743"/>
        <item sd="0" m="1" x="4703"/>
        <item sd="0" m="1" x="5604"/>
        <item sd="0" m="1" x="6350"/>
        <item sd="0" m="1" x="1383"/>
        <item sd="0" m="1" x="5653"/>
        <item sd="0" m="1" x="6415"/>
        <item sd="0" m="1" x="7005"/>
        <item sd="0" m="1" x="7449"/>
        <item sd="0" m="1" x="2944"/>
        <item sd="0" m="1" x="2609"/>
        <item sd="0" m="1" x="3498"/>
        <item sd="0" m="1" x="4449"/>
        <item sd="0" m="1" x="5365"/>
        <item sd="0" m="1" x="4513"/>
        <item sd="0" m="1" x="5441"/>
        <item sd="0" m="1" x="6229"/>
        <item sd="0" m="1" x="2538"/>
        <item sd="0" m="1" x="3374"/>
        <item sd="0" m="1" x="4332"/>
        <item sd="0" m="1" x="7686"/>
        <item sd="0" m="1" x="7897"/>
        <item sd="0" m="1" x="4392"/>
        <item sd="0" m="1" x="5320"/>
        <item sd="0" m="1" x="6137"/>
        <item sd="0" m="1" x="119"/>
        <item sd="0" m="1" x="157"/>
        <item sd="0" m="1" x="6194"/>
        <item sd="0" m="1" x="6827"/>
        <item sd="0" m="1" x="7324"/>
        <item sd="0" m="1" x="726"/>
        <item sd="0" m="1" x="1168"/>
        <item sd="0" m="1" x="1738"/>
        <item sd="0" m="1" x="6089"/>
        <item sd="0" m="1" x="6753"/>
        <item sd="0" m="1" x="7275"/>
        <item sd="0" m="1" x="1791"/>
        <item sd="0" m="1" x="2565"/>
        <item sd="0" m="1" x="3420"/>
        <item sd="0" m="1" x="7320"/>
        <item sd="0" m="1" x="7709"/>
        <item sd="0" m="1" x="7926"/>
        <item sd="0" m="1" x="3490"/>
        <item sd="0" m="1" x="4435"/>
        <item sd="0" m="1" x="5351"/>
        <item sd="0" m="1" x="625"/>
        <item sd="0" m="1" x="1028"/>
        <item sd="0" m="1" x="4063"/>
        <item sd="0" m="1" x="5019"/>
        <item sd="0" m="1" x="5893"/>
        <item sd="0" m="1" x="6600"/>
        <item sd="0" m="1" x="1628"/>
        <item sd="0" m="1" x="2347"/>
        <item sd="0" m="1" x="5934"/>
        <item sd="0" m="1" x="6652"/>
        <item sd="0" m="1" x="7196"/>
        <item sd="0" m="1" x="7604"/>
        <item sd="0" m="1" x="3236"/>
        <item sd="0" m="1" x="4174"/>
        <item sd="0" m="1" x="2860"/>
        <item sd="0" m="1" x="3784"/>
        <item sd="0" m="1" x="4759"/>
        <item sd="0" m="1" x="5654"/>
        <item sd="0" m="1" x="4810"/>
        <item sd="0" m="1" x="5707"/>
        <item sd="0" m="1" x="6470"/>
        <item sd="0" m="1" x="7057"/>
        <item sd="0" m="1" x="1856"/>
        <item sd="0" m="1" x="2649"/>
        <item sd="0" m="1" x="3546"/>
        <item sd="0" m="1" x="3603"/>
        <item sd="0" m="1" x="4571"/>
        <item sd="0" m="1" x="5489"/>
        <item sd="0" m="1" x="5529"/>
        <item sd="0" m="1" x="686"/>
        <item sd="0" m="1" x="1096"/>
        <item sd="0" m="1" x="1664"/>
        <item sd="0" m="1" x="2405"/>
        <item sd="0" m="1" x="6692"/>
        <item sd="0" m="1" x="1739"/>
        <item sd="0" m="1" x="2475"/>
        <item sd="0" m="1" x="3338"/>
        <item sd="0" m="1" x="4287"/>
        <item sd="0" m="1" x="7654"/>
        <item sd="0" m="1" x="3421"/>
        <item sd="0" m="1" x="4364"/>
        <item sd="0" m="1" x="5302"/>
        <item sd="0" m="1" x="243"/>
        <item sd="0" m="1" x="2610"/>
        <item sd="0" m="1" x="3499"/>
        <item sd="0" m="1" x="4450"/>
        <item sd="0" m="1" x="5366"/>
        <item sd="0" m="1" x="779"/>
        <item sd="0" m="1" x="4514"/>
        <item sd="0" m="1" x="5442"/>
        <item sd="0" m="1" x="6230"/>
        <item sd="0" m="1" x="1937"/>
        <item sd="0" m="1" x="2539"/>
        <item sd="0" m="1" x="3375"/>
        <item sd="0" m="1" x="4333"/>
        <item sd="0" m="1" x="7687"/>
        <item sd="0" m="1" x="4393"/>
        <item sd="0" m="1" x="5321"/>
        <item sd="0" m="1" x="6138"/>
        <item sd="0" m="1" x="120"/>
        <item sd="0" m="1" x="6195"/>
        <item sd="0" m="1" x="6828"/>
        <item sd="0" m="1" x="1058"/>
        <item sd="0" m="1" x="1605"/>
        <item sd="0" m="1" x="2316"/>
        <item sd="0" m="1" x="3153"/>
        <item sd="0" m="1" x="7177"/>
        <item sd="0" m="1" x="7578"/>
        <item sd="0" m="1" x="2377"/>
        <item sd="0" m="1" x="3214"/>
        <item sd="0" m="1" x="4155"/>
        <item sd="0" m="1" x="5099"/>
        <item sd="0" m="1" x="7890"/>
        <item sd="0" m="1" x="94"/>
        <item sd="0" m="1" x="4223"/>
        <item sd="0" m="1" x="5160"/>
        <item sd="0" m="1" x="5991"/>
        <item sd="0" m="1" x="6659"/>
        <item sd="0" m="1" x="937"/>
        <item sd="0" m="1" x="1437"/>
        <item sd="0" m="1" x="2100"/>
        <item sd="0" m="1" x="5695"/>
        <item sd="0" m="1" x="6449"/>
        <item sd="0" m="1" x="7041"/>
        <item sd="0" m="1" x="7485"/>
        <item sd="0" m="1" x="2167"/>
        <item sd="0" m="1" x="2990"/>
        <item sd="0" m="1" x="3891"/>
        <item sd="0" m="1" x="7081"/>
        <item sd="0" m="1" x="7536"/>
        <item sd="0" m="1" x="7842"/>
        <item sd="0" m="1" x="7984"/>
        <item sd="0" m="1" x="3966"/>
        <item sd="0" m="1" x="4912"/>
        <item sd="0" m="1" x="5768"/>
        <item sd="0" m="1" x="825"/>
        <item sd="0" m="1" x="4556"/>
        <item sd="0" m="1" x="5470"/>
        <item sd="0" m="1" x="6286"/>
        <item sd="0" m="1" x="6894"/>
        <item sd="0" m="1" x="1984"/>
        <item sd="0" m="1" x="6317"/>
        <item sd="0" m="1" x="6950"/>
        <item sd="0" m="1" x="7433"/>
        <item sd="0" m="1" x="7763"/>
        <item sd="0" m="1" x="3703"/>
        <item sd="0" m="1" x="890"/>
        <item sd="0" m="1" x="1356"/>
        <item sd="0" m="1" x="2036"/>
        <item sd="0" m="1" x="2839"/>
        <item sd="0" m="1" x="6392"/>
        <item sd="0" m="1" x="6976"/>
        <item sd="0" m="1" x="2101"/>
        <item sd="0" m="1" x="2899"/>
        <item sd="0" m="1" x="3827"/>
        <item sd="0" m="1" x="4787"/>
        <item sd="0" m="1" x="7486"/>
        <item sd="0" m="1" x="7795"/>
        <item sd="0" m="1" x="3892"/>
        <item sd="0" m="1" x="4849"/>
        <item sd="0" m="1" x="5733"/>
        <item sd="0" m="1" x="432"/>
        <item sd="0" m="1" x="760"/>
        <item sd="0" m="1" x="1219"/>
        <item sd="0" m="1" x="5417"/>
        <item sd="0" m="1" x="6204"/>
        <item sd="0" m="1" x="6842"/>
        <item sd="0" m="1" x="1282"/>
        <item sd="0" m="1" x="1901"/>
        <item sd="0" m="1" x="2685"/>
        <item sd="0" m="1" x="6895"/>
        <item sd="0" m="1" x="7371"/>
        <item sd="0" m="1" x="7729"/>
        <item sd="0" m="1" x="2758"/>
        <item sd="0" m="1" x="3648"/>
        <item sd="0" m="1" x="4607"/>
        <item sd="0" m="1" x="385"/>
        <item sd="0" m="1" x="661"/>
        <item sd="0" m="1" x="4226"/>
        <item sd="0" m="1" x="5166"/>
        <item sd="0" m="1" x="6010"/>
        <item sd="0" m="1" x="1147"/>
        <item sd="0" m="1" x="1688"/>
        <item sd="0" m="1" x="6065"/>
        <item sd="0" m="1" x="6734"/>
        <item sd="0" m="1" x="7239"/>
        <item sd="0" m="1" x="2540"/>
        <item sd="0" m="1" x="3376"/>
        <item sd="0" m="1" x="322"/>
        <item sd="0" m="1" x="2196"/>
        <item sd="0" m="1" x="3040"/>
        <item sd="0" m="1" x="3987"/>
        <item sd="0" m="1" x="4933"/>
        <item sd="0" m="1" x="999"/>
        <item sd="0" m="1" x="4036"/>
        <item sd="0" m="1" x="4996"/>
        <item sd="0" m="1" x="5873"/>
        <item sd="0" m="1" x="6562"/>
        <item sd="0" m="1" x="2317"/>
        <item sd="0" m="1" x="2143"/>
        <item sd="0" m="1" x="2945"/>
        <item sd="0" m="1" x="3857"/>
        <item sd="0" m="1" x="4811"/>
        <item sd="0" m="1" x="7515"/>
        <item sd="0" m="1" x="7813"/>
        <item sd="0" m="1" x="3921"/>
        <item sd="0" m="1" x="4876"/>
        <item sd="0" m="1" x="5755"/>
        <item sd="0" m="1" x="6482"/>
        <item sd="0" m="1" x="149"/>
        <item sd="0" m="1" x="5813"/>
        <item sd="0" m="1" x="6530"/>
        <item sd="0" m="1" x="7091"/>
        <item sd="0" m="1" x="1029"/>
        <item sd="0" m="1" x="4064"/>
        <item sd="0" m="1" x="5020"/>
        <item sd="0" m="1" x="5894"/>
        <item sd="0" m="1" x="6601"/>
        <item sd="0" m="1" x="2348"/>
        <item sd="0" m="1" x="5935"/>
        <item sd="0" m="1" x="6653"/>
        <item sd="0" m="1" x="7197"/>
        <item sd="0" m="1" x="7605"/>
        <item sd="0" m="1" x="4175"/>
        <item sd="0" m="1" x="2861"/>
        <item sd="0" m="1" x="3785"/>
        <item sd="0" m="1" x="4760"/>
        <item sd="0" m="1" x="5655"/>
        <item sd="0" m="1" x="4812"/>
        <item sd="0" m="1" x="5708"/>
        <item sd="0" m="1" x="6471"/>
        <item sd="0" m="1" x="7058"/>
        <item sd="0" m="1" x="6483"/>
        <item sd="0" m="1" x="1857"/>
        <item sd="0" m="1" x="2650"/>
        <item sd="0" m="1" x="3547"/>
        <item sd="0" m="1" x="7335"/>
        <item sd="0" m="1" x="3604"/>
        <item sd="0" m="1" x="4572"/>
        <item sd="0" m="1" x="5490"/>
        <item sd="0" m="1" x="7940"/>
        <item sd="0" m="1" x="5530"/>
        <item sd="0" m="1" x="6319"/>
        <item sd="0" m="1" x="687"/>
        <item sd="0" m="1" x="1097"/>
        <item sd="0" m="1" x="1665"/>
        <item sd="0" m="1" x="2406"/>
        <item sd="0" m="1" x="6693"/>
        <item sd="0" m="1" x="7207"/>
        <item sd="0" m="1" x="1740"/>
        <item sd="0" m="1" x="2476"/>
        <item sd="0" m="1" x="3339"/>
        <item sd="0" m="1" x="4288"/>
        <item sd="0" m="1" x="7655"/>
        <item sd="0" m="1" x="7895"/>
        <item sd="0" m="1" x="3422"/>
        <item sd="0" m="1" x="4365"/>
        <item sd="0" m="1" x="5303"/>
        <item sd="0" m="1" x="6119"/>
        <item sd="0" m="1" x="575"/>
        <item sd="0" m="1" x="974"/>
        <item sd="0" m="1" x="1487"/>
        <item sd="0" m="1" x="4961"/>
        <item sd="0" m="1" x="5825"/>
        <item sd="0" m="1" x="6537"/>
        <item sd="0" m="1" x="7094"/>
        <item sd="0" m="1" x="1558"/>
        <item sd="0" m="1" x="2272"/>
        <item sd="0" m="1" x="3114"/>
        <item sd="0" m="1" x="6602"/>
        <item sd="0" m="1" x="7145"/>
        <item sd="0" m="1" x="7562"/>
        <item sd="0" m="1" x="7849"/>
        <item sd="0" m="1" x="3182"/>
        <item sd="0" m="1" x="4131"/>
        <item sd="0" m="1" x="5077"/>
        <item sd="0" m="1" x="2541"/>
        <item sd="0" m="1" x="3377"/>
        <item sd="0" m="1" x="4334"/>
        <item sd="0" m="1" x="7688"/>
        <item sd="0" m="1" x="7898"/>
        <item sd="0" m="1" x="4394"/>
        <item sd="0" m="1" x="5322"/>
        <item sd="0" m="1" x="6139"/>
        <item sd="0" m="1" x="121"/>
        <item sd="0" m="1" x="158"/>
        <item sd="0" m="1" x="6196"/>
        <item sd="0" m="1" x="6829"/>
        <item sd="0" m="1" x="7325"/>
        <item sd="0" m="1" x="1310"/>
        <item sd="0" m="1" x="1938"/>
        <item sd="0" m="1" x="2717"/>
        <item sd="0" m="1" x="6923"/>
        <item sd="0" m="1" x="7397"/>
        <item sd="0" m="1" x="2786"/>
        <item sd="0" m="1" x="3668"/>
        <item sd="0" m="1" x="4632"/>
        <item sd="0" m="1" x="7782"/>
        <item sd="0" m="1" x="7970"/>
        <item sd="0" m="1" x="4697"/>
        <item sd="0" m="1" x="5590"/>
        <item sd="0" m="1" x="6336"/>
        <item sd="0" m="1" x="727"/>
        <item sd="0" m="1" x="1169"/>
        <item sd="0" m="1" x="1741"/>
        <item sd="0" m="1" x="6090"/>
        <item sd="0" m="1" x="6754"/>
        <item sd="0" m="1" x="7276"/>
        <item sd="0" m="1" x="1792"/>
        <item sd="0" m="1" x="2566"/>
        <item sd="0" m="1" x="3423"/>
        <item sd="0" m="1" x="7321"/>
        <item sd="0" m="1" x="7710"/>
        <item sd="0" m="1" x="7927"/>
        <item sd="0" m="1" x="3491"/>
        <item sd="0" m="1" x="4436"/>
        <item sd="0" m="1" x="5352"/>
        <item sd="0" m="1" x="626"/>
        <item sd="0" m="1" x="1030"/>
        <item sd="0" m="1" x="4065"/>
        <item sd="0" m="1" x="5021"/>
        <item sd="0" m="1" x="5895"/>
        <item sd="0" m="1" x="6603"/>
        <item sd="0" m="1" x="1629"/>
        <item sd="0" m="1" x="2349"/>
        <item sd="0" m="1" x="5936"/>
        <item sd="0" m="1" x="6654"/>
        <item sd="0" m="1" x="7198"/>
        <item sd="0" m="1" x="7606"/>
        <item sd="0" m="1" x="3237"/>
        <item sd="0" m="1" x="4176"/>
        <item sd="0" m="1" x="2862"/>
        <item sd="0" m="1" x="3786"/>
        <item sd="0" m="1" x="4761"/>
        <item sd="0" m="1" x="5656"/>
        <item sd="0" m="1" x="4813"/>
        <item sd="0" m="1" x="5709"/>
        <item sd="0" m="1" x="6472"/>
        <item sd="0" m="1" x="7059"/>
        <item sd="0" m="1" x="334"/>
        <item sd="0" m="1" x="576"/>
        <item sd="0" m="1" x="975"/>
        <item sd="0" m="1" x="1488"/>
        <item sd="0" m="1" x="4962"/>
        <item sd="0" m="1" x="5826"/>
        <item sd="0" m="1" x="6538"/>
        <item sd="0" m="1" x="1031"/>
        <item sd="0" m="1" x="1559"/>
        <item sd="0" m="1" x="2273"/>
        <item sd="0" m="1" x="3115"/>
        <item sd="0" m="1" x="6604"/>
        <item sd="0" m="1" x="7146"/>
        <item sd="0" m="1" x="7563"/>
        <item sd="0" m="1" x="2350"/>
        <item sd="0" m="1" x="3183"/>
        <item sd="0" m="1" x="4132"/>
        <item sd="0" m="1" x="5078"/>
        <item sd="0" m="1" x="300"/>
        <item sd="0" m="1" x="487"/>
        <item sd="0" m="1" x="3744"/>
        <item sd="0" m="1" x="4704"/>
        <item sd="0" m="1" x="5605"/>
        <item sd="0" m="1" x="6351"/>
        <item sd="0" m="1" x="915"/>
        <item sd="0" m="1" x="1384"/>
        <item sd="0" m="1" x="5657"/>
        <item sd="0" m="1" x="6416"/>
        <item sd="0" m="1" x="7006"/>
        <item sd="0" m="1" x="7450"/>
        <item sd="0" m="1" x="2144"/>
        <item sd="0" m="1" x="2946"/>
        <item sd="0" m="1" x="244"/>
        <item sd="0" m="1" x="2611"/>
        <item sd="0" m="1" x="3500"/>
        <item sd="0" m="1" x="4451"/>
        <item sd="0" m="1" x="5367"/>
        <item sd="0" m="1" x="780"/>
        <item sd="0" m="1" x="4515"/>
        <item sd="0" m="1" x="5443"/>
        <item sd="0" m="1" x="6231"/>
        <item sd="0" m="1" x="1939"/>
        <item sd="0" m="1" x="2542"/>
        <item sd="0" m="1" x="3378"/>
        <item sd="0" m="1" x="4335"/>
        <item sd="0" m="1" x="7689"/>
        <item sd="0" m="1" x="4395"/>
        <item sd="0" m="1" x="5323"/>
        <item sd="0" m="1" x="6140"/>
        <item sd="0" m="1" x="122"/>
        <item sd="0" m="1" x="6197"/>
        <item sd="0" m="1" x="6830"/>
        <item sd="0" m="1" x="1059"/>
        <item sd="0" m="1" x="1606"/>
        <item sd="0" m="1" x="2318"/>
        <item sd="0" m="1" x="3154"/>
        <item sd="0" m="1" x="7178"/>
        <item sd="0" m="1" x="7579"/>
        <item sd="0" m="1" x="2378"/>
        <item sd="0" m="1" x="3215"/>
        <item sd="0" m="1" x="4156"/>
        <item sd="0" m="1" x="5100"/>
        <item sd="0" m="1" x="7891"/>
        <item sd="0" m="1" x="95"/>
        <item sd="0" m="1" x="4224"/>
        <item sd="0" m="1" x="5161"/>
        <item sd="0" m="1" x="5992"/>
        <item sd="0" m="1" x="6660"/>
        <item sd="0" m="1" x="3307"/>
        <item sd="0" m="1" x="4266"/>
        <item sd="0" m="1" x="5227"/>
        <item sd="0" m="1" x="5271"/>
        <item sd="0" m="1" x="6115"/>
        <item sd="0" m="1" x="6789"/>
        <item sd="0" m="1" x="1524"/>
        <item sd="0" m="1" x="2238"/>
        <item sd="0" m="1" x="3096"/>
        <item sd="0" m="1" x="4037"/>
        <item sd="0" m="1" x="3155"/>
        <item sd="0" m="1" x="4097"/>
        <item sd="0" m="1" x="5059"/>
        <item sd="0" m="1" x="5919"/>
        <item sd="0" m="1" x="5101"/>
        <item sd="0" m="1" x="5948"/>
        <item sd="0" m="1" x="891"/>
        <item sd="0" m="1" x="1357"/>
        <item sd="0" m="1" x="2037"/>
        <item sd="0" m="1" x="2840"/>
        <item sd="0" m="1" x="6393"/>
        <item sd="0" m="1" x="6977"/>
        <item sd="0" m="1" x="2102"/>
        <item sd="0" m="1" x="2900"/>
        <item sd="0" m="1" x="3828"/>
        <item sd="0" m="1" x="4788"/>
        <item sd="0" m="1" x="7487"/>
        <item sd="0" m="1" x="7796"/>
        <item sd="0" m="1" x="3893"/>
        <item sd="0" m="1" x="4850"/>
        <item sd="0" m="1" x="5734"/>
        <item sd="0" m="1" x="433"/>
        <item sd="0" m="1" x="761"/>
        <item sd="0" m="1" x="1220"/>
        <item sd="0" m="1" x="5418"/>
        <item sd="0" m="1" x="6205"/>
        <item sd="0" m="1" x="6843"/>
        <item sd="0" m="1" x="1283"/>
        <item sd="0" m="1" x="1902"/>
        <item sd="0" m="1" x="2686"/>
        <item sd="0" m="1" x="6896"/>
        <item sd="0" m="1" x="7372"/>
        <item sd="0" m="1" x="7730"/>
        <item sd="0" m="1" x="2759"/>
        <item sd="0" m="1" x="3649"/>
        <item sd="0" m="1" x="4608"/>
        <item sd="0" m="1" x="386"/>
        <item sd="0" m="1" x="662"/>
        <item sd="0" m="1" x="4227"/>
        <item sd="0" m="1" x="5167"/>
        <item sd="0" m="1" x="6011"/>
        <item sd="0" m="1" x="1148"/>
        <item sd="0" m="1" x="1689"/>
        <item sd="0" m="1" x="6066"/>
        <item sd="0" m="1" x="6735"/>
        <item sd="0" m="1" x="7240"/>
        <item sd="0" m="1" x="2543"/>
        <item sd="0" m="1" x="3379"/>
        <item sd="0" m="1" x="150"/>
        <item sd="0" m="1" x="1311"/>
        <item sd="0" m="1" x="1940"/>
        <item sd="0" m="1" x="2718"/>
        <item sd="0" m="1" x="6924"/>
        <item sd="0" m="1" x="7398"/>
        <item sd="0" m="1" x="7741"/>
        <item sd="0" m="1" x="2787"/>
        <item sd="0" m="1" x="3669"/>
        <item sd="0" m="1" x="4633"/>
        <item sd="0" m="1" x="7783"/>
        <item sd="0" m="1" x="7971"/>
        <item sd="0" m="1" x="135"/>
        <item sd="0" m="1" x="4698"/>
        <item sd="0" m="1" x="5591"/>
        <item sd="0" m="1" x="6337"/>
        <item sd="0" m="1" x="1170"/>
        <item sd="0" m="1" x="1742"/>
        <item sd="0" m="1" x="6091"/>
        <item sd="0" m="1" x="6755"/>
        <item sd="0" m="1" x="7277"/>
        <item sd="0" m="1" x="2567"/>
        <item sd="0" m="1" x="3424"/>
        <item sd="0" m="1" x="7322"/>
        <item sd="0" m="1" x="7711"/>
        <item sd="0" m="1" x="7928"/>
        <item sd="0" m="1" x="4437"/>
        <item sd="0" m="1" x="5353"/>
        <item sd="0" m="1" x="1032"/>
        <item sd="0" m="1" x="4066"/>
        <item sd="0" m="1" x="5022"/>
        <item sd="0" m="1" x="5896"/>
        <item sd="0" m="1" x="6605"/>
        <item sd="0" m="1" x="2351"/>
        <item sd="0" m="1" x="5937"/>
        <item sd="0" m="1" x="6655"/>
        <item sd="0" m="1" x="7199"/>
        <item sd="0" m="1" x="7607"/>
        <item sd="0" m="1" x="4177"/>
        <item sd="0" m="1" x="2863"/>
        <item sd="0" m="1" x="3787"/>
        <item sd="0" m="1" x="4762"/>
        <item sd="0" m="1" x="5658"/>
        <item sd="0" m="1" x="4814"/>
        <item sd="0" m="1" x="5710"/>
        <item sd="0" m="1" x="6473"/>
        <item sd="0" m="1" x="7060"/>
        <item sd="0" m="1" x="6484"/>
        <item sd="0" m="1" x="1858"/>
        <item sd="0" m="1" x="2651"/>
        <item sd="0" m="1" x="3548"/>
        <item sd="0" m="1" x="7336"/>
        <item sd="0" m="1" x="3605"/>
        <item sd="0" m="1" x="4573"/>
        <item sd="0" m="1" x="5491"/>
        <item sd="0" m="1" x="7941"/>
        <item sd="0" m="1" x="5531"/>
        <item sd="0" m="1" x="6320"/>
        <item sd="0" m="1" x="488"/>
        <item sd="0" m="1" x="3745"/>
        <item sd="0" m="1" x="4705"/>
        <item sd="0" m="1" x="5606"/>
        <item sd="0" m="1" x="6352"/>
        <item sd="0" m="1" x="1385"/>
        <item sd="0" m="1" x="5659"/>
        <item sd="0" m="1" x="6417"/>
        <item sd="0" m="1" x="7007"/>
        <item sd="0" m="1" x="7451"/>
        <item sd="0" m="1" x="2947"/>
        <item sd="0" m="1" x="2612"/>
        <item sd="0" m="1" x="3501"/>
        <item sd="0" m="1" x="4452"/>
        <item sd="0" m="1" x="5368"/>
        <item sd="0" m="1" x="4516"/>
        <item sd="0" m="1" x="5444"/>
        <item sd="0" m="1" x="6232"/>
        <item sd="0" m="1" x="387"/>
        <item sd="0" m="1" x="663"/>
        <item sd="0" m="1" x="151"/>
        <item sd="0" m="1" x="4178"/>
        <item sd="0" m="1" x="2864"/>
        <item sd="0" m="1" x="3788"/>
        <item sd="0" m="1" x="4763"/>
        <item sd="0" m="1" x="5660"/>
        <item sd="0" m="1" x="4815"/>
        <item sd="0" m="1" x="5711"/>
        <item sd="0" m="1" x="6474"/>
        <item sd="0" m="1" x="7061"/>
        <item sd="0" m="1" x="6485"/>
        <item sd="0" m="1" x="123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72"/>
        <item sd="0" m="1" x="1779"/>
        <item sd="0" m="1" x="2544"/>
        <item sd="0" m="1" x="3380"/>
        <item sd="0" m="1" x="4336"/>
        <item sd="0" m="1" x="7690"/>
        <item sd="0" m="1" x="7899"/>
        <item sd="0" m="1" x="4396"/>
        <item sd="0" m="1" x="5324"/>
        <item sd="0" m="1" x="6141"/>
        <item sd="0" m="1" x="123"/>
        <item sd="0" m="1" x="159"/>
        <item sd="0" m="1" x="6198"/>
        <item sd="0" m="1" x="6831"/>
        <item sd="0" m="1" x="7326"/>
        <item sd="0" m="1" x="1607"/>
        <item sd="0" m="1" x="96"/>
        <item sd="0" m="1" x="155"/>
        <item sd="0" m="1" x="728"/>
        <item sd="0" m="1" x="627"/>
        <item sd="0" m="1" x="688"/>
        <item sd="0" m="1" x="335"/>
        <item sd="0" m="1" x="577"/>
        <item sd="0" m="1" x="301"/>
        <item sd="0" m="1" x="489"/>
        <item sd="0" m="1" x="245"/>
        <item sd="0" m="1" x="781"/>
        <item sd="0" m="1" x="124"/>
        <item sd="0" m="1" x="826"/>
        <item sd="0" m="1" x="892"/>
        <item sd="0" m="1" x="434"/>
        <item sd="0" m="1" x="762"/>
        <item sd="0" m="1" x="152"/>
        <item sd="0" m="1" x="136"/>
        <item sd="0" m="1" x="578"/>
        <item sd="0" m="1" x="490"/>
        <item sd="0" m="1" x="125"/>
        <item sd="0" m="1" x="160"/>
        <item sd="0" m="1" x="153"/>
        <item sd="0" m="1" x="169"/>
        <item sd="0" m="1" x="835"/>
        <item sd="0" m="1" x="137"/>
        <item sd="0" m="1" x="116"/>
        <item sd="0" x="69"/>
        <item sd="0" x="70"/>
        <item sd="0" x="71"/>
        <item sd="0" m="1" x="836"/>
        <item sd="0" m="1" x="1312"/>
        <item sd="0" m="1" x="398"/>
        <item sd="0" m="1" x="73"/>
        <item t="default" sd="0"/>
      </items>
    </pivotField>
    <pivotField showAll="0">
      <items count="11">
        <item h="1" x="0"/>
        <item x="1"/>
        <item h="1" x="2"/>
        <item h="1" x="3"/>
        <item h="1" m="1" x="9"/>
        <item h="1" m="1" x="4"/>
        <item h="1" m="1" x="5"/>
        <item h="1" m="1" x="6"/>
        <item h="1" m="1" x="7"/>
        <item h="1"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2">
    <field x="9"/>
    <field x="8"/>
  </rowFields>
  <rowItems count="73">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93"/>
    </i>
    <i>
      <x v="7994"/>
    </i>
    <i>
      <x v="7995"/>
    </i>
    <i t="grand">
      <x/>
    </i>
  </rowItems>
  <colFields count="1">
    <field x="-2"/>
  </colFields>
  <colItems count="3">
    <i>
      <x/>
    </i>
    <i i="1">
      <x v="1"/>
    </i>
    <i i="2">
      <x v="2"/>
    </i>
  </colItems>
  <dataFields count="3">
    <dataField name="Average of ACTUALTR" fld="14" subtotal="average" baseField="8" baseItem="50" numFmtId="164"/>
    <dataField name="Average of PREDICTEDTR" fld="15" subtotal="average" baseField="8" baseItem="50" numFmtId="164"/>
    <dataField name="Average of ERRORTR" fld="16" subtotal="average" baseField="8" baseItem="50" numFmtId="164"/>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D74" firstHeaderRow="0" firstDataRow="1" firstDataCol="1"/>
  <pivotFields count="20">
    <pivotField showAll="0">
      <items count="320">
        <item m="1" x="310"/>
        <item m="1" x="276"/>
        <item m="1" x="132"/>
        <item m="1" x="31"/>
        <item m="1" x="108"/>
        <item m="1" x="283"/>
        <item m="1" x="311"/>
        <item m="1" x="12"/>
        <item m="1" x="272"/>
        <item m="1" x="80"/>
        <item m="1" x="225"/>
        <item m="1" x="137"/>
        <item m="1" x="56"/>
        <item m="1" x="75"/>
        <item m="1" x="177"/>
        <item m="1" x="306"/>
        <item m="1" x="119"/>
        <item m="1" x="18"/>
        <item m="1" x="235"/>
        <item x="0"/>
        <item m="1" x="109"/>
        <item m="1" x="169"/>
        <item m="1" x="226"/>
        <item m="1" x="143"/>
        <item m="1" x="77"/>
        <item m="1" x="86"/>
        <item m="1" x="238"/>
        <item m="1" x="277"/>
        <item m="1" x="150"/>
        <item m="1" x="194"/>
        <item m="1" x="120"/>
        <item m="1" x="236"/>
        <item m="1" x="7"/>
        <item m="1" x="58"/>
        <item m="1" x="87"/>
        <item m="1" x="267"/>
        <item m="1" x="312"/>
        <item m="1" x="95"/>
        <item m="1" x="13"/>
        <item m="1" x="303"/>
        <item m="1" x="88"/>
        <item m="1" x="144"/>
        <item m="1" x="101"/>
        <item m="1" x="157"/>
        <item m="1" x="165"/>
        <item m="1" x="70"/>
        <item m="1" x="121"/>
        <item m="1" x="38"/>
        <item m="1" x="261"/>
        <item m="1" x="170"/>
        <item m="1" x="54"/>
        <item m="1" x="59"/>
        <item m="1" x="243"/>
        <item m="1" x="171"/>
        <item m="1" x="110"/>
        <item m="1" x="212"/>
        <item m="1" x="313"/>
        <item m="1" x="244"/>
        <item m="1" x="172"/>
        <item m="1" x="284"/>
        <item m="1" x="214"/>
        <item m="1" x="133"/>
        <item m="1" x="76"/>
        <item m="1" x="19"/>
        <item m="1" x="35"/>
        <item m="1" x="215"/>
        <item m="1" x="158"/>
        <item m="1" x="184"/>
        <item m="1" x="81"/>
        <item m="1" x="102"/>
        <item m="1" x="307"/>
        <item m="1" x="159"/>
        <item m="1" x="245"/>
        <item m="1" x="248"/>
        <item m="1" x="188"/>
        <item m="1" x="268"/>
        <item m="1" x="138"/>
        <item m="1" x="160"/>
        <item m="1" x="151"/>
        <item m="1" x="51"/>
        <item m="1" x="314"/>
        <item m="1" x="117"/>
        <item m="1" x="249"/>
        <item m="1" x="189"/>
        <item m="1" x="304"/>
        <item m="1" x="14"/>
        <item m="1" x="213"/>
        <item m="1" x="9"/>
        <item m="1" x="178"/>
        <item m="1" x="315"/>
        <item m="1" x="32"/>
        <item m="1" x="152"/>
        <item m="1" x="195"/>
        <item m="1" x="10"/>
        <item m="1" x="290"/>
        <item m="1" x="145"/>
        <item m="1" x="255"/>
        <item m="1" x="122"/>
        <item m="1" x="251"/>
        <item m="1" x="239"/>
        <item m="1" x="258"/>
        <item m="1" x="36"/>
        <item m="1" x="161"/>
        <item m="1" x="227"/>
        <item m="1" x="118"/>
        <item m="1" x="259"/>
        <item m="1" x="237"/>
        <item m="1" x="71"/>
        <item m="1" x="273"/>
        <item m="1" x="293"/>
        <item m="1" x="39"/>
        <item m="1" x="200"/>
        <item m="1" x="218"/>
        <item m="1" x="231"/>
        <item m="1" x="262"/>
        <item m="1" x="285"/>
        <item m="1" x="53"/>
        <item m="1" x="269"/>
        <item m="1" x="179"/>
        <item m="1" x="316"/>
        <item m="1" x="219"/>
        <item m="1" x="278"/>
        <item m="1" x="89"/>
        <item m="1" x="60"/>
        <item m="1" x="123"/>
        <item m="1" x="33"/>
        <item m="1" x="256"/>
        <item m="1" x="180"/>
        <item m="1" x="263"/>
        <item m="1" x="173"/>
        <item m="1" x="72"/>
        <item m="1" x="250"/>
        <item m="1" x="126"/>
        <item m="1" x="61"/>
        <item m="1" x="162"/>
        <item m="1" x="206"/>
        <item m="1" x="252"/>
        <item m="1" x="127"/>
        <item m="1" x="114"/>
        <item m="1" x="294"/>
        <item m="1" x="317"/>
        <item m="1" x="1"/>
        <item m="1" x="286"/>
        <item m="1" x="111"/>
        <item m="1" x="318"/>
        <item m="1" x="220"/>
        <item m="1" x="228"/>
        <item m="1" x="232"/>
        <item m="1" x="298"/>
        <item m="1" x="45"/>
        <item m="1" x="264"/>
        <item m="1" x="223"/>
        <item m="1" x="82"/>
        <item m="1" x="128"/>
        <item m="1" x="240"/>
        <item m="1" x="196"/>
        <item m="1" x="62"/>
        <item m="1" x="216"/>
        <item m="1" x="15"/>
        <item m="1" x="103"/>
        <item m="1" x="153"/>
        <item m="1" x="134"/>
        <item m="1" x="83"/>
        <item m="1" x="24"/>
        <item m="1" x="154"/>
        <item m="1" x="197"/>
        <item m="1" x="104"/>
        <item m="1" x="265"/>
        <item m="1" x="146"/>
        <item m="1" x="129"/>
        <item m="1" x="155"/>
        <item m="1" x="96"/>
        <item m="1" x="246"/>
        <item m="1" x="163"/>
        <item m="1" x="78"/>
        <item m="1" x="46"/>
        <item m="1" x="105"/>
        <item m="1" x="2"/>
        <item m="1" x="55"/>
        <item m="1" x="37"/>
        <item m="1" x="11"/>
        <item m="1" x="221"/>
        <item m="1" x="279"/>
        <item m="1" x="40"/>
        <item m="1" x="207"/>
        <item m="1" x="147"/>
        <item m="1" x="84"/>
        <item m="1" x="49"/>
        <item m="1" x="112"/>
        <item m="1" x="25"/>
        <item m="1" x="63"/>
        <item m="1" x="217"/>
        <item m="1" x="274"/>
        <item m="1" x="97"/>
        <item m="1" x="47"/>
        <item m="1" x="106"/>
        <item m="1" x="208"/>
        <item m="1" x="20"/>
        <item m="1" x="224"/>
        <item m="1" x="287"/>
        <item m="1" x="190"/>
        <item m="1" x="3"/>
        <item m="1" x="253"/>
        <item m="1" x="73"/>
        <item m="1" x="65"/>
        <item m="1" x="29"/>
        <item m="1" x="21"/>
        <item m="1" x="174"/>
        <item m="1" x="130"/>
        <item m="1" x="131"/>
        <item m="1" x="64"/>
        <item m="1" x="135"/>
        <item m="1" x="27"/>
        <item m="1" x="295"/>
        <item m="1" x="299"/>
        <item m="1" x="185"/>
        <item m="1" x="22"/>
        <item m="1" x="34"/>
        <item m="1" x="48"/>
        <item m="1" x="241"/>
        <item m="1" x="90"/>
        <item m="1" x="41"/>
        <item m="1" x="181"/>
        <item m="1" x="247"/>
        <item m="1" x="201"/>
        <item m="1" x="66"/>
        <item m="1" x="300"/>
        <item m="1" x="4"/>
        <item m="1" x="191"/>
        <item m="1" x="91"/>
        <item m="1" x="296"/>
        <item m="1" x="202"/>
        <item m="1" x="16"/>
        <item m="1" x="280"/>
        <item m="1" x="30"/>
        <item m="1" x="79"/>
        <item m="1" x="166"/>
        <item m="1" x="124"/>
        <item m="1" x="209"/>
        <item m="1" x="266"/>
        <item m="1" x="175"/>
        <item m="1" x="192"/>
        <item m="1" x="92"/>
        <item m="1" x="254"/>
        <item m="1" x="198"/>
        <item m="1" x="28"/>
        <item m="1" x="98"/>
        <item m="1" x="26"/>
        <item m="1" x="74"/>
        <item m="1" x="291"/>
        <item m="1" x="93"/>
        <item m="1" x="113"/>
        <item m="1" x="275"/>
        <item m="1" x="42"/>
        <item m="1" x="182"/>
        <item m="1" x="203"/>
        <item m="1" x="67"/>
        <item m="1" x="222"/>
        <item m="1" x="210"/>
        <item m="1" x="156"/>
        <item m="1" x="94"/>
        <item m="1" x="115"/>
        <item m="1" x="136"/>
        <item m="1" x="164"/>
        <item m="1" x="43"/>
        <item m="1" x="99"/>
        <item m="1" x="139"/>
        <item m="1" x="281"/>
        <item m="1" x="167"/>
        <item m="1" x="148"/>
        <item m="1" x="8"/>
        <item m="1" x="57"/>
        <item m="1" x="242"/>
        <item m="1" x="308"/>
        <item m="1" x="116"/>
        <item m="1" x="199"/>
        <item m="1" x="229"/>
        <item m="1" x="44"/>
        <item m="1" x="140"/>
        <item m="1" x="282"/>
        <item m="1" x="168"/>
        <item m="1" x="233"/>
        <item m="1" x="186"/>
        <item m="1" x="125"/>
        <item m="1" x="211"/>
        <item m="1" x="50"/>
        <item m="1" x="193"/>
        <item m="1" x="204"/>
        <item m="1" x="141"/>
        <item m="1" x="301"/>
        <item m="1" x="288"/>
        <item m="1" x="205"/>
        <item m="1" x="17"/>
        <item m="1" x="234"/>
        <item m="1" x="302"/>
        <item m="1" x="100"/>
        <item m="1" x="5"/>
        <item m="1" x="305"/>
        <item m="1" x="52"/>
        <item m="1" x="230"/>
        <item m="1" x="107"/>
        <item m="1" x="23"/>
        <item m="1" x="176"/>
        <item m="1" x="270"/>
        <item m="1" x="257"/>
        <item m="1" x="292"/>
        <item m="1" x="6"/>
        <item m="1" x="289"/>
        <item m="1" x="85"/>
        <item m="1" x="260"/>
        <item m="1" x="68"/>
        <item m="1" x="69"/>
        <item m="1" x="149"/>
        <item m="1" x="309"/>
        <item m="1" x="297"/>
        <item m="1" x="183"/>
        <item m="1" x="142"/>
        <item m="1" x="187"/>
        <item m="1" x="271"/>
        <item t="default"/>
      </items>
    </pivotField>
    <pivotField showAll="0">
      <items count="679">
        <item m="1" x="490"/>
        <item m="1" x="62"/>
        <item m="1" x="205"/>
        <item m="1" x="45"/>
        <item m="1" x="540"/>
        <item m="1" x="505"/>
        <item m="1" x="67"/>
        <item m="1" x="378"/>
        <item m="1" x="268"/>
        <item m="1" x="527"/>
        <item m="1" x="359"/>
        <item m="1" x="230"/>
        <item m="1" x="400"/>
        <item m="1" x="573"/>
        <item x="1"/>
        <item m="1" x="421"/>
        <item m="1" x="74"/>
        <item m="1" x="272"/>
        <item m="1" x="291"/>
        <item m="1" x="552"/>
        <item m="1" x="213"/>
        <item m="1" x="652"/>
        <item m="1" x="109"/>
        <item m="1" x="243"/>
        <item m="1" x="617"/>
        <item m="1" x="128"/>
        <item m="1" x="487"/>
        <item m="1" x="631"/>
        <item m="1" x="30"/>
        <item m="1" x="179"/>
        <item m="1" x="224"/>
        <item m="1" x="501"/>
        <item m="1" x="661"/>
        <item m="1" x="375"/>
        <item m="1" x="460"/>
        <item m="1" x="626"/>
        <item m="1" x="648"/>
        <item m="1" x="176"/>
        <item m="1" x="517"/>
        <item m="1" x="545"/>
        <item m="1" x="100"/>
        <item m="1" x="175"/>
        <item m="1" x="189"/>
        <item m="1" x="240"/>
        <item m="1" x="281"/>
        <item m="1" x="290"/>
        <item m="1" x="500"/>
        <item m="1" x="579"/>
        <item m="1" x="667"/>
        <item m="1" x="10"/>
        <item m="1" x="53"/>
        <item m="1" x="135"/>
        <item m="1" x="206"/>
        <item m="1" x="232"/>
        <item m="1" x="288"/>
        <item m="1" x="444"/>
        <item m="1" x="529"/>
        <item m="1" x="79"/>
        <item m="1" x="147"/>
        <item m="1" x="219"/>
        <item m="1" x="279"/>
        <item m="1" x="458"/>
        <item m="1" x="480"/>
        <item m="1" x="565"/>
        <item m="1" x="643"/>
        <item m="1" x="27"/>
        <item m="1" x="50"/>
        <item m="1" x="172"/>
        <item m="1" x="186"/>
        <item m="1" x="217"/>
        <item m="1" x="564"/>
        <item m="1" x="575"/>
        <item m="1" x="64"/>
        <item m="1" x="89"/>
        <item m="1" x="185"/>
        <item m="1" x="215"/>
        <item m="1" x="542"/>
        <item m="1" x="622"/>
        <item m="1" x="658"/>
        <item m="1" x="144"/>
        <item m="1" x="156"/>
        <item m="1" x="171"/>
        <item m="1" x="246"/>
        <item m="1" x="385"/>
        <item m="1" x="476"/>
        <item m="1" x="524"/>
        <item m="1" x="634"/>
        <item m="1" x="133"/>
        <item m="1" x="275"/>
        <item m="1" x="312"/>
        <item m="1" x="358"/>
        <item m="1" x="507"/>
        <item m="1" x="553"/>
        <item m="1" x="574"/>
        <item m="1" x="597"/>
        <item m="1" x="77"/>
        <item m="1" x="132"/>
        <item m="1" x="324"/>
        <item m="1" x="333"/>
        <item m="1" x="399"/>
        <item m="1" x="76"/>
        <item m="1" x="408"/>
        <item m="1" x="98"/>
        <item m="1" x="441"/>
        <item m="1" x="117"/>
        <item m="1" x="273"/>
        <item m="1" x="323"/>
        <item m="1" x="347"/>
        <item m="1" x="370"/>
        <item m="1" x="383"/>
        <item m="1" x="112"/>
        <item m="1" x="440"/>
        <item m="1" x="229"/>
        <item m="1" x="606"/>
        <item m="1" x="654"/>
        <item m="1" x="665"/>
        <item m="1" x="24"/>
        <item m="1" x="369"/>
        <item m="1" x="75"/>
        <item m="1" x="406"/>
        <item m="1" x="131"/>
        <item m="1" x="492"/>
        <item m="1" x="538"/>
        <item m="1" x="285"/>
        <item m="1" x="59"/>
        <item m="1" x="405"/>
        <item m="1" x="439"/>
        <item m="1" x="537"/>
        <item m="1" x="194"/>
        <item m="1" x="202"/>
        <item x="0"/>
        <item m="1" x="58"/>
        <item m="1" x="96"/>
        <item m="1" x="111"/>
        <item m="1" x="182"/>
        <item m="1" x="673"/>
        <item m="1" x="7"/>
        <item m="1" x="337"/>
        <item m="1" x="21"/>
        <item m="1" x="438"/>
        <item m="1" x="130"/>
        <item m="1" x="504"/>
        <item m="1" x="562"/>
        <item m="1" x="227"/>
        <item m="1" x="585"/>
        <item m="1" x="238"/>
        <item m="1" x="309"/>
        <item m="1" x="6"/>
        <item m="1" x="86"/>
        <item m="1" x="95"/>
        <item m="1" x="464"/>
        <item m="1" x="244"/>
        <item m="1" x="271"/>
        <item m="1" x="640"/>
        <item m="1" x="298"/>
        <item m="1" x="336"/>
        <item m="1" x="32"/>
        <item m="1" x="437"/>
        <item m="1" x="143"/>
        <item m="1" x="153"/>
        <item m="1" x="503"/>
        <item m="1" x="160"/>
        <item m="1" x="549"/>
        <item m="1" x="211"/>
        <item m="1" x="571"/>
        <item m="1" x="595"/>
        <item m="1" x="257"/>
        <item m="1" x="650"/>
        <item m="1" x="354"/>
        <item m="1" x="42"/>
        <item m="1" x="85"/>
        <item m="1" x="412"/>
        <item m="1" x="436"/>
        <item m="1" x="450"/>
        <item m="1" x="512"/>
        <item m="1" x="548"/>
        <item m="1" x="639"/>
        <item m="1" x="345"/>
        <item m="1" x="57"/>
        <item m="1" x="84"/>
        <item m="1" x="426"/>
        <item m="1" x="488"/>
        <item m="1" x="199"/>
        <item m="1" x="236"/>
        <item m="1" x="255"/>
        <item m="1" x="632"/>
        <item m="1" x="662"/>
        <item m="1" x="319"/>
        <item m="1" x="4"/>
        <item m="1" x="13"/>
        <item m="1" x="379"/>
        <item m="1" x="404"/>
        <item m="1" x="411"/>
        <item m="1" x="449"/>
        <item m="1" x="462"/>
        <item m="1" x="471"/>
        <item m="1" x="180"/>
        <item m="1" x="547"/>
        <item m="1" x="558"/>
        <item m="1" x="253"/>
        <item m="1" x="392"/>
        <item m="1" x="425"/>
        <item m="1" x="150"/>
        <item m="1" x="191"/>
        <item m="1" x="210"/>
        <item m="1" x="241"/>
        <item m="1" x="307"/>
        <item m="1" x="670"/>
        <item m="1" x="83"/>
        <item m="1" x="419"/>
        <item m="1" x="149"/>
        <item m="1" x="519"/>
        <item m="1" x="178"/>
        <item m="1" x="556"/>
        <item m="1" x="209"/>
        <item m="1" x="222"/>
        <item m="1" x="628"/>
        <item m="1" x="18"/>
        <item m="1" x="391"/>
        <item m="1" x="166"/>
        <item m="1" x="197"/>
        <item m="1" x="207"/>
        <item m="1" x="582"/>
        <item m="1" x="283"/>
        <item m="1" x="295"/>
        <item m="1" x="28"/>
        <item m="1" x="390"/>
        <item m="1" x="82"/>
        <item m="1" x="409"/>
        <item m="1" x="448"/>
        <item m="1" x="119"/>
        <item m="1" x="532"/>
        <item m="1" x="581"/>
        <item m="1" x="592"/>
        <item m="1" x="282"/>
        <item m="1" x="17"/>
        <item m="1" x="363"/>
        <item m="1" x="81"/>
        <item m="1" x="434"/>
        <item m="1" x="483"/>
        <item m="1" x="190"/>
        <item m="1" x="580"/>
        <item m="1" x="305"/>
        <item m="1" x="351"/>
        <item m="1" x="563"/>
        <item m="1" x="389"/>
        <item m="1" x="403"/>
        <item m="1" x="587"/>
        <item m="1" x="608"/>
        <item m="1" x="259"/>
        <item m="1" x="274"/>
        <item m="1" x="446"/>
        <item m="1" x="656"/>
        <item m="1" x="300"/>
        <item m="1" x="311"/>
        <item m="1" x="148"/>
        <item m="1" x="8"/>
        <item m="1" x="338"/>
        <item m="1" x="357"/>
        <item m="1" x="544"/>
        <item m="1" x="555"/>
        <item m="1" x="68"/>
        <item m="1" x="398"/>
        <item m="1" x="105"/>
        <item m="1" x="267"/>
        <item m="1" x="646"/>
        <item m="1" x="468"/>
        <item m="1" x="668"/>
        <item m="1" x="317"/>
        <item m="1" x="183"/>
        <item m="1" x="54"/>
        <item m="1" x="572"/>
        <item m="1" x="402"/>
        <item m="1" x="607"/>
        <item m="1" x="286"/>
        <item m="1" x="445"/>
        <item m="1" x="655"/>
        <item m="1" x="137"/>
        <item m="1" x="346"/>
        <item m="1" x="188"/>
        <item m="1" x="356"/>
        <item m="1" x="44"/>
        <item m="1" x="397"/>
        <item m="1" x="233"/>
        <item m="1" x="407"/>
        <item m="1" x="251"/>
        <item m="1" x="420"/>
        <item m="1" x="613"/>
        <item m="1" x="645"/>
        <item m="1" x="467"/>
        <item m="1" x="660"/>
        <item m="1" x="506"/>
        <item m="1" x="362"/>
        <item m="1" x="203"/>
        <item m="1" x="374"/>
        <item m="1" x="214"/>
        <item m="1" x="92"/>
        <item m="1" x="605"/>
        <item m="1" x="620"/>
        <item m="1" x="124"/>
        <item m="1" x="136"/>
        <item m="1" x="482"/>
        <item m="1" x="23"/>
        <item m="1" x="382"/>
        <item m="1" x="567"/>
        <item m="1" x="221"/>
        <item m="1" x="413"/>
        <item m="1" x="250"/>
        <item m="1" x="637"/>
        <item m="1" x="289"/>
        <item m="1" x="644"/>
        <item m="1" x="659"/>
        <item m="1" x="330"/>
        <item m="1" x="16"/>
        <item m="1" x="361"/>
        <item m="1" x="228"/>
        <item m="1" x="586"/>
        <item m="1" x="80"/>
        <item m="1" x="596"/>
        <item m="1" x="418"/>
        <item m="1" x="284"/>
        <item m="1" x="118"/>
        <item m="1" x="322"/>
        <item m="1" x="499"/>
        <item m="1" x="174"/>
        <item m="1" x="530"/>
        <item m="1" x="35"/>
        <item m="1" x="43"/>
        <item m="1" x="566"/>
        <item m="1" x="591"/>
        <item m="1" x="97"/>
        <item m="1" x="249"/>
        <item m="1" x="266"/>
        <item m="1" x="636"/>
        <item m="1" x="453"/>
        <item m="1" x="466"/>
        <item m="1" x="473"/>
        <item m="1" x="522"/>
        <item m="1" x="39"/>
        <item m="1" x="193"/>
        <item m="1" x="360"/>
        <item m="1" x="52"/>
        <item m="1" x="373"/>
        <item m="1" x="401"/>
        <item m="1" x="604"/>
        <item m="1" x="258"/>
        <item m="1" x="424"/>
        <item m="1" x="619"/>
        <item m="1" x="433"/>
        <item m="1" x="633"/>
        <item m="1" x="116"/>
        <item m="1" x="470"/>
        <item m="1" x="310"/>
        <item m="1" x="674"/>
        <item m="1" x="321"/>
        <item m="1" x="158"/>
        <item m="1" x="14"/>
        <item m="1" x="165"/>
        <item m="1" x="22"/>
        <item m="1" x="173"/>
        <item m="1" x="187"/>
        <item m="1" x="220"/>
        <item m="1" x="396"/>
        <item m="1" x="578"/>
        <item m="1" x="239"/>
        <item m="1" x="625"/>
        <item m="1" x="110"/>
        <item m="1" x="280"/>
        <item m="1" x="294"/>
        <item m="1" x="465"/>
        <item m="1" x="304"/>
        <item m="1" x="472"/>
        <item m="1" x="677"/>
        <item m="1" x="329"/>
        <item m="1" x="342"/>
        <item m="1" x="38"/>
        <item m="1" x="66"/>
        <item m="1" x="91"/>
        <item m="1" x="603"/>
        <item m="1" x="653"/>
        <item m="1" x="469"/>
        <item m="1" x="664"/>
        <item m="1" x="481"/>
        <item m="1" x="146"/>
        <item m="1" x="498"/>
        <item m="1" x="34"/>
        <item m="1" x="395"/>
        <item m="1" x="73"/>
        <item m="1" x="590"/>
        <item m="1" x="612"/>
        <item m="1" x="104"/>
        <item m="1" x="265"/>
        <item m="1" x="429"/>
        <item m="1" x="287"/>
        <item m="1" x="129"/>
        <item m="1" x="303"/>
        <item m="1" x="491"/>
        <item m="1" x="154"/>
        <item m="1" x="328"/>
        <item m="1" x="513"/>
        <item m="1" x="170"/>
        <item m="1" x="521"/>
        <item m="1" x="551"/>
        <item m="1" x="51"/>
        <item m="1" x="201"/>
        <item m="1" x="561"/>
        <item m="1" x="65"/>
        <item m="1" x="388"/>
        <item m="1" x="226"/>
        <item m="1" x="245"/>
        <item m="1" x="417"/>
        <item m="1" x="602"/>
        <item m="1" x="618"/>
        <item m="1" x="299"/>
        <item m="1" x="145"/>
        <item m="1" x="497"/>
        <item m="1" x="332"/>
        <item m="1" x="516"/>
        <item m="1" x="20"/>
        <item m="1" x="528"/>
        <item m="1" x="33"/>
        <item m="1" x="355"/>
        <item m="1" x="554"/>
        <item m="1" x="218"/>
        <item m="1" x="394"/>
        <item m="1" x="577"/>
        <item m="1" x="611"/>
        <item m="1" x="103"/>
        <item m="1" x="264"/>
        <item m="1" x="428"/>
        <item m="1" x="624"/>
        <item m="1" x="108"/>
        <item m="1" x="452"/>
        <item m="1" x="121"/>
        <item m="1" x="302"/>
        <item m="1" x="316"/>
        <item m="1" x="676"/>
        <item m="1" x="161"/>
        <item m="1" x="169"/>
        <item m="1" x="192"/>
        <item m="1" x="550"/>
        <item m="1" x="49"/>
        <item m="1" x="212"/>
        <item m="1" x="237"/>
        <item m="1" x="90"/>
        <item m="1" x="242"/>
        <item m="1" x="416"/>
        <item m="1" x="601"/>
        <item m="1" x="443"/>
        <item m="1" x="651"/>
        <item m="1" x="479"/>
        <item m="1" x="5"/>
        <item m="1" x="157"/>
        <item m="1" x="31"/>
        <item m="1" x="196"/>
        <item m="1" x="368"/>
        <item m="1" x="381"/>
        <item m="1" x="576"/>
        <item m="1" x="231"/>
        <item m="1" x="589"/>
        <item m="1" x="248"/>
        <item m="1" x="427"/>
        <item m="1" x="278"/>
        <item m="1" x="451"/>
        <item m="1" x="293"/>
        <item m="1" x="463"/>
        <item m="1" x="142"/>
        <item m="1" x="334"/>
        <item m="1" x="168"/>
        <item m="1" x="341"/>
        <item m="1" x="520"/>
        <item m="1" x="350"/>
        <item m="1" x="37"/>
        <item m="1" x="560"/>
        <item m="1" x="387"/>
        <item m="1" x="570"/>
        <item m="1" x="70"/>
        <item m="1" x="225"/>
        <item m="1" x="99"/>
        <item m="1" x="270"/>
        <item m="1" x="115"/>
        <item m="1" x="442"/>
        <item m="1" x="457"/>
        <item m="1" x="297"/>
        <item m="1" x="663"/>
        <item m="1" x="134"/>
        <item m="1" x="308"/>
        <item m="1" x="478"/>
        <item m="1" x="164"/>
        <item m="1" x="543"/>
        <item m="1" x="41"/>
        <item m="1" x="367"/>
        <item m="1" x="216"/>
        <item m="1" x="393"/>
        <item m="1" x="72"/>
        <item m="1" x="599"/>
        <item m="1" x="102"/>
        <item m="1" x="263"/>
        <item m="1" x="435"/>
        <item m="1" x="642"/>
        <item m="1" x="292"/>
        <item m="1" x="127"/>
        <item m="1" x="489"/>
        <item m="1" x="675"/>
        <item m="1" x="167"/>
        <item m="1" x="349"/>
        <item m="1" x="200"/>
        <item m="1" x="63"/>
        <item m="1" x="584"/>
        <item m="1" x="415"/>
        <item m="1" x="256"/>
        <item m="1" x="423"/>
        <item m="1" x="114"/>
        <item m="1" x="456"/>
        <item m="1" x="649"/>
        <item m="1" x="477"/>
        <item m="1" x="672"/>
        <item m="1" x="320"/>
        <item m="1" x="496"/>
        <item m="1" x="510"/>
        <item m="1" x="344"/>
        <item m="1" x="526"/>
        <item m="1" x="184"/>
        <item m="1" x="380"/>
        <item m="1" x="94"/>
        <item m="1" x="247"/>
        <item m="1" x="610"/>
        <item m="1" x="623"/>
        <item m="1" x="107"/>
        <item m="1" x="277"/>
        <item m="1" x="141"/>
        <item m="1" x="315"/>
        <item m="1" x="486"/>
        <item m="1" x="152"/>
        <item m="1" x="502"/>
        <item m="1" x="9"/>
        <item m="1" x="181"/>
        <item m="1" x="536"/>
        <item m="1" x="36"/>
        <item m="1" x="48"/>
        <item m="1" x="198"/>
        <item m="1" x="372"/>
        <item m="1" x="559"/>
        <item m="1" x="569"/>
        <item m="1" x="594"/>
        <item m="1" x="600"/>
        <item m="1" x="254"/>
        <item m="1" x="616"/>
        <item m="1" x="638"/>
        <item m="1" x="455"/>
        <item m="1" x="123"/>
        <item m="1" x="495"/>
        <item m="1" x="509"/>
        <item m="1" x="12"/>
        <item m="1" x="163"/>
        <item m="1" x="525"/>
        <item m="1" x="29"/>
        <item m="1" x="353"/>
        <item m="1" x="366"/>
        <item m="1" x="56"/>
        <item m="1" x="93"/>
        <item m="1" x="262"/>
        <item m="1" x="641"/>
        <item m="1" x="461"/>
        <item m="1" x="140"/>
        <item m="1" x="314"/>
        <item m="1" x="151"/>
        <item m="1" x="159"/>
        <item m="1" x="511"/>
        <item m="1" x="535"/>
        <item m="1" x="546"/>
        <item m="1" x="47"/>
        <item m="1" x="371"/>
        <item m="1" x="557"/>
        <item m="1" x="61"/>
        <item m="1" x="386"/>
        <item m="1" x="568"/>
        <item m="1" x="583"/>
        <item m="1" x="235"/>
        <item m="1" x="88"/>
        <item m="1" x="615"/>
        <item m="1" x="106"/>
        <item m="1" x="269"/>
        <item m="1" x="432"/>
        <item m="1" x="630"/>
        <item m="1" x="122"/>
        <item m="1" x="296"/>
        <item m="1" x="671"/>
        <item m="1" x="318"/>
        <item m="1" x="494"/>
        <item m="1" x="3"/>
        <item m="1" x="162"/>
        <item m="1" x="19"/>
        <item m="1" x="204"/>
        <item m="1" x="377"/>
        <item m="1" x="71"/>
        <item m="1" x="410"/>
        <item m="1" x="621"/>
        <item m="1" x="635"/>
        <item m="1" x="120"/>
        <item m="1" x="327"/>
        <item m="1" x="340"/>
        <item m="1" x="26"/>
        <item m="1" x="348"/>
        <item m="1" x="534"/>
        <item m="1" x="46"/>
        <item m="1" x="223"/>
        <item m="1" x="87"/>
        <item m="1" x="414"/>
        <item m="1" x="252"/>
        <item m="1" x="614"/>
        <item m="1" x="629"/>
        <item m="1" x="454"/>
        <item m="1" x="508"/>
        <item m="1" x="541"/>
        <item m="1" x="40"/>
        <item m="1" x="55"/>
        <item m="1" x="376"/>
        <item m="1" x="609"/>
        <item m="1" x="101"/>
        <item m="1" x="261"/>
        <item m="1" x="276"/>
        <item m="1" x="126"/>
        <item m="1" x="666"/>
        <item m="1" x="139"/>
        <item m="1" x="313"/>
        <item m="1" x="485"/>
        <item m="1" x="326"/>
        <item m="1" x="15"/>
        <item m="1" x="518"/>
        <item m="1" x="208"/>
        <item m="1" x="69"/>
        <item m="1" x="78"/>
        <item m="1" x="593"/>
        <item m="1" x="431"/>
        <item m="1" x="627"/>
        <item m="1" x="306"/>
        <item m="1" x="475"/>
        <item m="1" x="155"/>
        <item m="1" x="335"/>
        <item m="1" x="515"/>
        <item m="1" x="343"/>
        <item m="1" x="365"/>
        <item m="1" x="598"/>
        <item m="1" x="260"/>
        <item m="1" x="301"/>
        <item m="1" x="484"/>
        <item m="1" x="325"/>
        <item m="1" x="339"/>
        <item m="1" x="25"/>
        <item m="1" x="177"/>
        <item m="1" x="533"/>
        <item m="1" x="60"/>
        <item m="1" x="384"/>
        <item m="1" x="234"/>
        <item m="1" x="669"/>
        <item m="1" x="2"/>
        <item m="1" x="331"/>
        <item m="1" x="11"/>
        <item m="1" x="514"/>
        <item m="1" x="523"/>
        <item m="1" x="352"/>
        <item m="1" x="539"/>
        <item m="1" x="195"/>
        <item m="1" x="364"/>
        <item m="1" x="588"/>
        <item m="1" x="447"/>
        <item m="1" x="459"/>
        <item m="1" x="657"/>
        <item m="1" x="125"/>
        <item m="1" x="138"/>
        <item m="1" x="531"/>
        <item m="1" x="422"/>
        <item m="1" x="430"/>
        <item m="1" x="113"/>
        <item m="1" x="647"/>
        <item m="1" x="474"/>
        <item m="1" x="493"/>
        <item t="default"/>
      </items>
    </pivotField>
    <pivotField showAll="0" defaultSubtotal="0">
      <items count="25">
        <item x="0"/>
        <item h="1" x="1"/>
        <item h="1" m="1" x="6"/>
        <item h="1" m="1" x="17"/>
        <item h="1" m="1" x="23"/>
        <item h="1" m="1" x="3"/>
        <item h="1" m="1" x="7"/>
        <item h="1" m="1" x="12"/>
        <item h="1" m="1" x="18"/>
        <item h="1" m="1" x="20"/>
        <item h="1" m="1" x="21"/>
        <item h="1" m="1" x="22"/>
        <item h="1" m="1" x="24"/>
        <item h="1" m="1" x="2"/>
        <item h="1" m="1" x="4"/>
        <item h="1" m="1" x="5"/>
        <item h="1" m="1" x="8"/>
        <item h="1" m="1" x="9"/>
        <item h="1" m="1" x="10"/>
        <item h="1" m="1" x="11"/>
        <item h="1" m="1" x="13"/>
        <item h="1" m="1" x="14"/>
        <item h="1" m="1" x="15"/>
        <item h="1" m="1" x="16"/>
        <item h="1" m="1" x="19"/>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543">
        <item m="1" x="63"/>
        <item m="1" x="228"/>
        <item m="1" x="540"/>
        <item m="1" x="483"/>
        <item m="1" x="309"/>
        <item m="1" x="424"/>
        <item m="1" x="348"/>
        <item m="1" x="109"/>
        <item m="1" x="98"/>
        <item m="1" x="143"/>
        <item m="1" x="159"/>
        <item m="1" x="178"/>
        <item m="1" x="260"/>
        <item m="1" x="224"/>
        <item m="1" x="419"/>
        <item m="1" x="140"/>
        <item m="1" x="208"/>
        <item m="1" x="55"/>
        <item m="1" x="410"/>
        <item m="1" x="76"/>
        <item m="1" x="284"/>
        <item m="1" x="485"/>
        <item m="1" x="92"/>
        <item m="1" x="505"/>
        <item m="1" x="476"/>
        <item m="1" x="64"/>
        <item m="1" x="160"/>
        <item m="1" x="432"/>
        <item m="1" x="494"/>
        <item m="1" x="10"/>
        <item m="1" x="274"/>
        <item m="1" x="152"/>
        <item m="1" x="243"/>
        <item m="1" x="344"/>
        <item m="1" x="199"/>
        <item m="1" x="96"/>
        <item m="1" x="101"/>
        <item m="1" x="223"/>
        <item m="1" x="190"/>
        <item m="1" x="253"/>
        <item m="1" x="527"/>
        <item m="1" x="88"/>
        <item m="1" x="251"/>
        <item m="1" x="312"/>
        <item m="1" x="296"/>
        <item m="1" x="186"/>
        <item m="1" x="280"/>
        <item m="1" x="265"/>
        <item m="1" x="463"/>
        <item m="1" x="202"/>
        <item m="1" x="278"/>
        <item m="1" x="127"/>
        <item m="1" x="276"/>
        <item m="1" x="110"/>
        <item m="1" x="271"/>
        <item m="1" x="442"/>
        <item m="1" x="338"/>
        <item m="1" x="486"/>
        <item m="1" x="404"/>
        <item m="1" x="295"/>
        <item m="1" x="230"/>
        <item m="1" x="81"/>
        <item m="1" x="235"/>
        <item m="1" x="289"/>
        <item m="1" x="478"/>
        <item m="1" x="460"/>
        <item m="1" x="440"/>
        <item m="1" x="134"/>
        <item m="1" x="221"/>
        <item m="1" x="318"/>
        <item m="1" x="222"/>
        <item m="1" x="52"/>
        <item m="1" x="539"/>
        <item m="1" x="391"/>
        <item m="1" x="163"/>
        <item m="1" x="496"/>
        <item m="1" x="272"/>
        <item m="1" x="65"/>
        <item m="1" x="464"/>
        <item m="1" x="234"/>
        <item m="1" x="433"/>
        <item m="1" x="162"/>
        <item m="1" x="297"/>
        <item m="1" x="107"/>
        <item m="1" x="273"/>
        <item m="1" x="142"/>
        <item m="1" x="119"/>
        <item m="1" x="456"/>
        <item m="1" x="447"/>
        <item m="1" x="225"/>
        <item m="1" x="248"/>
        <item m="1" x="512"/>
        <item m="1" x="111"/>
        <item m="1" x="126"/>
        <item m="1" x="60"/>
        <item m="1" x="423"/>
        <item m="1" x="488"/>
        <item m="1" x="189"/>
        <item m="1" x="176"/>
        <item m="1" x="267"/>
        <item m="1" x="541"/>
        <item m="1" x="517"/>
        <item m="1" x="270"/>
        <item m="1" x="38"/>
        <item m="1" x="129"/>
        <item m="1" x="200"/>
        <item m="1" x="237"/>
        <item m="1" x="367"/>
        <item m="1" x="427"/>
        <item m="1" x="415"/>
        <item m="1" x="303"/>
        <item m="1" x="493"/>
        <item m="1" x="40"/>
        <item m="1" x="501"/>
        <item m="1" x="240"/>
        <item m="1" x="254"/>
        <item m="1" x="262"/>
        <item m="1" x="204"/>
        <item m="1" x="350"/>
        <item m="1" x="341"/>
        <item m="1" x="324"/>
        <item m="1" x="31"/>
        <item m="1" x="471"/>
        <item m="1" x="491"/>
        <item m="1" x="191"/>
        <item m="1" x="345"/>
        <item m="1" x="392"/>
        <item m="1" x="86"/>
        <item m="1" x="69"/>
        <item m="1" x="18"/>
        <item m="1" x="532"/>
        <item m="1" x="46"/>
        <item m="1" x="409"/>
        <item m="1" x="522"/>
        <item m="1" x="74"/>
        <item m="1" x="369"/>
        <item m="1" x="24"/>
        <item m="1" x="177"/>
        <item m="1" x="4"/>
        <item m="1" x="50"/>
        <item m="1" x="188"/>
        <item m="1" x="249"/>
        <item m="1" x="310"/>
        <item m="1" x="372"/>
        <item m="1" x="42"/>
        <item m="1" x="205"/>
        <item m="1" x="412"/>
        <item m="1" x="41"/>
        <item m="1" x="364"/>
        <item m="1" x="59"/>
        <item m="1" x="206"/>
        <item m="1" x="268"/>
        <item m="1" x="343"/>
        <item m="1" x="467"/>
        <item m="1" x="477"/>
        <item m="1" x="293"/>
        <item m="1" x="169"/>
        <item m="1" x="393"/>
        <item m="1" x="20"/>
        <item m="1" x="184"/>
        <item m="1" x="443"/>
        <item m="1" x="58"/>
        <item m="1" x="335"/>
        <item m="1" x="422"/>
        <item m="1" x="425"/>
        <item m="1" x="497"/>
        <item m="1" x="241"/>
        <item m="1" x="70"/>
        <item m="1" x="430"/>
        <item m="1" x="2"/>
        <item m="1" x="382"/>
        <item m="1" x="378"/>
        <item m="1" x="387"/>
        <item m="1" x="95"/>
        <item m="1" x="218"/>
        <item m="1" x="330"/>
        <item m="1" x="54"/>
        <item m="1" x="84"/>
        <item m="1" x="388"/>
        <item m="1" x="487"/>
        <item m="1" x="264"/>
        <item m="1" x="247"/>
        <item m="1" x="417"/>
        <item m="1" x="261"/>
        <item m="1" x="49"/>
        <item m="1" x="112"/>
        <item m="1" x="394"/>
        <item m="1" x="121"/>
        <item m="1" x="118"/>
        <item m="1" x="444"/>
        <item m="1" x="420"/>
        <item m="1" x="475"/>
        <item m="1" x="68"/>
        <item m="1" x="328"/>
        <item m="1" x="158"/>
        <item m="1" x="201"/>
        <item m="1" x="36"/>
        <item m="1" x="298"/>
        <item m="1" x="281"/>
        <item m="1" x="408"/>
        <item m="1" x="106"/>
        <item m="1" x="22"/>
        <item m="1" x="381"/>
        <item m="1" x="155"/>
        <item m="1" x="12"/>
        <item m="1" x="133"/>
        <item m="1" x="173"/>
        <item m="1" x="450"/>
        <item m="1" x="165"/>
        <item m="1" x="203"/>
        <item m="1" x="454"/>
        <item m="1" x="329"/>
        <item m="1" x="525"/>
        <item m="1" x="77"/>
        <item m="1" x="61"/>
        <item m="1" x="287"/>
        <item m="1" x="461"/>
        <item m="1" x="75"/>
        <item m="1" x="185"/>
        <item m="1" x="8"/>
        <item m="1" x="506"/>
        <item m="1" x="514"/>
        <item m="1" x="51"/>
        <item m="1" x="384"/>
        <item m="1" x="170"/>
        <item m="1" x="11"/>
        <item m="1" x="374"/>
        <item m="1" x="67"/>
        <item m="1" x="314"/>
        <item m="1" x="323"/>
        <item m="1" x="83"/>
        <item m="1" x="342"/>
        <item m="1" x="214"/>
        <item m="1" x="518"/>
        <item m="1" x="57"/>
        <item m="1" x="90"/>
        <item m="1" x="226"/>
        <item m="1" x="519"/>
        <item m="1" x="15"/>
        <item m="1" x="474"/>
        <item m="1" x="339"/>
        <item m="1" x="352"/>
        <item m="1" x="286"/>
        <item m="1" x="45"/>
        <item m="1" x="72"/>
        <item m="1" x="239"/>
        <item m="1" x="89"/>
        <item m="1" x="504"/>
        <item m="1" x="495"/>
        <item m="1" x="115"/>
        <item m="1" x="453"/>
        <item m="1" x="99"/>
        <item m="1" x="421"/>
        <item m="1" x="28"/>
        <item m="1" x="431"/>
        <item m="1" x="113"/>
        <item m="1" x="209"/>
        <item m="1" x="13"/>
        <item m="1" x="79"/>
        <item m="1" x="500"/>
        <item m="1" x="437"/>
        <item m="1" x="307"/>
        <item m="1" x="103"/>
        <item m="1" x="489"/>
        <item m="1" x="256"/>
        <item m="1" x="528"/>
        <item m="1" x="244"/>
        <item m="1" x="377"/>
        <item m="1" x="400"/>
        <item m="1" x="304"/>
        <item m="1" x="130"/>
        <item m="1" x="502"/>
        <item m="1" x="499"/>
        <item m="1" x="395"/>
        <item m="1" x="25"/>
        <item m="1" x="290"/>
        <item m="1" x="117"/>
        <item m="1" x="509"/>
        <item m="1" x="141"/>
        <item m="1" x="16"/>
        <item m="1" x="418"/>
        <item m="1" x="507"/>
        <item m="1" x="104"/>
        <item m="1" x="515"/>
        <item m="1" x="294"/>
        <item m="1" x="150"/>
        <item m="1" x="93"/>
        <item m="1" x="516"/>
        <item m="1" x="245"/>
        <item m="1" x="380"/>
        <item m="1" x="62"/>
        <item m="1" x="238"/>
        <item m="1" x="227"/>
        <item m="1" x="439"/>
        <item m="1" x="73"/>
        <item m="1" x="279"/>
        <item m="1" x="82"/>
        <item m="1" x="402"/>
        <item m="1" x="122"/>
        <item m="1" x="23"/>
        <item m="1" x="434"/>
        <item m="1" x="452"/>
        <item m="1" x="446"/>
        <item m="1" x="340"/>
        <item m="1" x="435"/>
        <item m="1" x="386"/>
        <item m="1" x="370"/>
        <item m="1" x="47"/>
        <item m="1" x="34"/>
        <item m="1" x="436"/>
        <item m="1" x="275"/>
        <item m="1" x="311"/>
        <item m="1" x="91"/>
        <item m="1" x="35"/>
        <item m="1" x="255"/>
        <item m="1" x="521"/>
        <item m="1" x="197"/>
        <item m="1" x="480"/>
        <item m="1" x="376"/>
        <item m="1" x="192"/>
        <item m="1" x="520"/>
        <item m="1" x="498"/>
        <item m="1" x="472"/>
        <item m="1" x="399"/>
        <item m="1" x="30"/>
        <item m="1" x="513"/>
        <item m="1" x="174"/>
        <item m="1" x="266"/>
        <item m="1" x="455"/>
        <item m="1" x="120"/>
        <item m="1" x="215"/>
        <item m="1" x="252"/>
        <item m="1" x="288"/>
        <item m="1" x="361"/>
        <item m="1" x="375"/>
        <item m="1" x="441"/>
        <item m="1" x="17"/>
        <item m="1" x="360"/>
        <item m="1" x="379"/>
        <item m="1" x="321"/>
        <item m="1" x="366"/>
        <item m="1" x="458"/>
        <item m="1" x="66"/>
        <item m="1" x="396"/>
        <item m="1" x="449"/>
        <item m="1" x="250"/>
        <item m="1" x="128"/>
        <item m="1" x="334"/>
        <item m="1" x="406"/>
        <item m="1" x="148"/>
        <item m="1" x="216"/>
        <item m="1" x="232"/>
        <item m="1" x="43"/>
        <item m="1" x="212"/>
        <item m="1" x="56"/>
        <item m="1" x="385"/>
        <item m="1" x="363"/>
        <item m="1" x="401"/>
        <item m="1" x="153"/>
        <item m="1" x="492"/>
        <item m="1" x="407"/>
        <item m="1" x="353"/>
        <item m="1" x="358"/>
        <item m="1" x="462"/>
        <item m="1" x="146"/>
        <item m="1" x="217"/>
        <item m="1" x="320"/>
        <item m="1" x="131"/>
        <item m="1" x="259"/>
        <item m="1" x="33"/>
        <item m="1" x="390"/>
        <item m="1" x="413"/>
        <item m="1" x="242"/>
        <item m="1" x="457"/>
        <item m="1" x="168"/>
        <item m="1" x="530"/>
        <item m="1" x="346"/>
        <item m="1" x="105"/>
        <item m="1" x="87"/>
        <item m="1" x="526"/>
        <item m="1" x="231"/>
        <item m="1" x="246"/>
        <item m="1" x="233"/>
        <item m="1" x="220"/>
        <item m="1" x="508"/>
        <item m="1" x="533"/>
        <item m="1" x="198"/>
        <item m="1" x="535"/>
        <item m="1" x="285"/>
        <item m="1" x="291"/>
        <item m="1" x="371"/>
        <item m="1" x="26"/>
        <item m="1" x="53"/>
        <item m="1" x="322"/>
        <item m="1" x="6"/>
        <item m="1" x="37"/>
        <item m="1" x="451"/>
        <item m="1" x="210"/>
        <item m="1" x="537"/>
        <item m="1" x="48"/>
        <item m="1" x="445"/>
        <item m="1" x="397"/>
        <item m="1" x="44"/>
        <item m="1" x="319"/>
        <item m="1" x="299"/>
        <item m="1" x="157"/>
        <item m="1" x="187"/>
        <item m="1" x="531"/>
        <item m="1" x="468"/>
        <item m="1" x="114"/>
        <item m="1" x="123"/>
        <item m="1" x="416"/>
        <item m="1" x="94"/>
        <item m="1" x="405"/>
        <item m="1" x="411"/>
        <item m="1" x="27"/>
        <item m="1" x="236"/>
        <item m="1" x="332"/>
        <item m="1" x="7"/>
        <item m="1" x="183"/>
        <item m="1" x="459"/>
        <item m="1" x="85"/>
        <item m="1" x="124"/>
        <item m="1" x="523"/>
        <item m="1" x="529"/>
        <item m="1" x="219"/>
        <item m="1" x="373"/>
        <item m="1" x="161"/>
        <item m="1" x="414"/>
        <item m="1" x="97"/>
        <item m="1" x="469"/>
        <item m="1" x="426"/>
        <item m="1" x="211"/>
        <item m="1" x="125"/>
        <item m="1" x="536"/>
        <item m="1" x="269"/>
        <item m="1" x="32"/>
        <item m="1" x="5"/>
        <item m="1" x="21"/>
        <item m="1" x="132"/>
        <item m="1" x="481"/>
        <item m="1" x="538"/>
        <item m="1" x="428"/>
        <item m="1" x="448"/>
        <item m="1" x="78"/>
        <item m="1" x="534"/>
        <item m="1" x="207"/>
        <item m="1" x="14"/>
        <item m="1" x="466"/>
        <item m="1" x="389"/>
        <item m="1" x="510"/>
        <item m="1" x="213"/>
        <item m="1" x="257"/>
        <item m="1" x="136"/>
        <item m="1" x="263"/>
        <item m="1" x="482"/>
        <item m="1" x="479"/>
        <item m="1" x="438"/>
        <item m="1" x="308"/>
        <item m="1" x="164"/>
        <item m="1" x="465"/>
        <item m="1" x="29"/>
        <item m="1" x="362"/>
        <item m="1" x="333"/>
        <item m="1" x="71"/>
        <item m="1" x="229"/>
        <item m="1" x="80"/>
        <item m="1" x="39"/>
        <item m="1" x="511"/>
        <item m="1" x="277"/>
        <item m="1" x="258"/>
        <item m="1" x="503"/>
        <item m="1" x="175"/>
        <item m="1" x="3"/>
        <item m="1" x="108"/>
        <item m="1" x="490"/>
        <item m="1" x="167"/>
        <item m="1" x="473"/>
        <item m="1" x="19"/>
        <item m="1" x="524"/>
        <item m="1" x="182"/>
        <item m="1" x="283"/>
        <item m="1" x="383"/>
        <item m="1" x="429"/>
        <item m="1" x="116"/>
        <item m="1" x="102"/>
        <item m="1" x="403"/>
        <item m="1" x="484"/>
        <item m="1" x="398"/>
        <item m="1" x="100"/>
        <item m="1" x="470"/>
        <item m="1" x="9"/>
        <item m="1" x="349"/>
        <item m="1" x="313"/>
        <item m="1" x="336"/>
        <item x="1"/>
        <item m="1" x="325"/>
        <item m="1" x="300"/>
        <item m="1" x="326"/>
        <item m="1" x="301"/>
        <item m="1" x="351"/>
        <item m="1" x="302"/>
        <item m="1" x="327"/>
        <item m="1" x="315"/>
        <item m="1" x="354"/>
        <item m="1" x="282"/>
        <item m="1" x="355"/>
        <item m="1" x="316"/>
        <item m="1" x="365"/>
        <item m="1" x="356"/>
        <item m="1" x="292"/>
        <item m="1" x="357"/>
        <item m="1" x="317"/>
        <item m="1" x="305"/>
        <item m="1" x="306"/>
        <item m="1" x="331"/>
        <item m="1" x="359"/>
        <item x="0"/>
        <item m="1" x="368"/>
        <item m="1" x="347"/>
        <item m="1" x="337"/>
        <item m="1" x="179"/>
        <item m="1" x="151"/>
        <item m="1" x="144"/>
        <item m="1" x="193"/>
        <item m="1" x="180"/>
        <item m="1" x="194"/>
        <item m="1" x="171"/>
        <item m="1" x="135"/>
        <item m="1" x="195"/>
        <item m="1" x="181"/>
        <item m="1" x="154"/>
        <item m="1" x="145"/>
        <item m="1" x="137"/>
        <item m="1" x="196"/>
        <item m="1" x="172"/>
        <item m="1" x="156"/>
        <item m="1" x="138"/>
        <item m="1" x="147"/>
        <item m="1" x="139"/>
        <item m="1" x="149"/>
        <item m="1" x="166"/>
        <item t="default"/>
      </items>
    </pivotField>
    <pivotField axis="axisRow" showAll="0" sortType="ascending" defaultSubtotal="0">
      <items count="800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x="33"/>
        <item sd="0" x="34"/>
        <item sd="0" x="35"/>
        <item x="36"/>
        <item sd="0" x="37"/>
        <item x="38"/>
        <item sd="0" x="39"/>
        <item x="40"/>
        <item sd="0" x="41"/>
        <item x="42"/>
        <item sd="0" x="43"/>
        <item x="44"/>
        <item sd="0" x="45"/>
        <item sd="0" x="46"/>
        <item x="47"/>
        <item sd="0" x="48"/>
        <item x="49"/>
        <item sd="0" x="50"/>
        <item x="51"/>
        <item sd="0" x="52"/>
        <item x="53"/>
        <item sd="0" x="54"/>
        <item x="55"/>
        <item sd="0" x="56"/>
        <item sd="0" x="57"/>
        <item x="58"/>
        <item sd="0" x="59"/>
        <item x="60"/>
        <item sd="0" x="61"/>
        <item x="62"/>
        <item sd="0" x="63"/>
        <item x="64"/>
        <item sd="0" x="65"/>
        <item sd="0" x="66"/>
        <item x="67"/>
        <item x="68"/>
        <item sd="0" x="69"/>
        <item sd="0" x="70"/>
        <item x="71"/>
        <item sd="0" m="1" x="2454"/>
        <item sd="0" m="1" x="3440"/>
        <item sd="0" m="1" x="6357"/>
        <item sd="0" m="1" x="7327"/>
        <item sd="0" m="1" x="2322"/>
        <item sd="0" m="1" x="3305"/>
        <item sd="0" m="1" x="5266"/>
        <item sd="0" m="1" x="6229"/>
        <item sd="0" m="1" x="1226"/>
        <item sd="0" m="1" x="2193"/>
        <item sd="0" m="1" x="5137"/>
        <item sd="0" m="1" x="6094"/>
        <item sd="0" m="1" x="116"/>
        <item sd="0" m="1" x="1095"/>
        <item sd="0" m="1" x="4042"/>
        <item sd="0" m="1" x="5011"/>
        <item sd="0" m="1" x="7913"/>
        <item sd="0" m="1" x="962"/>
        <item sd="0" m="1" x="2912"/>
        <item sd="0" m="1" x="3909"/>
        <item sd="0" m="1" x="6814"/>
        <item sd="0" m="1" x="7785"/>
        <item sd="0" m="1" x="2780"/>
        <item sd="0" m="1" x="3773"/>
        <item sd="0" m="1" x="5709"/>
        <item sd="0" m="1" x="6683"/>
        <item sd="0" m="1" x="1677"/>
        <item sd="0" m="1" x="2652"/>
        <item sd="0" m="1" x="5581"/>
        <item sd="0" m="1" x="6550"/>
        <item sd="0" m="1" x="573"/>
        <item sd="0" m="1" x="1544"/>
        <item sd="0" m="1" x="2028"/>
        <item sd="0" m="1" x="4501"/>
        <item sd="0" m="1" x="4978"/>
        <item sd="0" m="1" x="5454"/>
        <item sd="0" m="1" x="7881"/>
        <item sd="0" m="1" x="443"/>
        <item sd="0" m="1" x="930"/>
        <item sd="0" m="1" x="1412"/>
        <item sd="0" m="1" x="3375"/>
        <item sd="0" m="1" x="3876"/>
        <item sd="0" m="1" x="4368"/>
        <item sd="0" m="1" x="4849"/>
        <item sd="0" m="1" x="7268"/>
        <item sd="0" m="1" x="7754"/>
        <item sd="0" m="1" x="314"/>
        <item m="1" x="798"/>
        <item sd="0" m="1" x="2749"/>
        <item sd="0" m="1" x="3245"/>
        <item sd="0" m="1" x="3744"/>
        <item sd="0" m="1" x="4238"/>
        <item sd="0" m="1" x="6161"/>
        <item sd="0" m="1" x="6653"/>
        <item sd="0" m="1" x="7138"/>
        <item sd="0" m="1" x="7625"/>
        <item sd="0" m="1" x="2130"/>
        <item sd="0" m="1" x="2622"/>
        <item sd="0" m="1" x="3114"/>
        <item m="1" x="3609"/>
        <item sd="0" m="1" x="5550"/>
        <item sd="0" m="1" x="6032"/>
        <item sd="0" m="1" x="6522"/>
        <item sd="0" m="1" x="7008"/>
        <item sd="0" m="1" x="1028"/>
        <item sd="0" m="1" x="1514"/>
        <item sd="0" m="1" x="1998"/>
        <item sd="0" m="1" x="2490"/>
        <item sd="0" m="1" x="4947"/>
        <item sd="0" m="1" x="5425"/>
        <item m="1" x="5904"/>
        <item m="1" x="6392"/>
        <item sd="0" m="1" x="410"/>
        <item sd="0" m="1" x="898"/>
        <item m="1" x="1384"/>
        <item m="1" x="1869"/>
        <item sd="0" m="1" x="3842"/>
        <item sd="0" m="1" x="4337"/>
        <item sd="0" m="1" x="4818"/>
        <item m="1" x="5298"/>
        <item sd="0" m="1" x="7722"/>
        <item sd="0" m="1" x="282"/>
        <item m="1" x="768"/>
        <item m="1" x="1257"/>
        <item sd="0" m="1" x="3212"/>
        <item sd="0" m="1" x="3710"/>
        <item m="1" x="4207"/>
        <item m="1" x="4691"/>
        <item sd="0" m="1" x="6621"/>
        <item sd="0" m="1" x="7106"/>
        <item sd="0" m="1" x="7591"/>
        <item m="1" x="152"/>
        <item sd="0" m="1" x="2590"/>
        <item sd="0" m="1" x="3081"/>
        <item m="1" x="3578"/>
        <item m="1" x="4079"/>
        <item sd="0" m="1" x="6003"/>
        <item sd="0" m="1" x="6491"/>
        <item m="1" x="6977"/>
        <item m="1" x="7462"/>
        <item sd="0" m="1" x="1483"/>
        <item sd="0" m="1" x="1730"/>
        <item sd="0" m="1" x="1969"/>
        <item sd="0" m="1" x="2214"/>
        <item sd="0" m="1" x="2458"/>
        <item m="1" x="2706"/>
        <item m="1" x="2951"/>
        <item m="1" x="3195"/>
        <item sd="0" m="1" x="5156"/>
        <item sd="0" m="1" x="5395"/>
        <item sd="0" m="1" x="5636"/>
        <item sd="0" m="1" x="5875"/>
        <item sd="0" m="1" x="6118"/>
        <item m="1" x="6363"/>
        <item m="1" x="6605"/>
        <item m="1" x="6851"/>
        <item sd="0" m="1" x="868"/>
        <item sd="0" m="1" x="1114"/>
        <item sd="0" m="1" x="1355"/>
        <item sd="0" m="1" x="1601"/>
        <item m="1" x="1840"/>
        <item m="1" x="2085"/>
        <item m="1" x="2327"/>
        <item sd="0" m="1" x="4303"/>
        <item sd="0" m="1" x="4550"/>
        <item sd="0" m="1" x="4788"/>
        <item sd="0" m="1" x="5031"/>
        <item sd="0" m="1" x="5269"/>
        <item m="1" x="5510"/>
        <item m="1" x="5750"/>
        <item m="1" x="5988"/>
        <item sd="0" m="1" x="7931"/>
        <item sd="0" m="1" x="247"/>
        <item sd="0" m="1" x="494"/>
        <item sd="0" m="1" x="738"/>
        <item sd="0" m="1" x="986"/>
        <item m="1" x="1232"/>
        <item m="1" x="1470"/>
        <item m="1" x="1717"/>
        <item sd="0" m="1" x="3674"/>
        <item sd="0" m="1" x="3927"/>
        <item sd="0" m="1" x="4174"/>
        <item sd="0" m="1" x="4422"/>
        <item m="1" x="4662"/>
        <item m="1" x="4905"/>
        <item m="1" x="5143"/>
        <item sd="0" m="1" x="7070"/>
        <item sd="0" m="1" x="7313"/>
        <item sd="0" m="1" x="7557"/>
        <item sd="0" m="1" x="7804"/>
        <item sd="0" m="1" x="120"/>
        <item m="1" x="367"/>
        <item m="1" x="612"/>
        <item m="1" x="853"/>
        <item sd="0" m="1" x="2799"/>
        <item sd="0" m="1" x="3044"/>
        <item sd="0" m="1" x="3293"/>
        <item sd="0" m="1" x="3544"/>
        <item sd="0" m="1" x="3794"/>
        <item m="1" x="4048"/>
        <item m="1" x="4290"/>
        <item m="1" x="4538"/>
        <item sd="0" m="1" x="6456"/>
        <item sd="0" m="1" x="6702"/>
        <item sd="0" m="1" x="6943"/>
        <item sd="0" m="1" x="7188"/>
        <item m="1" x="7429"/>
        <item m="1" x="7676"/>
        <item m="1" x="7918"/>
        <item sd="0" m="1" x="1935"/>
        <item sd="0" m="1" x="2179"/>
        <item sd="0" m="1" x="2422"/>
        <item sd="0" m="1" x="2672"/>
        <item sd="0" m="1" x="2916"/>
        <item m="1" x="3164"/>
        <item m="1" x="3413"/>
        <item m="1" x="3660"/>
        <item sd="0" m="1" x="5602"/>
        <item sd="0" m="1" x="5840"/>
        <item sd="0" m="1" x="6082"/>
        <item sd="0" m="1" x="6327"/>
        <item sd="0" m="1" x="6571"/>
        <item m="1" x="6819"/>
        <item m="1" x="7057"/>
        <item m="1" x="7301"/>
        <item sd="0" m="1" x="1321"/>
        <item sd="0" m="1" x="1564"/>
        <item sd="0" m="1" x="1805"/>
        <item sd="0" m="1" x="2050"/>
        <item m="1" x="2291"/>
        <item m="1" x="2541"/>
        <item m="1" x="2785"/>
        <item sd="0" m="1" x="4755"/>
        <item sd="0" m="1" x="4996"/>
        <item sd="0" m="1" x="5234"/>
        <item sd="0" m="1" x="5475"/>
        <item sd="0" m="1" x="5713"/>
        <item m="1" x="5954"/>
        <item m="1" x="6199"/>
        <item m="1" x="6441"/>
        <item sd="0" m="1" x="463"/>
        <item sd="0" m="1" x="705"/>
        <item sd="0" m="1" x="950"/>
        <item sd="0" m="1" x="1196"/>
        <item sd="0" m="1" x="1435"/>
        <item m="1" x="1683"/>
        <item m="1" x="1918"/>
        <item m="1" x="2164"/>
        <item sd="0" m="1" x="4144"/>
        <item sd="0" m="1" x="4387"/>
        <item sd="0" m="1" x="4629"/>
        <item sd="0" m="1" x="4871"/>
        <item m="1" x="5107"/>
        <item m="1" x="5348"/>
        <item m="1" x="5586"/>
        <item sd="0" m="1" x="7526"/>
        <item sd="0" m="1" x="7770"/>
        <item sd="0" m="1" x="86"/>
        <item sd="0" m="1" x="333"/>
        <item sd="0" m="1" x="577"/>
        <item m="1" x="820"/>
        <item m="1" x="1064"/>
        <item m="1" x="1306"/>
        <item sd="0" m="1" x="3262"/>
        <item sd="0" m="1" x="3510"/>
        <item sd="0" m="1" x="3761"/>
        <item sd="0" m="1" x="4014"/>
        <item sd="0" m="1" x="4257"/>
        <item m="1" x="4506"/>
        <item m="1" x="4739"/>
        <item m="1" x="4982"/>
        <item sd="0" m="1" x="6913"/>
        <item sd="0" m="1" x="7155"/>
        <item sd="0" m="1" x="7397"/>
        <item sd="0" m="1" x="7519"/>
        <item sd="0" m="1" x="7645"/>
        <item sd="0" m="1" x="7764"/>
        <item m="1" x="7885"/>
        <item m="1" x="79"/>
        <item m="1" x="203"/>
        <item m="1" x="326"/>
        <item m="1" x="447"/>
        <item m="1" x="569"/>
        <item sd="0" m="1" x="2389"/>
        <item sd="0" m="1" x="2516"/>
        <item sd="0" m="1" x="2637"/>
        <item sd="0" m="1" x="2758"/>
        <item sd="0" m="1" x="2883"/>
        <item sd="0" m="1" x="3006"/>
        <item sd="0" m="1" x="3132"/>
        <item sd="0" m="1" x="3255"/>
        <item sd="0" m="1" x="3379"/>
        <item m="1" x="3504"/>
        <item m="1" x="3630"/>
        <item m="1" x="3754"/>
        <item m="1" x="3880"/>
        <item m="1" x="4006"/>
        <item m="1" x="4130"/>
        <item sd="0" m="1" x="5928"/>
        <item sd="0" m="1" x="6050"/>
        <item sd="0" m="1" x="6171"/>
        <item sd="0" m="1" x="6293"/>
        <item sd="0" m="1" x="6416"/>
        <item sd="0" m="1" x="6538"/>
        <item sd="0" m="1" x="6662"/>
        <item sd="0" m="1" x="6787"/>
        <item sd="0" m="1" x="6906"/>
        <item sd="0" m="1" x="7025"/>
        <item m="1" x="7149"/>
        <item m="1" x="7271"/>
        <item m="1" x="7390"/>
        <item m="1" x="7511"/>
        <item m="1" x="7636"/>
        <item m="1" x="7757"/>
        <item sd="0" m="1" x="1655"/>
        <item sd="0" m="1" x="1774"/>
        <item sd="0" m="1" x="1891"/>
        <item sd="0" m="1" x="2015"/>
        <item sd="0" m="1" x="2140"/>
        <item sd="0" m="1" x="2259"/>
        <item sd="0" m="1" x="2382"/>
        <item sd="0" m="1" x="2509"/>
        <item sd="0" m="1" x="2631"/>
        <item m="1" x="2752"/>
        <item m="1" x="2877"/>
        <item m="1" x="3000"/>
        <item m="1" x="3126"/>
        <item m="1" x="3248"/>
        <item m="1" x="3372"/>
        <item sd="0" m="1" x="5201"/>
        <item sd="0" m="1" x="5323"/>
        <item sd="0" m="1" x="5440"/>
        <item sd="0" m="1" x="5559"/>
        <item sd="0" m="1" x="5680"/>
        <item sd="0" m="1" x="5801"/>
        <item sd="0" m="1" x="5921"/>
        <item sd="0" m="1" x="6043"/>
        <item sd="0" m="1" x="6164"/>
        <item m="1" x="6287"/>
        <item m="1" x="6410"/>
        <item m="1" x="6532"/>
        <item m="1" x="6656"/>
        <item m="1" x="6780"/>
        <item m="1" x="6901"/>
        <item sd="0" m="1" x="793"/>
        <item sd="0" m="1" x="916"/>
        <item sd="0" m="1" x="1038"/>
        <item sd="0" m="1" x="1160"/>
        <item sd="0" m="1" x="1281"/>
        <item sd="0" m="1" x="1400"/>
        <item sd="0" m="1" x="1523"/>
        <item sd="0" m="1" x="1648"/>
        <item sd="0" m="1" x="1767"/>
        <item sd="0" m="1" x="1885"/>
        <item m="1" x="2009"/>
        <item m="1" x="2133"/>
        <item m="1" x="2253"/>
        <item m="1" x="2375"/>
        <item m="1" x="2501"/>
        <item m="1" x="2626"/>
        <item sd="0" m="1" x="4480"/>
        <item sd="0" m="1" x="4598"/>
        <item sd="0" m="1" x="4714"/>
        <item sd="0" m="1" x="4836"/>
        <item sd="0" m="1" x="4957"/>
        <item sd="0" m="1" x="5075"/>
        <item sd="0" m="1" x="5194"/>
        <item sd="0" m="1" x="5316"/>
        <item sd="0" m="1" x="5434"/>
        <item m="1" x="5553"/>
        <item m="1" x="5674"/>
        <item m="1" x="5795"/>
        <item m="1" x="5915"/>
        <item m="1" x="6036"/>
        <item m="1" x="6158"/>
        <item sd="0" m="1" x="7982"/>
        <item sd="0" m="1" x="179"/>
        <item sd="0" m="1" x="299"/>
        <item sd="0" m="1" x="421"/>
        <item sd="0" m="1" x="543"/>
        <item sd="0" m="1" x="665"/>
        <item sd="0" m="1" x="786"/>
        <item sd="0" m="1" x="909"/>
        <item sd="0" m="1" x="1031"/>
        <item m="1" x="1154"/>
        <item m="1" x="1275"/>
        <item m="1" x="1394"/>
        <item m="1" x="1517"/>
        <item m="1" x="1641"/>
        <item m="1" x="1762"/>
        <item sd="0" m="1" x="3729"/>
        <item sd="0" m="1" x="3853"/>
        <item sd="0" m="1" x="3981"/>
        <item sd="0" m="1" x="4106"/>
        <item sd="0" m="1" x="4225"/>
        <item sd="0" m="1" x="4348"/>
        <item sd="0" m="1" x="4473"/>
        <item sd="0" m="1" x="4591"/>
        <item sd="0" m="1" x="4708"/>
        <item m="1" x="4830"/>
        <item m="1" x="4951"/>
        <item m="1" x="5069"/>
        <item m="1" x="5188"/>
        <item m="1" x="5309"/>
        <item m="1" x="5429"/>
        <item sd="0" m="1" x="7248"/>
        <item sd="0" m="1" x="7368"/>
        <item sd="0" m="1" x="7488"/>
        <item sd="0" m="1" x="7612"/>
        <item sd="0" m="1" x="7734"/>
        <item sd="0" m="1" x="7855"/>
        <item sd="0" m="1" x="7976"/>
        <item sd="0" m="1" x="173"/>
        <item sd="0" m="1" x="293"/>
        <item m="1" x="414"/>
        <item m="1" x="537"/>
        <item m="1" x="659"/>
        <item m="1" x="780"/>
        <item m="1" x="902"/>
        <item m="1" x="1025"/>
        <item sd="0" m="1" x="2854"/>
        <item sd="0" m="1" x="2977"/>
        <item sd="0" m="1" x="3100"/>
        <item sd="0" m="1" x="3223"/>
        <item sd="0" m="1" x="3347"/>
        <item sd="0" m="1" x="3473"/>
        <item sd="0" m="1" x="3598"/>
        <item sd="0" m="1" x="3722"/>
        <item sd="0" m="1" x="3846"/>
        <item m="1" x="3974"/>
        <item m="1" x="4099"/>
        <item m="1" x="4218"/>
        <item m="1" x="4341"/>
        <item m="1" x="4465"/>
        <item m="1" x="4585"/>
        <item sd="0" m="1" x="6510"/>
        <item sd="0" m="1" x="6631"/>
        <item sd="0" m="1" x="6755"/>
        <item sd="0" m="1" x="6877"/>
        <item sd="0" m="1" x="6995"/>
        <item sd="0" m="1" x="7117"/>
        <item sd="0" m="1" x="7240"/>
        <item sd="0" m="1" x="7360"/>
        <item sd="0" m="1" x="7480"/>
        <item m="1" x="7604"/>
        <item m="1" x="7726"/>
        <item m="1" x="7847"/>
        <item m="1" x="7968"/>
        <item m="1" x="163"/>
        <item m="1" x="286"/>
        <item sd="0" m="1" x="2112"/>
        <item sd="0" m="1" x="2232"/>
        <item sd="0" m="1" x="2353"/>
        <item sd="0" m="1" x="2478"/>
        <item sd="0" m="1" x="2603"/>
        <item sd="0" m="1" x="2724"/>
        <item sd="0" m="1" x="2846"/>
        <item sd="0" m="1" x="2970"/>
        <item sd="0" m="1" x="3093"/>
        <item m="1" x="3215"/>
        <item m="1" x="3340"/>
        <item m="1" x="3466"/>
        <item m="1" x="3591"/>
        <item m="1" x="3714"/>
        <item m="1" x="3838"/>
        <item sd="0" m="1" x="5653"/>
        <item sd="0" m="1" x="5774"/>
        <item sd="0" m="1" x="5893"/>
        <item sd="0" m="1" x="6014"/>
        <item sd="0" m="1" x="6136"/>
        <item sd="0" m="1" x="6260"/>
        <item sd="0" m="1" x="6382"/>
        <item sd="0" m="1" x="6504"/>
        <item sd="0" m="1" x="6625"/>
        <item m="1" x="6749"/>
        <item m="1" x="6871"/>
        <item m="1" x="6989"/>
        <item m="1" x="7111"/>
        <item m="1" x="7233"/>
        <item m="1" x="7354"/>
        <item m="1" x="7474"/>
        <item sd="0" m="1" x="1373"/>
        <item sd="0" m="1" x="1493"/>
        <item sd="0" m="1" x="1618"/>
        <item sd="0" m="1" x="1741"/>
        <item sd="0" m="1" x="1857"/>
        <item sd="0" m="1" x="1980"/>
        <item sd="0" m="1" x="2105"/>
        <item sd="0" m="1" x="2225"/>
        <item sd="0" m="1" x="2346"/>
        <item m="1" x="2471"/>
        <item m="1" x="2595"/>
        <item m="1" x="2717"/>
        <item m="1" x="2839"/>
        <item m="1" x="2962"/>
        <item m="1" x="3086"/>
        <item sd="0" m="1" x="4929"/>
        <item sd="0" m="1" x="5048"/>
        <item sd="0" m="1" x="5167"/>
        <item sd="0" m="1" x="5287"/>
        <item sd="0" m="1" x="5406"/>
        <item sd="0" m="1" x="5526"/>
        <item sd="0" m="1" x="5646"/>
        <item sd="0" m="1" x="5766"/>
        <item sd="0" m="1" x="5885"/>
        <item m="1" x="6006"/>
        <item m="1" x="6128"/>
        <item m="1" x="6252"/>
        <item m="1" x="6374"/>
        <item m="1" x="6495"/>
        <item m="1" x="6616"/>
        <item sd="0" m="1" x="515"/>
        <item sd="0" m="1" x="637"/>
        <item sd="0" m="1" x="756"/>
        <item sd="0" m="1" x="880"/>
        <item sd="0" m="1" x="1002"/>
        <item sd="0" m="1" x="1125"/>
        <item sd="0" m="1" x="1247"/>
        <item sd="0" m="1" x="1366"/>
        <item sd="0" m="1" x="1486"/>
        <item m="1" x="1611"/>
        <item m="1" x="1734"/>
        <item m="1" x="1850"/>
        <item m="1" x="1973"/>
        <item m="1" x="2097"/>
        <item m="1" x="2218"/>
        <item m="1" x="2338"/>
        <item sd="0" m="1" x="4195"/>
        <item m="1" x="4317"/>
        <item m="1" x="4442"/>
        <item sd="0" m="1" x="4564"/>
        <item sd="0" m="1" x="4679"/>
        <item sd="0" m="1" x="4800"/>
        <item sd="0" m="1" x="4922"/>
        <item m="1" x="5041"/>
        <item sd="0" m="1" x="5160"/>
        <item m="1" x="5280"/>
        <item m="1" x="5400"/>
        <item m="1" x="5520"/>
        <item m="1" x="5640"/>
        <item m="1" x="5759"/>
        <item m="1" x="5879"/>
        <item m="1" x="3694"/>
        <item sd="0" m="1" x="7703"/>
        <item sd="0" m="1" x="3817"/>
        <item sd="0" m="1" x="7824"/>
        <item sd="0" m="1" x="3945"/>
        <item sd="0" m="1" x="7945"/>
        <item sd="0" m="1" x="4071"/>
        <item sd="0" m="1" x="140"/>
        <item sd="0" m="1" x="4190"/>
        <item sd="0" m="1" x="262"/>
        <item m="1" x="4312"/>
        <item m="1" x="384"/>
        <item sd="0" m="1" x="4437"/>
        <item sd="0" m="1" x="506"/>
        <item sd="0" m="1" x="4559"/>
        <item sd="0" m="1" x="628"/>
        <item sd="0" m="1" x="4674"/>
        <item sd="0" m="1" x="748"/>
        <item sd="0" m="1" x="4795"/>
        <item m="1" x="872"/>
        <item m="1" x="4918"/>
        <item m="1" x="995"/>
        <item m="1" x="5038"/>
        <item m="1" x="1119"/>
        <item m="1" x="5157"/>
        <item m="1" x="1241"/>
        <item m="1" x="5276"/>
        <item m="1" x="1359"/>
        <item m="1" x="5396"/>
        <item m="1" x="1479"/>
        <item m="1" x="5516"/>
        <item sd="0" m="1" x="3317"/>
        <item sd="0" m="1" x="7333"/>
        <item sd="0" m="1" x="3441"/>
        <item sd="0" m="1" x="7451"/>
        <item m="1" x="3564"/>
        <item m="1" x="7574"/>
        <item m="1" x="3688"/>
        <item sd="0" m="1" x="7698"/>
        <item sd="0" m="1" x="3812"/>
        <item sd="0" m="1" x="7819"/>
        <item sd="0" m="1" x="3940"/>
        <item sd="0" m="1" x="7940"/>
        <item sd="0" m="1" x="4066"/>
        <item sd="0" m="1" x="135"/>
        <item sd="0" m="1" x="4185"/>
        <item m="1" x="256"/>
        <item m="1" x="4307"/>
        <item m="1" x="379"/>
        <item m="1" x="4432"/>
        <item m="1" x="501"/>
        <item m="1" x="4555"/>
        <item m="1" x="624"/>
        <item m="1" x="4671"/>
        <item m="1" x="745"/>
        <item m="1" x="4792"/>
        <item m="1" x="869"/>
        <item m="1" x="4914"/>
        <item m="1" x="991"/>
        <item m="1" x="5034"/>
        <item m="1" x="1115"/>
        <item m="1" x="5152"/>
        <item m="1" x="2941"/>
        <item m="1" x="6964"/>
        <item sd="0" m="1" x="3064"/>
        <item sd="0" m="1" x="7084"/>
        <item sd="0" m="1" x="3186"/>
        <item sd="0" m="1" x="7208"/>
        <item sd="0" m="1" x="3311"/>
        <item sd="0" m="1" x="7328"/>
        <item sd="0" m="1" x="3434"/>
        <item sd="0" m="1" x="7446"/>
        <item m="1" x="3559"/>
        <item m="1" x="7569"/>
        <item sd="0" m="1" x="3683"/>
        <item sd="0" m="1" x="7693"/>
        <item sd="0" m="1" x="3807"/>
        <item sd="0" m="1" x="7814"/>
        <item sd="0" m="1" x="3935"/>
        <item sd="0" m="1" x="7935"/>
        <item m="1" x="4061"/>
        <item m="1" x="131"/>
        <item m="1" x="4181"/>
        <item m="1" x="252"/>
        <item m="1" x="4304"/>
        <item m="1" x="376"/>
        <item m="1" x="4429"/>
        <item m="1" x="498"/>
        <item m="1" x="4551"/>
        <item m="1" x="620"/>
        <item m="1" x="4667"/>
        <item m="1" x="741"/>
        <item sd="0" m="1" x="6476"/>
        <item sd="0" m="1" x="2572"/>
        <item sd="0" m="1" x="6596"/>
        <item sd="0" m="1" x="2692"/>
        <item sd="0" m="1" x="6720"/>
        <item sd="0" m="1" x="2814"/>
        <item m="1" x="6842"/>
        <item m="1" x="2936"/>
        <item sd="0" m="1" x="6959"/>
        <item sd="0" m="1" x="3059"/>
        <item sd="0" m="1" x="7079"/>
        <item sd="0" m="1" x="3181"/>
        <item sd="0" m="1" x="7203"/>
        <item sd="0" m="1" x="3306"/>
        <item sd="0" m="1" x="7322"/>
        <item sd="0" m="1" x="3429"/>
        <item m="1" x="7441"/>
        <item m="1" x="3554"/>
        <item m="1" x="7564"/>
        <item m="1" x="3678"/>
        <item m="1" x="7689"/>
        <item m="1" x="3803"/>
        <item m="1" x="7811"/>
        <item m="1" x="3932"/>
        <item m="1" x="7932"/>
        <item m="1" x="4058"/>
        <item m="1" x="127"/>
        <item m="1" x="4177"/>
        <item m="1" x="248"/>
        <item m="1" x="4299"/>
        <item m="1" x="372"/>
        <item m="1" x="6107"/>
        <item m="1" x="2200"/>
        <item m="1" x="6230"/>
        <item sd="0" m="1" x="2317"/>
        <item sd="0" m="1" x="6349"/>
        <item sd="0" m="1" x="2441"/>
        <item sd="0" m="1" x="6471"/>
        <item sd="0" m="1" x="2567"/>
        <item sd="0" m="1" x="6591"/>
        <item sd="0" m="1" x="2687"/>
        <item sd="0" m="1" x="6715"/>
        <item m="1" x="2809"/>
        <item m="1" x="6837"/>
        <item sd="0" m="1" x="2931"/>
        <item sd="0" m="1" x="6954"/>
        <item sd="0" m="1" x="3053"/>
        <item sd="0" m="1" x="7074"/>
        <item sd="0" m="1" x="3176"/>
        <item sd="0" m="1" x="7198"/>
        <item m="1" x="3300"/>
        <item m="1" x="7318"/>
        <item m="1" x="3425"/>
        <item m="1" x="7438"/>
        <item m="1" x="3551"/>
        <item m="1" x="7561"/>
        <item m="1" x="3675"/>
        <item m="1" x="7685"/>
        <item m="1" x="3799"/>
        <item m="1" x="7807"/>
        <item m="1" x="3928"/>
        <item m="1" x="7927"/>
        <item sd="0" m="1" x="5741"/>
        <item sd="0" m="1" x="1828"/>
        <item sd="0" m="1" x="5859"/>
        <item sd="0" m="1" x="1949"/>
        <item sd="0" m="1" x="5979"/>
        <item sd="0" m="1" x="2072"/>
        <item m="1" x="6101"/>
        <item m="1" x="2194"/>
        <item sd="0" m="1" x="6222"/>
        <item sd="0" m="1" x="2311"/>
        <item sd="0" m="1" x="6343"/>
        <item sd="0" m="1" x="2435"/>
        <item sd="0" m="1" x="6465"/>
        <item sd="0" m="1" x="2561"/>
        <item sd="0" m="1" x="6585"/>
        <item sd="0" m="1" x="2682"/>
        <item sd="0" m="1" x="6710"/>
        <item m="1" x="2804"/>
        <item m="1" x="6832"/>
        <item m="1" x="2927"/>
        <item m="1" x="6950"/>
        <item m="1" x="3049"/>
        <item m="1" x="7071"/>
        <item m="1" x="3173"/>
        <item m="1" x="7195"/>
        <item m="1" x="3297"/>
        <item m="1" x="7314"/>
        <item m="1" x="3421"/>
        <item m="1" x="7434"/>
        <item m="1" x="3547"/>
        <item sd="0" m="1" x="1341"/>
        <item sd="0" m="1" x="5378"/>
        <item m="1" x="1460"/>
        <item m="1" x="5496"/>
        <item sd="0" m="1" x="1583"/>
        <item sd="0" m="1" x="5616"/>
        <item sd="0" m="1" x="1707"/>
        <item sd="0" m="1" x="5735"/>
        <item sd="0" m="1" x="1822"/>
        <item sd="0" m="1" x="5853"/>
        <item sd="0" m="1" x="1943"/>
        <item sd="0" m="1" x="5973"/>
        <item m="1" x="2066"/>
        <item m="1" x="6095"/>
        <item m="1" x="2187"/>
        <item sd="0" m="1" x="6216"/>
        <item sd="0" m="1" x="2306"/>
        <item sd="0" m="1" x="6338"/>
        <item sd="0" m="1" x="2430"/>
        <item m="1" x="6460"/>
        <item m="1" x="2557"/>
        <item m="1" x="6581"/>
        <item m="1" x="2679"/>
        <item m="1" x="6707"/>
        <item m="1" x="2800"/>
        <item m="1" x="6829"/>
        <item m="1" x="2923"/>
        <item m="1" x="6946"/>
        <item m="1" x="3045"/>
        <item m="1" x="7066"/>
        <item m="1" x="3169"/>
        <item sd="0" m="1" x="974"/>
        <item sd="0" m="1" x="5017"/>
        <item sd="0" m="1" x="1096"/>
        <item sd="0" m="1" x="5132"/>
        <item sd="0" m="1" x="1217"/>
        <item sd="0" m="1" x="5252"/>
        <item sd="0" m="1" x="1336"/>
        <item m="1" x="5373"/>
        <item m="1" x="1455"/>
        <item sd="0" m="1" x="5491"/>
        <item sd="0" m="1" x="1578"/>
        <item sd="0" m="1" x="5611"/>
        <item sd="0" m="1" x="1702"/>
        <item sd="0" m="1" x="5730"/>
        <item sd="0" m="1" x="1817"/>
        <item sd="0" m="1" x="5849"/>
        <item sd="0" m="1" x="1939"/>
        <item sd="0" m="1" x="5969"/>
        <item m="1" x="2062"/>
        <item m="1" x="6090"/>
        <item m="1" x="2184"/>
        <item m="1" x="6213"/>
        <item m="1" x="2303"/>
        <item m="1" x="6335"/>
        <item m="1" x="2426"/>
        <item m="1" x="6457"/>
        <item m="1" x="2553"/>
        <item m="1" x="6577"/>
        <item m="1" x="2675"/>
        <item m="1" x="6703"/>
        <item m="1" x="2795"/>
        <item sd="0" m="1" x="604"/>
        <item sd="0" m="1" x="4651"/>
        <item m="1" x="723"/>
        <item m="1" x="4769"/>
        <item sd="0" m="1" x="845"/>
        <item sd="0" m="1" x="4892"/>
        <item sd="0" m="1" x="969"/>
        <item sd="0" m="1" x="5012"/>
        <item sd="0" m="1" x="1089"/>
        <item sd="0" m="1" x="5127"/>
        <item sd="0" m="1" x="1212"/>
        <item sd="0" m="1" x="5247"/>
        <item m="1" x="1331"/>
        <item m="1" x="5368"/>
        <item m="1" x="1450"/>
        <item sd="0" m="1" x="5487"/>
        <item sd="0" m="1" x="1574"/>
        <item sd="0" m="1" x="5607"/>
        <item m="1" x="1698"/>
        <item m="1" x="5726"/>
        <item m="1" x="1814"/>
        <item m="1" x="5846"/>
        <item m="1" x="1936"/>
        <item m="1" x="5966"/>
        <item m="1" x="2059"/>
        <item m="1" x="6087"/>
        <item m="1" x="2180"/>
        <item m="1" x="6209"/>
        <item m="1" x="2299"/>
        <item m="1" x="6331"/>
        <item sd="0" m="1" x="232"/>
        <item sd="0" m="1" x="4282"/>
        <item sd="0" m="1" x="354"/>
        <item sd="0" m="1" x="4405"/>
        <item sd="0" m="1" x="476"/>
        <item sd="0" m="1" x="4530"/>
        <item sd="0" m="1" x="599"/>
        <item m="1" x="4646"/>
        <item m="1" x="718"/>
        <item m="1" x="4764"/>
        <item sd="0" m="1" x="840"/>
        <item sd="0" m="1" x="4887"/>
        <item sd="0" m="1" x="963"/>
        <item sd="0" m="1" x="5005"/>
        <item sd="0" m="1" x="1083"/>
        <item sd="0" m="1" x="5122"/>
        <item sd="0" m="1" x="1207"/>
        <item sd="0" m="1" x="5242"/>
        <item m="1" x="1326"/>
        <item m="1" x="5364"/>
        <item m="1" x="1446"/>
        <item m="1" x="5483"/>
        <item m="1" x="1570"/>
        <item m="1" x="5603"/>
        <item m="1" x="1694"/>
        <item m="1" x="5721"/>
        <item m="1" x="1809"/>
        <item m="1" x="5841"/>
        <item m="1" x="1930"/>
        <item m="1" x="5961"/>
        <item sd="0" m="1" x="3783"/>
        <item sd="0" m="1" x="7791"/>
        <item sd="0" m="1" x="3910"/>
        <item m="1" x="7908"/>
        <item m="1" x="4034"/>
        <item sd="0" m="1" x="104"/>
        <item sd="0" m="1" x="4157"/>
        <item sd="0" m="1" x="227"/>
        <item sd="0" m="1" x="4277"/>
        <item sd="0" m="1" x="349"/>
        <item sd="0" m="1" x="4400"/>
        <item sd="0" m="1" x="471"/>
        <item sd="0" m="1" x="4525"/>
        <item sd="0" m="1" x="593"/>
        <item m="1" x="4640"/>
        <item m="1" x="713"/>
        <item sd="0" m="1" x="4759"/>
        <item sd="0" m="1" x="835"/>
        <item sd="0" m="1" x="4882"/>
        <item m="1" x="957"/>
        <item m="1" x="5001"/>
        <item m="1" x="1079"/>
        <item m="1" x="5118"/>
        <item m="1" x="1203"/>
        <item m="1" x="5238"/>
        <item m="1" x="1322"/>
        <item m="1" x="5359"/>
        <item m="1" x="1441"/>
        <item m="1" x="5478"/>
        <item m="1" x="1565"/>
        <item m="1" x="5597"/>
        <item sd="0" m="1" x="3405"/>
        <item sd="0" m="1" x="7418"/>
        <item sd="0" m="1" x="3529"/>
        <item sd="0" m="1" x="7539"/>
        <item sd="0" m="1" x="3652"/>
        <item sd="0" m="1" x="7664"/>
        <item sd="0" m="1" x="3778"/>
        <item sd="0" m="1" x="7786"/>
        <item m="1" x="3903"/>
        <item m="1" x="7904"/>
        <item m="1" x="4030"/>
        <item sd="0" m="1" x="100"/>
        <item sd="0" m="1" x="4153"/>
        <item sd="0" m="1" x="222"/>
        <item sd="0" m="1" x="4272"/>
        <item sd="0" m="1" x="345"/>
        <item sd="0" m="1" x="4396"/>
        <item sd="0" m="1" x="467"/>
        <item m="1" x="4521"/>
        <item m="1" x="589"/>
        <item m="1" x="4637"/>
        <item m="1" x="710"/>
        <item m="1" x="4756"/>
        <item m="1" x="832"/>
        <item m="1" x="4879"/>
        <item m="1" x="954"/>
        <item m="1" x="4997"/>
        <item m="1" x="1075"/>
        <item m="1" x="5114"/>
        <item m="1" x="1199"/>
        <item sd="0" m="1" x="3029"/>
        <item sd="0" m="1" x="7049"/>
        <item sd="0" m="1" x="3151"/>
        <item m="1" x="7172"/>
        <item m="1" x="3275"/>
        <item sd="0" m="1" x="7293"/>
        <item sd="0" m="1" x="3400"/>
        <item sd="0" m="1" x="7413"/>
        <item sd="0" m="1" x="3524"/>
        <item sd="0" m="1" x="7535"/>
        <item sd="0" m="1" x="3648"/>
        <item sd="0" m="1" x="7660"/>
        <item sd="0" m="1" x="3774"/>
        <item sd="0" m="1" x="7780"/>
        <item m="1" x="3898"/>
        <item m="1" x="7900"/>
        <item sd="0" m="1" x="4026"/>
        <item sd="0" m="1" x="96"/>
        <item m="1" x="4149"/>
        <item m="1" x="219"/>
        <item m="1" x="4269"/>
        <item m="1" x="342"/>
        <item m="1" x="4393"/>
        <item m="1" x="464"/>
        <item m="1" x="4518"/>
        <item m="1" x="586"/>
        <item m="1" x="4633"/>
        <item m="1" x="706"/>
        <item m="1" x="4751"/>
        <item m="1" x="828"/>
        <item m="1" x="6560"/>
        <item sd="0" m="1" x="2658"/>
        <item sd="0" m="1" x="6684"/>
        <item sd="0" m="1" x="2775"/>
        <item sd="0" m="1" x="6806"/>
        <item sd="0" m="1" x="2900"/>
        <item sd="0" m="1" x="6926"/>
        <item sd="0" m="1" x="3024"/>
        <item sd="0" m="1" x="7044"/>
        <item sd="0" m="1" x="3147"/>
        <item m="1" x="7168"/>
        <item m="1" x="3271"/>
        <item sd="0" m="1" x="7289"/>
        <item sd="0" m="1" x="3395"/>
        <item sd="0" m="1" x="7408"/>
        <item sd="0" m="1" x="3519"/>
        <item sd="0" m="1" x="7531"/>
        <item sd="0" m="1" x="3644"/>
        <item sd="0" m="1" x="7656"/>
        <item m="1" x="3769"/>
        <item m="1" x="7776"/>
        <item m="1" x="3894"/>
        <item m="1" x="7896"/>
        <item m="1" x="4022"/>
        <item m="1" x="92"/>
        <item m="1" x="4145"/>
        <item m="1" x="214"/>
        <item m="1" x="4264"/>
        <item m="1" x="337"/>
        <item m="1" x="4388"/>
        <item m="1" x="458"/>
        <item sd="0" m="1" x="6191"/>
        <item sd="0" m="1" x="2280"/>
        <item sd="0" m="1" x="6311"/>
        <item sd="0" m="1" x="2402"/>
        <item m="1" x="6433"/>
        <item m="1" x="2529"/>
        <item m="1" x="6555"/>
        <item sd="0" m="1" x="2653"/>
        <item sd="0" m="1" x="6678"/>
        <item sd="0" m="1" x="2771"/>
        <item sd="0" m="1" x="6802"/>
        <item sd="0" m="1" x="2896"/>
        <item sd="0" m="1" x="6922"/>
        <item sd="0" m="1" x="3019"/>
        <item sd="0" m="1" x="7039"/>
        <item m="1" x="3143"/>
        <item m="1" x="7164"/>
        <item sd="0" m="1" x="3267"/>
        <item m="1" x="7285"/>
        <item m="1" x="3390"/>
        <item m="1" x="7404"/>
        <item m="1" x="3515"/>
        <item m="1" x="7527"/>
        <item m="1" x="3640"/>
        <item m="1" x="7652"/>
        <item m="1" x="3765"/>
        <item m="1" x="7771"/>
        <item m="1" x="3889"/>
        <item m="1" x="7891"/>
        <item m="1" x="4017"/>
        <item m="1" x="87"/>
        <item m="1" x="5823"/>
        <item sd="0" m="1" x="1910"/>
        <item sd="0" m="1" x="5941"/>
        <item sd="0" m="1" x="2033"/>
        <item sd="0" m="1" x="6063"/>
        <item sd="0" m="1" x="2156"/>
        <item sd="0" m="1" x="6186"/>
        <item sd="0" m="1" x="2275"/>
        <item sd="0" m="1" x="6307"/>
        <item sd="0" m="1" x="2398"/>
        <item m="1" x="6429"/>
        <item m="1" x="2525"/>
        <item sd="0" m="1" x="6551"/>
        <item sd="0" m="1" x="2647"/>
        <item sd="0" m="1" x="6673"/>
        <item sd="0" m="1" x="2767"/>
        <item sd="0" m="1" x="6798"/>
        <item sd="0" m="1" x="2892"/>
        <item m="1" x="6918"/>
        <item m="1" x="3015"/>
        <item m="1" x="7035"/>
        <item m="1" x="3139"/>
        <item m="1" x="7160"/>
        <item m="1" x="3263"/>
        <item m="1" x="7281"/>
        <item m="1" x="3386"/>
        <item m="1" x="7400"/>
        <item m="1" x="3511"/>
        <item m="1" x="7522"/>
        <item m="1" x="3636"/>
        <item sd="0" m="1" x="1422"/>
        <item sd="0" m="1" x="5460"/>
        <item sd="0" m="1" x="1545"/>
        <item sd="0" m="1" x="5576"/>
        <item sd="0" m="1" x="1668"/>
        <item m="1" x="5697"/>
        <item m="1" x="1787"/>
        <item m="1" x="5818"/>
        <item sd="0" m="1" x="1905"/>
        <item sd="0" m="1" x="5937"/>
        <item sd="0" m="1" x="2029"/>
        <item sd="0" m="1" x="6059"/>
        <item sd="0" m="1" x="2152"/>
        <item sd="0" m="1" x="6181"/>
        <item sd="0" m="1" x="2270"/>
        <item sd="0" m="1" x="6302"/>
        <item m="1" x="2394"/>
        <item m="1" x="6425"/>
        <item m="1" x="2521"/>
        <item m="1" x="6546"/>
        <item m="1" x="2643"/>
        <item m="1" x="6669"/>
        <item m="1" x="2763"/>
        <item m="1" x="6794"/>
        <item m="1" x="2888"/>
        <item m="1" x="6914"/>
        <item m="1" x="3010"/>
        <item m="1" x="7031"/>
        <item m="1" x="3135"/>
        <item m="1" x="7156"/>
        <item m="1" x="3258"/>
        <item m="1" x="1057"/>
        <item m="1" x="5096"/>
        <item m="1" x="1179"/>
        <item sd="0" m="1" x="5214"/>
        <item sd="0" m="1" x="1298"/>
        <item sd="0" m="1" x="5336"/>
        <item sd="0" m="1" x="7338"/>
        <item sd="0" m="1" x="1417"/>
        <item sd="0" m="1" x="3447"/>
        <item sd="0" m="1" x="5455"/>
        <item sd="0" m="1" x="7457"/>
        <item sd="0" m="1" x="1539"/>
        <item sd="0" m="1" x="3569"/>
        <item sd="0" m="1" x="5572"/>
        <item sd="0" m="1" x="7579"/>
        <item sd="0" m="1" x="1664"/>
        <item m="1" x="3695"/>
        <item m="1" x="5693"/>
        <item m="1" x="7704"/>
        <item m="1" x="1783"/>
        <item m="1" x="3818"/>
        <item sd="0" m="1" x="5813"/>
        <item sd="0" m="1" x="7825"/>
        <item sd="0" m="1" x="1900"/>
        <item sd="0" m="1" x="3946"/>
        <item sd="0" m="1" x="5933"/>
        <item sd="0" m="1" x="7946"/>
        <item sd="0" m="1" x="2024"/>
        <item sd="0" m="1" x="4072"/>
        <item sd="0" m="1" x="6055"/>
        <item sd="0" m="1" x="141"/>
        <item m="1" x="2148"/>
        <item m="1" x="4191"/>
        <item m="1" x="6176"/>
        <item m="1" x="263"/>
        <item m="1" x="2266"/>
        <item m="1" x="4313"/>
        <item m="1" x="6298"/>
        <item m="1" x="385"/>
        <item m="1" x="2390"/>
        <item m="1" x="4438"/>
        <item m="1" x="6421"/>
        <item m="1" x="507"/>
        <item m="1" x="2517"/>
        <item m="1" x="4560"/>
        <item m="1" x="6542"/>
        <item m="1" x="629"/>
        <item m="1" x="2638"/>
        <item m="1" x="4675"/>
        <item m="1" x="6665"/>
        <item m="1" x="749"/>
        <item m="1" x="2759"/>
        <item m="1" x="4796"/>
        <item m="1" x="6790"/>
        <item m="1" x="873"/>
        <item m="1" x="2884"/>
        <item sd="0" m="1" x="6606"/>
        <item sd="0" m="1" x="688"/>
        <item sd="0" m="1" x="2702"/>
        <item sd="0" m="1" x="4732"/>
        <item sd="0" m="1" x="6730"/>
        <item sd="0" m="1" x="808"/>
        <item sd="0" m="1" x="2823"/>
        <item sd="0" m="1" x="4854"/>
        <item sd="0" m="1" x="6852"/>
        <item sd="0" m="1" x="931"/>
        <item sd="0" m="1" x="2946"/>
        <item sd="0" m="1" x="4973"/>
        <item m="1" x="6969"/>
        <item m="1" x="1052"/>
        <item m="1" x="3070"/>
        <item m="1" x="5091"/>
        <item m="1" x="7090"/>
        <item sd="0" m="1" x="1174"/>
        <item sd="0" m="1" x="3191"/>
        <item sd="0" m="1" x="5210"/>
        <item sd="0" m="1" x="7213"/>
        <item sd="0" m="1" x="1294"/>
        <item sd="0" m="1" x="3318"/>
        <item sd="0" m="1" x="5332"/>
        <item sd="0" m="1" x="7334"/>
        <item sd="0" m="1" x="1413"/>
        <item sd="0" m="1" x="3442"/>
        <item sd="0" m="1" x="5449"/>
        <item sd="0" m="1" x="7452"/>
        <item sd="0" m="1" x="1534"/>
        <item sd="0" m="1" x="3565"/>
        <item sd="0" m="1" x="5568"/>
        <item sd="0" m="1" x="7575"/>
        <item m="1" x="1660"/>
        <item m="1" x="3689"/>
        <item m="1" x="5689"/>
        <item m="1" x="7699"/>
        <item m="1" x="1779"/>
        <item m="1" x="3813"/>
        <item m="1" x="5809"/>
        <item m="1" x="7820"/>
        <item m="1" x="1896"/>
        <item m="1" x="3941"/>
        <item m="1" x="5929"/>
        <item m="1" x="7941"/>
        <item m="1" x="2020"/>
        <item m="1" x="4067"/>
        <item m="1" x="6051"/>
        <item m="1" x="136"/>
        <item m="1" x="2144"/>
        <item m="1" x="4186"/>
        <item m="1" x="6172"/>
        <item m="1" x="257"/>
        <item m="1" x="2262"/>
        <item m="1" x="4308"/>
        <item m="1" x="6294"/>
        <item m="1" x="380"/>
        <item m="1" x="2385"/>
        <item m="1" x="4433"/>
        <item m="1" x="6417"/>
        <item m="1" x="502"/>
        <item sd="0" m="1" x="4246"/>
        <item sd="0" m="1" x="6239"/>
        <item m="1" x="319"/>
        <item m="1" x="2328"/>
        <item m="1" x="4369"/>
        <item m="1" x="6358"/>
        <item m="1" x="438"/>
        <item sd="0" m="1" x="2449"/>
        <item sd="0" m="1" x="4493"/>
        <item sd="0" m="1" x="6480"/>
        <item sd="0" m="1" x="561"/>
        <item sd="0" m="1" x="2576"/>
        <item sd="0" m="1" x="4611"/>
        <item sd="0" m="1" x="6600"/>
        <item sd="0" m="1" x="683"/>
        <item sd="0" m="1" x="2697"/>
        <item sd="0" m="1" x="4727"/>
        <item sd="0" m="1" x="6725"/>
        <item sd="0" m="1" x="803"/>
        <item sd="0" m="1" x="2819"/>
        <item sd="0" m="1" x="4850"/>
        <item sd="0" m="1" x="6847"/>
        <item sd="0" m="1" x="926"/>
        <item sd="0" m="1" x="2942"/>
        <item m="1" x="4969"/>
        <item m="1" x="6965"/>
        <item m="1" x="1047"/>
        <item m="1" x="3065"/>
        <item m="1" x="5086"/>
        <item sd="0" m="1" x="7085"/>
        <item sd="0" m="1" x="1169"/>
        <item sd="0" m="1" x="3187"/>
        <item sd="0" m="1" x="5206"/>
        <item sd="0" m="1" x="7209"/>
        <item sd="0" m="1" x="1290"/>
        <item sd="0" m="1" x="3312"/>
        <item sd="0" m="1" x="5328"/>
        <item m="1" x="7329"/>
        <item m="1" x="1408"/>
        <item m="1" x="3435"/>
        <item m="1" x="5445"/>
        <item m="1" x="7447"/>
        <item m="1" x="1530"/>
        <item m="1" x="3560"/>
        <item m="1" x="5564"/>
        <item m="1" x="7570"/>
        <item m="1" x="1656"/>
        <item m="1" x="3684"/>
        <item m="1" x="5685"/>
        <item m="1" x="7694"/>
        <item m="1" x="1775"/>
        <item m="1" x="3808"/>
        <item m="1" x="5805"/>
        <item m="1" x="7815"/>
        <item m="1" x="1892"/>
        <item m="1" x="3936"/>
        <item m="1" x="5924"/>
        <item m="1" x="7936"/>
        <item m="1" x="2016"/>
        <item m="1" x="4062"/>
        <item m="1" x="6046"/>
        <item sd="0" m="1" x="3872"/>
        <item sd="0" m="1" x="5869"/>
        <item sd="0" m="1" x="7875"/>
        <item sd="0" m="1" x="1959"/>
        <item sd="0" m="1" x="3999"/>
        <item sd="0" m="1" x="5989"/>
        <item m="1" x="7996"/>
        <item sd="0" m="1" x="2081"/>
        <item sd="0" m="1" x="4123"/>
        <item sd="0" m="1" x="6111"/>
        <item sd="0" m="1" x="193"/>
        <item sd="0" m="1" x="2204"/>
        <item sd="0" m="1" x="4242"/>
        <item m="1" x="6235"/>
        <item m="1" x="315"/>
        <item m="1" x="2323"/>
        <item m="1" x="4364"/>
        <item m="1" x="6354"/>
        <item sd="0" m="1" x="435"/>
        <item sd="0" m="1" x="2446"/>
        <item sd="0" m="1" x="4490"/>
        <item sd="0" m="1" x="6477"/>
        <item sd="0" m="1" x="558"/>
        <item sd="0" m="1" x="2573"/>
        <item sd="0" m="1" x="4608"/>
        <item sd="0" m="1" x="6597"/>
        <item sd="0" m="1" x="679"/>
        <item sd="0" m="1" x="2693"/>
        <item sd="0" m="1" x="4723"/>
        <item sd="0" m="1" x="6721"/>
        <item sd="0" m="1" x="799"/>
        <item sd="0" m="1" x="2815"/>
        <item sd="0" m="1" x="4845"/>
        <item sd="0" m="1" x="6843"/>
        <item sd="0" m="1" x="921"/>
        <item m="1" x="2937"/>
        <item m="1" x="4965"/>
        <item m="1" x="6960"/>
        <item m="1" x="1043"/>
        <item m="1" x="3060"/>
        <item m="1" x="5082"/>
        <item m="1" x="7080"/>
        <item m="1" x="1165"/>
        <item m="1" x="3182"/>
        <item m="1" x="5202"/>
        <item m="1" x="7204"/>
        <item m="1" x="1286"/>
        <item m="1" x="3307"/>
        <item m="1" x="5324"/>
        <item m="1" x="7323"/>
        <item m="1" x="1404"/>
        <item m="1" x="3430"/>
        <item m="1" x="5441"/>
        <item m="1" x="7442"/>
        <item m="1" x="1526"/>
        <item m="1" x="3555"/>
        <item m="1" x="5560"/>
        <item m="1" x="7565"/>
        <item m="1" x="1651"/>
        <item m="1" x="3679"/>
        <item m="1" x="5681"/>
        <item sd="0" m="1" x="1471"/>
        <item sd="0" m="1" x="3496"/>
        <item sd="0" m="1" x="5507"/>
        <item sd="0" m="1" x="7506"/>
        <item m="1" x="1595"/>
        <item m="1" x="3620"/>
        <item m="1" x="5626"/>
        <item m="1" x="7630"/>
        <item sd="0" m="1" x="1718"/>
        <item sd="0" m="1" x="3745"/>
        <item sd="0" m="1" x="5746"/>
        <item sd="0" m="1" x="7750"/>
        <item sd="0" m="1" x="1833"/>
        <item sd="0" m="1" x="3868"/>
        <item sd="0" m="1" x="5865"/>
        <item sd="0" m="1" x="7871"/>
        <item sd="0" m="1" x="1955"/>
        <item sd="0" m="1" x="3995"/>
        <item sd="0" m="1" x="5985"/>
        <item m="1" x="7993"/>
        <item sd="0" m="1" x="2078"/>
        <item sd="0" m="1" x="4120"/>
        <item sd="0" m="1" x="6108"/>
        <item sd="0" m="1" x="190"/>
        <item sd="0" m="1" x="2201"/>
        <item m="1" x="4239"/>
        <item m="1" x="6231"/>
        <item m="1" x="310"/>
        <item m="1" x="2318"/>
        <item m="1" x="4360"/>
        <item sd="0" m="1" x="6350"/>
        <item sd="0" m="1" x="431"/>
        <item sd="0" m="1" x="2442"/>
        <item sd="0" m="1" x="4486"/>
        <item sd="0" m="1" x="6472"/>
        <item sd="0" m="1" x="553"/>
        <item sd="0" m="1" x="2568"/>
        <item m="1" x="4604"/>
        <item m="1" x="6592"/>
        <item m="1" x="675"/>
        <item m="1" x="2688"/>
        <item m="1" x="4719"/>
        <item m="1" x="6716"/>
        <item m="1" x="794"/>
        <item m="1" x="2810"/>
        <item m="1" x="4841"/>
        <item m="1" x="6838"/>
        <item m="1" x="917"/>
        <item m="1" x="2932"/>
        <item m="1" x="4961"/>
        <item m="1" x="6955"/>
        <item m="1" x="1039"/>
        <item m="1" x="3054"/>
        <item m="1" x="5078"/>
        <item m="1" x="7075"/>
        <item m="1" x="1161"/>
        <item m="1" x="3177"/>
        <item m="1" x="5197"/>
        <item m="1" x="7199"/>
        <item m="1" x="1282"/>
        <item m="1" x="3301"/>
        <item sd="0" m="1" x="7017"/>
        <item sd="0" m="1" x="1106"/>
        <item sd="0" m="1" x="3120"/>
        <item sd="0" m="1" x="5144"/>
        <item sd="0" m="1" x="7139"/>
        <item sd="0" m="1" x="1227"/>
        <item sd="0" m="1" x="3240"/>
        <item sd="0" m="1" x="5261"/>
        <item sd="0" m="1" x="7261"/>
        <item sd="0" m="1" x="1346"/>
        <item sd="0" m="1" x="3365"/>
        <item sd="0" m="1" x="5383"/>
        <item sd="0" m="1" x="7381"/>
        <item sd="0" m="1" x="1465"/>
        <item sd="0" m="1" x="3491"/>
        <item sd="0" m="1" x="5502"/>
        <item m="1" x="7501"/>
        <item m="1" x="1589"/>
        <item m="1" x="3615"/>
        <item m="1" x="5622"/>
        <item sd="0" m="1" x="7626"/>
        <item sd="0" m="1" x="1713"/>
        <item sd="0" m="1" x="3740"/>
        <item sd="0" m="1" x="5742"/>
        <item sd="0" m="1" x="7746"/>
        <item sd="0" m="1" x="1829"/>
        <item sd="0" m="1" x="3863"/>
        <item sd="0" m="1" x="5860"/>
        <item sd="0" m="1" x="7866"/>
        <item sd="0" m="1" x="1950"/>
        <item sd="0" m="1" x="3990"/>
        <item sd="0" m="1" x="5980"/>
        <item sd="0" m="1" x="7988"/>
        <item sd="0" m="1" x="2073"/>
        <item sd="0" m="1" x="4115"/>
        <item sd="0" m="1" x="6102"/>
        <item sd="0" m="1" x="185"/>
        <item m="1" x="2195"/>
        <item m="1" x="4233"/>
        <item m="1" x="6223"/>
        <item m="1" x="305"/>
        <item m="1" x="2312"/>
        <item m="1" x="4355"/>
        <item m="1" x="6344"/>
        <item m="1" x="426"/>
        <item m="1" x="2436"/>
        <item m="1" x="4481"/>
        <item m="1" x="6466"/>
        <item m="1" x="548"/>
        <item m="1" x="2562"/>
        <item m="1" x="4599"/>
        <item m="1" x="6586"/>
        <item m="1" x="669"/>
        <item m="1" x="2683"/>
        <item m="1" x="4715"/>
        <item m="1" x="6711"/>
        <item m="1" x="789"/>
        <item m="1" x="2805"/>
        <item m="1" x="4837"/>
        <item m="1" x="6833"/>
        <item m="1" x="912"/>
        <item sd="0" m="1" x="6649"/>
        <item sd="0" m="1" x="732"/>
        <item sd="0" m="1" x="2743"/>
        <item sd="0" m="1" x="4778"/>
        <item sd="0" m="1" x="6772"/>
        <item m="1" x="854"/>
        <item m="1" x="2866"/>
        <item m="1" x="4900"/>
        <item m="1" x="6893"/>
        <item m="1" x="978"/>
        <item sd="0" m="1" x="2990"/>
        <item sd="0" m="1" x="5021"/>
        <item sd="0" m="1" x="7012"/>
        <item sd="0" m="1" x="1101"/>
        <item sd="0" m="1" x="3115"/>
        <item sd="0" m="1" x="5138"/>
        <item sd="0" m="1" x="7133"/>
        <item sd="0" m="1" x="1222"/>
        <item sd="0" m="1" x="3236"/>
        <item sd="0" m="1" x="5257"/>
        <item sd="0" m="1" x="7257"/>
        <item sd="0" m="1" x="1342"/>
        <item sd="0" m="1" x="3361"/>
        <item sd="0" m="1" x="5379"/>
        <item sd="0" m="1" x="7377"/>
        <item sd="0" m="1" x="1461"/>
        <item sd="0" m="1" x="3486"/>
        <item m="1" x="5497"/>
        <item m="1" x="7496"/>
        <item m="1" x="1584"/>
        <item m="1" x="3610"/>
        <item sd="0" m="1" x="5617"/>
        <item sd="0" m="1" x="7620"/>
        <item sd="0" m="1" x="1708"/>
        <item sd="0" m="1" x="3734"/>
        <item sd="0" m="1" x="5736"/>
        <item sd="0" m="1" x="7741"/>
        <item m="1" x="1823"/>
        <item m="1" x="3858"/>
        <item m="1" x="5854"/>
        <item m="1" x="7861"/>
        <item m="1" x="1944"/>
        <item m="1" x="3985"/>
        <item m="1" x="5974"/>
        <item m="1" x="7983"/>
        <item m="1" x="2067"/>
        <item m="1" x="4110"/>
        <item m="1" x="6096"/>
        <item m="1" x="180"/>
        <item m="1" x="2188"/>
        <item m="1" x="4228"/>
        <item m="1" x="6217"/>
        <item m="1" x="300"/>
        <item m="1" x="2307"/>
        <item m="1" x="4351"/>
        <item m="1" x="6339"/>
        <item m="1" x="422"/>
        <item m="1" x="2431"/>
        <item m="1" x="4476"/>
        <item m="1" x="6461"/>
        <item m="1" x="544"/>
        <item sd="0" m="1" x="4291"/>
        <item sd="0" m="1" x="6279"/>
        <item sd="0" m="1" x="363"/>
        <item sd="0" m="1" x="2369"/>
        <item sd="0" m="1" x="4414"/>
        <item sd="0" m="1" x="6400"/>
        <item sd="0" m="1" x="484"/>
        <item sd="0" m="1" x="2494"/>
        <item sd="0" m="1" x="4539"/>
        <item sd="0" m="1" x="6523"/>
        <item sd="0" m="1" x="608"/>
        <item sd="0" m="1" x="2618"/>
        <item sd="0" m="1" x="4655"/>
        <item sd="0" m="1" x="6645"/>
        <item sd="0" m="1" x="728"/>
        <item sd="0" m="1" x="2739"/>
        <item sd="0" m="1" x="4774"/>
        <item m="1" x="6768"/>
        <item m="1" x="850"/>
        <item m="1" x="2863"/>
        <item m="1" x="4897"/>
        <item m="1" x="6890"/>
        <item sd="0" m="1" x="975"/>
        <item sd="0" m="1" x="2987"/>
        <item sd="0" m="1" x="5018"/>
        <item sd="0" m="1" x="7009"/>
        <item sd="0" m="1" x="1097"/>
        <item sd="0" m="1" x="3110"/>
        <item sd="0" m="1" x="5133"/>
        <item sd="0" m="1" x="7129"/>
        <item sd="0" m="1" x="1218"/>
        <item sd="0" m="1" x="3232"/>
        <item sd="0" m="1" x="5253"/>
        <item sd="0" m="1" x="7253"/>
        <item sd="0" m="1" x="1337"/>
        <item sd="0" m="1" x="3356"/>
        <item sd="0" m="1" x="5374"/>
        <item m="1" x="7373"/>
        <item m="1" x="1456"/>
        <item m="1" x="3482"/>
        <item m="1" x="5492"/>
        <item m="1" x="7492"/>
        <item m="1" x="1579"/>
        <item m="1" x="3605"/>
        <item m="1" x="5612"/>
        <item m="1" x="7616"/>
        <item m="1" x="1703"/>
        <item m="1" x="3730"/>
        <item m="1" x="5731"/>
        <item m="1" x="7737"/>
        <item m="1" x="1818"/>
        <item m="1" x="3854"/>
        <item m="1" x="5850"/>
        <item m="1" x="7858"/>
        <item m="1" x="1940"/>
        <item m="1" x="3982"/>
        <item m="1" x="5970"/>
        <item m="1" x="7979"/>
        <item m="1" x="2063"/>
        <item m="1" x="4107"/>
        <item m="1" x="6091"/>
        <item sd="0" m="1" x="1877"/>
        <item sd="0" m="1" x="3919"/>
        <item sd="0" m="1" x="5909"/>
        <item sd="0" m="1" x="7919"/>
        <item sd="0" m="1" x="1999"/>
        <item sd="0" m="1" x="4043"/>
        <item sd="0" m="1" x="6028"/>
        <item sd="0" m="1" x="112"/>
        <item m="1" x="2123"/>
        <item m="1" x="4165"/>
        <item m="1" x="6151"/>
        <item m="1" x="236"/>
        <item sd="0" m="1" x="2244"/>
        <item sd="0" m="1" x="4286"/>
        <item sd="0" m="1" x="6275"/>
        <item sd="0" m="1" x="359"/>
        <item sd="0" m="1" x="2365"/>
        <item sd="0" m="1" x="4410"/>
        <item sd="0" m="1" x="6397"/>
        <item sd="0" m="1" x="481"/>
        <item sd="0" m="1" x="2491"/>
        <item sd="0" m="1" x="4535"/>
        <item sd="0" m="1" x="6519"/>
        <item sd="0" m="1" x="605"/>
        <item sd="0" m="1" x="2615"/>
        <item sd="0" m="1" x="4652"/>
        <item sd="0" m="1" x="6641"/>
        <item sd="0" m="1" x="724"/>
        <item sd="0" m="1" x="2735"/>
        <item m="1" x="4770"/>
        <item m="1" x="6764"/>
        <item m="1" x="846"/>
        <item m="1" x="2859"/>
        <item m="1" x="4893"/>
        <item sd="0" m="1" x="6886"/>
        <item sd="0" m="1" x="970"/>
        <item sd="0" m="1" x="2983"/>
        <item m="1" x="5013"/>
        <item m="1" x="7004"/>
        <item m="1" x="1090"/>
        <item m="1" x="3106"/>
        <item m="1" x="5128"/>
        <item m="1" x="7125"/>
        <item m="1" x="1213"/>
        <item m="1" x="3228"/>
        <item m="1" x="5248"/>
        <item m="1" x="7249"/>
        <item m="1" x="1332"/>
        <item m="1" x="3352"/>
        <item m="1" x="5369"/>
        <item m="1" x="7369"/>
        <item m="1" x="1451"/>
        <item m="1" x="3477"/>
        <item m="1" x="5488"/>
        <item m="1" x="7489"/>
        <item m="1" x="1575"/>
        <item m="1" x="3602"/>
        <item m="1" x="5608"/>
        <item m="1" x="7613"/>
        <item m="1" x="1699"/>
        <item m="1" x="3726"/>
        <item m="1" x="5727"/>
        <item m="1" x="1510"/>
        <item m="1" x="3538"/>
        <item sd="0" m="1" x="5544"/>
        <item sd="0" m="1" x="7548"/>
        <item sd="0" m="1" x="1633"/>
        <item sd="0" m="1" x="3661"/>
        <item sd="0" m="1" x="5664"/>
        <item sd="0" m="1" x="7672"/>
        <item sd="0" m="1" x="1755"/>
        <item sd="0" m="1" x="3787"/>
        <item sd="0" m="1" x="5786"/>
        <item sd="0" m="1" x="7795"/>
        <item sd="0" m="1" x="1873"/>
        <item sd="0" m="1" x="3915"/>
        <item sd="0" m="1" x="5905"/>
        <item sd="0" m="1" x="7914"/>
        <item sd="0" m="1" x="1994"/>
        <item sd="0" m="1" x="4039"/>
        <item m="1" x="6025"/>
        <item m="1" x="109"/>
        <item m="1" x="2120"/>
        <item m="1" x="4162"/>
        <item m="1" x="6148"/>
        <item sd="0" m="1" x="233"/>
        <item sd="0" m="1" x="2241"/>
        <item sd="0" m="1" x="4283"/>
        <item sd="0" m="1" x="6271"/>
        <item sd="0" m="1" x="355"/>
        <item sd="0" m="1" x="2361"/>
        <item sd="0" m="1" x="4406"/>
        <item sd="0" m="1" x="6393"/>
        <item sd="0" m="1" x="477"/>
        <item sd="0" m="1" x="2486"/>
        <item sd="0" m="1" x="4531"/>
        <item sd="0" m="1" x="6515"/>
        <item sd="0" m="1" x="600"/>
        <item sd="0" m="1" x="2611"/>
        <item m="1" x="4647"/>
        <item m="1" x="6637"/>
        <item m="1" x="719"/>
        <item m="1" x="2731"/>
        <item m="1" x="4765"/>
        <item m="1" x="6760"/>
        <item m="1" x="841"/>
        <item m="1" x="2855"/>
        <item m="1" x="4888"/>
        <item m="1" x="6882"/>
        <item m="1" x="964"/>
        <item m="1" x="2978"/>
        <item m="1" x="5006"/>
        <item m="1" x="6999"/>
        <item m="1" x="1084"/>
        <item m="1" x="3101"/>
        <item m="1" x="5123"/>
        <item m="1" x="7121"/>
        <item m="1" x="1208"/>
        <item m="1" x="3224"/>
        <item m="1" x="5243"/>
        <item m="1" x="7244"/>
        <item m="1" x="1327"/>
        <item m="1" x="3348"/>
        <item sd="0" m="1" x="7058"/>
        <item sd="0" m="1" x="1146"/>
        <item sd="0" m="1" x="3160"/>
        <item sd="0" m="1" x="5182"/>
        <item sd="0" m="1" x="7181"/>
        <item sd="0" m="1" x="1265"/>
        <item sd="0" m="1" x="3283"/>
        <item sd="0" m="1" x="5302"/>
        <item sd="0" m="1" x="7302"/>
        <item m="1" x="1385"/>
        <item m="1" x="3409"/>
        <item m="1" x="5421"/>
        <item m="1" x="7422"/>
        <item m="1" x="1506"/>
        <item sd="0" m="1" x="3534"/>
        <item sd="0" m="1" x="5540"/>
        <item sd="0" m="1" x="7544"/>
        <item sd="0" m="1" x="1629"/>
        <item sd="0" m="1" x="3657"/>
        <item sd="0" m="1" x="5661"/>
        <item sd="0" m="1" x="7669"/>
        <item sd="0" m="1" x="1752"/>
        <item sd="0" m="1" x="3784"/>
        <item sd="0" m="1" x="5783"/>
        <item sd="0" m="1" x="7792"/>
        <item sd="0" m="1" x="1870"/>
        <item sd="0" m="1" x="3911"/>
        <item sd="0" m="1" x="5900"/>
        <item sd="0" m="1" x="7909"/>
        <item sd="0" m="1" x="1990"/>
        <item m="1" x="4035"/>
        <item m="1" x="6021"/>
        <item m="1" x="105"/>
        <item m="1" x="2116"/>
        <item m="1" x="4158"/>
        <item sd="0" m="1" x="6144"/>
        <item sd="0" m="1" x="228"/>
        <item m="1" x="2237"/>
        <item m="1" x="4278"/>
        <item m="1" x="6267"/>
        <item m="1" x="350"/>
        <item m="1" x="2357"/>
        <item m="1" x="4401"/>
        <item m="1" x="6388"/>
        <item m="1" x="472"/>
        <item m="1" x="2482"/>
        <item m="1" x="4526"/>
        <item m="1" x="6511"/>
        <item m="1" x="594"/>
        <item m="1" x="2606"/>
        <item m="1" x="4641"/>
        <item m="1" x="6632"/>
        <item m="1" x="714"/>
        <item m="1" x="2727"/>
        <item m="1" x="4760"/>
        <item m="1" x="6756"/>
        <item m="1" x="836"/>
        <item m="1" x="2850"/>
        <item m="1" x="4883"/>
        <item m="1" x="6878"/>
        <item m="1" x="958"/>
        <item m="1" x="4699"/>
        <item m="1" x="6693"/>
        <item m="1" x="773"/>
        <item m="1" x="2786"/>
        <item sd="0" m="1" x="4819"/>
        <item sd="0" m="1" x="6815"/>
        <item sd="0" m="1" x="894"/>
        <item sd="0" m="1" x="2908"/>
        <item sd="0" m="1" x="4940"/>
        <item sd="0" m="1" x="6934"/>
        <item sd="0" m="1" x="1018"/>
        <item sd="0" m="1" x="3033"/>
        <item sd="0" m="1" x="5060"/>
        <item sd="0" m="1" x="7053"/>
        <item sd="0" m="1" x="1142"/>
        <item sd="0" m="1" x="3156"/>
        <item sd="0" m="1" x="5178"/>
        <item sd="0" m="1" x="7177"/>
        <item sd="0" m="1" x="1262"/>
        <item sd="0" m="1" x="3280"/>
        <item sd="0" m="1" x="5299"/>
        <item m="1" x="7298"/>
        <item m="1" x="1381"/>
        <item m="1" x="3406"/>
        <item m="1" x="5418"/>
        <item m="1" x="7419"/>
        <item sd="0" m="1" x="1502"/>
        <item sd="0" m="1" x="3530"/>
        <item sd="0" m="1" x="5536"/>
        <item sd="0" m="1" x="7540"/>
        <item sd="0" m="1" x="1625"/>
        <item sd="0" m="1" x="3653"/>
        <item sd="0" m="1" x="5657"/>
        <item sd="0" m="1" x="7665"/>
        <item sd="0" m="1" x="1748"/>
        <item sd="0" m="1" x="3779"/>
        <item sd="0" m="1" x="5779"/>
        <item m="1" x="7787"/>
        <item m="1" x="1865"/>
        <item m="1" x="3904"/>
        <item m="1" x="5897"/>
        <item m="1" x="7905"/>
        <item m="1" x="1987"/>
        <item m="1" x="4031"/>
        <item m="1" x="6018"/>
        <item m="1" x="101"/>
        <item m="1" x="2113"/>
        <item m="1" x="4154"/>
        <item m="1" x="6140"/>
        <item m="1" x="223"/>
        <item m="1" x="2233"/>
        <item m="1" x="4273"/>
        <item m="1" x="6263"/>
        <item m="1" x="346"/>
        <item m="1" x="2354"/>
        <item m="1" x="4397"/>
        <item m="1" x="6385"/>
        <item m="1" x="468"/>
        <item m="1" x="2479"/>
        <item m="1" x="4522"/>
        <item m="1" x="6507"/>
        <item m="1" x="590"/>
        <item sd="0" m="1" x="4333"/>
        <item sd="0" m="1" x="6320"/>
        <item sd="0" m="1" x="403"/>
        <item sd="0" m="1" x="2411"/>
        <item sd="0" m="1" x="4457"/>
        <item sd="0" m="1" x="6442"/>
        <item sd="0" m="1" x="526"/>
        <item sd="0" m="1" x="2537"/>
        <item sd="0" m="1" x="4578"/>
        <item sd="0" m="1" x="6564"/>
        <item m="1" x="649"/>
        <item m="1" x="2662"/>
        <item m="1" x="4695"/>
        <item m="1" x="6689"/>
        <item m="1" x="769"/>
        <item sd="0" m="1" x="2781"/>
        <item sd="0" m="1" x="4814"/>
        <item sd="0" m="1" x="6811"/>
        <item sd="0" m="1" x="891"/>
        <item sd="0" m="1" x="2905"/>
        <item sd="0" m="1" x="4937"/>
        <item sd="0" m="1" x="6931"/>
        <item sd="0" m="1" x="1014"/>
        <item sd="0" m="1" x="3030"/>
        <item sd="0" m="1" x="5057"/>
        <item sd="0" m="1" x="7050"/>
        <item sd="0" m="1" x="1138"/>
        <item sd="0" m="1" x="3152"/>
        <item sd="0" m="1" x="5174"/>
        <item sd="0" m="1" x="7173"/>
        <item sd="0" m="1" x="1258"/>
        <item sd="0" m="1" x="3276"/>
        <item m="1" x="5294"/>
        <item m="1" x="7294"/>
        <item m="1" x="1377"/>
        <item m="1" x="3401"/>
        <item m="1" x="5414"/>
        <item m="1" x="7414"/>
        <item m="1" x="1498"/>
        <item m="1" x="3525"/>
        <item m="1" x="5533"/>
        <item m="1" x="7536"/>
        <item m="1" x="1622"/>
        <item m="1" x="3649"/>
        <item m="1" x="5654"/>
        <item m="1" x="7661"/>
        <item m="1" x="1745"/>
        <item m="1" x="3775"/>
        <item m="1" x="5775"/>
        <item m="1" x="7781"/>
        <item m="1" x="1861"/>
        <item m="1" x="3899"/>
        <item m="1" x="5894"/>
        <item m="1" x="7901"/>
        <item m="1" x="1984"/>
        <item m="1" x="4027"/>
        <item m="1" x="6015"/>
        <item m="1" x="97"/>
        <item m="1" x="2109"/>
        <item m="1" x="4150"/>
        <item m="1" x="6137"/>
        <item sd="0" m="1" x="1919"/>
        <item m="1" x="3964"/>
        <item m="1" x="5950"/>
        <item m="1" x="7961"/>
        <item m="1" x="2042"/>
        <item m="1" x="4087"/>
        <item sd="0" m="1" x="6071"/>
        <item sd="0" m="1" x="156"/>
        <item sd="0" m="1" x="2165"/>
        <item sd="0" m="1" x="4208"/>
        <item sd="0" m="1" x="6195"/>
        <item sd="0" m="1" x="278"/>
        <item sd="0" m="1" x="2284"/>
        <item sd="0" m="1" x="4329"/>
        <item sd="0" m="1" x="6316"/>
        <item sd="0" m="1" x="399"/>
        <item sd="0" m="1" x="2407"/>
        <item sd="0" m="1" x="4453"/>
        <item sd="0" m="1" x="6438"/>
        <item sd="0" m="1" x="523"/>
        <item sd="0" m="1" x="2534"/>
        <item sd="0" m="1" x="4575"/>
        <item m="1" x="6561"/>
        <item m="1" x="646"/>
        <item m="1" x="2659"/>
        <item m="1" x="4692"/>
        <item m="1" x="6685"/>
        <item sd="0" m="1" x="764"/>
        <item sd="0" m="1" x="2776"/>
        <item sd="0" m="1" x="4810"/>
        <item sd="0" m="1" x="6807"/>
        <item sd="0" m="1" x="887"/>
        <item sd="0" m="1" x="2901"/>
        <item sd="0" m="1" x="4933"/>
        <item sd="0" m="1" x="6927"/>
        <item sd="0" m="1" x="1010"/>
        <item sd="0" m="1" x="3025"/>
        <item m="1" x="5053"/>
        <item m="1" x="7045"/>
        <item m="1" x="1133"/>
        <item m="1" x="3148"/>
        <item m="1" x="5171"/>
        <item m="1" x="7169"/>
        <item m="1" x="1254"/>
        <item m="1" x="3272"/>
        <item m="1" x="5291"/>
        <item m="1" x="7290"/>
        <item m="1" x="1374"/>
        <item m="1" x="3396"/>
        <item m="1" x="5410"/>
        <item m="1" x="7409"/>
        <item m="1" x="1494"/>
        <item m="1" x="3520"/>
        <item m="1" x="5530"/>
        <item m="1" x="7532"/>
        <item m="1" x="1619"/>
        <item m="1" x="3645"/>
        <item m="1" x="5650"/>
        <item m="1" x="7657"/>
        <item m="1" x="1742"/>
        <item m="1" x="3770"/>
        <item sd="0" m="1" x="1554"/>
        <item sd="0" m="1" x="3583"/>
        <item sd="0" m="1" x="5587"/>
        <item sd="0" m="1" x="7592"/>
        <item sd="0" m="1" x="1678"/>
        <item sd="0" m="1" x="3706"/>
        <item sd="0" m="1" x="5705"/>
        <item sd="0" m="1" x="7715"/>
        <item sd="0" m="1" x="1795"/>
        <item sd="0" m="1" x="3831"/>
        <item sd="0" m="1" x="5827"/>
        <item sd="0" m="1" x="7837"/>
        <item m="1" x="1914"/>
        <item m="1" x="3960"/>
        <item m="1" x="5946"/>
        <item m="1" x="7957"/>
        <item sd="0" m="1" x="2038"/>
        <item sd="0" m="1" x="4084"/>
        <item sd="0" m="1" x="6068"/>
        <item sd="0" m="1" x="153"/>
        <item sd="0" m="1" x="2161"/>
        <item sd="0" m="1" x="4203"/>
        <item sd="0" m="1" x="6192"/>
        <item sd="0" m="1" x="275"/>
        <item sd="0" m="1" x="2281"/>
        <item sd="0" m="1" x="4326"/>
        <item sd="0" m="1" x="6312"/>
        <item sd="0" m="1" x="395"/>
        <item sd="0" m="1" x="2403"/>
        <item sd="0" m="1" x="4449"/>
        <item sd="0" m="1" x="6434"/>
        <item sd="0" m="1" x="519"/>
        <item sd="0" m="1" x="2530"/>
        <item m="1" x="4571"/>
        <item m="1" x="6556"/>
        <item m="1" x="642"/>
        <item m="1" x="2654"/>
        <item m="1" x="4687"/>
        <item m="1" x="6679"/>
        <item m="1" x="760"/>
        <item m="1" x="2772"/>
        <item m="1" x="4807"/>
        <item m="1" x="6803"/>
        <item m="1" x="884"/>
        <item m="1" x="2897"/>
        <item m="1" x="4930"/>
        <item m="1" x="6923"/>
        <item m="1" x="1006"/>
        <item m="1" x="3020"/>
        <item m="1" x="5049"/>
        <item m="1" x="7040"/>
        <item m="1" x="1129"/>
        <item m="1" x="3144"/>
        <item m="1" x="5168"/>
        <item m="1" x="7165"/>
        <item m="1" x="1251"/>
        <item m="1" x="3268"/>
        <item m="1" x="5288"/>
        <item m="1" x="7286"/>
        <item m="1" x="1370"/>
        <item m="1" x="3391"/>
        <item sd="0" m="1" x="7101"/>
        <item sd="0" m="1" x="1187"/>
        <item m="1" x="3203"/>
        <item m="1" x="5222"/>
        <item m="1" x="7224"/>
        <item m="1" x="1307"/>
        <item m="1" x="3329"/>
        <item sd="0" m="1" x="5344"/>
        <item sd="0" m="1" x="7346"/>
        <item sd="0" m="1" x="1427"/>
        <item sd="0" m="1" x="3455"/>
        <item sd="0" m="1" x="5464"/>
        <item sd="0" m="1" x="7466"/>
        <item sd="0" m="1" x="1550"/>
        <item sd="0" m="1" x="3579"/>
        <item sd="0" m="1" x="5582"/>
        <item sd="0" m="1" x="7587"/>
        <item sd="0" m="1" x="1673"/>
        <item sd="0" m="1" x="3703"/>
        <item sd="0" m="1" x="5702"/>
        <item sd="0" m="1" x="7712"/>
        <item sd="0" m="1" x="1792"/>
        <item sd="0" m="1" x="3827"/>
        <item sd="0" m="1" x="5824"/>
        <item m="1" x="7834"/>
        <item m="1" x="1911"/>
        <item m="1" x="3956"/>
        <item m="1" x="5942"/>
        <item sd="0" m="1" x="7953"/>
        <item sd="0" m="1" x="2034"/>
        <item sd="0" m="1" x="4080"/>
        <item sd="0" m="1" x="6064"/>
        <item sd="0" m="1" x="148"/>
        <item sd="0" m="1" x="2157"/>
        <item sd="0" m="1" x="4199"/>
        <item sd="0" m="1" x="6187"/>
        <item sd="0" m="1" x="271"/>
        <item m="1" x="2276"/>
        <item m="1" x="4322"/>
        <item m="1" x="6308"/>
        <item m="1" x="392"/>
        <item m="1" x="2399"/>
        <item m="1" x="4446"/>
        <item m="1" x="6430"/>
        <item m="1" x="516"/>
        <item m="1" x="2526"/>
        <item m="1" x="4568"/>
        <item m="1" x="6552"/>
        <item m="1" x="638"/>
        <item m="1" x="2648"/>
        <item m="1" x="4683"/>
        <item m="1" x="6674"/>
        <item m="1" x="757"/>
        <item m="1" x="2768"/>
        <item m="1" x="4804"/>
        <item m="1" x="6799"/>
        <item m="1" x="881"/>
        <item m="1" x="2893"/>
        <item m="1" x="4926"/>
        <item m="1" x="6919"/>
        <item m="1" x="1003"/>
        <item sd="0" m="1" x="4740"/>
        <item sd="0" m="1" x="6738"/>
        <item sd="0" m="1" x="816"/>
        <item sd="0" m="1" x="2831"/>
        <item sd="0" m="1" x="4862"/>
        <item sd="0" m="1" x="6860"/>
        <item sd="0" m="1" x="939"/>
        <item sd="0" m="1" x="2955"/>
        <item sd="0" m="1" x="4983"/>
        <item sd="0" m="1" x="6978"/>
        <item sd="0" m="1" x="1061"/>
        <item sd="0" m="1" x="3078"/>
        <item sd="0" m="1" x="5100"/>
        <item sd="0" m="1" x="7098"/>
        <item m="1" x="1184"/>
        <item m="1" x="3200"/>
        <item m="1" x="5219"/>
        <item m="1" x="7221"/>
        <item m="1" x="1303"/>
        <item sd="0" m="1" x="3326"/>
        <item sd="0" m="1" x="5341"/>
        <item sd="0" m="1" x="7343"/>
        <item sd="0" m="1" x="1423"/>
        <item sd="0" m="1" x="3452"/>
        <item sd="0" m="1" x="5461"/>
        <item sd="0" m="1" x="7463"/>
        <item sd="0" m="1" x="1546"/>
        <item sd="0" m="1" x="3574"/>
        <item sd="0" m="1" x="5577"/>
        <item sd="0" m="1" x="7583"/>
        <item sd="0" m="1" x="1669"/>
        <item sd="0" m="1" x="3699"/>
        <item sd="0" m="1" x="5698"/>
        <item sd="0" m="1" x="7708"/>
        <item sd="0" m="1" x="1788"/>
        <item sd="0" m="1" x="3823"/>
        <item m="1" x="5819"/>
        <item m="1" x="7830"/>
        <item m="1" x="1906"/>
        <item m="1" x="3951"/>
        <item m="1" x="5938"/>
        <item m="1" x="7950"/>
        <item m="1" x="2030"/>
        <item m="1" x="4076"/>
        <item m="1" x="6060"/>
        <item m="1" x="145"/>
        <item m="1" x="2153"/>
        <item m="1" x="4196"/>
        <item m="1" x="6182"/>
        <item m="1" x="267"/>
        <item m="1" x="2271"/>
        <item m="1" x="4318"/>
        <item m="1" x="6303"/>
        <item m="1" x="389"/>
        <item m="1" x="2395"/>
        <item m="1" x="4443"/>
        <item m="1" x="6426"/>
        <item m="1" x="511"/>
        <item m="1" x="2522"/>
        <item m="1" x="4565"/>
        <item m="1" x="6547"/>
        <item sd="0" m="1" x="4377"/>
        <item sd="0" m="1" x="6367"/>
        <item sd="0" m="1" x="448"/>
        <item sd="0" m="1" x="2459"/>
        <item m="1" x="4502"/>
        <item m="1" x="6488"/>
        <item m="1" x="570"/>
        <item m="1" x="2584"/>
        <item sd="0" m="1" x="4619"/>
        <item sd="0" m="1" x="6610"/>
        <item sd="0" m="1" x="692"/>
        <item sd="0" m="1" x="2707"/>
        <item sd="0" m="1" x="4736"/>
        <item sd="0" m="1" x="6735"/>
        <item sd="0" m="1" x="813"/>
        <item sd="0" m="1" x="2828"/>
        <item sd="0" m="1" x="4859"/>
        <item sd="0" m="1" x="6857"/>
        <item sd="0" m="1" x="936"/>
        <item sd="0" m="1" x="2952"/>
        <item sd="0" m="1" x="4979"/>
        <item sd="0" m="1" x="6974"/>
        <item sd="0" m="1" x="1058"/>
        <item sd="0" m="1" x="3075"/>
        <item sd="0" m="1" x="5097"/>
        <item m="1" x="7095"/>
        <item m="1" x="1180"/>
        <item m="1" x="3196"/>
        <item m="1" x="5215"/>
        <item m="1" x="7217"/>
        <item sd="0" m="1" x="1299"/>
        <item sd="0" m="1" x="3322"/>
        <item sd="0" m="1" x="5337"/>
        <item sd="0" m="1" x="7339"/>
        <item sd="0" m="1" x="1418"/>
        <item sd="0" m="1" x="3448"/>
        <item sd="0" m="1" x="5456"/>
        <item m="1" x="7458"/>
        <item m="1" x="1540"/>
        <item m="1" x="3570"/>
        <item m="1" x="5573"/>
        <item m="1" x="7580"/>
        <item m="1" x="1665"/>
        <item m="1" x="3696"/>
        <item m="1" x="5694"/>
        <item m="1" x="7705"/>
        <item m="1" x="1784"/>
        <item m="1" x="3819"/>
        <item m="1" x="5814"/>
        <item m="1" x="7826"/>
        <item m="1" x="1901"/>
        <item m="1" x="3947"/>
        <item m="1" x="5934"/>
        <item m="1" x="7947"/>
        <item m="1" x="2025"/>
        <item m="1" x="4073"/>
        <item m="1" x="6056"/>
        <item m="1" x="142"/>
        <item m="1" x="2149"/>
        <item m="1" x="4192"/>
        <item m="1" x="6177"/>
        <item sd="0" m="1" x="965"/>
        <item sd="0" m="1" x="1965"/>
        <item sd="0" m="1" x="2979"/>
        <item sd="0" m="1" x="4007"/>
        <item sd="0" m="1" x="5007"/>
        <item sd="0" m="1" x="5996"/>
        <item sd="0" m="1" x="7000"/>
        <item sd="0" m="1" x="75"/>
        <item sd="0" m="1" x="1085"/>
        <item sd="0" m="1" x="2089"/>
        <item sd="0" m="1" x="3102"/>
        <item sd="0" m="1" x="4131"/>
        <item sd="0" m="1" x="5124"/>
        <item sd="0" m="1" x="6119"/>
        <item sd="0" m="1" x="7122"/>
        <item sd="0" m="1" x="200"/>
        <item sd="0" m="1" x="1209"/>
        <item sd="0" m="1" x="2211"/>
        <item sd="0" m="1" x="3225"/>
        <item sd="0" m="1" x="4251"/>
        <item sd="0" m="1" x="5244"/>
        <item sd="0" m="1" x="6243"/>
        <item sd="0" m="1" x="7245"/>
        <item sd="0" m="1" x="323"/>
        <item sd="0" m="1" x="1328"/>
        <item sd="0" m="1" x="2332"/>
        <item sd="0" m="1" x="3349"/>
        <item sd="0" m="1" x="4374"/>
        <item sd="0" m="1" x="5365"/>
        <item sd="0" m="1" x="6364"/>
        <item sd="0" m="1" x="7365"/>
        <item m="1" x="444"/>
        <item m="1" x="1447"/>
        <item m="1" x="2455"/>
        <item m="1" x="3474"/>
        <item m="1" x="4498"/>
        <item m="1" x="5484"/>
        <item m="1" x="6485"/>
        <item m="1" x="7485"/>
        <item m="1" x="566"/>
        <item m="1" x="1571"/>
        <item sd="0" m="1" x="2581"/>
        <item sd="0" m="1" x="3599"/>
        <item sd="0" m="1" x="4616"/>
        <item sd="0" m="1" x="5604"/>
        <item sd="0" m="1" x="6607"/>
        <item sd="0" m="1" x="7609"/>
        <item sd="0" m="1" x="689"/>
        <item sd="0" m="1" x="1695"/>
        <item sd="0" m="1" x="2703"/>
        <item sd="0" m="1" x="3723"/>
        <item sd="0" m="1" x="4733"/>
        <item sd="0" m="1" x="5722"/>
        <item sd="0" m="1" x="6731"/>
        <item sd="0" m="1" x="7730"/>
        <item sd="0" m="1" x="809"/>
        <item sd="0" m="1" x="1810"/>
        <item sd="0" m="1" x="2824"/>
        <item sd="0" m="1" x="3847"/>
        <item sd="0" m="1" x="4855"/>
        <item sd="0" m="1" x="5842"/>
        <item sd="0" m="1" x="6853"/>
        <item sd="0" m="1" x="7851"/>
        <item sd="0" m="1" x="932"/>
        <item sd="0" m="1" x="1931"/>
        <item sd="0" m="1" x="2947"/>
        <item sd="0" m="1" x="3975"/>
        <item sd="0" m="1" x="4974"/>
        <item sd="0" m="1" x="5962"/>
        <item sd="0" m="1" x="6970"/>
        <item sd="0" m="1" x="7972"/>
        <item sd="0" m="1" x="1053"/>
        <item sd="0" m="1" x="2055"/>
        <item sd="0" m="1" x="3071"/>
        <item m="1" x="4100"/>
        <item m="1" x="5092"/>
        <item m="1" x="6083"/>
        <item m="1" x="7091"/>
        <item m="1" x="168"/>
        <item m="1" x="1175"/>
        <item m="1" x="2175"/>
        <item m="1" x="3192"/>
        <item m="1" x="4219"/>
        <item m="1" x="5211"/>
        <item m="1" x="6206"/>
        <item m="1" x="7214"/>
        <item m="1" x="290"/>
        <item m="1" x="1295"/>
        <item m="1" x="2296"/>
        <item m="1" x="3319"/>
        <item m="1" x="4342"/>
        <item m="1" x="5333"/>
        <item m="1" x="6328"/>
        <item m="1" x="7335"/>
        <item m="1" x="411"/>
        <item m="1" x="1414"/>
        <item m="1" x="2418"/>
        <item m="1" x="3443"/>
        <item m="1" x="4466"/>
        <item m="1" x="5450"/>
        <item m="1" x="6449"/>
        <item m="1" x="7453"/>
        <item m="1" x="533"/>
        <item m="1" x="1535"/>
        <item m="1" x="2545"/>
        <item m="1" x="3566"/>
        <item m="1" x="4586"/>
        <item m="1" x="5569"/>
        <item m="1" x="6572"/>
        <item m="1" x="7576"/>
        <item m="1" x="656"/>
        <item m="1" x="1661"/>
        <item m="1" x="2669"/>
        <item m="1" x="3690"/>
        <item m="1" x="4703"/>
        <item m="1" x="5690"/>
        <item m="1" x="6697"/>
        <item m="1" x="7700"/>
        <item m="1" x="777"/>
        <item m="1" x="1780"/>
        <item m="1" x="2790"/>
        <item m="1" x="3814"/>
        <item m="1" x="4823"/>
        <item sd="0" m="1" x="7512"/>
        <item sd="0" m="1" x="595"/>
        <item sd="0" m="1" x="1602"/>
        <item sd="0" m="1" x="2607"/>
        <item sd="0" m="1" x="3626"/>
        <item sd="0" m="1" x="4642"/>
        <item sd="0" m="1" x="5632"/>
        <item sd="0" m="1" x="6633"/>
        <item sd="0" m="1" x="7637"/>
        <item sd="0" m="1" x="715"/>
        <item sd="0" m="1" x="1724"/>
        <item m="1" x="2728"/>
        <item m="1" x="3751"/>
        <item m="1" x="4761"/>
        <item m="1" x="5753"/>
        <item m="1" x="6757"/>
        <item m="1" x="7758"/>
        <item m="1" x="837"/>
        <item m="1" x="1841"/>
        <item m="1" x="2851"/>
        <item m="1" x="3877"/>
        <item sd="0" m="1" x="4884"/>
        <item sd="0" m="1" x="5872"/>
        <item sd="0" m="1" x="6879"/>
        <item sd="0" m="1" x="7878"/>
        <item sd="0" m="1" x="959"/>
        <item sd="0" m="1" x="1962"/>
        <item sd="0" m="1" x="2974"/>
        <item sd="0" m="1" x="4003"/>
        <item sd="0" m="1" x="5002"/>
        <item sd="0" m="1" x="5993"/>
        <item sd="0" m="1" x="6996"/>
        <item sd="0" m="1" x="72"/>
        <item sd="0" m="1" x="1080"/>
        <item sd="0" m="1" x="2086"/>
        <item sd="0" m="1" x="3097"/>
        <item sd="0" m="1" x="4127"/>
        <item sd="0" m="1" x="5119"/>
        <item sd="0" m="1" x="6115"/>
        <item sd="0" m="1" x="7118"/>
        <item sd="0" m="1" x="197"/>
        <item sd="0" m="1" x="1204"/>
        <item sd="0" m="1" x="2208"/>
        <item sd="0" m="1" x="3219"/>
        <item sd="0" m="1" x="4247"/>
        <item sd="0" m="1" x="5239"/>
        <item sd="0" m="1" x="6240"/>
        <item sd="0" m="1" x="7241"/>
        <item sd="0" m="1" x="320"/>
        <item sd="0" m="1" x="1323"/>
        <item sd="0" m="1" x="2329"/>
        <item sd="0" m="1" x="3344"/>
        <item sd="0" m="1" x="4370"/>
        <item sd="0" m="1" x="5360"/>
        <item m="1" x="6359"/>
        <item m="1" x="7361"/>
        <item m="1" x="439"/>
        <item m="1" x="1442"/>
        <item m="1" x="2450"/>
        <item m="1" x="3469"/>
        <item m="1" x="4494"/>
        <item m="1" x="5479"/>
        <item m="1" x="6481"/>
        <item m="1" x="7481"/>
        <item sd="0" m="1" x="562"/>
        <item sd="0" m="1" x="1566"/>
        <item sd="0" m="1" x="2577"/>
        <item sd="0" m="1" x="3594"/>
        <item sd="0" m="1" x="4612"/>
        <item sd="0" m="1" x="5598"/>
        <item sd="0" m="1" x="6601"/>
        <item sd="0" m="1" x="7605"/>
        <item sd="0" m="1" x="684"/>
        <item sd="0" m="1" x="1690"/>
        <item m="1" x="2698"/>
        <item m="1" x="3718"/>
        <item m="1" x="4728"/>
        <item m="1" x="5717"/>
        <item m="1" x="6726"/>
        <item m="1" x="7727"/>
        <item m="1" x="804"/>
        <item m="1" x="1806"/>
        <item m="1" x="2820"/>
        <item m="1" x="3843"/>
        <item m="1" x="4851"/>
        <item m="1" x="5837"/>
        <item m="1" x="6848"/>
        <item m="1" x="7848"/>
        <item m="1" x="927"/>
        <item m="1" x="1927"/>
        <item m="1" x="2943"/>
        <item m="1" x="3971"/>
        <item m="1" x="4970"/>
        <item m="1" x="5958"/>
        <item m="1" x="6966"/>
        <item m="1" x="7969"/>
        <item m="1" x="1048"/>
        <item m="1" x="2051"/>
        <item m="1" x="3066"/>
        <item m="1" x="4095"/>
        <item m="1" x="5087"/>
        <item m="1" x="6078"/>
        <item m="1" x="7086"/>
        <item m="1" x="164"/>
        <item m="1" x="1170"/>
        <item m="1" x="2172"/>
        <item m="1" x="3188"/>
        <item m="1" x="4215"/>
        <item m="1" x="5207"/>
        <item m="1" x="6203"/>
        <item m="1" x="7210"/>
        <item m="1" x="287"/>
        <item m="1" x="1291"/>
        <item m="1" x="2292"/>
        <item m="1" x="3313"/>
        <item m="1" x="4338"/>
        <item m="1" x="5329"/>
        <item m="1" x="6324"/>
        <item m="1" x="7330"/>
        <item m="1" x="407"/>
        <item m="1" x="1409"/>
        <item m="1" x="2415"/>
        <item m="1" x="3436"/>
        <item m="1" x="6141"/>
        <item sd="0" m="1" x="7146"/>
        <item sd="0" m="1" x="224"/>
        <item sd="0" m="1" x="1235"/>
        <item sd="0" m="1" x="2234"/>
        <item sd="0" m="1" x="3249"/>
        <item sd="0" m="1" x="4274"/>
        <item sd="0" m="1" x="5270"/>
        <item sd="0" m="1" x="6264"/>
        <item sd="0" m="1" x="7269"/>
        <item sd="0" m="1" x="347"/>
        <item sd="0" m="1" x="1353"/>
        <item sd="0" m="1" x="2355"/>
        <item sd="0" m="1" x="3373"/>
        <item sd="0" m="1" x="4398"/>
        <item sd="0" m="1" x="5390"/>
        <item sd="0" m="1" x="6386"/>
        <item sd="0" m="1" x="7388"/>
        <item sd="0" m="1" x="469"/>
        <item sd="0" m="1" x="1474"/>
        <item sd="0" m="1" x="2480"/>
        <item sd="0" m="1" x="3499"/>
        <item sd="0" m="1" x="4523"/>
        <item sd="0" m="1" x="5511"/>
        <item sd="0" m="1" x="6508"/>
        <item sd="0" m="1" x="7509"/>
        <item sd="0" m="1" x="591"/>
        <item sd="0" m="1" x="1599"/>
        <item sd="0" m="1" x="2604"/>
        <item sd="0" m="1" x="3624"/>
        <item sd="0" m="1" x="4638"/>
        <item sd="0" m="1" x="5630"/>
        <item sd="0" m="1" x="6629"/>
        <item sd="0" m="1" x="7634"/>
        <item m="1" x="711"/>
        <item m="1" x="1722"/>
        <item m="1" x="2725"/>
        <item m="1" x="3749"/>
        <item m="1" x="4757"/>
        <item m="1" x="5751"/>
        <item m="1" x="6753"/>
        <item m="1" x="7755"/>
        <item m="1" x="833"/>
        <item m="1" x="1837"/>
        <item sd="0" m="1" x="2847"/>
        <item sd="0" m="1" x="3873"/>
        <item sd="0" m="1" x="4880"/>
        <item sd="0" m="1" x="5870"/>
        <item sd="0" m="1" x="6875"/>
        <item sd="0" m="1" x="7876"/>
        <item sd="0" m="1" x="955"/>
        <item sd="0" m="1" x="1960"/>
        <item sd="0" m="1" x="2971"/>
        <item sd="0" m="1" x="4000"/>
        <item sd="0" m="1" x="4998"/>
        <item sd="0" m="1" x="5990"/>
        <item sd="0" m="1" x="6992"/>
        <item m="1" x="7997"/>
        <item sd="0" m="1" x="1076"/>
        <item sd="0" m="1" x="2082"/>
        <item sd="0" m="1" x="3094"/>
        <item sd="0" m="1" x="4124"/>
        <item sd="0" m="1" x="5115"/>
        <item sd="0" m="1" x="6112"/>
        <item sd="0" m="1" x="7114"/>
        <item sd="0" m="1" x="194"/>
        <item sd="0" m="1" x="1200"/>
        <item sd="0" m="1" x="2205"/>
        <item sd="0" m="1" x="3216"/>
        <item sd="0" m="1" x="4243"/>
        <item sd="0" m="1" x="5235"/>
        <item sd="0" m="1" x="6236"/>
        <item sd="0" m="1" x="7237"/>
        <item sd="0" m="1" x="316"/>
        <item m="1" x="1318"/>
        <item m="1" x="2324"/>
        <item m="1" x="3341"/>
        <item m="1" x="4365"/>
        <item m="1" x="5356"/>
        <item m="1" x="6355"/>
        <item m="1" x="7358"/>
        <item m="1" x="436"/>
        <item m="1" x="1439"/>
        <item m="1" x="2447"/>
        <item m="1" x="3467"/>
        <item m="1" x="4491"/>
        <item m="1" x="5476"/>
        <item m="1" x="6478"/>
        <item m="1" x="7478"/>
        <item m="1" x="559"/>
        <item m="1" x="1562"/>
        <item m="1" x="2574"/>
        <item m="1" x="3592"/>
        <item m="1" x="4609"/>
        <item m="1" x="5595"/>
        <item m="1" x="6598"/>
        <item m="1" x="7601"/>
        <item m="1" x="680"/>
        <item m="1" x="1687"/>
        <item m="1" x="2694"/>
        <item m="1" x="3715"/>
        <item m="1" x="4724"/>
        <item m="1" x="5714"/>
        <item m="1" x="6722"/>
        <item m="1" x="7723"/>
        <item m="1" x="800"/>
        <item m="1" x="1802"/>
        <item m="1" x="2816"/>
        <item m="1" x="3839"/>
        <item m="1" x="4846"/>
        <item m="1" x="5834"/>
        <item m="1" x="6844"/>
        <item m="1" x="7844"/>
        <item m="1" x="922"/>
        <item m="1" x="1923"/>
        <item m="1" x="2938"/>
        <item m="1" x="3968"/>
        <item m="1" x="4966"/>
        <item m="1" x="5955"/>
        <item m="1" x="6961"/>
        <item m="1" x="7965"/>
        <item m="1" x="1044"/>
        <item sd="0" m="1" x="4785"/>
        <item sd="0" m="1" x="5776"/>
        <item sd="0" m="1" x="6781"/>
        <item sd="0" m="1" x="7782"/>
        <item sd="0" m="1" x="862"/>
        <item sd="0" m="1" x="1862"/>
        <item sd="0" m="1" x="2874"/>
        <item sd="0" m="1" x="3900"/>
        <item sd="0" m="1" x="4909"/>
        <item sd="0" m="1" x="5895"/>
        <item sd="0" m="1" x="6902"/>
        <item sd="0" m="1" x="7902"/>
        <item sd="0" m="1" x="987"/>
        <item sd="0" m="1" x="1985"/>
        <item m="1" x="2998"/>
        <item m="1" x="4028"/>
        <item m="1" x="5029"/>
        <item m="1" x="6016"/>
        <item m="1" x="7021"/>
        <item m="1" x="98"/>
        <item m="1" x="1110"/>
        <item m="1" x="2110"/>
        <item m="1" x="3124"/>
        <item m="1" x="4151"/>
        <item sd="0" m="1" x="5148"/>
        <item sd="0" m="1" x="6138"/>
        <item sd="0" m="1" x="7144"/>
        <item sd="0" m="1" x="220"/>
        <item sd="0" m="1" x="1233"/>
        <item sd="0" m="1" x="2230"/>
        <item sd="0" m="1" x="3246"/>
        <item sd="0" m="1" x="4270"/>
        <item sd="0" m="1" x="5267"/>
        <item sd="0" m="1" x="6261"/>
        <item sd="0" m="1" x="7266"/>
        <item sd="0" m="1" x="343"/>
        <item sd="0" m="1" x="1351"/>
        <item sd="0" m="1" x="2351"/>
        <item sd="0" m="1" x="3370"/>
        <item sd="0" m="1" x="4394"/>
        <item sd="0" m="1" x="5388"/>
        <item sd="0" m="1" x="6383"/>
        <item sd="0" m="1" x="7386"/>
        <item sd="0" m="1" x="465"/>
        <item sd="0" m="1" x="1472"/>
        <item sd="0" m="1" x="2476"/>
        <item sd="0" m="1" x="3497"/>
        <item sd="0" m="1" x="4519"/>
        <item sd="0" m="1" x="5508"/>
        <item sd="0" m="1" x="6505"/>
        <item sd="0" m="1" x="7507"/>
        <item sd="0" m="1" x="587"/>
        <item sd="0" m="1" x="1596"/>
        <item sd="0" m="1" x="2600"/>
        <item sd="0" m="1" x="3621"/>
        <item sd="0" m="1" x="4634"/>
        <item sd="0" m="1" x="5627"/>
        <item m="1" x="6626"/>
        <item m="1" x="7631"/>
        <item m="1" x="707"/>
        <item m="1" x="1719"/>
        <item m="1" x="2721"/>
        <item m="1" x="3746"/>
        <item m="1" x="4752"/>
        <item m="1" x="5747"/>
        <item m="1" x="6750"/>
        <item m="1" x="7751"/>
        <item sd="0" m="1" x="829"/>
        <item sd="0" m="1" x="1834"/>
        <item sd="0" m="1" x="2843"/>
        <item sd="0" m="1" x="3869"/>
        <item sd="0" m="1" x="4876"/>
        <item sd="0" m="1" x="5866"/>
        <item m="1" x="6872"/>
        <item m="1" x="7872"/>
        <item m="1" x="951"/>
        <item m="1" x="1956"/>
        <item m="1" x="2967"/>
        <item m="1" x="3996"/>
        <item m="1" x="4994"/>
        <item m="1" x="5986"/>
        <item m="1" x="6990"/>
        <item m="1" x="7994"/>
        <item m="1" x="1073"/>
        <item m="1" x="2079"/>
        <item m="1" x="3091"/>
        <item m="1" x="4121"/>
        <item m="1" x="5112"/>
        <item m="1" x="6109"/>
        <item m="1" x="7112"/>
        <item m="1" x="191"/>
        <item m="1" x="1197"/>
        <item m="1" x="2202"/>
        <item m="1" x="3213"/>
        <item m="1" x="4240"/>
        <item m="1" x="5231"/>
        <item m="1" x="6232"/>
        <item m="1" x="7234"/>
        <item m="1" x="311"/>
        <item m="1" x="1315"/>
        <item m="1" x="2319"/>
        <item m="1" x="3337"/>
        <item m="1" x="4361"/>
        <item m="1" x="5353"/>
        <item m="1" x="6351"/>
        <item m="1" x="7355"/>
        <item m="1" x="432"/>
        <item m="1" x="1436"/>
        <item m="1" x="2443"/>
        <item m="1" x="3463"/>
        <item m="1" x="4487"/>
        <item m="1" x="5472"/>
        <item m="1" x="6473"/>
        <item m="1" x="7475"/>
        <item m="1" x="554"/>
        <item m="1" x="1559"/>
        <item m="1" x="2569"/>
        <item m="1" x="3588"/>
        <item m="1" x="4605"/>
        <item m="1" x="5592"/>
        <item m="1" x="6593"/>
        <item m="1" x="7597"/>
        <item m="1" x="2376"/>
        <item m="1" x="3397"/>
        <item m="1" x="4423"/>
        <item m="1" x="5411"/>
        <item m="1" x="6407"/>
        <item m="1" x="7410"/>
        <item sd="0" m="1" x="491"/>
        <item sd="0" m="1" x="1495"/>
        <item sd="0" m="1" x="2502"/>
        <item sd="0" m="1" x="3521"/>
        <item m="1" x="4546"/>
        <item m="1" x="5531"/>
        <item m="1" x="6530"/>
        <item m="1" x="7533"/>
        <item sd="0" m="1" x="616"/>
        <item sd="0" m="1" x="1620"/>
        <item sd="0" m="1" x="2627"/>
        <item sd="0" m="1" x="3646"/>
        <item m="1" x="4663"/>
        <item m="1" x="5651"/>
        <item m="1" x="6654"/>
        <item m="1" x="7658"/>
        <item sd="0" m="1" x="736"/>
        <item sd="0" m="1" x="1743"/>
        <item sd="0" m="1" x="2747"/>
        <item sd="0" m="1" x="3771"/>
        <item m="1" x="4782"/>
        <item m="1" x="5771"/>
        <item m="1" x="6777"/>
        <item m="1" x="7777"/>
        <item sd="0" m="1" x="859"/>
        <item sd="0" m="1" x="1858"/>
        <item sd="0" m="1" x="2871"/>
        <item sd="0" m="1" x="3895"/>
        <item m="1" x="4906"/>
        <item m="1" x="5890"/>
        <item m="1" x="6898"/>
        <item m="1" x="7897"/>
        <item m="1" x="983"/>
        <item m="1" x="1981"/>
        <item m="1" x="2995"/>
        <item m="1" x="4023"/>
        <item m="1" x="5026"/>
        <item m="1" x="6011"/>
        <item m="1" x="7018"/>
        <item m="1" x="93"/>
        <item m="1" x="1107"/>
        <item m="1" x="2106"/>
        <item m="1" x="3121"/>
        <item m="1" x="4146"/>
        <item m="1" x="5145"/>
        <item m="1" x="6133"/>
        <item m="1" x="7140"/>
        <item m="1" x="215"/>
        <item m="1" x="1228"/>
        <item m="1" x="2226"/>
        <item m="1" x="3241"/>
        <item m="1" x="4265"/>
        <item m="1" x="5262"/>
        <item m="1" x="6256"/>
        <item m="1" x="7262"/>
        <item m="1" x="338"/>
        <item m="1" x="1347"/>
        <item m="1" x="2347"/>
        <item m="1" x="3366"/>
        <item m="1" x="4389"/>
        <item m="1" x="5384"/>
        <item m="1" x="6378"/>
        <item m="1" x="7382"/>
        <item m="1" x="459"/>
        <item m="1" x="1466"/>
        <item m="1" x="2472"/>
        <item m="1" x="3492"/>
        <item m="1" x="4514"/>
        <item m="1" x="5503"/>
        <item m="1" x="6500"/>
        <item m="1" x="7502"/>
        <item m="1" x="582"/>
        <item m="1" x="1590"/>
        <item m="1" x="2596"/>
        <item m="1" x="3616"/>
        <item m="1" x="4630"/>
        <item m="1" x="5623"/>
        <item m="1" x="6622"/>
        <item m="1" x="7627"/>
        <item m="1" x="702"/>
        <item m="1" x="1714"/>
        <item m="1" x="2718"/>
        <item m="1" x="3741"/>
        <item m="1" x="4748"/>
        <item m="1" x="5743"/>
        <item m="1" x="6746"/>
        <item m="1" x="7747"/>
        <item m="1" x="825"/>
        <item m="1" x="1830"/>
        <item m="1" x="2840"/>
        <item m="1" x="3864"/>
        <item m="1" x="4872"/>
        <item m="1" x="5861"/>
        <item m="1" x="6867"/>
        <item m="1" x="7867"/>
        <item m="1" x="946"/>
        <item m="1" x="1951"/>
        <item m="1" x="2963"/>
        <item m="1" x="3991"/>
        <item m="1" x="4990"/>
        <item m="1" x="5981"/>
        <item m="1" x="6985"/>
        <item m="1" x="7989"/>
        <item m="1" x="1069"/>
        <item m="1" x="2074"/>
        <item m="1" x="3087"/>
        <item m="1" x="4116"/>
        <item m="1" x="5108"/>
        <item m="1" x="6103"/>
        <item m="1" x="7107"/>
        <item m="1" x="186"/>
        <item m="1" x="1192"/>
        <item m="1" x="2196"/>
        <item m="1" x="3208"/>
        <item m="1" x="4234"/>
        <item m="1" x="5227"/>
        <item m="1" x="6224"/>
        <item sd="0" m="1" x="1007"/>
        <item sd="0" m="1" x="2006"/>
        <item sd="0" m="1" x="3021"/>
        <item sd="0" m="1" x="4052"/>
        <item m="1" x="5050"/>
        <item m="1" x="6037"/>
        <item m="1" x="7041"/>
        <item sd="0" m="1" x="121"/>
        <item sd="0" m="1" x="1130"/>
        <item sd="0" m="1" x="2131"/>
        <item sd="0" m="1" x="3145"/>
        <item sd="0" m="1" x="4172"/>
        <item m="1" x="5169"/>
        <item m="1" x="6159"/>
        <item m="1" x="7166"/>
        <item sd="0" m="1" x="243"/>
        <item sd="0" m="1" x="1252"/>
        <item sd="0" m="1" x="2251"/>
        <item m="1" x="3269"/>
        <item m="1" x="4295"/>
        <item m="1" x="5289"/>
        <item m="1" x="6283"/>
        <item m="1" x="7287"/>
        <item m="1" x="368"/>
        <item m="1" x="1371"/>
        <item m="1" x="2373"/>
        <item m="1" x="3392"/>
        <item sd="0" m="1" x="4419"/>
        <item m="1" x="5407"/>
        <item m="1" x="6404"/>
        <item m="1" x="7405"/>
        <item sd="0" m="1" x="488"/>
        <item sd="0" m="1" x="1490"/>
        <item sd="0" m="1" x="2498"/>
        <item sd="0" m="1" x="3516"/>
        <item m="1" x="4543"/>
        <item m="1" x="5527"/>
        <item m="1" x="6527"/>
        <item m="1" x="7528"/>
        <item m="1" x="613"/>
        <item m="1" x="1615"/>
        <item m="1" x="2623"/>
        <item m="1" x="3641"/>
        <item m="1" x="4659"/>
        <item m="1" x="5647"/>
        <item m="1" x="6650"/>
        <item m="1" x="7653"/>
        <item m="1" x="733"/>
        <item m="1" x="1738"/>
        <item m="1" x="2744"/>
        <item m="1" x="3766"/>
        <item m="1" x="4779"/>
        <item m="1" x="5767"/>
        <item m="1" x="6773"/>
        <item m="1" x="7772"/>
        <item m="1" x="855"/>
        <item m="1" x="1853"/>
        <item m="1" x="2867"/>
        <item m="1" x="3890"/>
        <item m="1" x="4901"/>
        <item m="1" x="5886"/>
        <item m="1" x="6894"/>
        <item m="1" x="7892"/>
        <item m="1" x="979"/>
        <item m="1" x="1976"/>
        <item m="1" x="2991"/>
        <item m="1" x="4018"/>
        <item m="1" x="5022"/>
        <item m="1" x="6007"/>
        <item m="1" x="7013"/>
        <item m="1" x="88"/>
        <item m="1" x="1102"/>
        <item m="1" x="2101"/>
        <item m="1" x="3116"/>
        <item m="1" x="4140"/>
        <item m="1" x="5139"/>
        <item m="1" x="6129"/>
        <item m="1" x="7134"/>
        <item m="1" x="210"/>
        <item m="1" x="1223"/>
        <item m="1" x="2222"/>
        <item m="1" x="3237"/>
        <item m="1" x="4261"/>
        <item m="1" x="5258"/>
        <item m="1" x="6253"/>
        <item m="1" x="7258"/>
        <item m="1" x="334"/>
        <item m="1" x="1343"/>
        <item m="1" x="2343"/>
        <item m="1" x="3362"/>
        <item m="1" x="4384"/>
        <item m="1" x="5380"/>
        <item m="1" x="6375"/>
        <item m="1" x="7378"/>
        <item m="1" x="455"/>
        <item m="1" x="1462"/>
        <item m="1" x="2467"/>
        <item m="1" x="3487"/>
        <item m="1" x="4510"/>
        <item m="1" x="5498"/>
        <item m="1" x="6496"/>
        <item m="1" x="7497"/>
        <item m="1" x="578"/>
        <item m="1" x="1585"/>
        <item m="1" x="2591"/>
        <item m="1" x="3611"/>
        <item m="1" x="4625"/>
        <item m="1" x="5618"/>
        <item m="1" x="6617"/>
        <item m="1" x="7621"/>
        <item m="1" x="698"/>
        <item m="1" x="1709"/>
        <item m="1" x="2713"/>
        <item m="1" x="3735"/>
        <item m="1" x="4744"/>
        <item m="1" x="5737"/>
        <item m="1" x="6742"/>
        <item m="1" x="7742"/>
        <item m="1" x="821"/>
        <item m="1" x="1824"/>
        <item m="1" x="2835"/>
        <item m="1" x="3859"/>
        <item m="1" x="4866"/>
        <item m="1" x="7554"/>
        <item m="1" x="639"/>
        <item m="1" x="1642"/>
        <item m="1" x="2649"/>
        <item m="1" x="3668"/>
        <item m="1" x="4684"/>
        <item m="1" x="5671"/>
        <item m="1" x="6675"/>
        <item m="1" x="7680"/>
        <item sd="0" m="1" x="758"/>
        <item sd="0" m="1" x="1763"/>
        <item sd="0" m="1" x="2769"/>
        <item sd="0" m="1" x="3795"/>
        <item m="1" x="4805"/>
        <item m="1" x="5793"/>
        <item m="1" x="6800"/>
        <item m="1" x="7802"/>
        <item sd="0" m="1" x="882"/>
        <item sd="0" m="1" x="1881"/>
        <item sd="0" m="1" x="2894"/>
        <item sd="0" m="1" x="3923"/>
        <item m="1" x="4927"/>
        <item m="1" x="5913"/>
        <item m="1" x="6920"/>
        <item m="1" x="7923"/>
        <item sd="0" m="1" x="1004"/>
        <item sd="0" m="1" x="2003"/>
        <item sd="0" m="1" x="3016"/>
        <item sd="0" m="1" x="4049"/>
        <item m="1" x="5045"/>
        <item m="1" x="6033"/>
        <item m="1" x="7036"/>
        <item sd="0" m="1" x="117"/>
        <item sd="0" m="1" x="1126"/>
        <item sd="0" m="1" x="2127"/>
        <item m="1" x="3140"/>
        <item m="1" x="4169"/>
        <item m="1" x="5164"/>
        <item m="1" x="6155"/>
        <item m="1" x="7161"/>
        <item m="1" x="240"/>
        <item m="1" x="1248"/>
        <item m="1" x="2248"/>
        <item m="1" x="3264"/>
        <item m="1" x="4292"/>
        <item m="1" x="5284"/>
        <item m="1" x="6280"/>
        <item m="1" x="7282"/>
        <item m="1" x="364"/>
        <item m="1" x="1367"/>
        <item m="1" x="2370"/>
        <item m="1" x="3387"/>
        <item m="1" x="4415"/>
        <item m="1" x="5403"/>
        <item m="1" x="6401"/>
        <item m="1" x="7401"/>
        <item m="1" x="485"/>
        <item m="1" x="1487"/>
        <item m="1" x="2495"/>
        <item m="1" x="3512"/>
        <item m="1" x="4540"/>
        <item m="1" x="5523"/>
        <item m="1" x="6524"/>
        <item m="1" x="7523"/>
        <item m="1" x="609"/>
        <item m="1" x="1612"/>
        <item m="1" x="2619"/>
        <item m="1" x="3637"/>
        <item m="1" x="4656"/>
        <item m="1" x="5643"/>
        <item m="1" x="6646"/>
        <item m="1" x="7649"/>
        <item m="1" x="729"/>
        <item m="1" x="1735"/>
        <item m="1" x="2740"/>
        <item m="1" x="3762"/>
        <item m="1" x="4775"/>
        <item m="1" x="5763"/>
        <item m="1" x="6769"/>
        <item m="1" x="7768"/>
        <item m="1" x="851"/>
        <item m="1" x="1851"/>
        <item m="1" x="2864"/>
        <item m="1" x="3887"/>
        <item m="1" x="4898"/>
        <item m="1" x="5883"/>
        <item m="1" x="6891"/>
        <item m="1" x="7889"/>
        <item m="1" x="976"/>
        <item m="1" x="1974"/>
        <item m="1" x="2988"/>
        <item m="1" x="4015"/>
        <item m="1" x="5019"/>
        <item m="1" x="6004"/>
        <item m="1" x="7010"/>
        <item m="1" x="83"/>
        <item m="1" x="1098"/>
        <item m="1" x="2098"/>
        <item m="1" x="3111"/>
        <item m="1" x="4137"/>
        <item m="1" x="5134"/>
        <item m="1" x="6125"/>
        <item m="1" x="7130"/>
        <item m="1" x="207"/>
        <item m="1" x="1219"/>
        <item m="1" x="2219"/>
        <item m="1" x="3233"/>
        <item m="1" x="4258"/>
        <item m="1" x="5254"/>
        <item m="1" x="6249"/>
        <item m="1" x="7254"/>
        <item m="1" x="330"/>
        <item m="1" x="1338"/>
        <item m="1" x="2339"/>
        <item m="1" x="3357"/>
        <item m="1" x="4381"/>
        <item m="1" x="5375"/>
        <item m="1" x="6371"/>
        <item m="1" x="7374"/>
        <item m="1" x="452"/>
        <item m="1" x="1457"/>
        <item m="1" x="2463"/>
        <item m="1" x="6183"/>
        <item m="1" x="7189"/>
        <item sd="0" m="1" x="268"/>
        <item sd="0" m="1" x="1272"/>
        <item sd="0" m="1" x="2272"/>
        <item sd="0" m="1" x="3290"/>
        <item sd="0" m="1" x="4319"/>
        <item m="1" x="5310"/>
        <item m="1" x="6304"/>
        <item m="1" x="7309"/>
        <item sd="0" m="1" x="390"/>
        <item sd="0" m="1" x="1392"/>
        <item sd="0" m="1" x="2396"/>
        <item sd="0" m="1" x="3417"/>
        <item sd="0" m="1" x="4444"/>
        <item m="1" x="5430"/>
        <item m="1" x="6427"/>
        <item m="1" x="7430"/>
        <item sd="0" m="1" x="512"/>
        <item sd="0" m="1" x="1515"/>
        <item sd="0" m="1" x="2523"/>
        <item m="1" x="3542"/>
        <item m="1" x="4566"/>
        <item m="1" x="5548"/>
        <item m="1" x="6548"/>
        <item m="1" x="7552"/>
        <item m="1" x="634"/>
        <item m="1" x="1638"/>
        <item m="1" x="2644"/>
        <item m="1" x="3665"/>
        <item m="1" x="4680"/>
        <item m="1" x="5668"/>
        <item m="1" x="6670"/>
        <item m="1" x="7677"/>
        <item sd="0" m="1" x="753"/>
        <item m="1" x="1759"/>
        <item m="1" x="2764"/>
        <item m="1" x="3791"/>
        <item m="1" x="4801"/>
        <item m="1" x="5790"/>
        <item m="1" x="6795"/>
        <item m="1" x="7799"/>
        <item m="1" x="877"/>
        <item m="1" x="1878"/>
        <item m="1" x="2889"/>
        <item m="1" x="3920"/>
        <item m="1" x="4923"/>
        <item m="1" x="5910"/>
        <item m="1" x="6915"/>
        <item m="1" x="7920"/>
        <item m="1" x="999"/>
        <item m="1" x="2000"/>
        <item m="1" x="3011"/>
        <item m="1" x="4044"/>
        <item m="1" x="5042"/>
        <item m="1" x="6029"/>
        <item m="1" x="7032"/>
        <item m="1" x="113"/>
        <item m="1" x="1122"/>
        <item m="1" x="2124"/>
        <item m="1" x="3136"/>
        <item m="1" x="4166"/>
        <item m="1" x="5161"/>
        <item m="1" x="6152"/>
        <item m="1" x="7157"/>
        <item m="1" x="237"/>
        <item m="1" x="1244"/>
        <item m="1" x="2245"/>
        <item m="1" x="3259"/>
        <item m="1" x="4287"/>
        <item m="1" x="5281"/>
        <item m="1" x="6276"/>
        <item m="1" x="7278"/>
        <item m="1" x="360"/>
        <item m="1" x="1363"/>
        <item m="1" x="2366"/>
        <item m="1" x="3383"/>
        <item m="1" x="4411"/>
        <item m="1" x="5401"/>
        <item m="1" x="6398"/>
        <item m="1" x="7398"/>
        <item m="1" x="482"/>
        <item m="1" x="1484"/>
        <item m="1" x="2492"/>
        <item m="1" x="3508"/>
        <item m="1" x="4536"/>
        <item m="1" x="5521"/>
        <item m="1" x="6520"/>
        <item m="1" x="7520"/>
        <item m="1" x="606"/>
        <item m="1" x="1609"/>
        <item m="1" x="2616"/>
        <item m="1" x="3634"/>
        <item m="1" x="4653"/>
        <item m="1" x="5641"/>
        <item m="1" x="6642"/>
        <item m="1" x="7646"/>
        <item m="1" x="725"/>
        <item m="1" x="1731"/>
        <item m="1" x="2736"/>
        <item m="1" x="3758"/>
        <item m="1" x="4771"/>
        <item m="1" x="5760"/>
        <item m="1" x="6765"/>
        <item m="1" x="7765"/>
        <item m="1" x="847"/>
        <item m="1" x="1847"/>
        <item m="1" x="2860"/>
        <item m="1" x="3884"/>
        <item m="1" x="4894"/>
        <item m="1" x="5880"/>
        <item m="1" x="6887"/>
        <item m="1" x="7886"/>
        <item m="1" x="971"/>
        <item m="1" x="1970"/>
        <item m="1" x="2984"/>
        <item m="1" x="4011"/>
        <item m="1" x="5014"/>
        <item m="1" x="6000"/>
        <item m="1" x="7005"/>
        <item m="1" x="80"/>
        <item m="1" x="1091"/>
        <item sd="0" m="1" x="3820"/>
        <item m="1" x="4827"/>
        <item m="1" x="5815"/>
        <item m="1" x="6823"/>
        <item m="1" x="7827"/>
        <item m="1" x="903"/>
        <item m="1" x="1902"/>
        <item m="1" x="2917"/>
        <item m="1" x="3948"/>
        <item m="1" x="4948"/>
        <item m="1" x="5935"/>
        <item m="1" x="6941"/>
        <item m="1" x="7948"/>
        <item sd="0" m="1" x="1026"/>
        <item sd="0" m="1" x="2026"/>
        <item sd="0" m="1" x="3040"/>
        <item sd="0" m="1" x="4074"/>
        <item m="1" x="5067"/>
        <item m="1" x="6057"/>
        <item m="1" x="7062"/>
        <item sd="0" m="1" x="143"/>
        <item sd="0" m="1" x="1150"/>
        <item sd="0" m="1" x="2150"/>
        <item sd="0" m="1" x="3165"/>
        <item sd="0" m="1" x="4193"/>
        <item m="1" x="5186"/>
        <item m="1" x="6178"/>
        <item m="1" x="7185"/>
        <item sd="0" m="1" x="264"/>
        <item sd="0" m="1" x="1269"/>
        <item sd="0" m="1" x="2267"/>
        <item sd="0" m="1" x="3287"/>
        <item sd="0" m="1" x="4314"/>
        <item m="1" x="5306"/>
        <item m="1" x="6299"/>
        <item m="1" x="7306"/>
        <item m="1" x="386"/>
        <item m="1" x="1389"/>
        <item m="1" x="2391"/>
        <item m="1" x="3414"/>
        <item m="1" x="4439"/>
        <item m="1" x="5426"/>
        <item m="1" x="6422"/>
        <item m="1" x="7426"/>
        <item m="1" x="508"/>
        <item m="1" x="1511"/>
        <item m="1" x="2518"/>
        <item m="1" x="3539"/>
        <item m="1" x="4561"/>
        <item m="1" x="5545"/>
        <item m="1" x="6543"/>
        <item m="1" x="7549"/>
        <item m="1" x="630"/>
        <item m="1" x="1634"/>
        <item m="1" x="2639"/>
        <item m="1" x="3662"/>
        <item m="1" x="4676"/>
        <item m="1" x="5665"/>
        <item m="1" x="6666"/>
        <item m="1" x="7673"/>
        <item m="1" x="750"/>
        <item m="1" x="1756"/>
        <item m="1" x="2760"/>
        <item m="1" x="3788"/>
        <item m="1" x="4797"/>
        <item m="1" x="5787"/>
        <item m="1" x="6791"/>
        <item m="1" x="7796"/>
        <item m="1" x="874"/>
        <item m="1" x="1874"/>
        <item m="1" x="2885"/>
        <item m="1" x="3916"/>
        <item m="1" x="4919"/>
        <item m="1" x="5906"/>
        <item m="1" x="6910"/>
        <item m="1" x="7915"/>
        <item m="1" x="996"/>
        <item m="1" x="1995"/>
        <item m="1" x="3007"/>
        <item m="1" x="4040"/>
        <item m="1" x="5039"/>
        <item m="1" x="6026"/>
        <item m="1" x="7029"/>
        <item m="1" x="110"/>
        <item m="1" x="1120"/>
        <item m="1" x="2121"/>
        <item m="1" x="3133"/>
        <item m="1" x="4163"/>
        <item m="1" x="5158"/>
        <item m="1" x="6149"/>
        <item m="1" x="7153"/>
        <item m="1" x="234"/>
        <item m="1" x="1242"/>
        <item m="1" x="2242"/>
        <item m="1" x="3256"/>
        <item m="1" x="4284"/>
        <item m="1" x="5277"/>
        <item m="1" x="6272"/>
        <item m="1" x="7275"/>
        <item m="1" x="356"/>
        <item m="1" x="1360"/>
        <item m="1" x="2362"/>
        <item m="1" x="3380"/>
        <item m="1" x="4407"/>
        <item m="1" x="5397"/>
        <item m="1" x="6394"/>
        <item m="1" x="7394"/>
        <item m="1" x="478"/>
        <item m="1" x="1480"/>
        <item m="1" x="2487"/>
        <item m="1" x="3505"/>
        <item m="1" x="4532"/>
        <item m="1" x="5517"/>
        <item m="1" x="6516"/>
        <item m="1" x="7516"/>
        <item m="1" x="601"/>
        <item m="1" x="1606"/>
        <item m="1" x="2612"/>
        <item m="1" x="3631"/>
        <item m="1" x="4648"/>
        <item m="1" x="5637"/>
        <item m="1" x="6638"/>
        <item m="1" x="7641"/>
        <item sd="0" m="1" x="2419"/>
        <item sd="0" m="1" x="3444"/>
        <item sd="0" m="1" x="4467"/>
        <item m="1" x="5451"/>
        <item m="1" x="6450"/>
        <item m="1" x="7454"/>
        <item sd="0" m="1" x="534"/>
        <item sd="0" m="1" x="1536"/>
        <item sd="0" m="1" x="2546"/>
        <item sd="0" m="1" x="3567"/>
        <item m="1" x="4587"/>
        <item m="1" x="5570"/>
        <item m="1" x="6573"/>
        <item m="1" x="7577"/>
        <item sd="0" m="1" x="657"/>
        <item sd="0" m="1" x="1662"/>
        <item sd="0" m="1" x="2670"/>
        <item sd="0" m="1" x="3691"/>
        <item m="1" x="4704"/>
        <item m="1" x="5691"/>
        <item m="1" x="6698"/>
        <item m="1" x="7701"/>
        <item sd="0" m="1" x="778"/>
        <item sd="0" m="1" x="1781"/>
        <item m="1" x="2791"/>
        <item m="1" x="3815"/>
        <item m="1" x="4824"/>
        <item m="1" x="5810"/>
        <item m="1" x="6820"/>
        <item m="1" x="7821"/>
        <item m="1" x="899"/>
        <item m="1" x="1897"/>
        <item m="1" x="2913"/>
        <item m="1" x="3942"/>
        <item m="1" x="4944"/>
        <item m="1" x="5930"/>
        <item m="1" x="6938"/>
        <item m="1" x="7942"/>
        <item m="1" x="1022"/>
        <item m="1" x="2021"/>
        <item m="1" x="3037"/>
        <item m="1" x="4068"/>
        <item m="1" x="5064"/>
        <item m="1" x="6052"/>
        <item m="1" x="7059"/>
        <item m="1" x="137"/>
        <item m="1" x="1147"/>
        <item m="1" x="2145"/>
        <item m="1" x="3161"/>
        <item m="1" x="4187"/>
        <item m="1" x="5183"/>
        <item m="1" x="6173"/>
        <item m="1" x="7182"/>
        <item m="1" x="258"/>
        <item m="1" x="1266"/>
        <item m="1" x="2263"/>
        <item m="1" x="3284"/>
        <item m="1" x="4309"/>
        <item m="1" x="5303"/>
        <item m="1" x="6295"/>
        <item m="1" x="7303"/>
        <item m="1" x="381"/>
        <item m="1" x="1386"/>
        <item m="1" x="2386"/>
        <item m="1" x="3410"/>
        <item m="1" x="4434"/>
        <item m="1" x="5422"/>
        <item m="1" x="6418"/>
        <item m="1" x="7423"/>
        <item m="1" x="503"/>
        <item m="1" x="1507"/>
        <item m="1" x="2513"/>
        <item m="1" x="3535"/>
        <item m="1" x="4556"/>
        <item m="1" x="5541"/>
        <item m="1" x="6539"/>
        <item m="1" x="7545"/>
        <item m="1" x="625"/>
        <item m="1" x="1630"/>
        <item m="1" x="2635"/>
        <item m="1" x="3658"/>
        <item m="1" x="4672"/>
        <item m="1" x="5662"/>
        <item m="1" x="6663"/>
        <item m="1" x="7670"/>
        <item m="1" x="746"/>
        <item m="1" x="1753"/>
        <item m="1" x="2756"/>
        <item m="1" x="3785"/>
        <item m="1" x="4793"/>
        <item m="1" x="5784"/>
        <item m="1" x="6788"/>
        <item m="1" x="7793"/>
        <item m="1" x="870"/>
        <item m="1" x="1871"/>
        <item m="1" x="2881"/>
        <item m="1" x="3912"/>
        <item m="1" x="4915"/>
        <item m="1" x="5901"/>
        <item m="1" x="6907"/>
        <item m="1" x="7910"/>
        <item m="1" x="992"/>
        <item m="1" x="1991"/>
        <item m="1" x="3003"/>
        <item m="1" x="4036"/>
        <item m="1" x="5035"/>
        <item m="1" x="6022"/>
        <item m="1" x="7026"/>
        <item m="1" x="106"/>
        <item m="1" x="1116"/>
        <item m="1" x="2117"/>
        <item m="1" x="3129"/>
        <item m="1" x="4159"/>
        <item m="1" x="5153"/>
        <item m="1" x="6145"/>
        <item m="1" x="7150"/>
        <item m="1" x="229"/>
        <item m="1" x="1238"/>
        <item m="1" x="2238"/>
        <item m="1" x="3252"/>
        <item m="1" x="4279"/>
        <item m="1" x="5273"/>
        <item sd="0" m="1" x="1049"/>
        <item sd="0" m="1" x="2052"/>
        <item sd="0" m="1" x="3067"/>
        <item sd="0" m="1" x="4096"/>
        <item m="1" x="5088"/>
        <item m="1" x="6079"/>
        <item m="1" x="7087"/>
        <item m="1" x="165"/>
        <item m="1" x="1171"/>
        <item m="1" x="2173"/>
        <item m="1" x="3189"/>
        <item m="1" x="4216"/>
        <item m="1" x="5208"/>
        <item m="1" x="6204"/>
        <item m="1" x="7211"/>
        <item sd="0" m="1" x="288"/>
        <item sd="0" m="1" x="1292"/>
        <item sd="0" m="1" x="2293"/>
        <item sd="0" m="1" x="3314"/>
        <item sd="0" m="1" x="4339"/>
        <item m="1" x="5330"/>
        <item m="1" x="6325"/>
        <item m="1" x="7331"/>
        <item sd="0" m="1" x="408"/>
        <item sd="0" m="1" x="1410"/>
        <item sd="0" m="1" x="2416"/>
        <item sd="0" m="1" x="3437"/>
        <item sd="0" m="1" x="4462"/>
        <item m="1" x="5446"/>
        <item m="1" x="6446"/>
        <item m="1" x="7448"/>
        <item sd="0" m="1" x="530"/>
        <item sd="0" m="1" x="1531"/>
        <item sd="0" m="1" x="2542"/>
        <item sd="0" m="1" x="3561"/>
        <item m="1" x="4582"/>
        <item m="1" x="5565"/>
        <item m="1" x="6568"/>
        <item m="1" x="7571"/>
        <item m="1" x="653"/>
        <item m="1" x="1657"/>
        <item m="1" x="2666"/>
        <item m="1" x="3685"/>
        <item m="1" x="4700"/>
        <item m="1" x="5686"/>
        <item m="1" x="6694"/>
        <item m="1" x="7695"/>
        <item m="1" x="774"/>
        <item m="1" x="1776"/>
        <item m="1" x="2787"/>
        <item m="1" x="3809"/>
        <item m="1" x="4820"/>
        <item m="1" x="5806"/>
        <item m="1" x="6816"/>
        <item m="1" x="7816"/>
        <item m="1" x="895"/>
        <item m="1" x="1893"/>
        <item m="1" x="2909"/>
        <item m="1" x="3937"/>
        <item m="1" x="4941"/>
        <item m="1" x="5925"/>
        <item m="1" x="6935"/>
        <item m="1" x="7937"/>
        <item m="1" x="1019"/>
        <item m="1" x="2017"/>
        <item m="1" x="3034"/>
        <item m="1" x="4063"/>
        <item m="1" x="5061"/>
        <item m="1" x="6047"/>
        <item m="1" x="7054"/>
        <item m="1" x="132"/>
        <item m="1" x="1143"/>
        <item m="1" x="2141"/>
        <item m="1" x="3157"/>
        <item m="1" x="4182"/>
        <item m="1" x="5179"/>
        <item m="1" x="6168"/>
        <item m="1" x="7178"/>
        <item m="1" x="253"/>
        <item m="1" x="1263"/>
        <item m="1" x="2260"/>
        <item m="1" x="3281"/>
        <item m="1" x="4305"/>
        <item m="1" x="5300"/>
        <item m="1" x="6291"/>
        <item m="1" x="7299"/>
        <item m="1" x="377"/>
        <item m="1" x="1382"/>
        <item m="1" x="2383"/>
        <item m="1" x="3407"/>
        <item m="1" x="4430"/>
        <item m="1" x="5419"/>
        <item m="1" x="6414"/>
        <item m="1" x="7420"/>
        <item m="1" x="499"/>
        <item m="1" x="1503"/>
        <item m="1" x="2510"/>
        <item m="1" x="3531"/>
        <item m="1" x="4552"/>
        <item m="1" x="5537"/>
        <item m="1" x="6535"/>
        <item m="1" x="7541"/>
        <item m="1" x="621"/>
        <item m="1" x="1626"/>
        <item m="1" x="2632"/>
        <item m="1" x="3654"/>
        <item m="1" x="4668"/>
        <item m="1" x="5658"/>
        <item m="1" x="6659"/>
        <item m="1" x="7666"/>
        <item m="1" x="742"/>
        <item m="1" x="1749"/>
        <item m="1" x="2753"/>
        <item m="1" x="3780"/>
        <item m="1" x="4789"/>
        <item m="1" x="5780"/>
        <item m="1" x="6784"/>
        <item m="1" x="7788"/>
        <item m="1" x="865"/>
        <item m="1" x="1866"/>
        <item m="1" x="2878"/>
        <item m="1" x="3905"/>
        <item m="1" x="7602"/>
        <item sd="0" m="1" x="681"/>
        <item sd="0" m="1" x="1688"/>
        <item sd="0" m="1" x="2695"/>
        <item sd="0" m="1" x="3716"/>
        <item m="1" x="4725"/>
        <item m="1" x="5715"/>
        <item m="1" x="6723"/>
        <item m="1" x="7724"/>
        <item sd="0" m="1" x="801"/>
        <item sd="0" m="1" x="1803"/>
        <item sd="0" m="1" x="2817"/>
        <item sd="0" m="1" x="3840"/>
        <item m="1" x="4847"/>
        <item m="1" x="5835"/>
        <item m="1" x="6845"/>
        <item m="1" x="7845"/>
        <item sd="0" m="1" x="923"/>
        <item sd="0" m="1" x="1924"/>
        <item sd="0" m="1" x="2939"/>
        <item sd="0" m="1" x="3969"/>
        <item m="1" x="4967"/>
        <item m="1" x="5956"/>
        <item m="1" x="6962"/>
        <item m="1" x="7966"/>
        <item sd="0" m="1" x="1045"/>
        <item sd="0" m="1" x="2047"/>
        <item m="1" x="3061"/>
        <item m="1" x="4092"/>
        <item m="1" x="5083"/>
        <item m="1" x="6075"/>
        <item m="1" x="7081"/>
        <item m="1" x="160"/>
        <item m="1" x="1166"/>
        <item m="1" x="2169"/>
        <item m="1" x="3183"/>
        <item m="1" x="4212"/>
        <item m="1" x="5203"/>
        <item m="1" x="6200"/>
        <item m="1" x="7205"/>
        <item m="1" x="283"/>
        <item m="1" x="1287"/>
        <item m="1" x="2288"/>
        <item m="1" x="3308"/>
        <item m="1" x="4334"/>
        <item m="1" x="5325"/>
        <item m="1" x="6321"/>
        <item m="1" x="7324"/>
        <item m="1" x="404"/>
        <item m="1" x="1405"/>
        <item m="1" x="2412"/>
        <item m="1" x="3431"/>
        <item m="1" x="4458"/>
        <item m="1" x="5442"/>
        <item m="1" x="6443"/>
        <item m="1" x="7443"/>
        <item m="1" x="527"/>
        <item m="1" x="1527"/>
        <item m="1" x="2538"/>
        <item m="1" x="3556"/>
        <item m="1" x="4579"/>
        <item m="1" x="5561"/>
        <item m="1" x="6565"/>
        <item m="1" x="7566"/>
        <item m="1" x="650"/>
        <item m="1" x="1652"/>
        <item m="1" x="2663"/>
        <item m="1" x="3680"/>
        <item m="1" x="4696"/>
        <item m="1" x="5682"/>
        <item m="1" x="6690"/>
        <item m="1" x="7690"/>
        <item m="1" x="770"/>
        <item m="1" x="1771"/>
        <item m="1" x="2782"/>
        <item m="1" x="3804"/>
        <item m="1" x="4815"/>
        <item m="1" x="5802"/>
        <item m="1" x="6812"/>
        <item m="1" x="7812"/>
        <item m="1" x="892"/>
        <item m="1" x="1889"/>
        <item m="1" x="2906"/>
        <item m="1" x="3933"/>
        <item m="1" x="4938"/>
        <item m="1" x="5922"/>
        <item m="1" x="6932"/>
        <item m="1" x="7933"/>
        <item m="1" x="1015"/>
        <item m="1" x="2013"/>
        <item m="1" x="3031"/>
        <item m="1" x="4059"/>
        <item m="1" x="5058"/>
        <item m="1" x="6044"/>
        <item m="1" x="7051"/>
        <item m="1" x="128"/>
        <item m="1" x="1139"/>
        <item m="1" x="2137"/>
        <item m="1" x="3153"/>
        <item m="1" x="4178"/>
        <item m="1" x="5175"/>
        <item m="1" x="6165"/>
        <item m="1" x="7174"/>
        <item m="1" x="249"/>
        <item m="1" x="1259"/>
        <item m="1" x="2256"/>
        <item m="1" x="3277"/>
        <item m="1" x="4300"/>
        <item m="1" x="5295"/>
        <item m="1" x="6288"/>
        <item m="1" x="7295"/>
        <item m="1" x="373"/>
        <item m="1" x="1378"/>
        <item m="1" x="2379"/>
        <item m="1" x="3402"/>
        <item m="1" x="4426"/>
        <item m="1" x="5415"/>
        <item m="1" x="6411"/>
        <item m="1" x="7415"/>
        <item m="1" x="495"/>
        <item m="1" x="1499"/>
        <item m="1" x="2505"/>
        <item m="1" x="5232"/>
        <item m="1" x="6233"/>
        <item m="1" x="7235"/>
        <item sd="0" m="1" x="312"/>
        <item sd="0" m="1" x="1316"/>
        <item sd="0" m="1" x="2320"/>
        <item sd="0" m="1" x="3338"/>
        <item sd="0" m="1" x="4362"/>
        <item m="1" x="5354"/>
        <item m="1" x="6352"/>
        <item m="1" x="7356"/>
        <item m="1" x="433"/>
        <item m="1" x="1437"/>
        <item m="1" x="2444"/>
        <item m="1" x="3464"/>
        <item m="1" x="4488"/>
        <item m="1" x="5473"/>
        <item m="1" x="6474"/>
        <item m="1" x="7476"/>
        <item sd="0" m="1" x="555"/>
        <item sd="0" m="1" x="1560"/>
        <item sd="0" m="1" x="2570"/>
        <item sd="0" m="1" x="3589"/>
        <item m="1" x="4606"/>
        <item m="1" x="5593"/>
        <item m="1" x="6594"/>
        <item m="1" x="7598"/>
        <item sd="0" m="1" x="676"/>
        <item sd="0" m="1" x="1684"/>
        <item sd="0" m="1" x="2689"/>
        <item sd="0" m="1" x="3711"/>
        <item m="1" x="4720"/>
        <item m="1" x="5710"/>
        <item m="1" x="6717"/>
        <item m="1" x="7719"/>
        <item m="1" x="795"/>
        <item m="1" x="1799"/>
        <item m="1" x="2811"/>
        <item m="1" x="3835"/>
        <item m="1" x="4842"/>
        <item m="1" x="5831"/>
        <item m="1" x="6839"/>
        <item m="1" x="7841"/>
        <item m="1" x="918"/>
        <item m="1" x="1920"/>
        <item m="1" x="2933"/>
        <item m="1" x="3965"/>
        <item m="1" x="4962"/>
        <item m="1" x="5951"/>
        <item m="1" x="6956"/>
        <item m="1" x="7962"/>
        <item m="1" x="1040"/>
        <item m="1" x="2043"/>
        <item m="1" x="3055"/>
        <item m="1" x="4088"/>
        <item m="1" x="5079"/>
        <item m="1" x="6072"/>
        <item m="1" x="7076"/>
        <item m="1" x="157"/>
        <item m="1" x="1162"/>
        <item m="1" x="2166"/>
        <item m="1" x="3178"/>
        <item m="1" x="4209"/>
        <item m="1" x="5198"/>
        <item m="1" x="6196"/>
        <item m="1" x="7200"/>
        <item m="1" x="279"/>
        <item m="1" x="1283"/>
        <item m="1" x="2285"/>
        <item m="1" x="3302"/>
        <item m="1" x="4330"/>
        <item m="1" x="5320"/>
        <item m="1" x="6317"/>
        <item m="1" x="7319"/>
        <item m="1" x="400"/>
        <item m="1" x="1401"/>
        <item m="1" x="2408"/>
        <item m="1" x="3426"/>
        <item m="1" x="4454"/>
        <item m="1" x="5438"/>
        <item m="1" x="6439"/>
        <item m="1" x="7439"/>
        <item m="1" x="524"/>
        <item m="1" x="1524"/>
        <item m="1" x="2535"/>
        <item m="1" x="3552"/>
        <item m="1" x="4576"/>
        <item m="1" x="5557"/>
        <item m="1" x="6562"/>
        <item m="1" x="7562"/>
        <item m="1" x="647"/>
        <item m="1" x="1649"/>
        <item m="1" x="2660"/>
        <item m="1" x="3676"/>
        <item m="1" x="4693"/>
        <item m="1" x="5678"/>
        <item m="1" x="6686"/>
        <item m="1" x="7686"/>
        <item m="1" x="765"/>
        <item m="1" x="1768"/>
        <item m="1" x="2777"/>
        <item m="1" x="3800"/>
        <item m="1" x="4811"/>
        <item m="1" x="5798"/>
        <item m="1" x="6808"/>
        <item m="1" x="7808"/>
        <item m="1" x="888"/>
        <item m="1" x="1886"/>
        <item m="1" x="2902"/>
        <item m="1" x="3929"/>
        <item m="1" x="4934"/>
        <item m="1" x="5918"/>
        <item m="1" x="6928"/>
        <item m="1" x="7928"/>
        <item m="1" x="1011"/>
        <item m="1" x="2010"/>
        <item m="1" x="3026"/>
        <item m="1" x="4055"/>
        <item m="1" x="5054"/>
        <item m="1" x="6040"/>
        <item m="1" x="7046"/>
        <item m="1" x="124"/>
        <item m="1" x="1134"/>
        <item sd="0" m="1" x="3865"/>
        <item m="1" x="4873"/>
        <item m="1" x="5862"/>
        <item m="1" x="6868"/>
        <item m="1" x="7868"/>
        <item sd="0" m="1" x="947"/>
        <item sd="0" m="1" x="1952"/>
        <item sd="0" m="1" x="2964"/>
        <item sd="0" m="1" x="3992"/>
        <item m="1" x="4991"/>
        <item m="1" x="5982"/>
        <item m="1" x="6986"/>
        <item m="1" x="7990"/>
        <item sd="0" m="1" x="1070"/>
        <item sd="0" m="1" x="2075"/>
        <item sd="0" m="1" x="3088"/>
        <item sd="0" m="1" x="4117"/>
        <item m="1" x="5109"/>
        <item m="1" x="6104"/>
        <item m="1" x="7108"/>
        <item sd="0" m="1" x="187"/>
        <item sd="0" m="1" x="1193"/>
        <item sd="0" m="1" x="2197"/>
        <item sd="0" m="1" x="3209"/>
        <item sd="0" m="1" x="4235"/>
        <item m="1" x="5228"/>
        <item m="1" x="6225"/>
        <item m="1" x="7229"/>
        <item sd="0" m="1" x="306"/>
        <item sd="0" m="1" x="1311"/>
        <item sd="0" m="1" x="2313"/>
        <item m="1" x="3333"/>
        <item m="1" x="4356"/>
        <item m="1" x="5349"/>
        <item m="1" x="6345"/>
        <item m="1" x="7350"/>
        <item m="1" x="427"/>
        <item m="1" x="1431"/>
        <item m="1" x="2437"/>
        <item m="1" x="3459"/>
        <item m="1" x="4482"/>
        <item m="1" x="5468"/>
        <item m="1" x="6467"/>
        <item m="1" x="7470"/>
        <item m="1" x="549"/>
        <item m="1" x="1555"/>
        <item m="1" x="2563"/>
        <item m="1" x="3584"/>
        <item m="1" x="4600"/>
        <item m="1" x="5588"/>
        <item m="1" x="6587"/>
        <item m="1" x="7593"/>
        <item m="1" x="670"/>
        <item m="1" x="1679"/>
        <item m="1" x="2684"/>
        <item m="1" x="3707"/>
        <item m="1" x="4716"/>
        <item m="1" x="5706"/>
        <item m="1" x="6712"/>
        <item m="1" x="7716"/>
        <item m="1" x="790"/>
        <item m="1" x="1796"/>
        <item m="1" x="2806"/>
        <item m="1" x="3832"/>
        <item m="1" x="4838"/>
        <item m="1" x="5828"/>
        <item m="1" x="6834"/>
        <item m="1" x="7838"/>
        <item m="1" x="913"/>
        <item m="1" x="1915"/>
        <item m="1" x="2928"/>
        <item m="1" x="3961"/>
        <item m="1" x="4958"/>
        <item m="1" x="5947"/>
        <item m="1" x="6951"/>
        <item m="1" x="7958"/>
        <item m="1" x="1035"/>
        <item m="1" x="2039"/>
        <item m="1" x="3050"/>
        <item m="1" x="4085"/>
        <item m="1" x="5076"/>
        <item m="1" x="6069"/>
        <item m="1" x="7072"/>
        <item m="1" x="154"/>
        <item m="1" x="1158"/>
        <item m="1" x="2162"/>
        <item m="1" x="3174"/>
        <item m="1" x="4204"/>
        <item m="1" x="5195"/>
        <item m="1" x="6193"/>
        <item m="1" x="7196"/>
        <item m="1" x="276"/>
        <item m="1" x="1279"/>
        <item m="1" x="2282"/>
        <item m="1" x="3298"/>
        <item m="1" x="4327"/>
        <item m="1" x="5317"/>
        <item m="1" x="6313"/>
        <item m="1" x="7315"/>
        <item m="1" x="396"/>
        <item m="1" x="1397"/>
        <item m="1" x="2404"/>
        <item m="1" x="3422"/>
        <item m="1" x="4450"/>
        <item m="1" x="5435"/>
        <item m="1" x="6435"/>
        <item m="1" x="7435"/>
        <item m="1" x="520"/>
        <item m="1" x="1520"/>
        <item m="1" x="2531"/>
        <item m="1" x="3548"/>
        <item m="1" x="4572"/>
        <item m="1" x="5554"/>
        <item m="1" x="6557"/>
        <item m="1" x="7558"/>
        <item m="1" x="643"/>
        <item m="1" x="1645"/>
        <item m="1" x="2655"/>
        <item m="1" x="3671"/>
        <item m="1" x="4688"/>
        <item m="1" x="5675"/>
        <item m="1" x="6680"/>
        <item sd="0" m="1" x="2468"/>
        <item sd="0" m="1" x="3488"/>
        <item m="1" x="4511"/>
        <item m="1" x="5499"/>
        <item m="1" x="6497"/>
        <item m="1" x="7498"/>
        <item sd="0" m="1" x="579"/>
        <item sd="0" m="1" x="1586"/>
        <item sd="0" m="1" x="2592"/>
        <item sd="0" m="1" x="3612"/>
        <item m="1" x="4626"/>
        <item m="1" x="5619"/>
        <item m="1" x="6618"/>
        <item m="1" x="7622"/>
        <item m="1" x="699"/>
        <item m="1" x="1710"/>
        <item m="1" x="2714"/>
        <item m="1" x="3736"/>
        <item m="1" x="4745"/>
        <item m="1" x="5738"/>
        <item m="1" x="6743"/>
        <item m="1" x="7743"/>
        <item sd="0" m="1" x="822"/>
        <item sd="0" m="1" x="1825"/>
        <item sd="0" m="1" x="2836"/>
        <item sd="0" m="1" x="3860"/>
        <item m="1" x="4867"/>
        <item m="1" x="5855"/>
        <item m="1" x="6863"/>
        <item m="1" x="7862"/>
        <item sd="0" m="1" x="942"/>
        <item sd="0" m="1" x="1945"/>
        <item sd="0" m="1" x="2958"/>
        <item sd="0" m="1" x="3986"/>
        <item m="1" x="4986"/>
        <item m="1" x="5975"/>
        <item m="1" x="6981"/>
        <item m="1" x="7984"/>
        <item m="1" x="1065"/>
        <item m="1" x="2068"/>
        <item m="1" x="3082"/>
        <item m="1" x="4111"/>
        <item m="1" x="5103"/>
        <item m="1" x="6097"/>
        <item m="1" x="7102"/>
        <item m="1" x="181"/>
        <item m="1" x="1188"/>
        <item m="1" x="2189"/>
        <item m="1" x="3204"/>
        <item m="1" x="4229"/>
        <item m="1" x="5223"/>
        <item m="1" x="6218"/>
        <item m="1" x="7225"/>
        <item m="1" x="301"/>
        <item m="1" x="1308"/>
        <item m="1" x="2308"/>
        <item m="1" x="3330"/>
        <item m="1" x="4352"/>
        <item m="1" x="5345"/>
        <item m="1" x="6340"/>
        <item m="1" x="7347"/>
        <item m="1" x="423"/>
        <item m="1" x="1428"/>
        <item m="1" x="2432"/>
        <item m="1" x="3456"/>
        <item m="1" x="4477"/>
        <item m="1" x="5465"/>
        <item m="1" x="6462"/>
        <item m="1" x="7467"/>
        <item m="1" x="545"/>
        <item m="1" x="1551"/>
        <item m="1" x="2558"/>
        <item m="1" x="3580"/>
        <item m="1" x="4595"/>
        <item m="1" x="5583"/>
        <item m="1" x="6582"/>
        <item m="1" x="7588"/>
        <item m="1" x="666"/>
        <item m="1" x="1674"/>
        <item m="1" x="2680"/>
        <item m="1" x="3704"/>
        <item m="1" x="4712"/>
        <item m="1" x="5703"/>
        <item m="1" x="6708"/>
        <item m="1" x="7713"/>
        <item m="1" x="787"/>
        <item m="1" x="1793"/>
        <item m="1" x="2801"/>
        <item m="1" x="3828"/>
        <item m="1" x="4834"/>
        <item m="1" x="5825"/>
        <item m="1" x="6830"/>
        <item m="1" x="7835"/>
        <item m="1" x="910"/>
        <item m="1" x="1912"/>
        <item m="1" x="2924"/>
        <item m="1" x="3957"/>
        <item m="1" x="4954"/>
        <item m="1" x="5943"/>
        <item m="1" x="6947"/>
        <item m="1" x="7954"/>
        <item m="1" x="1032"/>
        <item m="1" x="2035"/>
        <item m="1" x="3046"/>
        <item m="1" x="4081"/>
        <item m="1" x="5072"/>
        <item m="1" x="6065"/>
        <item m="1" x="7067"/>
        <item m="1" x="149"/>
        <item m="1" x="1155"/>
        <item m="1" x="2158"/>
        <item m="1" x="3170"/>
        <item m="1" x="4200"/>
        <item m="1" x="5191"/>
        <item m="1" x="6188"/>
        <item m="1" x="7192"/>
        <item m="1" x="272"/>
        <item m="1" x="1276"/>
        <item m="1" x="2277"/>
        <item m="1" x="3294"/>
        <item m="1" x="4323"/>
        <item m="1" x="5313"/>
        <item m="1" x="84"/>
        <item sd="0" m="1" x="1099"/>
        <item sd="0" m="1" x="2099"/>
        <item sd="0" m="1" x="3112"/>
        <item sd="0" m="1" x="4138"/>
        <item m="1" x="5135"/>
        <item m="1" x="6126"/>
        <item m="1" x="7131"/>
        <item sd="0" m="1" x="208"/>
        <item sd="0" m="1" x="1220"/>
        <item sd="0" m="1" x="2220"/>
        <item sd="0" m="1" x="3234"/>
        <item sd="0" m="1" x="4259"/>
        <item m="1" x="5255"/>
        <item m="1" x="6250"/>
        <item m="1" x="7255"/>
        <item sd="0" m="1" x="331"/>
        <item sd="0" m="1" x="1339"/>
        <item sd="0" m="1" x="2340"/>
        <item sd="0" m="1" x="3358"/>
        <item sd="0" m="1" x="4382"/>
        <item m="1" x="5376"/>
        <item m="1" x="6372"/>
        <item m="1" x="7375"/>
        <item sd="0" m="1" x="453"/>
        <item sd="0" m="1" x="1458"/>
        <item sd="0" m="1" x="2464"/>
        <item sd="0" m="1" x="3483"/>
        <item sd="0" m="1" x="4507"/>
        <item m="1" x="5493"/>
        <item m="1" x="6492"/>
        <item m="1" x="7493"/>
        <item sd="0" m="1" x="574"/>
        <item sd="0" m="1" x="1580"/>
        <item sd="0" m="1" x="2587"/>
        <item m="1" x="3606"/>
        <item m="1" x="4622"/>
        <item m="1" x="5613"/>
        <item m="1" x="6613"/>
        <item m="1" x="7617"/>
        <item m="1" x="695"/>
        <item m="1" x="1704"/>
        <item m="1" x="2710"/>
        <item m="1" x="3731"/>
        <item m="1" x="4741"/>
        <item m="1" x="5732"/>
        <item m="1" x="6739"/>
        <item m="1" x="7738"/>
        <item m="1" x="817"/>
        <item m="1" x="1819"/>
        <item m="1" x="2832"/>
        <item m="1" x="3855"/>
        <item m="1" x="4863"/>
        <item m="1" x="5851"/>
        <item m="1" x="6861"/>
        <item m="1" x="7859"/>
        <item m="1" x="940"/>
        <item m="1" x="1941"/>
        <item m="1" x="2956"/>
        <item m="1" x="3983"/>
        <item m="1" x="4984"/>
        <item m="1" x="5971"/>
        <item m="1" x="6979"/>
        <item m="1" x="7980"/>
        <item m="1" x="1062"/>
        <item m="1" x="2064"/>
        <item m="1" x="3079"/>
        <item m="1" x="4108"/>
        <item m="1" x="5101"/>
        <item m="1" x="6092"/>
        <item m="1" x="7099"/>
        <item m="1" x="177"/>
        <item m="1" x="1185"/>
        <item m="1" x="2185"/>
        <item m="1" x="3201"/>
        <item m="1" x="4226"/>
        <item m="1" x="5220"/>
        <item m="1" x="6214"/>
        <item m="1" x="7222"/>
        <item m="1" x="297"/>
        <item m="1" x="1304"/>
        <item m="1" x="2304"/>
        <item m="1" x="3327"/>
        <item m="1" x="4349"/>
        <item m="1" x="5342"/>
        <item m="1" x="6336"/>
        <item m="1" x="7344"/>
        <item m="1" x="418"/>
        <item m="1" x="1424"/>
        <item m="1" x="2427"/>
        <item m="1" x="3453"/>
        <item m="1" x="4474"/>
        <item m="1" x="5462"/>
        <item m="1" x="6458"/>
        <item m="1" x="7464"/>
        <item m="1" x="541"/>
        <item m="1" x="1547"/>
        <item m="1" x="2554"/>
        <item m="1" x="3575"/>
        <item m="1" x="4592"/>
        <item m="1" x="5578"/>
        <item m="1" x="6578"/>
        <item m="1" x="7584"/>
        <item m="1" x="662"/>
        <item m="1" x="1670"/>
        <item m="1" x="2676"/>
        <item m="1" x="3700"/>
        <item m="1" x="4709"/>
        <item m="1" x="5699"/>
        <item m="1" x="6704"/>
        <item m="1" x="7709"/>
        <item m="1" x="783"/>
        <item m="1" x="1789"/>
        <item m="1" x="2796"/>
        <item m="1" x="3824"/>
        <item m="1" x="4831"/>
        <item m="1" x="5820"/>
        <item m="1" x="6826"/>
        <item m="1" x="7831"/>
        <item m="1" x="906"/>
        <item m="1" x="1907"/>
        <item m="1" x="2920"/>
        <item m="1" x="3952"/>
        <item m="1" x="6643"/>
        <item m="1" x="7647"/>
        <item sd="0" m="1" x="726"/>
        <item sd="0" m="1" x="1732"/>
        <item sd="0" m="1" x="2737"/>
        <item sd="0" m="1" x="3759"/>
        <item m="1" x="4772"/>
        <item m="1" x="5761"/>
        <item m="1" x="6766"/>
        <item m="1" x="7766"/>
        <item sd="0" m="1" x="848"/>
        <item sd="0" m="1" x="1848"/>
        <item sd="0" m="1" x="2861"/>
        <item sd="0" m="1" x="3885"/>
        <item m="1" x="4895"/>
        <item m="1" x="5881"/>
        <item m="1" x="6888"/>
        <item m="1" x="7887"/>
        <item m="1" x="972"/>
        <item m="1" x="1971"/>
        <item m="1" x="2985"/>
        <item m="1" x="4012"/>
        <item m="1" x="5015"/>
        <item m="1" x="6001"/>
        <item m="1" x="7006"/>
        <item sd="0" m="1" x="81"/>
        <item sd="0" m="1" x="1092"/>
        <item sd="0" m="1" x="2094"/>
        <item sd="0" m="1" x="3107"/>
        <item sd="0" m="1" x="4134"/>
        <item m="1" x="5129"/>
        <item m="1" x="6122"/>
        <item m="1" x="7126"/>
        <item sd="0" m="1" x="204"/>
        <item sd="0" m="1" x="1214"/>
        <item m="1" x="2215"/>
        <item m="1" x="3229"/>
        <item m="1" x="4254"/>
        <item m="1" x="5249"/>
        <item m="1" x="6246"/>
        <item m="1" x="7250"/>
        <item m="1" x="327"/>
        <item m="1" x="1333"/>
        <item m="1" x="2335"/>
        <item m="1" x="3353"/>
        <item m="1" x="4378"/>
        <item m="1" x="5370"/>
        <item m="1" x="6368"/>
        <item m="1" x="7370"/>
        <item m="1" x="449"/>
        <item m="1" x="1452"/>
        <item m="1" x="2460"/>
        <item m="1" x="3478"/>
        <item m="1" x="4503"/>
        <item m="1" x="5489"/>
        <item m="1" x="6489"/>
        <item m="1" x="7490"/>
        <item m="1" x="571"/>
        <item m="1" x="1576"/>
        <item m="1" x="2585"/>
        <item m="1" x="3603"/>
        <item m="1" x="4620"/>
        <item m="1" x="5609"/>
        <item m="1" x="6611"/>
        <item m="1" x="7614"/>
        <item m="1" x="693"/>
        <item m="1" x="1700"/>
        <item m="1" x="2708"/>
        <item m="1" x="3727"/>
        <item m="1" x="4737"/>
        <item m="1" x="5728"/>
        <item m="1" x="6736"/>
        <item m="1" x="7735"/>
        <item m="1" x="814"/>
        <item m="1" x="1815"/>
        <item m="1" x="2829"/>
        <item m="1" x="3851"/>
        <item m="1" x="4860"/>
        <item m="1" x="5847"/>
        <item m="1" x="6858"/>
        <item m="1" x="7856"/>
        <item m="1" x="937"/>
        <item m="1" x="1937"/>
        <item m="1" x="2953"/>
        <item m="1" x="3979"/>
        <item m="1" x="4980"/>
        <item m="1" x="5967"/>
        <item m="1" x="6975"/>
        <item m="1" x="7977"/>
        <item m="1" x="1059"/>
        <item m="1" x="2060"/>
        <item m="1" x="3076"/>
        <item m="1" x="4104"/>
        <item m="1" x="5098"/>
        <item m="1" x="6088"/>
        <item m="1" x="7096"/>
        <item m="1" x="174"/>
        <item m="1" x="1181"/>
        <item m="1" x="2181"/>
        <item m="1" x="3197"/>
        <item m="1" x="4222"/>
        <item m="1" x="5216"/>
        <item m="1" x="6210"/>
        <item m="1" x="7218"/>
        <item m="1" x="294"/>
        <item m="1" x="1300"/>
        <item m="1" x="2300"/>
        <item m="1" x="3323"/>
        <item m="1" x="4345"/>
        <item m="1" x="5338"/>
        <item m="1" x="6332"/>
        <item m="1" x="7340"/>
        <item m="1" x="415"/>
        <item m="1" x="1419"/>
        <item m="1" x="2423"/>
        <item m="1" x="3449"/>
        <item m="1" x="4470"/>
        <item m="1" x="5457"/>
        <item m="1" x="6453"/>
        <item m="1" x="7459"/>
        <item m="1" x="538"/>
        <item m="1" x="1541"/>
        <item m="1" x="2549"/>
        <item m="1" x="4783"/>
        <item m="1" x="5278"/>
        <item m="1" x="5772"/>
        <item m="1" x="6273"/>
        <item m="1" x="6778"/>
        <item m="1" x="7276"/>
        <item m="1" x="7778"/>
        <item m="1" x="357"/>
        <item m="1" x="860"/>
        <item sd="0" m="1" x="1361"/>
        <item sd="0" m="1" x="1859"/>
        <item sd="0" m="1" x="2363"/>
        <item sd="0" m="1" x="2872"/>
        <item sd="0" m="1" x="3381"/>
        <item sd="0" m="1" x="3896"/>
        <item sd="0" m="1" x="4408"/>
        <item m="1" x="4907"/>
        <item m="1" x="5398"/>
        <item m="1" x="5891"/>
        <item m="1" x="6395"/>
        <item m="1" x="6899"/>
        <item m="1" x="7395"/>
        <item m="1" x="7898"/>
        <item sd="0" m="1" x="479"/>
        <item sd="0" m="1" x="984"/>
        <item sd="0" m="1" x="1481"/>
        <item sd="0" m="1" x="1982"/>
        <item sd="0" m="1" x="2488"/>
        <item sd="0" m="1" x="2996"/>
        <item sd="0" m="1" x="3506"/>
        <item sd="0" m="1" x="4024"/>
        <item m="1" x="4533"/>
        <item m="1" x="5027"/>
        <item m="1" x="5518"/>
        <item m="1" x="6012"/>
        <item m="1" x="6517"/>
        <item m="1" x="7019"/>
        <item m="1" x="7517"/>
        <item sd="0" m="1" x="94"/>
        <item sd="0" m="1" x="602"/>
        <item sd="0" m="1" x="1108"/>
        <item sd="0" m="1" x="1607"/>
        <item sd="0" m="1" x="2107"/>
        <item sd="0" m="1" x="2613"/>
        <item sd="0" m="1" x="3122"/>
        <item sd="0" m="1" x="3632"/>
        <item sd="0" m="1" x="4147"/>
        <item m="1" x="4649"/>
        <item m="1" x="5146"/>
        <item m="1" x="5638"/>
        <item m="1" x="6134"/>
        <item m="1" x="6639"/>
        <item m="1" x="7141"/>
        <item m="1" x="7642"/>
        <item sd="0" m="1" x="216"/>
        <item sd="0" m="1" x="720"/>
        <item sd="0" m="1" x="1229"/>
        <item sd="0" m="1" x="1727"/>
        <item sd="0" m="1" x="2227"/>
        <item sd="0" m="1" x="2732"/>
        <item sd="0" m="1" x="3242"/>
        <item sd="0" m="1" x="3755"/>
        <item sd="0" m="1" x="4266"/>
        <item m="1" x="4766"/>
        <item m="1" x="5263"/>
        <item m="1" x="5756"/>
        <item m="1" x="6257"/>
        <item m="1" x="6761"/>
        <item m="1" x="7263"/>
        <item m="1" x="7761"/>
        <item m="1" x="339"/>
        <item m="1" x="842"/>
        <item m="1" x="1348"/>
        <item m="1" x="1844"/>
        <item m="1" x="2348"/>
        <item m="1" x="2856"/>
        <item m="1" x="3367"/>
        <item m="1" x="3881"/>
        <item m="1" x="4390"/>
        <item m="1" x="4889"/>
        <item m="1" x="5385"/>
        <item m="1" x="5876"/>
        <item m="1" x="6379"/>
        <item m="1" x="6883"/>
        <item m="1" x="7383"/>
        <item m="1" x="7882"/>
        <item m="1" x="460"/>
        <item m="1" x="966"/>
        <item m="1" x="1467"/>
        <item m="1" x="1966"/>
        <item m="1" x="2473"/>
        <item m="1" x="2980"/>
        <item m="1" x="3493"/>
        <item m="1" x="4008"/>
        <item m="1" x="4515"/>
        <item m="1" x="5008"/>
        <item m="1" x="5504"/>
        <item m="1" x="5997"/>
        <item m="1" x="6501"/>
        <item m="1" x="7001"/>
        <item m="1" x="7503"/>
        <item m="1" x="76"/>
        <item m="1" x="583"/>
        <item m="1" x="1086"/>
        <item m="1" x="1591"/>
        <item m="1" x="2090"/>
        <item m="1" x="2597"/>
        <item m="1" x="3103"/>
        <item m="1" x="3617"/>
        <item m="1" x="4132"/>
        <item m="1" x="4631"/>
        <item m="1" x="5125"/>
        <item m="1" x="5624"/>
        <item m="1" x="6120"/>
        <item m="1" x="6623"/>
        <item m="1" x="7123"/>
        <item m="1" x="7628"/>
        <item m="1" x="201"/>
        <item m="1" x="703"/>
        <item m="1" x="1210"/>
        <item m="1" x="1715"/>
        <item m="1" x="2212"/>
        <item m="1" x="2719"/>
        <item m="1" x="3226"/>
        <item m="1" x="3742"/>
        <item m="1" x="4252"/>
        <item m="1" x="4749"/>
        <item m="1" x="5245"/>
        <item m="1" x="5744"/>
        <item m="1" x="6244"/>
        <item m="1" x="6747"/>
        <item m="1" x="7246"/>
        <item m="1" x="7748"/>
        <item m="1" x="324"/>
        <item m="1" x="826"/>
        <item m="1" x="1329"/>
        <item m="1" x="1831"/>
        <item m="1" x="2333"/>
        <item m="1" x="2841"/>
        <item m="1" x="3350"/>
        <item m="1" x="3866"/>
        <item m="1" x="4375"/>
        <item m="1" x="4874"/>
        <item m="1" x="5366"/>
        <item m="1" x="5863"/>
        <item m="1" x="6365"/>
        <item m="1" x="6869"/>
        <item m="1" x="7366"/>
        <item m="1" x="7869"/>
        <item m="1" x="445"/>
        <item m="1" x="948"/>
        <item m="1" x="1448"/>
        <item m="1" x="1953"/>
        <item m="1" x="2456"/>
        <item m="1" x="2965"/>
        <item m="1" x="3475"/>
        <item m="1" x="3993"/>
        <item m="1" x="4499"/>
        <item m="1" x="4992"/>
        <item m="1" x="5485"/>
        <item m="1" x="5983"/>
        <item m="1" x="6486"/>
        <item m="1" x="6987"/>
        <item m="1" x="7486"/>
        <item m="1" x="7991"/>
        <item m="1" x="567"/>
        <item m="1" x="1071"/>
        <item m="1" x="1572"/>
        <item m="1" x="2076"/>
        <item m="1" x="2582"/>
        <item m="1" x="3089"/>
        <item m="1" x="3600"/>
        <item m="1" x="4118"/>
        <item m="1" x="4617"/>
        <item m="1" x="5110"/>
        <item m="1" x="5605"/>
        <item m="1" x="6105"/>
        <item m="1" x="6608"/>
        <item m="1" x="7109"/>
        <item m="1" x="7610"/>
        <item m="1" x="188"/>
        <item m="1" x="690"/>
        <item m="1" x="1194"/>
        <item m="1" x="1696"/>
        <item m="1" x="2198"/>
        <item m="1" x="2704"/>
        <item m="1" x="3210"/>
        <item m="1" x="3724"/>
        <item m="1" x="4236"/>
        <item m="1" x="4734"/>
        <item m="1" x="5229"/>
        <item m="1" x="5723"/>
        <item m="1" x="6226"/>
        <item m="1" x="6732"/>
        <item m="1" x="7230"/>
        <item m="1" x="7731"/>
        <item m="1" x="307"/>
        <item m="1" x="810"/>
        <item m="1" x="1312"/>
        <item m="1" x="1811"/>
        <item m="1" x="2314"/>
        <item m="1" x="2825"/>
        <item m="1" x="3334"/>
        <item m="1" x="3848"/>
        <item m="1" x="4357"/>
        <item m="1" x="4856"/>
        <item m="1" x="5350"/>
        <item m="1" x="5843"/>
        <item m="1" x="6346"/>
        <item m="1" x="6854"/>
        <item m="1" x="7351"/>
        <item m="1" x="7852"/>
        <item m="1" x="428"/>
        <item m="1" x="933"/>
        <item m="1" x="1432"/>
        <item m="1" x="1932"/>
        <item m="1" x="2438"/>
        <item m="1" x="2948"/>
        <item m="1" x="3460"/>
        <item m="1" x="3976"/>
        <item m="1" x="4483"/>
        <item m="1" x="4975"/>
        <item m="1" x="5469"/>
        <item m="1" x="5963"/>
        <item m="1" x="6468"/>
        <item m="1" x="6971"/>
        <item m="1" x="7471"/>
        <item m="1" x="7973"/>
        <item m="1" x="550"/>
        <item m="1" x="1054"/>
        <item m="1" x="1556"/>
        <item m="1" x="2056"/>
        <item m="1" x="2564"/>
        <item m="1" x="3072"/>
        <item m="1" x="3585"/>
        <item m="1" x="4101"/>
        <item m="1" x="4601"/>
        <item m="1" x="5093"/>
        <item m="1" x="5589"/>
        <item m="1" x="6084"/>
        <item m="1" x="6588"/>
        <item m="1" x="7092"/>
        <item m="1" x="7594"/>
        <item m="1" x="169"/>
        <item m="1" x="671"/>
        <item sd="0" m="1" x="3393"/>
        <item sd="0" m="1" x="3913"/>
        <item sd="0" m="1" x="4420"/>
        <item m="1" x="4916"/>
        <item m="1" x="5408"/>
        <item m="1" x="5902"/>
        <item m="1" x="6405"/>
        <item m="1" x="6908"/>
        <item m="1" x="7406"/>
        <item m="1" x="7911"/>
        <item sd="0" m="1" x="489"/>
        <item sd="0" m="1" x="993"/>
        <item sd="0" m="1" x="1491"/>
        <item sd="0" m="1" x="1992"/>
        <item sd="0" m="1" x="2499"/>
        <item sd="0" m="1" x="3004"/>
        <item sd="0" m="1" x="3517"/>
        <item sd="0" m="1" x="4037"/>
        <item m="1" x="4544"/>
        <item m="1" x="5036"/>
        <item m="1" x="5528"/>
        <item m="1" x="6023"/>
        <item m="1" x="6528"/>
        <item m="1" x="7027"/>
        <item m="1" x="7529"/>
        <item sd="0" m="1" x="107"/>
        <item sd="0" m="1" x="614"/>
        <item sd="0" m="1" x="1117"/>
        <item sd="0" m="1" x="1616"/>
        <item sd="0" m="1" x="2118"/>
        <item sd="0" m="1" x="2624"/>
        <item sd="0" m="1" x="3130"/>
        <item sd="0" m="1" x="3642"/>
        <item sd="0" m="1" x="4160"/>
        <item m="1" x="4660"/>
        <item m="1" x="5154"/>
        <item m="1" x="5648"/>
        <item m="1" x="6146"/>
        <item m="1" x="6651"/>
        <item m="1" x="7151"/>
        <item m="1" x="7654"/>
        <item m="1" x="230"/>
        <item m="1" x="734"/>
        <item m="1" x="1239"/>
        <item m="1" x="1739"/>
        <item m="1" x="2239"/>
        <item m="1" x="2745"/>
        <item m="1" x="3253"/>
        <item m="1" x="3767"/>
        <item m="1" x="4280"/>
        <item m="1" x="4780"/>
        <item m="1" x="5274"/>
        <item m="1" x="5768"/>
        <item m="1" x="6268"/>
        <item m="1" x="6774"/>
        <item m="1" x="7272"/>
        <item m="1" x="7773"/>
        <item sd="0" m="1" x="351"/>
        <item sd="0" m="1" x="856"/>
        <item sd="0" m="1" x="1356"/>
        <item sd="0" m="1" x="1854"/>
        <item sd="0" m="1" x="2358"/>
        <item sd="0" m="1" x="2868"/>
        <item sd="0" m="1" x="3376"/>
        <item sd="0" m="1" x="3891"/>
        <item sd="0" m="1" x="4402"/>
        <item m="1" x="4902"/>
        <item m="1" x="5392"/>
        <item m="1" x="5887"/>
        <item m="1" x="6389"/>
        <item m="1" x="6895"/>
        <item m="1" x="7391"/>
        <item m="1" x="7893"/>
        <item m="1" x="473"/>
        <item m="1" x="980"/>
        <item m="1" x="1476"/>
        <item m="1" x="1977"/>
        <item m="1" x="2483"/>
        <item m="1" x="2992"/>
        <item m="1" x="3501"/>
        <item m="1" x="4019"/>
        <item m="1" x="4527"/>
        <item m="1" x="5023"/>
        <item m="1" x="5513"/>
        <item m="1" x="6008"/>
        <item m="1" x="6512"/>
        <item m="1" x="7014"/>
        <item m="1" x="7513"/>
        <item m="1" x="89"/>
        <item m="1" x="596"/>
        <item m="1" x="1103"/>
        <item m="1" x="1603"/>
        <item m="1" x="2102"/>
        <item m="1" x="2608"/>
        <item m="1" x="3117"/>
        <item m="1" x="3627"/>
        <item m="1" x="4141"/>
        <item m="1" x="4643"/>
        <item m="1" x="5140"/>
        <item m="1" x="5633"/>
        <item m="1" x="6130"/>
        <item m="1" x="6634"/>
        <item m="1" x="7135"/>
        <item m="1" x="7638"/>
        <item m="1" x="211"/>
        <item m="1" x="716"/>
        <item m="1" x="1224"/>
        <item m="1" x="1725"/>
        <item m="1" x="2223"/>
        <item m="1" x="2729"/>
        <item m="1" x="3238"/>
        <item m="1" x="3752"/>
        <item m="1" x="4262"/>
        <item m="1" x="4762"/>
        <item m="1" x="5259"/>
        <item m="1" x="5754"/>
        <item m="1" x="6254"/>
        <item m="1" x="6758"/>
        <item m="1" x="7259"/>
        <item m="1" x="7759"/>
        <item m="1" x="335"/>
        <item m="1" x="838"/>
        <item m="1" x="1344"/>
        <item m="1" x="1842"/>
        <item m="1" x="2344"/>
        <item m="1" x="2852"/>
        <item m="1" x="3363"/>
        <item m="1" x="3878"/>
        <item m="1" x="4385"/>
        <item m="1" x="4885"/>
        <item m="1" x="5381"/>
        <item m="1" x="5873"/>
        <item m="1" x="6376"/>
        <item m="1" x="6880"/>
        <item m="1" x="7379"/>
        <item m="1" x="7879"/>
        <item m="1" x="456"/>
        <item m="1" x="960"/>
        <item m="1" x="1463"/>
        <item m="1" x="1963"/>
        <item m="1" x="2469"/>
        <item m="1" x="2975"/>
        <item m="1" x="3489"/>
        <item m="1" x="4004"/>
        <item m="1" x="4512"/>
        <item m="1" x="5003"/>
        <item m="1" x="5500"/>
        <item m="1" x="5994"/>
        <item m="1" x="6498"/>
        <item m="1" x="6997"/>
        <item m="1" x="7499"/>
        <item m="1" x="73"/>
        <item m="1" x="580"/>
        <item m="1" x="1081"/>
        <item m="1" x="1587"/>
        <item m="1" x="2087"/>
        <item m="1" x="2593"/>
        <item m="1" x="3098"/>
        <item m="1" x="3613"/>
        <item m="1" x="4128"/>
        <item m="1" x="4627"/>
        <item m="1" x="5120"/>
        <item m="1" x="5620"/>
        <item m="1" x="6116"/>
        <item m="1" x="6619"/>
        <item m="1" x="7119"/>
        <item m="1" x="7623"/>
        <item m="1" x="198"/>
        <item m="1" x="700"/>
        <item m="1" x="1205"/>
        <item m="1" x="1711"/>
        <item m="1" x="2209"/>
        <item m="1" x="2715"/>
        <item m="1" x="3220"/>
        <item m="1" x="3737"/>
        <item m="1" x="4248"/>
        <item m="1" x="4746"/>
        <item m="1" x="5240"/>
        <item m="1" x="5739"/>
        <item m="1" x="6241"/>
        <item m="1" x="6744"/>
        <item m="1" x="7242"/>
        <item m="1" x="7744"/>
        <item m="1" x="321"/>
        <item m="1" x="823"/>
        <item m="1" x="1324"/>
        <item m="1" x="1826"/>
        <item m="1" x="2330"/>
        <item m="1" x="2837"/>
        <item m="1" x="3345"/>
        <item m="1" x="3861"/>
        <item m="1" x="4371"/>
        <item m="1" x="4868"/>
        <item m="1" x="5361"/>
        <item m="1" x="5856"/>
        <item m="1" x="6360"/>
        <item m="1" x="6864"/>
        <item m="1" x="7362"/>
        <item m="1" x="7863"/>
        <item m="1" x="440"/>
        <item m="1" x="943"/>
        <item m="1" x="1443"/>
        <item m="1" x="1946"/>
        <item m="1" x="2451"/>
        <item m="1" x="2959"/>
        <item m="1" x="3470"/>
        <item m="1" x="3987"/>
        <item m="1" x="4495"/>
        <item m="1" x="4987"/>
        <item m="1" x="5480"/>
        <item m="1" x="5976"/>
        <item m="1" x="6482"/>
        <item m="1" x="6982"/>
        <item m="1" x="7482"/>
        <item m="1" x="7985"/>
        <item m="1" x="563"/>
        <item m="1" x="1066"/>
        <item m="1" x="1567"/>
        <item m="1" x="2069"/>
        <item m="1" x="2578"/>
        <item m="1" x="3083"/>
        <item m="1" x="3595"/>
        <item m="1" x="4112"/>
        <item m="1" x="4613"/>
        <item m="1" x="5104"/>
        <item m="1" x="5599"/>
        <item m="1" x="6098"/>
        <item m="1" x="6602"/>
        <item m="1" x="7103"/>
        <item m="1" x="7606"/>
        <item m="1" x="182"/>
        <item m="1" x="685"/>
        <item m="1" x="1189"/>
        <item m="1" x="1691"/>
        <item m="1" x="2190"/>
        <item m="1" x="2699"/>
        <item m="1" x="3205"/>
        <item m="1" x="3719"/>
        <item m="1" x="4230"/>
        <item m="1" x="4729"/>
        <item m="1" x="5224"/>
        <item m="1" x="5718"/>
        <item m="1" x="6219"/>
        <item m="1" x="6727"/>
        <item m="1" x="7226"/>
        <item m="1" x="1504"/>
        <item m="1" x="2004"/>
        <item m="1" x="2511"/>
        <item m="1" x="3017"/>
        <item m="1" x="3532"/>
        <item m="1" x="4050"/>
        <item m="1" x="4553"/>
        <item m="1" x="5046"/>
        <item m="1" x="5538"/>
        <item m="1" x="6034"/>
        <item m="1" x="6536"/>
        <item m="1" x="7037"/>
        <item m="1" x="7542"/>
        <item m="1" x="118"/>
        <item m="1" x="622"/>
        <item sd="0" m="1" x="1127"/>
        <item sd="0" m="1" x="1627"/>
        <item sd="0" m="1" x="2128"/>
        <item sd="0" m="1" x="2633"/>
        <item sd="0" m="1" x="3141"/>
        <item sd="0" m="1" x="3655"/>
        <item sd="0" m="1" x="4170"/>
        <item m="1" x="4669"/>
        <item m="1" x="5165"/>
        <item m="1" x="5659"/>
        <item m="1" x="6156"/>
        <item m="1" x="6660"/>
        <item m="1" x="7162"/>
        <item m="1" x="7667"/>
        <item sd="0" m="1" x="241"/>
        <item sd="0" m="1" x="743"/>
        <item sd="0" m="1" x="1249"/>
        <item sd="0" m="1" x="1750"/>
        <item sd="0" m="1" x="2249"/>
        <item sd="0" m="1" x="2754"/>
        <item sd="0" m="1" x="3265"/>
        <item sd="0" m="1" x="3781"/>
        <item sd="0" m="1" x="4293"/>
        <item m="1" x="4790"/>
        <item m="1" x="5285"/>
        <item m="1" x="5781"/>
        <item m="1" x="6281"/>
        <item m="1" x="6785"/>
        <item m="1" x="7283"/>
        <item m="1" x="7789"/>
        <item sd="0" m="1" x="365"/>
        <item sd="0" m="1" x="866"/>
        <item sd="0" m="1" x="1368"/>
        <item sd="0" m="1" x="1867"/>
        <item sd="0" m="1" x="2371"/>
        <item sd="0" m="1" x="2879"/>
        <item sd="0" m="1" x="3388"/>
        <item sd="0" m="1" x="3906"/>
        <item sd="0" m="1" x="4416"/>
        <item m="1" x="4912"/>
        <item m="1" x="5404"/>
        <item m="1" x="5898"/>
        <item m="1" x="6402"/>
        <item m="1" x="6904"/>
        <item m="1" x="7402"/>
        <item m="1" x="7906"/>
        <item sd="0" m="1" x="486"/>
        <item sd="0" m="1" x="989"/>
        <item sd="0" m="1" x="1488"/>
        <item sd="0" m="1" x="1988"/>
        <item sd="0" m="1" x="2496"/>
        <item sd="0" m="1" x="3001"/>
        <item sd="0" m="1" x="3513"/>
        <item sd="0" m="1" x="4032"/>
        <item m="1" x="4541"/>
        <item m="1" x="5032"/>
        <item m="1" x="5524"/>
        <item m="1" x="6019"/>
        <item m="1" x="6525"/>
        <item m="1" x="7023"/>
        <item m="1" x="7524"/>
        <item m="1" x="102"/>
        <item m="1" x="610"/>
        <item m="1" x="1112"/>
        <item m="1" x="1613"/>
        <item m="1" x="2114"/>
        <item m="1" x="2620"/>
        <item m="1" x="3127"/>
        <item m="1" x="3638"/>
        <item m="1" x="4155"/>
        <item m="1" x="4657"/>
        <item m="1" x="5150"/>
        <item m="1" x="5644"/>
        <item m="1" x="6142"/>
        <item m="1" x="6647"/>
        <item m="1" x="7147"/>
        <item m="1" x="7650"/>
        <item m="1" x="225"/>
        <item m="1" x="730"/>
        <item m="1" x="1236"/>
        <item m="1" x="1736"/>
        <item m="1" x="2235"/>
        <item m="1" x="2741"/>
        <item m="1" x="3250"/>
        <item m="1" x="3763"/>
        <item m="1" x="4275"/>
        <item m="1" x="4776"/>
        <item m="1" x="5271"/>
        <item m="1" x="5764"/>
        <item m="1" x="6265"/>
        <item m="1" x="6770"/>
        <item m="1" x="7270"/>
        <item m="1" x="7769"/>
        <item m="1" x="348"/>
        <item m="1" x="852"/>
        <item m="1" x="1354"/>
        <item m="1" x="1852"/>
        <item m="1" x="2356"/>
        <item m="1" x="2865"/>
        <item m="1" x="3374"/>
        <item m="1" x="3888"/>
        <item m="1" x="4399"/>
        <item m="1" x="4899"/>
        <item m="1" x="5391"/>
        <item m="1" x="5884"/>
        <item m="1" x="6387"/>
        <item m="1" x="6892"/>
        <item m="1" x="7389"/>
        <item m="1" x="7890"/>
        <item m="1" x="470"/>
        <item m="1" x="977"/>
        <item m="1" x="1475"/>
        <item m="1" x="1975"/>
        <item m="1" x="2481"/>
        <item m="1" x="2989"/>
        <item m="1" x="3500"/>
        <item m="1" x="4016"/>
        <item m="1" x="4524"/>
        <item m="1" x="5020"/>
        <item m="1" x="5512"/>
        <item m="1" x="6005"/>
        <item m="1" x="6509"/>
        <item m="1" x="7011"/>
        <item m="1" x="7510"/>
        <item m="1" x="85"/>
        <item m="1" x="592"/>
        <item m="1" x="1100"/>
        <item m="1" x="1600"/>
        <item m="1" x="2100"/>
        <item m="1" x="2605"/>
        <item m="1" x="3113"/>
        <item m="1" x="3625"/>
        <item m="1" x="4139"/>
        <item m="1" x="4639"/>
        <item m="1" x="5136"/>
        <item m="1" x="5631"/>
        <item m="1" x="6127"/>
        <item m="1" x="6630"/>
        <item m="1" x="7132"/>
        <item m="1" x="7635"/>
        <item m="1" x="209"/>
        <item m="1" x="712"/>
        <item m="1" x="1221"/>
        <item m="1" x="1723"/>
        <item m="1" x="2221"/>
        <item m="1" x="2726"/>
        <item m="1" x="3235"/>
        <item m="1" x="3750"/>
        <item m="1" x="4260"/>
        <item m="1" x="4758"/>
        <item m="1" x="5256"/>
        <item m="1" x="5752"/>
        <item m="1" x="6251"/>
        <item m="1" x="6754"/>
        <item m="1" x="7256"/>
        <item m="1" x="7756"/>
        <item m="1" x="332"/>
        <item m="1" x="834"/>
        <item m="1" x="1340"/>
        <item m="1" x="1838"/>
        <item m="1" x="2341"/>
        <item m="1" x="2848"/>
        <item m="1" x="3359"/>
        <item m="1" x="3874"/>
        <item m="1" x="4383"/>
        <item m="1" x="4881"/>
        <item m="1" x="5377"/>
        <item m="1" x="5871"/>
        <item m="1" x="6373"/>
        <item m="1" x="6876"/>
        <item m="1" x="7376"/>
        <item m="1" x="7877"/>
        <item m="1" x="454"/>
        <item m="1" x="956"/>
        <item m="1" x="1459"/>
        <item m="1" x="1961"/>
        <item m="1" x="2465"/>
        <item m="1" x="2972"/>
        <item m="1" x="3484"/>
        <item m="1" x="4001"/>
        <item m="1" x="4508"/>
        <item m="1" x="4999"/>
        <item m="1" x="5494"/>
        <item m="1" x="5991"/>
        <item m="1" x="6493"/>
        <item m="1" x="6993"/>
        <item m="1" x="7494"/>
        <item m="1" x="7998"/>
        <item m="1" x="575"/>
        <item m="1" x="1077"/>
        <item m="1" x="1581"/>
        <item m="1" x="2083"/>
        <item m="1" x="2588"/>
        <item m="1" x="3095"/>
        <item m="1" x="3607"/>
        <item m="1" x="4125"/>
        <item m="1" x="4623"/>
        <item m="1" x="5116"/>
        <item m="1" x="5614"/>
        <item m="1" x="6113"/>
        <item m="1" x="6614"/>
        <item m="1" x="7115"/>
        <item m="1" x="7618"/>
        <item m="1" x="195"/>
        <item m="1" x="696"/>
        <item m="1" x="1201"/>
        <item m="1" x="1705"/>
        <item m="1" x="2206"/>
        <item m="1" x="2711"/>
        <item m="1" x="3217"/>
        <item m="1" x="3732"/>
        <item m="1" x="4244"/>
        <item m="1" x="4742"/>
        <item m="1" x="5236"/>
        <item m="1" x="5733"/>
        <item m="1" x="6237"/>
        <item m="1" x="6740"/>
        <item m="1" x="7238"/>
        <item m="1" x="7739"/>
        <item m="1" x="317"/>
        <item m="1" x="818"/>
        <item m="1" x="1319"/>
        <item m="1" x="1820"/>
        <item m="1" x="2325"/>
        <item m="1" x="2833"/>
        <item m="1" x="3342"/>
        <item m="1" x="3856"/>
        <item m="1" x="4366"/>
        <item m="1" x="4864"/>
        <item m="1" x="5357"/>
        <item sd="0" m="1" x="129"/>
        <item sd="0" m="1" x="635"/>
        <item sd="0" m="1" x="1140"/>
        <item sd="0" m="1" x="1639"/>
        <item sd="0" m="1" x="2138"/>
        <item sd="0" m="1" x="2645"/>
        <item sd="0" m="1" x="3154"/>
        <item sd="0" m="1" x="3666"/>
        <item sd="0" m="1" x="4179"/>
        <item m="1" x="4681"/>
        <item m="1" x="5176"/>
        <item m="1" x="5669"/>
        <item m="1" x="6166"/>
        <item m="1" x="6671"/>
        <item m="1" x="7175"/>
        <item m="1" x="7678"/>
        <item sd="0" m="1" x="250"/>
        <item sd="0" m="1" x="754"/>
        <item sd="0" m="1" x="1260"/>
        <item sd="0" m="1" x="1760"/>
        <item sd="0" m="1" x="2257"/>
        <item sd="0" m="1" x="2765"/>
        <item sd="0" m="1" x="3278"/>
        <item sd="0" m="1" x="3792"/>
        <item sd="0" m="1" x="4301"/>
        <item m="1" x="4802"/>
        <item m="1" x="5296"/>
        <item m="1" x="5791"/>
        <item m="1" x="6289"/>
        <item m="1" x="6796"/>
        <item m="1" x="7296"/>
        <item m="1" x="7800"/>
        <item sd="0" m="1" x="374"/>
        <item sd="0" m="1" x="878"/>
        <item sd="0" m="1" x="1379"/>
        <item sd="0" m="1" x="1879"/>
        <item sd="0" m="1" x="2380"/>
        <item sd="0" m="1" x="2890"/>
        <item sd="0" m="1" x="3403"/>
        <item sd="0" m="1" x="3921"/>
        <item sd="0" m="1" x="4427"/>
        <item m="1" x="4924"/>
        <item m="1" x="5416"/>
        <item m="1" x="5911"/>
        <item m="1" x="6412"/>
        <item m="1" x="6916"/>
        <item m="1" x="7416"/>
        <item m="1" x="7921"/>
        <item m="1" x="496"/>
        <item m="1" x="1000"/>
        <item m="1" x="1500"/>
        <item m="1" x="2001"/>
        <item m="1" x="2506"/>
        <item m="1" x="3012"/>
        <item m="1" x="3526"/>
        <item m="1" x="4045"/>
        <item m="1" x="4548"/>
        <item m="1" x="5043"/>
        <item m="1" x="5534"/>
        <item m="1" x="6030"/>
        <item m="1" x="6533"/>
        <item m="1" x="7033"/>
        <item m="1" x="7537"/>
        <item sd="0" m="1" x="114"/>
        <item sd="0" m="1" x="618"/>
        <item sd="0" m="1" x="1123"/>
        <item sd="0" m="1" x="1623"/>
        <item sd="0" m="1" x="2125"/>
        <item sd="0" m="1" x="2629"/>
        <item sd="0" m="1" x="3137"/>
        <item m="1" x="3650"/>
        <item m="1" x="4167"/>
        <item m="1" x="4665"/>
        <item m="1" x="5162"/>
        <item m="1" x="5655"/>
        <item m="1" x="6153"/>
        <item m="1" x="6657"/>
        <item m="1" x="7158"/>
        <item m="1" x="7662"/>
        <item m="1" x="238"/>
        <item m="1" x="739"/>
        <item m="1" x="1245"/>
        <item m="1" x="1746"/>
        <item m="1" x="2246"/>
        <item m="1" x="2750"/>
        <item m="1" x="3260"/>
        <item m="1" x="3776"/>
        <item m="1" x="4288"/>
        <item m="1" x="4786"/>
        <item m="1" x="5282"/>
        <item m="1" x="5777"/>
        <item m="1" x="6277"/>
        <item m="1" x="6782"/>
        <item m="1" x="7279"/>
        <item m="1" x="7783"/>
        <item m="1" x="361"/>
        <item m="1" x="863"/>
        <item m="1" x="1364"/>
        <item m="1" x="1863"/>
        <item m="1" x="2367"/>
        <item m="1" x="2875"/>
        <item m="1" x="3384"/>
        <item m="1" x="3901"/>
        <item m="1" x="4412"/>
        <item m="1" x="4910"/>
        <item m="1" x="5402"/>
        <item m="1" x="5896"/>
        <item m="1" x="6399"/>
        <item m="1" x="6903"/>
        <item m="1" x="7399"/>
        <item m="1" x="7903"/>
        <item m="1" x="483"/>
        <item m="1" x="988"/>
        <item m="1" x="1485"/>
        <item m="1" x="1986"/>
        <item m="1" x="2493"/>
        <item m="1" x="2999"/>
        <item m="1" x="3509"/>
        <item m="1" x="4029"/>
        <item m="1" x="4537"/>
        <item m="1" x="5030"/>
        <item m="1" x="5522"/>
        <item m="1" x="6017"/>
        <item m="1" x="6521"/>
        <item m="1" x="7022"/>
        <item m="1" x="7521"/>
        <item m="1" x="99"/>
        <item m="1" x="607"/>
        <item m="1" x="1111"/>
        <item m="1" x="1610"/>
        <item m="1" x="2111"/>
        <item m="1" x="2617"/>
        <item m="1" x="3125"/>
        <item m="1" x="3635"/>
        <item m="1" x="4152"/>
        <item m="1" x="4654"/>
        <item m="1" x="5149"/>
        <item m="1" x="5642"/>
        <item m="1" x="6139"/>
        <item m="1" x="6644"/>
        <item m="1" x="7145"/>
        <item m="1" x="7648"/>
        <item m="1" x="221"/>
        <item m="1" x="727"/>
        <item m="1" x="1234"/>
        <item m="1" x="1733"/>
        <item m="1" x="2231"/>
        <item m="1" x="2738"/>
        <item m="1" x="3247"/>
        <item m="1" x="3760"/>
        <item m="1" x="4271"/>
        <item m="1" x="4773"/>
        <item m="1" x="5268"/>
        <item m="1" x="5762"/>
        <item m="1" x="6262"/>
        <item m="1" x="6767"/>
        <item m="1" x="7267"/>
        <item m="1" x="7767"/>
        <item m="1" x="344"/>
        <item m="1" x="849"/>
        <item m="1" x="1352"/>
        <item m="1" x="1849"/>
        <item m="1" x="2352"/>
        <item m="1" x="2862"/>
        <item m="1" x="3371"/>
        <item m="1" x="3886"/>
        <item m="1" x="4395"/>
        <item m="1" x="4896"/>
        <item m="1" x="5389"/>
        <item m="1" x="5882"/>
        <item m="1" x="6384"/>
        <item m="1" x="6889"/>
        <item m="1" x="7387"/>
        <item m="1" x="7888"/>
        <item m="1" x="466"/>
        <item m="1" x="973"/>
        <item m="1" x="1473"/>
        <item m="1" x="1972"/>
        <item m="1" x="2477"/>
        <item m="1" x="2986"/>
        <item m="1" x="3498"/>
        <item m="1" x="4013"/>
        <item m="1" x="4520"/>
        <item m="1" x="5016"/>
        <item m="1" x="5509"/>
        <item m="1" x="6002"/>
        <item m="1" x="6506"/>
        <item m="1" x="7007"/>
        <item m="1" x="7508"/>
        <item m="1" x="82"/>
        <item m="1" x="588"/>
        <item m="1" x="1093"/>
        <item m="1" x="1597"/>
        <item m="1" x="2095"/>
        <item m="1" x="2601"/>
        <item m="1" x="3108"/>
        <item m="1" x="3622"/>
        <item m="1" x="4135"/>
        <item m="1" x="4635"/>
        <item m="1" x="5130"/>
        <item m="1" x="5628"/>
        <item m="1" x="6123"/>
        <item m="1" x="6627"/>
        <item m="1" x="7127"/>
        <item m="1" x="7632"/>
        <item m="1" x="205"/>
        <item m="1" x="708"/>
        <item m="1" x="1215"/>
        <item m="1" x="1720"/>
        <item m="1" x="2216"/>
        <item m="1" x="2722"/>
        <item m="1" x="3230"/>
        <item m="1" x="3747"/>
        <item m="1" x="4255"/>
        <item m="1" x="4753"/>
        <item m="1" x="5250"/>
        <item m="1" x="5748"/>
        <item m="1" x="6247"/>
        <item m="1" x="6751"/>
        <item m="1" x="7251"/>
        <item m="1" x="7752"/>
        <item m="1" x="328"/>
        <item m="1" x="830"/>
        <item m="1" x="1334"/>
        <item m="1" x="1835"/>
        <item m="1" x="2336"/>
        <item m="1" x="2844"/>
        <item m="1" x="3354"/>
        <item m="1" x="3870"/>
        <item m="1" x="4379"/>
        <item m="1" x="4877"/>
        <item m="1" x="5371"/>
        <item m="1" x="5867"/>
        <item m="1" x="6369"/>
        <item m="1" x="6873"/>
        <item m="1" x="7371"/>
        <item m="1" x="7873"/>
        <item m="1" x="450"/>
        <item m="1" x="952"/>
        <item m="1" x="1453"/>
        <item m="1" x="1957"/>
        <item m="1" x="2461"/>
        <item m="1" x="2968"/>
        <item m="1" x="3479"/>
        <item m="1" x="6179"/>
        <item m="1" x="6687"/>
        <item m="1" x="7186"/>
        <item m="1" x="7687"/>
        <item m="1" x="265"/>
        <item m="1" x="766"/>
        <item m="1" x="1270"/>
        <item m="1" x="1769"/>
        <item m="1" x="2268"/>
        <item m="1" x="2778"/>
        <item m="1" x="3288"/>
        <item m="1" x="3801"/>
        <item m="1" x="4315"/>
        <item m="1" x="4812"/>
        <item m="1" x="5307"/>
        <item m="1" x="5799"/>
        <item m="1" x="6300"/>
        <item m="1" x="6809"/>
        <item m="1" x="7307"/>
        <item m="1" x="7809"/>
        <item m="1" x="387"/>
        <item m="1" x="889"/>
        <item m="1" x="1390"/>
        <item m="1" x="1887"/>
        <item m="1" x="2392"/>
        <item m="1" x="2903"/>
        <item m="1" x="3415"/>
        <item m="1" x="3930"/>
        <item m="1" x="4440"/>
        <item m="1" x="4935"/>
        <item m="1" x="5427"/>
        <item m="1" x="5919"/>
        <item m="1" x="6423"/>
        <item m="1" x="6929"/>
        <item m="1" x="7427"/>
        <item m="1" x="7929"/>
        <item m="1" x="509"/>
        <item m="1" x="1012"/>
        <item m="1" x="1512"/>
        <item m="1" x="2011"/>
        <item m="1" x="2519"/>
        <item m="1" x="3027"/>
        <item m="1" x="3540"/>
        <item m="1" x="4056"/>
        <item m="1" x="4562"/>
        <item m="1" x="5055"/>
        <item m="1" x="5546"/>
        <item m="1" x="6041"/>
        <item m="1" x="6544"/>
        <item m="1" x="7047"/>
        <item m="1" x="7550"/>
        <item m="1" x="125"/>
        <item m="1" x="631"/>
        <item m="1" x="1135"/>
        <item m="1" x="1635"/>
        <item m="1" x="2134"/>
        <item m="1" x="2640"/>
        <item m="1" x="3149"/>
        <item m="1" x="3663"/>
        <item m="1" x="4175"/>
        <item m="1" x="4677"/>
        <item m="1" x="5172"/>
        <item m="1" x="5666"/>
        <item m="1" x="6162"/>
        <item m="1" x="6667"/>
        <item m="1" x="7170"/>
        <item m="1" x="7674"/>
        <item m="1" x="245"/>
        <item m="1" x="751"/>
        <item m="1" x="1255"/>
        <item m="1" x="1757"/>
        <item m="1" x="2254"/>
        <item m="1" x="2761"/>
        <item m="1" x="3273"/>
        <item m="1" x="3789"/>
        <item m="1" x="4297"/>
        <item m="1" x="4798"/>
        <item m="1" x="5292"/>
        <item m="1" x="5788"/>
        <item m="1" x="6285"/>
        <item m="1" x="6792"/>
        <item m="1" x="7291"/>
        <item m="1" x="7797"/>
        <item m="1" x="370"/>
        <item m="1" x="875"/>
        <item m="1" x="1375"/>
        <item m="1" x="1875"/>
        <item m="1" x="2377"/>
        <item m="1" x="2886"/>
        <item m="1" x="3398"/>
        <item m="1" x="3917"/>
        <item m="1" x="4424"/>
        <item m="1" x="4920"/>
        <item m="1" x="5412"/>
        <item m="1" x="5907"/>
        <item m="1" x="6408"/>
        <item m="1" x="6911"/>
        <item m="1" x="7411"/>
        <item m="1" x="7916"/>
        <item m="1" x="492"/>
        <item m="1" x="997"/>
        <item m="1" x="1496"/>
        <item m="1" x="1996"/>
        <item m="1" x="2503"/>
        <item m="1" x="3008"/>
        <item m="1" x="3522"/>
        <item m="1" x="4041"/>
        <item m="1" x="4547"/>
        <item m="1" x="5040"/>
        <item m="1" x="5532"/>
        <item m="1" x="6027"/>
        <item m="1" x="6531"/>
        <item m="1" x="7030"/>
        <item m="1" x="7534"/>
        <item m="1" x="111"/>
        <item m="1" x="617"/>
        <item m="1" x="1121"/>
        <item m="1" x="1621"/>
        <item m="1" x="2122"/>
        <item m="1" x="2628"/>
        <item m="1" x="3134"/>
        <item m="1" x="3647"/>
        <item m="1" x="4164"/>
        <item m="1" x="4664"/>
        <item m="1" x="5159"/>
        <item m="1" x="5652"/>
        <item m="1" x="6150"/>
        <item m="1" x="6655"/>
        <item m="1" x="7154"/>
        <item m="1" x="7659"/>
        <item m="1" x="235"/>
        <item m="1" x="737"/>
        <item m="1" x="1243"/>
        <item m="1" x="1744"/>
        <item m="1" x="2243"/>
        <item m="1" x="2748"/>
        <item m="1" x="3257"/>
        <item m="1" x="3772"/>
        <item m="1" x="4285"/>
        <item m="1" x="4784"/>
        <item m="1" x="5279"/>
        <item m="1" x="5773"/>
        <item m="1" x="6274"/>
        <item m="1" x="6779"/>
        <item m="1" x="7277"/>
        <item m="1" x="7779"/>
        <item m="1" x="358"/>
        <item m="1" x="861"/>
        <item m="1" x="1362"/>
        <item m="1" x="1860"/>
        <item m="1" x="2364"/>
        <item m="1" x="2873"/>
        <item m="1" x="3382"/>
        <item m="1" x="3897"/>
        <item m="1" x="4409"/>
        <item m="1" x="4908"/>
        <item m="1" x="5399"/>
        <item m="1" x="5892"/>
        <item m="1" x="6396"/>
        <item m="1" x="6900"/>
        <item m="1" x="7396"/>
        <item m="1" x="7899"/>
        <item m="1" x="480"/>
        <item m="1" x="985"/>
        <item m="1" x="1482"/>
        <item m="1" x="1983"/>
        <item m="1" x="2489"/>
        <item m="1" x="2997"/>
        <item m="1" x="3507"/>
        <item m="1" x="4025"/>
        <item m="1" x="4534"/>
        <item m="1" x="5028"/>
        <item m="1" x="5519"/>
        <item m="1" x="6013"/>
        <item m="1" x="6518"/>
        <item m="1" x="7020"/>
        <item m="1" x="7518"/>
        <item m="1" x="95"/>
        <item m="1" x="603"/>
        <item m="1" x="1109"/>
        <item m="1" x="1608"/>
        <item m="1" x="2108"/>
        <item m="1" x="2614"/>
        <item m="1" x="3123"/>
        <item m="1" x="3633"/>
        <item m="1" x="4148"/>
        <item m="1" x="4650"/>
        <item m="1" x="5147"/>
        <item m="1" x="5639"/>
        <item m="1" x="6135"/>
        <item m="1" x="6640"/>
        <item m="1" x="7142"/>
        <item m="1" x="7643"/>
        <item m="1" x="217"/>
        <item m="1" x="721"/>
        <item m="1" x="1230"/>
        <item m="1" x="1728"/>
        <item m="1" x="2228"/>
        <item m="1" x="2733"/>
        <item m="1" x="3243"/>
        <item m="1" x="3756"/>
        <item m="1" x="4267"/>
        <item m="1" x="4767"/>
        <item m="1" x="5264"/>
        <item m="1" x="5757"/>
        <item m="1" x="6258"/>
        <item m="1" x="6762"/>
        <item m="1" x="7264"/>
        <item m="1" x="7762"/>
        <item m="1" x="340"/>
        <item m="1" x="843"/>
        <item m="1" x="1349"/>
        <item m="1" x="1845"/>
        <item m="1" x="2349"/>
        <item m="1" x="2857"/>
        <item m="1" x="3368"/>
        <item m="1" x="3882"/>
        <item m="1" x="4391"/>
        <item m="1" x="4890"/>
        <item m="1" x="5386"/>
        <item m="1" x="5877"/>
        <item m="1" x="6380"/>
        <item m="1" x="6884"/>
        <item m="1" x="7384"/>
        <item m="1" x="7883"/>
        <item m="1" x="461"/>
        <item m="1" x="967"/>
        <item m="1" x="1468"/>
        <item m="1" x="1967"/>
        <item m="1" x="2474"/>
        <item m="1" x="2981"/>
        <item m="1" x="3494"/>
        <item m="1" x="4009"/>
        <item m="1" x="4516"/>
        <item m="1" x="5009"/>
        <item m="1" x="5505"/>
        <item m="1" x="5998"/>
        <item m="1" x="6502"/>
        <item m="1" x="7002"/>
        <item m="1" x="7504"/>
        <item m="1" x="77"/>
        <item m="1" x="584"/>
        <item m="1" x="1087"/>
        <item m="1" x="1592"/>
        <item m="1" x="2091"/>
        <item m="1" x="4825"/>
        <item m="1" x="5318"/>
        <item m="1" x="5811"/>
        <item m="1" x="6314"/>
        <item m="1" x="6821"/>
        <item m="1" x="7316"/>
        <item m="1" x="7822"/>
        <item m="1" x="397"/>
        <item m="1" x="900"/>
        <item m="1" x="1398"/>
        <item m="1" x="1898"/>
        <item m="1" x="2405"/>
        <item m="1" x="2914"/>
        <item m="1" x="3423"/>
        <item m="1" x="3943"/>
        <item m="1" x="4451"/>
        <item m="1" x="4945"/>
        <item m="1" x="5436"/>
        <item m="1" x="5931"/>
        <item m="1" x="6436"/>
        <item m="1" x="6939"/>
        <item m="1" x="7436"/>
        <item m="1" x="7943"/>
        <item m="1" x="521"/>
        <item m="1" x="1023"/>
        <item m="1" x="1521"/>
        <item m="1" x="2022"/>
        <item m="1" x="2532"/>
        <item m="1" x="3038"/>
        <item m="1" x="3549"/>
        <item m="1" x="4069"/>
        <item m="1" x="4573"/>
        <item m="1" x="5065"/>
        <item m="1" x="5555"/>
        <item m="1" x="6053"/>
        <item m="1" x="6558"/>
        <item m="1" x="7060"/>
        <item m="1" x="7559"/>
        <item m="1" x="138"/>
        <item m="1" x="644"/>
        <item m="1" x="1148"/>
        <item m="1" x="1646"/>
        <item m="1" x="2146"/>
        <item m="1" x="2656"/>
        <item m="1" x="3162"/>
        <item m="1" x="3672"/>
        <item m="1" x="4188"/>
        <item m="1" x="4689"/>
        <item m="1" x="5184"/>
        <item m="1" x="5676"/>
        <item m="1" x="6174"/>
        <item m="1" x="6681"/>
        <item m="1" x="7183"/>
        <item m="1" x="7683"/>
        <item m="1" x="259"/>
        <item m="1" x="761"/>
        <item m="1" x="1267"/>
        <item m="1" x="1765"/>
        <item m="1" x="2264"/>
        <item m="1" x="2773"/>
        <item m="1" x="3285"/>
        <item m="1" x="3797"/>
        <item m="1" x="4310"/>
        <item m="1" x="4808"/>
        <item m="1" x="5304"/>
        <item m="1" x="5796"/>
        <item m="1" x="6296"/>
        <item m="1" x="6804"/>
        <item m="1" x="7304"/>
        <item m="1" x="7805"/>
        <item m="1" x="382"/>
        <item m="1" x="885"/>
        <item m="1" x="1387"/>
        <item m="1" x="1883"/>
        <item m="1" x="2387"/>
        <item m="1" x="2898"/>
        <item m="1" x="3411"/>
        <item m="1" x="3925"/>
        <item m="1" x="4435"/>
        <item m="1" x="4931"/>
        <item m="1" x="5423"/>
        <item m="1" x="5916"/>
        <item m="1" x="6419"/>
        <item m="1" x="6924"/>
        <item m="1" x="7424"/>
        <item m="1" x="7925"/>
        <item m="1" x="504"/>
        <item m="1" x="1008"/>
        <item m="1" x="1508"/>
        <item m="1" x="2007"/>
        <item m="1" x="2514"/>
        <item m="1" x="3022"/>
        <item m="1" x="3536"/>
        <item m="1" x="4053"/>
        <item m="1" x="4557"/>
        <item m="1" x="5051"/>
        <item m="1" x="5542"/>
        <item m="1" x="6038"/>
        <item m="1" x="6540"/>
        <item m="1" x="7042"/>
        <item m="1" x="7546"/>
        <item m="1" x="122"/>
        <item m="1" x="626"/>
        <item m="1" x="1131"/>
        <item m="1" x="1631"/>
        <item m="1" x="2132"/>
        <item m="1" x="2636"/>
        <item m="1" x="3146"/>
        <item m="1" x="3659"/>
        <item m="1" x="4173"/>
        <item m="1" x="4673"/>
        <item m="1" x="5170"/>
        <item m="1" x="5663"/>
        <item m="1" x="6160"/>
        <item m="1" x="6664"/>
        <item m="1" x="7167"/>
        <item m="1" x="7671"/>
        <item m="1" x="244"/>
        <item m="1" x="747"/>
        <item m="1" x="1253"/>
        <item m="1" x="1754"/>
        <item m="1" x="2252"/>
        <item m="1" x="2757"/>
        <item m="1" x="3270"/>
        <item m="1" x="3786"/>
        <item m="1" x="4296"/>
        <item m="1" x="4794"/>
        <item m="1" x="5290"/>
        <item m="1" x="5785"/>
        <item m="1" x="6284"/>
        <item m="1" x="6789"/>
        <item m="1" x="7288"/>
        <item m="1" x="7794"/>
        <item m="1" x="369"/>
        <item m="1" x="871"/>
        <item m="1" x="1372"/>
        <item m="1" x="1872"/>
        <item m="1" x="2374"/>
        <item m="1" x="2882"/>
        <item m="1" x="3394"/>
        <item m="1" x="3914"/>
        <item m="1" x="4421"/>
        <item m="1" x="4917"/>
        <item m="1" x="5409"/>
        <item m="1" x="5903"/>
        <item m="1" x="6406"/>
        <item m="1" x="6909"/>
        <item m="1" x="7407"/>
        <item m="1" x="7912"/>
        <item m="1" x="490"/>
        <item m="1" x="994"/>
        <item m="1" x="1492"/>
        <item m="1" x="1993"/>
        <item m="1" x="2500"/>
        <item m="1" x="3005"/>
        <item m="1" x="3518"/>
        <item m="1" x="4038"/>
        <item m="1" x="4545"/>
        <item m="1" x="5037"/>
        <item m="1" x="5529"/>
        <item m="1" x="6024"/>
        <item m="1" x="6529"/>
        <item m="1" x="7028"/>
        <item m="1" x="7530"/>
        <item m="1" x="108"/>
        <item m="1" x="615"/>
        <item m="1" x="1118"/>
        <item m="1" x="1617"/>
        <item m="1" x="2119"/>
        <item m="1" x="2625"/>
        <item m="1" x="3131"/>
        <item m="1" x="3643"/>
        <item m="1" x="4161"/>
        <item m="1" x="4661"/>
        <item m="1" x="5155"/>
        <item m="1" x="5649"/>
        <item m="1" x="6147"/>
        <item m="1" x="6652"/>
        <item m="1" x="7152"/>
        <item m="1" x="7655"/>
        <item m="1" x="231"/>
        <item m="1" x="735"/>
        <item m="1" x="1240"/>
        <item m="1" x="1740"/>
        <item m="1" x="2240"/>
        <item m="1" x="2746"/>
        <item m="1" x="3254"/>
        <item m="1" x="3768"/>
        <item m="1" x="4281"/>
        <item m="1" x="4781"/>
        <item m="1" x="5275"/>
        <item m="1" x="5769"/>
        <item m="1" x="6269"/>
        <item m="1" x="6775"/>
        <item m="1" x="7273"/>
        <item m="1" x="7774"/>
        <item m="1" x="352"/>
        <item m="1" x="857"/>
        <item m="1" x="1357"/>
        <item m="1" x="1855"/>
        <item m="1" x="2359"/>
        <item m="1" x="2869"/>
        <item m="1" x="3377"/>
        <item m="1" x="3892"/>
        <item m="1" x="4403"/>
        <item m="1" x="4903"/>
        <item m="1" x="5393"/>
        <item m="1" x="5888"/>
        <item m="1" x="6390"/>
        <item m="1" x="6896"/>
        <item m="1" x="7392"/>
        <item m="1" x="7894"/>
        <item m="1" x="474"/>
        <item m="1" x="981"/>
        <item m="1" x="1477"/>
        <item m="1" x="1978"/>
        <item m="1" x="2484"/>
        <item m="1" x="2993"/>
        <item m="1" x="3502"/>
        <item m="1" x="4020"/>
        <item m="1" x="4528"/>
        <item m="1" x="5024"/>
        <item m="1" x="5514"/>
        <item m="1" x="6009"/>
        <item m="1" x="6513"/>
        <item m="1" x="7015"/>
        <item m="1" x="7514"/>
        <item m="1" x="90"/>
        <item m="1" x="597"/>
        <item m="1" x="1104"/>
        <item m="1" x="1604"/>
        <item m="1" x="2103"/>
        <item m="1" x="2609"/>
        <item m="1" x="3118"/>
        <item m="1" x="3628"/>
        <item m="1" x="4142"/>
        <item m="1" x="4644"/>
        <item m="1" x="5141"/>
        <item m="1" x="5634"/>
        <item m="1" x="6131"/>
        <item m="1" x="6635"/>
        <item m="1" x="7136"/>
        <item m="1" x="7639"/>
        <item m="1" x="212"/>
        <item m="1" x="2925"/>
        <item m="1" x="3438"/>
        <item m="1" x="3958"/>
        <item m="1" x="4463"/>
        <item m="1" x="4955"/>
        <item m="1" x="5447"/>
        <item m="1" x="5944"/>
        <item m="1" x="6447"/>
        <item m="1" x="6948"/>
        <item m="1" x="7449"/>
        <item m="1" x="7955"/>
        <item m="1" x="531"/>
        <item m="1" x="1033"/>
        <item m="1" x="1532"/>
        <item m="1" x="2036"/>
        <item m="1" x="2543"/>
        <item m="1" x="3047"/>
        <item m="1" x="3562"/>
        <item m="1" x="4082"/>
        <item m="1" x="4583"/>
        <item m="1" x="5073"/>
        <item m="1" x="5566"/>
        <item m="1" x="6066"/>
        <item m="1" x="6569"/>
        <item m="1" x="7068"/>
        <item m="1" x="7572"/>
        <item m="1" x="150"/>
        <item m="1" x="654"/>
        <item m="1" x="1156"/>
        <item m="1" x="1658"/>
        <item m="1" x="2159"/>
        <item m="1" x="2667"/>
        <item m="1" x="3171"/>
        <item m="1" x="3686"/>
        <item m="1" x="4201"/>
        <item m="1" x="4701"/>
        <item m="1" x="5192"/>
        <item m="1" x="5687"/>
        <item m="1" x="6189"/>
        <item m="1" x="6695"/>
        <item m="1" x="7193"/>
        <item m="1" x="7696"/>
        <item m="1" x="273"/>
        <item m="1" x="775"/>
        <item m="1" x="1277"/>
        <item m="1" x="1777"/>
        <item m="1" x="2278"/>
        <item m="1" x="2788"/>
        <item m="1" x="3295"/>
        <item m="1" x="3810"/>
        <item m="1" x="4324"/>
        <item m="1" x="4821"/>
        <item m="1" x="5314"/>
        <item m="1" x="5807"/>
        <item m="1" x="6309"/>
        <item m="1" x="6817"/>
        <item m="1" x="7311"/>
        <item m="1" x="7817"/>
        <item m="1" x="393"/>
        <item m="1" x="896"/>
        <item m="1" x="1395"/>
        <item m="1" x="1894"/>
        <item m="1" x="2400"/>
        <item m="1" x="2910"/>
        <item m="1" x="3419"/>
        <item m="1" x="3938"/>
        <item m="1" x="4447"/>
        <item m="1" x="4942"/>
        <item m="1" x="5432"/>
        <item m="1" x="5926"/>
        <item m="1" x="6431"/>
        <item m="1" x="6936"/>
        <item m="1" x="7432"/>
        <item m="1" x="7938"/>
        <item m="1" x="517"/>
        <item m="1" x="1020"/>
        <item m="1" x="1518"/>
        <item m="1" x="2018"/>
        <item m="1" x="2527"/>
        <item m="1" x="3035"/>
        <item m="1" x="3545"/>
        <item m="1" x="4064"/>
        <item m="1" x="4569"/>
        <item m="1" x="5062"/>
        <item m="1" x="5551"/>
        <item m="1" x="6048"/>
        <item m="1" x="6553"/>
        <item m="1" x="7055"/>
        <item m="1" x="7555"/>
        <item m="1" x="133"/>
        <item m="1" x="640"/>
        <item m="1" x="1144"/>
        <item m="1" x="1643"/>
        <item m="1" x="2142"/>
        <item m="1" x="2650"/>
        <item m="1" x="3158"/>
        <item m="1" x="3669"/>
        <item m="1" x="4183"/>
        <item m="1" x="4685"/>
        <item m="1" x="5180"/>
        <item m="1" x="5672"/>
        <item m="1" x="6169"/>
        <item m="1" x="6676"/>
        <item m="1" x="7179"/>
        <item m="1" x="7681"/>
        <item m="1" x="254"/>
        <item m="1" x="759"/>
        <item m="1" x="1264"/>
        <item m="1" x="1764"/>
        <item m="1" x="2261"/>
        <item m="1" x="2770"/>
        <item m="1" x="3282"/>
        <item m="1" x="3796"/>
        <item m="1" x="4306"/>
        <item m="1" x="4806"/>
        <item m="1" x="5301"/>
        <item m="1" x="5794"/>
        <item m="1" x="6292"/>
        <item m="1" x="6801"/>
        <item m="1" x="7300"/>
        <item m="1" x="7803"/>
        <item m="1" x="378"/>
        <item m="1" x="883"/>
        <item m="1" x="1383"/>
        <item m="1" x="1882"/>
        <item m="1" x="2384"/>
        <item m="1" x="2895"/>
        <item m="1" x="3408"/>
        <item m="1" x="3924"/>
        <item m="1" x="4431"/>
        <item m="1" x="4928"/>
        <item m="1" x="5420"/>
        <item m="1" x="5914"/>
        <item m="1" x="6415"/>
        <item m="1" x="6921"/>
        <item m="1" x="7421"/>
        <item m="1" x="7924"/>
        <item m="1" x="500"/>
        <item m="1" x="1005"/>
        <item m="1" x="1505"/>
        <item m="1" x="2005"/>
        <item m="1" x="2512"/>
        <item m="1" x="3018"/>
        <item m="1" x="3533"/>
        <item m="1" x="4051"/>
        <item m="1" x="4554"/>
        <item m="1" x="5047"/>
        <item m="1" x="5539"/>
        <item m="1" x="6035"/>
        <item m="1" x="6537"/>
        <item m="1" x="7038"/>
        <item m="1" x="7543"/>
        <item m="1" x="119"/>
        <item m="1" x="623"/>
        <item m="1" x="1128"/>
        <item m="1" x="1628"/>
        <item m="1" x="2129"/>
        <item m="1" x="2634"/>
        <item m="1" x="3142"/>
        <item m="1" x="3656"/>
        <item m="1" x="4171"/>
        <item m="1" x="4670"/>
        <item m="1" x="5166"/>
        <item m="1" x="5660"/>
        <item m="1" x="6157"/>
        <item m="1" x="6661"/>
        <item m="1" x="7163"/>
        <item m="1" x="7668"/>
        <item m="1" x="242"/>
        <item m="1" x="744"/>
        <item m="1" x="1250"/>
        <item m="1" x="1751"/>
        <item m="1" x="2250"/>
        <item m="1" x="2755"/>
        <item m="1" x="3266"/>
        <item m="1" x="3782"/>
        <item m="1" x="4294"/>
        <item m="1" x="4791"/>
        <item m="1" x="5286"/>
        <item m="1" x="5782"/>
        <item m="1" x="6282"/>
        <item m="1" x="6786"/>
        <item m="1" x="7284"/>
        <item m="1" x="7790"/>
        <item m="1" x="366"/>
        <item m="1" x="867"/>
        <item m="1" x="1369"/>
        <item m="1" x="1868"/>
        <item m="1" x="2372"/>
        <item m="1" x="2880"/>
        <item m="1" x="3389"/>
        <item m="1" x="3907"/>
        <item m="1" x="4417"/>
        <item m="1" x="4913"/>
        <item m="1" x="5405"/>
        <item m="1" x="5899"/>
        <item m="1" x="6403"/>
        <item m="1" x="6905"/>
        <item m="1" x="7403"/>
        <item m="1" x="7907"/>
        <item m="1" x="487"/>
        <item m="1" x="990"/>
        <item m="1" x="1489"/>
        <item m="1" x="1989"/>
        <item m="1" x="2497"/>
        <item m="1" x="3002"/>
        <item m="1" x="3514"/>
        <item m="1" x="4033"/>
        <item m="1" x="4542"/>
        <item m="1" x="5033"/>
        <item m="1" x="5525"/>
        <item m="1" x="6020"/>
        <item m="1" x="6526"/>
        <item m="1" x="7024"/>
        <item m="1" x="7525"/>
        <item m="1" x="103"/>
        <item m="1" x="611"/>
        <item m="1" x="1113"/>
        <item m="1" x="1614"/>
        <item m="1" x="2115"/>
        <item m="1" x="2621"/>
        <item m="1" x="3128"/>
        <item m="1" x="3639"/>
        <item m="1" x="4156"/>
        <item m="1" x="4658"/>
        <item m="1" x="5151"/>
        <item m="1" x="5645"/>
        <item m="1" x="6143"/>
        <item m="1" x="6648"/>
        <item m="1" x="7148"/>
        <item m="1" x="7651"/>
        <item m="1" x="226"/>
        <item m="1" x="731"/>
        <item m="1" x="1237"/>
        <item m="1" x="1737"/>
        <item m="1" x="2236"/>
        <item m="1" x="2742"/>
        <item m="1" x="3251"/>
        <item m="1" x="3764"/>
        <item m="1" x="4276"/>
        <item m="1" x="4777"/>
        <item m="1" x="5272"/>
        <item m="1" x="5765"/>
        <item m="1" x="6266"/>
        <item m="1" x="6771"/>
        <item m="1" x="1548"/>
        <item m="1" x="2048"/>
        <item m="1" x="2555"/>
        <item m="1" x="3062"/>
        <item m="1" x="3576"/>
        <item m="1" x="4093"/>
        <item m="1" x="4593"/>
        <item m="1" x="5084"/>
        <item m="1" x="5579"/>
        <item m="1" x="6076"/>
        <item m="1" x="6579"/>
        <item m="1" x="7082"/>
        <item m="1" x="7585"/>
        <item m="1" x="161"/>
        <item m="1" x="663"/>
        <item m="1" x="1167"/>
        <item m="1" x="1671"/>
        <item m="1" x="2170"/>
        <item m="1" x="2677"/>
        <item m="1" x="3184"/>
        <item m="1" x="3701"/>
        <item m="1" x="4213"/>
        <item m="1" x="4710"/>
        <item m="1" x="5204"/>
        <item m="1" x="5700"/>
        <item m="1" x="6201"/>
        <item m="1" x="6705"/>
        <item m="1" x="7206"/>
        <item m="1" x="7710"/>
        <item m="1" x="284"/>
        <item m="1" x="784"/>
        <item m="1" x="1288"/>
        <item m="1" x="1790"/>
        <item m="1" x="2289"/>
        <item m="1" x="2797"/>
        <item m="1" x="3309"/>
        <item m="1" x="3825"/>
        <item m="1" x="4335"/>
        <item m="1" x="4832"/>
        <item m="1" x="5326"/>
        <item m="1" x="5821"/>
        <item m="1" x="6322"/>
        <item m="1" x="6827"/>
        <item m="1" x="7325"/>
        <item m="1" x="7832"/>
        <item m="1" x="405"/>
        <item m="1" x="907"/>
        <item m="1" x="1406"/>
        <item m="1" x="1908"/>
        <item m="1" x="2413"/>
        <item m="1" x="2921"/>
        <item m="1" x="3432"/>
        <item m="1" x="3953"/>
        <item m="1" x="4459"/>
        <item m="1" x="4952"/>
        <item m="1" x="5443"/>
        <item m="1" x="5939"/>
        <item m="1" x="6444"/>
        <item m="1" x="6944"/>
        <item m="1" x="7444"/>
        <item m="1" x="7951"/>
        <item m="1" x="528"/>
        <item m="1" x="1029"/>
        <item m="1" x="1528"/>
        <item m="1" x="2031"/>
        <item m="1" x="2539"/>
        <item m="1" x="3042"/>
        <item m="1" x="3557"/>
        <item m="1" x="4077"/>
        <item m="1" x="4580"/>
        <item m="1" x="5070"/>
        <item m="1" x="5562"/>
        <item m="1" x="6061"/>
        <item m="1" x="6566"/>
        <item m="1" x="7064"/>
        <item m="1" x="7567"/>
        <item m="1" x="146"/>
        <item m="1" x="651"/>
        <item m="1" x="1152"/>
        <item m="1" x="1653"/>
        <item m="1" x="2154"/>
        <item m="1" x="2664"/>
        <item m="1" x="3167"/>
        <item m="1" x="3681"/>
        <item m="1" x="4197"/>
        <item m="1" x="4697"/>
        <item m="1" x="5189"/>
        <item m="1" x="5683"/>
        <item m="1" x="6184"/>
        <item m="1" x="6691"/>
        <item m="1" x="7190"/>
        <item m="1" x="7691"/>
        <item m="1" x="269"/>
        <item m="1" x="771"/>
        <item m="1" x="1273"/>
        <item m="1" x="1772"/>
        <item m="1" x="2273"/>
        <item m="1" x="2783"/>
        <item m="1" x="3291"/>
        <item m="1" x="3805"/>
        <item m="1" x="4320"/>
        <item m="1" x="4816"/>
        <item m="1" x="5311"/>
        <item m="1" x="5803"/>
        <item m="1" x="6305"/>
        <item m="1" x="6813"/>
        <item m="1" x="7310"/>
        <item m="1" x="7813"/>
        <item m="1" x="391"/>
        <item m="1" x="893"/>
        <item m="1" x="1393"/>
        <item m="1" x="1890"/>
        <item m="1" x="2397"/>
        <item m="1" x="2907"/>
        <item m="1" x="3418"/>
        <item m="1" x="3934"/>
        <item m="1" x="4445"/>
        <item m="1" x="4939"/>
        <item m="1" x="5431"/>
        <item m="1" x="5923"/>
        <item m="1" x="6428"/>
        <item m="1" x="6933"/>
        <item m="1" x="7431"/>
        <item m="1" x="7934"/>
        <item m="1" x="513"/>
        <item m="1" x="1016"/>
        <item m="1" x="1516"/>
        <item m="1" x="2014"/>
        <item m="1" x="2524"/>
        <item m="1" x="3032"/>
        <item m="1" x="3543"/>
        <item m="1" x="4060"/>
        <item m="1" x="4567"/>
        <item m="1" x="5059"/>
        <item m="1" x="5549"/>
        <item m="1" x="6045"/>
        <item m="1" x="6549"/>
        <item m="1" x="7052"/>
        <item m="1" x="7553"/>
        <item m="1" x="130"/>
        <item m="1" x="636"/>
        <item m="1" x="1141"/>
        <item m="1" x="1640"/>
        <item m="1" x="2139"/>
        <item m="1" x="2646"/>
        <item m="1" x="3155"/>
        <item m="1" x="3667"/>
        <item m="1" x="4180"/>
        <item m="1" x="4682"/>
        <item m="1" x="5177"/>
        <item m="1" x="5670"/>
        <item m="1" x="6167"/>
        <item m="1" x="6672"/>
        <item m="1" x="7176"/>
        <item m="1" x="7679"/>
        <item m="1" x="251"/>
        <item m="1" x="755"/>
        <item m="1" x="1261"/>
        <item m="1" x="1761"/>
        <item m="1" x="2258"/>
        <item m="1" x="2766"/>
        <item m="1" x="3279"/>
        <item m="1" x="3793"/>
        <item m="1" x="4302"/>
        <item m="1" x="4803"/>
        <item m="1" x="5297"/>
        <item m="1" x="5792"/>
        <item m="1" x="6290"/>
        <item m="1" x="6797"/>
        <item m="1" x="7297"/>
        <item m="1" x="7801"/>
        <item m="1" x="375"/>
        <item m="1" x="879"/>
        <item m="1" x="1380"/>
        <item m="1" x="1880"/>
        <item m="1" x="2381"/>
        <item m="1" x="2891"/>
        <item m="1" x="3404"/>
        <item m="1" x="3922"/>
        <item m="1" x="4428"/>
        <item m="1" x="4925"/>
        <item m="1" x="5417"/>
        <item m="1" x="5912"/>
        <item m="1" x="6413"/>
        <item m="1" x="6917"/>
        <item m="1" x="7417"/>
        <item m="1" x="7922"/>
        <item m="1" x="497"/>
        <item m="1" x="1001"/>
        <item m="1" x="1501"/>
        <item m="1" x="2002"/>
        <item m="1" x="2507"/>
        <item m="1" x="3013"/>
        <item m="1" x="3527"/>
        <item m="1" x="4046"/>
        <item m="1" x="4549"/>
        <item m="1" x="5044"/>
        <item m="1" x="5535"/>
        <item m="1" x="6031"/>
        <item m="1" x="6534"/>
        <item m="1" x="7034"/>
        <item m="1" x="7538"/>
        <item m="1" x="115"/>
        <item m="1" x="619"/>
        <item m="1" x="1124"/>
        <item m="1" x="1624"/>
        <item m="1" x="2126"/>
        <item m="1" x="2630"/>
        <item m="1" x="3138"/>
        <item m="1" x="3651"/>
        <item m="1" x="4168"/>
        <item m="1" x="4666"/>
        <item m="1" x="5163"/>
        <item m="1" x="5656"/>
        <item m="1" x="6154"/>
        <item m="1" x="6658"/>
        <item m="1" x="7159"/>
        <item m="1" x="7663"/>
        <item m="1" x="239"/>
        <item m="1" x="740"/>
        <item m="1" x="1246"/>
        <item m="1" x="1747"/>
        <item m="1" x="2247"/>
        <item m="1" x="2751"/>
        <item m="1" x="3261"/>
        <item m="1" x="3777"/>
        <item m="1" x="4289"/>
        <item m="1" x="4787"/>
        <item m="1" x="5283"/>
        <item m="1" x="5778"/>
        <item m="1" x="6278"/>
        <item m="1" x="6783"/>
        <item m="1" x="7280"/>
        <item m="1" x="7784"/>
        <item m="1" x="362"/>
        <item m="1" x="864"/>
        <item m="1" x="1365"/>
        <item m="1" x="1864"/>
        <item m="1" x="2368"/>
        <item m="1" x="2876"/>
        <item m="1" x="3385"/>
        <item m="1" x="3902"/>
        <item m="1" x="4413"/>
        <item m="1" x="4911"/>
        <item m="1" x="7599"/>
        <item m="1" x="175"/>
        <item m="1" x="677"/>
        <item m="1" x="1182"/>
        <item m="1" x="1685"/>
        <item m="1" x="2182"/>
        <item m="1" x="2690"/>
        <item m="1" x="3198"/>
        <item m="1" x="3712"/>
        <item m="1" x="4223"/>
        <item m="1" x="4721"/>
        <item m="1" x="5217"/>
        <item m="1" x="5711"/>
        <item m="1" x="6211"/>
        <item m="1" x="6718"/>
        <item m="1" x="7219"/>
        <item m="1" x="7720"/>
        <item m="1" x="295"/>
        <item m="1" x="796"/>
        <item m="1" x="1301"/>
        <item m="1" x="1800"/>
        <item m="1" x="2301"/>
        <item m="1" x="2812"/>
        <item m="1" x="3324"/>
        <item m="1" x="3836"/>
        <item m="1" x="4346"/>
        <item m="1" x="4843"/>
        <item m="1" x="5339"/>
        <item m="1" x="5832"/>
        <item m="1" x="6333"/>
        <item m="1" x="6840"/>
        <item m="1" x="7341"/>
        <item m="1" x="7842"/>
        <item m="1" x="416"/>
        <item m="1" x="919"/>
        <item m="1" x="1420"/>
        <item m="1" x="1921"/>
        <item m="1" x="2424"/>
        <item m="1" x="2934"/>
        <item m="1" x="3450"/>
        <item m="1" x="3966"/>
        <item m="1" x="4471"/>
        <item m="1" x="4963"/>
        <item m="1" x="5458"/>
        <item m="1" x="5952"/>
        <item m="1" x="6454"/>
        <item m="1" x="6957"/>
        <item m="1" x="7460"/>
        <item m="1" x="7963"/>
        <item m="1" x="539"/>
        <item m="1" x="1041"/>
        <item m="1" x="1542"/>
        <item m="1" x="2044"/>
        <item m="1" x="2550"/>
        <item m="1" x="3056"/>
        <item m="1" x="3571"/>
        <item m="1" x="4089"/>
        <item m="1" x="4589"/>
        <item m="1" x="5080"/>
        <item m="1" x="5574"/>
        <item m="1" x="6073"/>
        <item m="1" x="6575"/>
        <item m="1" x="7077"/>
        <item m="1" x="7581"/>
        <item m="1" x="158"/>
        <item m="1" x="660"/>
        <item m="1" x="1163"/>
        <item m="1" x="1666"/>
        <item m="1" x="2167"/>
        <item m="1" x="2673"/>
        <item m="1" x="3179"/>
        <item m="1" x="3697"/>
        <item m="1" x="4210"/>
        <item m="1" x="4706"/>
        <item m="1" x="5199"/>
        <item m="1" x="5695"/>
        <item m="1" x="6197"/>
        <item m="1" x="6700"/>
        <item m="1" x="7201"/>
        <item m="1" x="7706"/>
        <item m="1" x="280"/>
        <item m="1" x="781"/>
        <item m="1" x="1284"/>
        <item m="1" x="1785"/>
        <item m="1" x="2286"/>
        <item m="1" x="2793"/>
        <item m="1" x="3303"/>
        <item m="1" x="3821"/>
        <item m="1" x="4331"/>
        <item m="1" x="4828"/>
        <item m="1" x="5321"/>
        <item m="1" x="5816"/>
        <item m="1" x="6318"/>
        <item m="1" x="6824"/>
        <item m="1" x="7320"/>
        <item m="1" x="7828"/>
        <item m="1" x="401"/>
        <item m="1" x="904"/>
        <item m="1" x="1402"/>
        <item m="1" x="1903"/>
        <item m="1" x="2409"/>
        <item m="1" x="2918"/>
        <item m="1" x="3427"/>
        <item m="1" x="3949"/>
        <item m="1" x="4455"/>
        <item m="1" x="4949"/>
        <item m="1" x="5439"/>
        <item m="1" x="5936"/>
        <item m="1" x="6440"/>
        <item m="1" x="6942"/>
        <item m="1" x="7440"/>
        <item m="1" x="7949"/>
        <item m="1" x="525"/>
        <item m="1" x="1027"/>
        <item m="1" x="1525"/>
        <item m="1" x="2027"/>
        <item m="1" x="2536"/>
        <item m="1" x="3041"/>
        <item m="1" x="3553"/>
        <item m="1" x="4075"/>
        <item m="1" x="4577"/>
        <item m="1" x="5068"/>
        <item m="1" x="5558"/>
        <item m="1" x="6058"/>
        <item m="1" x="6563"/>
        <item m="1" x="7063"/>
        <item m="1" x="7563"/>
        <item m="1" x="144"/>
        <item m="1" x="648"/>
        <item m="1" x="1151"/>
        <item m="1" x="1650"/>
        <item m="1" x="2151"/>
        <item m="1" x="2661"/>
        <item m="1" x="3166"/>
        <item m="1" x="3677"/>
        <item m="1" x="4194"/>
        <item m="1" x="4694"/>
        <item m="1" x="5187"/>
        <item m="1" x="5679"/>
        <item m="1" x="6180"/>
        <item m="1" x="6688"/>
        <item m="1" x="7187"/>
        <item m="1" x="7688"/>
        <item m="1" x="266"/>
        <item m="1" x="767"/>
        <item m="1" x="1271"/>
        <item m="1" x="1770"/>
        <item m="1" x="2269"/>
        <item m="1" x="2779"/>
        <item m="1" x="3289"/>
        <item m="1" x="3802"/>
        <item m="1" x="4316"/>
        <item m="1" x="4813"/>
        <item m="1" x="5308"/>
        <item m="1" x="5800"/>
        <item m="1" x="6301"/>
        <item m="1" x="6810"/>
        <item m="1" x="7308"/>
        <item m="1" x="7810"/>
        <item m="1" x="388"/>
        <item m="1" x="890"/>
        <item m="1" x="1391"/>
        <item m="1" x="1888"/>
        <item m="1" x="2393"/>
        <item m="1" x="2904"/>
        <item m="1" x="3416"/>
        <item m="1" x="3931"/>
        <item m="1" x="4441"/>
        <item m="1" x="4936"/>
        <item m="1" x="5428"/>
        <item m="1" x="5920"/>
        <item m="1" x="6424"/>
        <item m="1" x="6930"/>
        <item m="1" x="7428"/>
        <item m="1" x="7930"/>
        <item m="1" x="510"/>
        <item m="1" x="1013"/>
        <item m="1" x="1513"/>
        <item m="1" x="2012"/>
        <item m="1" x="2520"/>
        <item m="1" x="3028"/>
        <item m="1" x="3541"/>
        <item m="1" x="4057"/>
        <item m="1" x="4563"/>
        <item m="1" x="5056"/>
        <item m="1" x="5547"/>
        <item m="1" x="6042"/>
        <item m="1" x="6545"/>
        <item m="1" x="7048"/>
        <item m="1" x="7551"/>
        <item m="1" x="126"/>
        <item m="1" x="632"/>
        <item m="1" x="1136"/>
        <item m="1" x="1636"/>
        <item m="1" x="2135"/>
        <item m="1" x="2641"/>
        <item m="1" x="3150"/>
        <item m="1" x="3664"/>
        <item m="1" x="4176"/>
        <item m="1" x="4678"/>
        <item m="1" x="5173"/>
        <item m="1" x="5667"/>
        <item m="1" x="6163"/>
        <item m="1" x="6668"/>
        <item m="1" x="7171"/>
        <item m="1" x="7675"/>
        <item m="1" x="246"/>
        <item m="1" x="752"/>
        <item m="1" x="1256"/>
        <item m="1" x="1758"/>
        <item m="1" x="2255"/>
        <item m="1" x="2762"/>
        <item m="1" x="3274"/>
        <item m="1" x="3790"/>
        <item m="1" x="4298"/>
        <item m="1" x="4799"/>
        <item m="1" x="5293"/>
        <item m="1" x="5789"/>
        <item m="1" x="6286"/>
        <item m="1" x="6793"/>
        <item m="1" x="7292"/>
        <item m="1" x="7798"/>
        <item m="1" x="371"/>
        <item m="1" x="876"/>
        <item m="1" x="1376"/>
        <item m="1" x="1876"/>
        <item m="1" x="2378"/>
        <item m="1" x="2887"/>
        <item m="1" x="3399"/>
        <item m="1" x="3918"/>
        <item m="1" x="4425"/>
        <item m="1" x="4921"/>
        <item m="1" x="5413"/>
        <item m="1" x="5908"/>
        <item m="1" x="6409"/>
        <item m="1" x="6912"/>
        <item m="1" x="7412"/>
        <item m="1" x="7917"/>
        <item m="1" x="493"/>
        <item m="1" x="998"/>
        <item m="1" x="1497"/>
        <item m="1" x="1997"/>
        <item m="1" x="2504"/>
        <item m="1" x="3009"/>
        <item m="1" x="3523"/>
        <item m="1" x="5724"/>
        <item m="1" x="6227"/>
        <item m="1" x="6733"/>
        <item m="1" x="7231"/>
        <item m="1" x="7732"/>
        <item m="1" x="308"/>
        <item m="1" x="811"/>
        <item m="1" x="1313"/>
        <item m="1" x="1812"/>
        <item m="1" x="2315"/>
        <item m="1" x="2826"/>
        <item m="1" x="3335"/>
        <item m="1" x="3849"/>
        <item m="1" x="4358"/>
        <item m="1" x="4857"/>
        <item m="1" x="5351"/>
        <item m="1" x="5844"/>
        <item m="1" x="6347"/>
        <item m="1" x="6855"/>
        <item m="1" x="7352"/>
        <item m="1" x="7853"/>
        <item m="1" x="429"/>
        <item m="1" x="934"/>
        <item m="1" x="1433"/>
        <item m="1" x="1933"/>
        <item m="1" x="2439"/>
        <item m="1" x="2949"/>
        <item m="1" x="3461"/>
        <item m="1" x="3977"/>
        <item m="1" x="4484"/>
        <item m="1" x="4976"/>
        <item m="1" x="5470"/>
        <item m="1" x="5964"/>
        <item m="1" x="6469"/>
        <item m="1" x="6972"/>
        <item m="1" x="7472"/>
        <item m="1" x="7974"/>
        <item m="1" x="551"/>
        <item m="1" x="1055"/>
        <item m="1" x="1557"/>
        <item m="1" x="2057"/>
        <item m="1" x="2565"/>
        <item m="1" x="3073"/>
        <item m="1" x="3586"/>
        <item m="1" x="4102"/>
        <item m="1" x="4602"/>
        <item m="1" x="5094"/>
        <item m="1" x="5590"/>
        <item m="1" x="6085"/>
        <item m="1" x="6589"/>
        <item m="1" x="7093"/>
        <item m="1" x="7595"/>
        <item m="1" x="170"/>
        <item m="1" x="672"/>
        <item m="1" x="1176"/>
        <item m="1" x="1680"/>
        <item m="1" x="2176"/>
        <item m="1" x="2685"/>
        <item m="1" x="3193"/>
        <item m="1" x="3708"/>
        <item m="1" x="4220"/>
        <item m="1" x="4717"/>
        <item m="1" x="5212"/>
        <item m="1" x="5707"/>
        <item m="1" x="6207"/>
        <item m="1" x="6713"/>
        <item m="1" x="7215"/>
        <item m="1" x="7717"/>
        <item m="1" x="291"/>
        <item m="1" x="791"/>
        <item m="1" x="1296"/>
        <item m="1" x="1797"/>
        <item m="1" x="2297"/>
        <item m="1" x="2807"/>
        <item m="1" x="3320"/>
        <item m="1" x="3833"/>
        <item m="1" x="4343"/>
        <item m="1" x="4839"/>
        <item m="1" x="5334"/>
        <item m="1" x="5829"/>
        <item m="1" x="6329"/>
        <item m="1" x="6835"/>
        <item m="1" x="7336"/>
        <item m="1" x="7839"/>
        <item m="1" x="412"/>
        <item m="1" x="914"/>
        <item m="1" x="1415"/>
        <item m="1" x="1916"/>
        <item m="1" x="2420"/>
        <item m="1" x="2929"/>
        <item m="1" x="3445"/>
        <item m="1" x="3962"/>
        <item m="1" x="4468"/>
        <item m="1" x="4959"/>
        <item m="1" x="5452"/>
        <item m="1" x="5948"/>
        <item m="1" x="6451"/>
        <item m="1" x="6952"/>
        <item m="1" x="7455"/>
        <item m="1" x="7959"/>
        <item m="1" x="535"/>
        <item m="1" x="1036"/>
        <item m="1" x="1537"/>
        <item m="1" x="2040"/>
        <item m="1" x="2547"/>
        <item m="1" x="3051"/>
        <item m="1" x="3568"/>
        <item m="1" x="4086"/>
        <item m="1" x="4588"/>
        <item m="1" x="5077"/>
        <item m="1" x="5571"/>
        <item m="1" x="6070"/>
        <item m="1" x="6574"/>
        <item m="1" x="7073"/>
        <item m="1" x="7578"/>
        <item m="1" x="155"/>
        <item m="1" x="658"/>
        <item m="1" x="1159"/>
        <item m="1" x="1663"/>
        <item m="1" x="2163"/>
        <item m="1" x="2671"/>
        <item m="1" x="3175"/>
        <item m="1" x="3692"/>
        <item m="1" x="4205"/>
        <item m="1" x="4705"/>
        <item m="1" x="5196"/>
        <item m="1" x="5692"/>
        <item m="1" x="6194"/>
        <item m="1" x="6699"/>
        <item m="1" x="7197"/>
        <item m="1" x="7702"/>
        <item m="1" x="277"/>
        <item m="1" x="779"/>
        <item m="1" x="1280"/>
        <item m="1" x="1782"/>
        <item m="1" x="2283"/>
        <item m="1" x="2792"/>
        <item m="1" x="3299"/>
        <item m="1" x="3816"/>
        <item m="1" x="4328"/>
        <item m="1" x="4826"/>
        <item m="1" x="5319"/>
        <item m="1" x="5812"/>
        <item m="1" x="6315"/>
        <item m="1" x="6822"/>
        <item m="1" x="7317"/>
        <item m="1" x="7823"/>
        <item m="1" x="398"/>
        <item m="1" x="901"/>
        <item m="1" x="1399"/>
        <item m="1" x="1899"/>
        <item m="1" x="2406"/>
        <item m="1" x="2915"/>
        <item m="1" x="3424"/>
        <item m="1" x="3944"/>
        <item m="1" x="4452"/>
        <item m="1" x="4946"/>
        <item m="1" x="5437"/>
        <item m="1" x="5932"/>
        <item m="1" x="6437"/>
        <item m="1" x="6940"/>
        <item m="1" x="7437"/>
        <item m="1" x="7944"/>
        <item m="1" x="522"/>
        <item m="1" x="1024"/>
        <item m="1" x="1522"/>
        <item m="1" x="2023"/>
        <item m="1" x="2533"/>
        <item m="1" x="3039"/>
        <item m="1" x="3550"/>
        <item m="1" x="4070"/>
        <item m="1" x="4574"/>
        <item m="1" x="5066"/>
        <item m="1" x="5556"/>
        <item m="1" x="6054"/>
        <item m="1" x="6559"/>
        <item m="1" x="7061"/>
        <item m="1" x="7560"/>
        <item m="1" x="139"/>
        <item m="1" x="645"/>
        <item m="1" x="1149"/>
        <item m="1" x="1647"/>
        <item m="1" x="2147"/>
        <item m="1" x="2657"/>
        <item m="1" x="3163"/>
        <item m="1" x="3673"/>
        <item m="1" x="4189"/>
        <item m="1" x="4690"/>
        <item m="1" x="5185"/>
        <item m="1" x="5677"/>
        <item m="1" x="6175"/>
        <item m="1" x="6682"/>
        <item m="1" x="7184"/>
        <item m="1" x="7684"/>
        <item m="1" x="260"/>
        <item m="1" x="762"/>
        <item m="1" x="1268"/>
        <item m="1" x="1766"/>
        <item m="1" x="2265"/>
        <item m="1" x="2774"/>
        <item m="1" x="3286"/>
        <item m="1" x="3798"/>
        <item m="1" x="4311"/>
        <item m="1" x="4809"/>
        <item m="1" x="5305"/>
        <item m="1" x="5797"/>
        <item m="1" x="6297"/>
        <item m="1" x="6805"/>
        <item m="1" x="7305"/>
        <item m="1" x="7806"/>
        <item m="1" x="383"/>
        <item m="1" x="886"/>
        <item m="1" x="1388"/>
        <item m="1" x="1884"/>
        <item m="1" x="2388"/>
        <item m="1" x="2899"/>
        <item m="1" x="3412"/>
        <item m="1" x="3926"/>
        <item m="1" x="4436"/>
        <item m="1" x="4932"/>
        <item m="1" x="5424"/>
        <item m="1" x="5917"/>
        <item m="1" x="6420"/>
        <item m="1" x="6925"/>
        <item m="1" x="7425"/>
        <item m="1" x="7926"/>
        <item m="1" x="505"/>
        <item m="1" x="1009"/>
        <item m="1" x="1509"/>
        <item m="1" x="2008"/>
        <item m="1" x="2515"/>
        <item m="1" x="3023"/>
        <item m="1" x="3537"/>
        <item m="1" x="4054"/>
        <item m="1" x="4558"/>
        <item m="1" x="5052"/>
        <item m="1" x="5543"/>
        <item m="1" x="6039"/>
        <item m="1" x="6541"/>
        <item m="1" x="7043"/>
        <item m="1" x="7547"/>
        <item m="1" x="123"/>
        <item m="1" x="627"/>
        <item m="1" x="1132"/>
        <item m="1" x="1632"/>
        <item m="1" x="4372"/>
        <item m="1" x="4869"/>
        <item m="1" x="5362"/>
        <item m="1" x="5857"/>
        <item m="1" x="6361"/>
        <item m="1" x="6865"/>
        <item m="1" x="7363"/>
        <item m="1" x="7864"/>
        <item m="1" x="441"/>
        <item m="1" x="944"/>
        <item m="1" x="1444"/>
        <item m="1" x="1947"/>
        <item m="1" x="2452"/>
        <item m="1" x="2960"/>
        <item m="1" x="3471"/>
        <item m="1" x="3988"/>
        <item m="1" x="4496"/>
        <item m="1" x="4988"/>
        <item m="1" x="5481"/>
        <item m="1" x="5977"/>
        <item m="1" x="6483"/>
        <item m="1" x="6983"/>
        <item m="1" x="7483"/>
        <item m="1" x="7986"/>
        <item m="1" x="564"/>
        <item m="1" x="1067"/>
        <item m="1" x="1568"/>
        <item m="1" x="2070"/>
        <item m="1" x="2579"/>
        <item m="1" x="3084"/>
        <item m="1" x="3596"/>
        <item m="1" x="4113"/>
        <item m="1" x="4614"/>
        <item m="1" x="5105"/>
        <item m="1" x="5600"/>
        <item m="1" x="6099"/>
        <item m="1" x="6603"/>
        <item m="1" x="7104"/>
        <item m="1" x="7607"/>
        <item m="1" x="183"/>
        <item m="1" x="686"/>
        <item m="1" x="1190"/>
        <item m="1" x="1692"/>
        <item m="1" x="2191"/>
        <item m="1" x="2700"/>
        <item m="1" x="3206"/>
        <item m="1" x="3720"/>
        <item m="1" x="4231"/>
        <item m="1" x="4730"/>
        <item m="1" x="5225"/>
        <item m="1" x="5719"/>
        <item m="1" x="6220"/>
        <item m="1" x="6728"/>
        <item m="1" x="7227"/>
        <item m="1" x="7728"/>
        <item m="1" x="302"/>
        <item m="1" x="805"/>
        <item m="1" x="1309"/>
        <item m="1" x="1807"/>
        <item m="1" x="2309"/>
        <item m="1" x="2821"/>
        <item m="1" x="3331"/>
        <item m="1" x="3844"/>
        <item m="1" x="4353"/>
        <item m="1" x="4852"/>
        <item m="1" x="5346"/>
        <item m="1" x="5838"/>
        <item m="1" x="6341"/>
        <item m="1" x="6849"/>
        <item m="1" x="7348"/>
        <item m="1" x="7849"/>
        <item m="1" x="424"/>
        <item m="1" x="928"/>
        <item m="1" x="1429"/>
        <item m="1" x="1928"/>
        <item m="1" x="2433"/>
        <item m="1" x="2944"/>
        <item m="1" x="3457"/>
        <item m="1" x="3972"/>
        <item m="1" x="4478"/>
        <item m="1" x="4971"/>
        <item m="1" x="5466"/>
        <item m="1" x="5959"/>
        <item m="1" x="6463"/>
        <item m="1" x="6967"/>
        <item m="1" x="7468"/>
        <item m="1" x="7970"/>
        <item m="1" x="546"/>
        <item m="1" x="1050"/>
        <item m="1" x="1552"/>
        <item m="1" x="2053"/>
        <item m="1" x="2559"/>
        <item m="1" x="3068"/>
        <item m="1" x="3581"/>
        <item m="1" x="4097"/>
        <item m="1" x="4596"/>
        <item m="1" x="5089"/>
        <item m="1" x="5584"/>
        <item m="1" x="6080"/>
        <item m="1" x="6583"/>
        <item m="1" x="7088"/>
        <item m="1" x="7589"/>
        <item m="1" x="166"/>
        <item m="1" x="667"/>
        <item m="1" x="1172"/>
        <item m="1" x="1675"/>
        <item m="1" x="2174"/>
        <item m="1" x="2681"/>
        <item m="1" x="3190"/>
        <item m="1" x="3705"/>
        <item m="1" x="4217"/>
        <item m="1" x="4713"/>
        <item m="1" x="5209"/>
        <item m="1" x="5704"/>
        <item m="1" x="6205"/>
        <item m="1" x="6709"/>
        <item m="1" x="7212"/>
        <item m="1" x="7714"/>
        <item m="1" x="289"/>
        <item m="1" x="788"/>
        <item m="1" x="1293"/>
        <item m="1" x="1794"/>
        <item m="1" x="2294"/>
        <item m="1" x="2802"/>
        <item m="1" x="3315"/>
        <item m="1" x="3829"/>
        <item m="1" x="4340"/>
        <item m="1" x="4835"/>
        <item m="1" x="5331"/>
        <item m="1" x="5826"/>
        <item m="1" x="6326"/>
        <item m="1" x="6831"/>
        <item m="1" x="7332"/>
        <item m="1" x="7836"/>
        <item m="1" x="409"/>
        <item m="1" x="911"/>
        <item m="1" x="1411"/>
        <item m="1" x="1913"/>
        <item m="1" x="2417"/>
        <item m="1" x="2926"/>
        <item m="1" x="3439"/>
        <item m="1" x="3959"/>
        <item m="1" x="4464"/>
        <item m="1" x="4956"/>
        <item m="1" x="5448"/>
        <item m="1" x="5945"/>
        <item m="1" x="6448"/>
        <item m="1" x="6949"/>
        <item m="1" x="7450"/>
        <item m="1" x="7956"/>
        <item m="1" x="532"/>
        <item m="1" x="1034"/>
        <item m="1" x="1533"/>
        <item m="1" x="2037"/>
        <item m="1" x="2544"/>
        <item m="1" x="3048"/>
        <item m="1" x="3563"/>
        <item m="1" x="4083"/>
        <item m="1" x="4584"/>
        <item m="1" x="5074"/>
        <item m="1" x="5567"/>
        <item m="1" x="6067"/>
        <item m="1" x="6570"/>
        <item m="1" x="7069"/>
        <item m="1" x="7573"/>
        <item m="1" x="151"/>
        <item m="1" x="655"/>
        <item m="1" x="1157"/>
        <item m="1" x="1659"/>
        <item m="1" x="2160"/>
        <item m="1" x="2668"/>
        <item m="1" x="3172"/>
        <item m="1" x="3687"/>
        <item m="1" x="4202"/>
        <item m="1" x="4702"/>
        <item m="1" x="5193"/>
        <item m="1" x="5688"/>
        <item m="1" x="6190"/>
        <item m="1" x="6696"/>
        <item m="1" x="7194"/>
        <item m="1" x="7697"/>
        <item m="1" x="274"/>
        <item m="1" x="776"/>
        <item m="1" x="1278"/>
        <item m="1" x="1778"/>
        <item m="1" x="2279"/>
        <item m="1" x="2789"/>
        <item m="1" x="3296"/>
        <item m="1" x="3811"/>
        <item m="1" x="4325"/>
        <item m="1" x="4822"/>
        <item m="1" x="5315"/>
        <item m="1" x="5808"/>
        <item m="1" x="6310"/>
        <item m="1" x="6818"/>
        <item m="1" x="7312"/>
        <item m="1" x="7818"/>
        <item m="1" x="394"/>
        <item m="1" x="897"/>
        <item m="1" x="1396"/>
        <item m="1" x="1895"/>
        <item m="1" x="2401"/>
        <item m="1" x="2911"/>
        <item m="1" x="3420"/>
        <item m="1" x="3939"/>
        <item m="1" x="4448"/>
        <item m="1" x="4943"/>
        <item m="1" x="5433"/>
        <item m="1" x="5927"/>
        <item m="1" x="6432"/>
        <item m="1" x="6937"/>
        <item m="1" x="7433"/>
        <item m="1" x="7939"/>
        <item m="1" x="518"/>
        <item m="1" x="1021"/>
        <item m="1" x="1519"/>
        <item m="1" x="2019"/>
        <item m="1" x="2528"/>
        <item m="1" x="3036"/>
        <item m="1" x="3546"/>
        <item m="1" x="4065"/>
        <item m="1" x="4570"/>
        <item m="1" x="5063"/>
        <item m="1" x="5552"/>
        <item m="1" x="6049"/>
        <item m="1" x="6554"/>
        <item m="1" x="7056"/>
        <item m="1" x="7556"/>
        <item m="1" x="134"/>
        <item m="1" x="641"/>
        <item m="1" x="1145"/>
        <item m="1" x="1644"/>
        <item m="1" x="2143"/>
        <item m="1" x="2651"/>
        <item m="1" x="3159"/>
        <item m="1" x="3670"/>
        <item m="1" x="4184"/>
        <item m="1" x="4686"/>
        <item m="1" x="5181"/>
        <item m="1" x="5673"/>
        <item m="1" x="6170"/>
        <item m="1" x="6677"/>
        <item m="1" x="7180"/>
        <item m="1" x="7682"/>
        <item m="1" x="255"/>
        <item m="1" x="2466"/>
        <item m="1" x="2973"/>
        <item m="1" x="3485"/>
        <item m="1" x="4002"/>
        <item m="1" x="4509"/>
        <item m="1" x="5000"/>
        <item m="1" x="5495"/>
        <item m="1" x="5992"/>
        <item m="1" x="6494"/>
        <item m="1" x="6994"/>
        <item m="1" x="7495"/>
        <item m="1" x="7999"/>
        <item m="1" x="576"/>
        <item m="1" x="1078"/>
        <item m="1" x="1582"/>
        <item m="1" x="2084"/>
        <item m="1" x="2589"/>
        <item m="1" x="3096"/>
        <item m="1" x="3608"/>
        <item m="1" x="4126"/>
        <item m="1" x="4624"/>
        <item m="1" x="5117"/>
        <item m="1" x="5615"/>
        <item m="1" x="6114"/>
        <item m="1" x="6615"/>
        <item m="1" x="7116"/>
        <item m="1" x="7619"/>
        <item m="1" x="196"/>
        <item m="1" x="697"/>
        <item m="1" x="1202"/>
        <item m="1" x="1706"/>
        <item m="1" x="2207"/>
        <item m="1" x="2712"/>
        <item m="1" x="3218"/>
        <item m="1" x="3733"/>
        <item m="1" x="4245"/>
        <item m="1" x="4743"/>
        <item m="1" x="5237"/>
        <item m="1" x="5734"/>
        <item m="1" x="6238"/>
        <item m="1" x="6741"/>
        <item m="1" x="7239"/>
        <item m="1" x="7740"/>
        <item m="1" x="318"/>
        <item m="1" x="819"/>
        <item m="1" x="1320"/>
        <item m="1" x="1821"/>
        <item m="1" x="2326"/>
        <item m="1" x="2834"/>
        <item m="1" x="3343"/>
        <item m="1" x="3857"/>
        <item m="1" x="4367"/>
        <item m="1" x="4865"/>
        <item m="1" x="5358"/>
        <item m="1" x="5852"/>
        <item m="1" x="6356"/>
        <item m="1" x="6862"/>
        <item m="1" x="7359"/>
        <item m="1" x="7860"/>
        <item m="1" x="437"/>
        <item m="1" x="941"/>
        <item m="1" x="1440"/>
        <item m="1" x="1942"/>
        <item m="1" x="2448"/>
        <item m="1" x="2957"/>
        <item m="1" x="3468"/>
        <item m="1" x="3984"/>
        <item m="1" x="4492"/>
        <item m="1" x="4985"/>
        <item m="1" x="5477"/>
        <item m="1" x="5972"/>
        <item m="1" x="6479"/>
        <item m="1" x="6980"/>
        <item m="1" x="7479"/>
        <item m="1" x="7981"/>
        <item m="1" x="560"/>
        <item m="1" x="1063"/>
        <item m="1" x="1563"/>
        <item m="1" x="2065"/>
        <item m="1" x="2575"/>
        <item m="1" x="3080"/>
        <item m="1" x="3593"/>
        <item m="1" x="4109"/>
        <item m="1" x="4610"/>
        <item m="1" x="5102"/>
        <item m="1" x="5596"/>
        <item m="1" x="6093"/>
        <item m="1" x="6599"/>
        <item m="1" x="7100"/>
        <item m="1" x="7603"/>
        <item m="1" x="178"/>
        <item m="1" x="682"/>
        <item m="1" x="1186"/>
        <item m="1" x="1689"/>
        <item m="1" x="2186"/>
        <item m="1" x="2696"/>
        <item m="1" x="3202"/>
        <item m="1" x="3717"/>
        <item m="1" x="4227"/>
        <item m="1" x="4726"/>
        <item m="1" x="5221"/>
        <item m="1" x="5716"/>
        <item m="1" x="6215"/>
        <item m="1" x="6724"/>
        <item m="1" x="7223"/>
        <item m="1" x="7725"/>
        <item m="1" x="298"/>
        <item m="1" x="802"/>
        <item m="1" x="1305"/>
        <item m="1" x="1804"/>
        <item m="1" x="2305"/>
        <item m="1" x="2818"/>
        <item m="1" x="3328"/>
        <item m="1" x="3841"/>
        <item m="1" x="4350"/>
        <item m="1" x="4848"/>
        <item m="1" x="5343"/>
        <item m="1" x="5836"/>
        <item m="1" x="6337"/>
        <item m="1" x="6846"/>
        <item m="1" x="7345"/>
        <item m="1" x="7846"/>
        <item m="1" x="419"/>
        <item m="1" x="924"/>
        <item m="1" x="1425"/>
        <item m="1" x="1925"/>
        <item m="1" x="2428"/>
        <item m="1" x="2940"/>
        <item m="1" x="3454"/>
        <item m="1" x="3970"/>
        <item m="1" x="4475"/>
        <item m="1" x="4968"/>
        <item m="1" x="5463"/>
        <item m="1" x="5957"/>
        <item m="1" x="6459"/>
        <item m="1" x="6963"/>
        <item m="1" x="7465"/>
        <item m="1" x="7967"/>
        <item m="1" x="542"/>
        <item m="1" x="1046"/>
        <item m="1" x="1549"/>
        <item m="1" x="2049"/>
        <item m="1" x="2556"/>
        <item m="1" x="3063"/>
        <item m="1" x="3577"/>
        <item m="1" x="4094"/>
        <item m="1" x="4594"/>
        <item m="1" x="5085"/>
        <item m="1" x="5580"/>
        <item m="1" x="6077"/>
        <item m="1" x="6580"/>
        <item m="1" x="7083"/>
        <item m="1" x="7586"/>
        <item m="1" x="162"/>
        <item m="1" x="664"/>
        <item m="1" x="1168"/>
        <item m="1" x="1672"/>
        <item m="1" x="2171"/>
        <item m="1" x="2678"/>
        <item m="1" x="3185"/>
        <item m="1" x="3702"/>
        <item m="1" x="4214"/>
        <item m="1" x="4711"/>
        <item m="1" x="5205"/>
        <item m="1" x="5701"/>
        <item m="1" x="6202"/>
        <item m="1" x="6706"/>
        <item m="1" x="7207"/>
        <item m="1" x="7711"/>
        <item m="1" x="285"/>
        <item m="1" x="785"/>
        <item m="1" x="1289"/>
        <item m="1" x="1791"/>
        <item m="1" x="2290"/>
        <item m="1" x="2798"/>
        <item m="1" x="3310"/>
        <item m="1" x="3826"/>
        <item m="1" x="4336"/>
        <item m="1" x="4833"/>
        <item m="1" x="5327"/>
        <item m="1" x="5822"/>
        <item m="1" x="6323"/>
        <item m="1" x="6828"/>
        <item m="1" x="7326"/>
        <item m="1" x="7833"/>
        <item m="1" x="406"/>
        <item m="1" x="908"/>
        <item m="1" x="1407"/>
        <item m="1" x="1909"/>
        <item m="1" x="2414"/>
        <item m="1" x="2922"/>
        <item m="1" x="3433"/>
        <item m="1" x="3954"/>
        <item m="1" x="4460"/>
        <item m="1" x="4953"/>
        <item m="1" x="5444"/>
        <item m="1" x="5940"/>
        <item m="1" x="6445"/>
        <item m="1" x="6945"/>
        <item m="1" x="7445"/>
        <item m="1" x="7952"/>
        <item m="1" x="529"/>
        <item m="1" x="1030"/>
        <item m="1" x="1529"/>
        <item m="1" x="2032"/>
        <item m="1" x="2540"/>
        <item m="1" x="3043"/>
        <item m="1" x="3558"/>
        <item m="1" x="4078"/>
        <item m="1" x="4581"/>
        <item m="1" x="5071"/>
        <item m="1" x="5563"/>
        <item m="1" x="6062"/>
        <item m="1" x="6567"/>
        <item m="1" x="7065"/>
        <item m="1" x="7568"/>
        <item m="1" x="147"/>
        <item m="1" x="652"/>
        <item m="1" x="1153"/>
        <item m="1" x="1654"/>
        <item m="1" x="2155"/>
        <item m="1" x="2665"/>
        <item m="1" x="3168"/>
        <item m="1" x="3682"/>
        <item m="1" x="4198"/>
        <item m="1" x="4698"/>
        <item m="1" x="5190"/>
        <item m="1" x="5684"/>
        <item m="1" x="6185"/>
        <item m="1" x="6692"/>
        <item m="1" x="7191"/>
        <item m="1" x="7692"/>
        <item m="1" x="270"/>
        <item m="1" x="772"/>
        <item m="1" x="1274"/>
        <item m="1" x="1773"/>
        <item m="1" x="2274"/>
        <item m="1" x="2784"/>
        <item m="1" x="3292"/>
        <item m="1" x="3806"/>
        <item m="1" x="4321"/>
        <item m="1" x="4817"/>
        <item m="1" x="5312"/>
        <item m="1" x="5804"/>
        <item m="1" x="6306"/>
        <item m="1" x="1094"/>
        <item m="1" x="1598"/>
        <item m="1" x="2096"/>
        <item m="1" x="2602"/>
        <item m="1" x="3109"/>
        <item m="1" x="3623"/>
        <item m="1" x="4136"/>
        <item m="1" x="4636"/>
        <item m="1" x="5131"/>
        <item m="1" x="5629"/>
        <item m="1" x="6124"/>
        <item m="1" x="6628"/>
        <item m="1" x="7128"/>
        <item m="1" x="7633"/>
        <item m="1" x="206"/>
        <item m="1" x="709"/>
        <item m="1" x="1216"/>
        <item m="1" x="1721"/>
        <item m="1" x="2217"/>
        <item m="1" x="2723"/>
        <item m="1" x="3231"/>
        <item m="1" x="3748"/>
        <item m="1" x="4256"/>
        <item m="1" x="4754"/>
        <item m="1" x="5251"/>
        <item m="1" x="5749"/>
        <item m="1" x="6248"/>
        <item m="1" x="6752"/>
        <item m="1" x="7252"/>
        <item m="1" x="7753"/>
        <item m="1" x="329"/>
        <item m="1" x="831"/>
        <item m="1" x="1335"/>
        <item m="1" x="1836"/>
        <item m="1" x="2337"/>
        <item m="1" x="2845"/>
        <item m="1" x="3355"/>
        <item m="1" x="3871"/>
        <item m="1" x="4380"/>
        <item m="1" x="4878"/>
        <item m="1" x="5372"/>
        <item m="1" x="5868"/>
        <item m="1" x="6370"/>
        <item m="1" x="6874"/>
        <item m="1" x="7372"/>
        <item m="1" x="7874"/>
        <item m="1" x="451"/>
        <item m="1" x="953"/>
        <item m="1" x="1454"/>
        <item m="1" x="1958"/>
        <item m="1" x="2462"/>
        <item m="1" x="2969"/>
        <item m="1" x="3480"/>
        <item m="1" x="3997"/>
        <item m="1" x="4504"/>
        <item m="1" x="4995"/>
        <item m="1" x="5490"/>
        <item m="1" x="5987"/>
        <item m="1" x="6490"/>
        <item m="1" x="6991"/>
        <item m="1" x="7491"/>
        <item m="1" x="7995"/>
        <item m="1" x="572"/>
        <item m="1" x="1074"/>
        <item m="1" x="1577"/>
        <item m="1" x="2080"/>
        <item m="1" x="2586"/>
        <item m="1" x="3092"/>
        <item m="1" x="3604"/>
        <item m="1" x="4122"/>
        <item m="1" x="4621"/>
        <item m="1" x="5113"/>
        <item m="1" x="5610"/>
        <item m="1" x="6110"/>
        <item m="1" x="6612"/>
        <item m="1" x="7113"/>
        <item m="1" x="7615"/>
        <item m="1" x="192"/>
        <item m="1" x="694"/>
        <item m="1" x="1198"/>
        <item m="1" x="1701"/>
        <item m="1" x="2203"/>
        <item m="1" x="2709"/>
        <item m="1" x="3214"/>
        <item m="1" x="3728"/>
        <item m="1" x="4241"/>
        <item m="1" x="4738"/>
        <item m="1" x="5233"/>
        <item m="1" x="5729"/>
        <item m="1" x="6234"/>
        <item m="1" x="6737"/>
        <item m="1" x="7236"/>
        <item m="1" x="7736"/>
        <item m="1" x="313"/>
        <item m="1" x="815"/>
        <item m="1" x="1317"/>
        <item m="1" x="1816"/>
        <item m="1" x="2321"/>
        <item m="1" x="2830"/>
        <item m="1" x="3339"/>
        <item m="1" x="3852"/>
        <item m="1" x="4363"/>
        <item m="1" x="4861"/>
        <item m="1" x="5355"/>
        <item m="1" x="5848"/>
        <item m="1" x="6353"/>
        <item m="1" x="6859"/>
        <item m="1" x="7357"/>
        <item m="1" x="7857"/>
        <item m="1" x="434"/>
        <item m="1" x="938"/>
        <item m="1" x="1438"/>
        <item m="1" x="1938"/>
        <item m="1" x="2445"/>
        <item m="1" x="2954"/>
        <item m="1" x="3465"/>
        <item m="1" x="3980"/>
        <item m="1" x="4489"/>
        <item m="1" x="4981"/>
        <item m="1" x="5474"/>
        <item m="1" x="5968"/>
        <item m="1" x="6475"/>
        <item m="1" x="6976"/>
        <item m="1" x="7477"/>
        <item m="1" x="7978"/>
        <item m="1" x="556"/>
        <item m="1" x="1060"/>
        <item m="1" x="1561"/>
        <item m="1" x="2061"/>
        <item m="1" x="2571"/>
        <item m="1" x="3077"/>
        <item m="1" x="3590"/>
        <item m="1" x="4105"/>
        <item m="1" x="4607"/>
        <item m="1" x="5099"/>
        <item m="1" x="5594"/>
        <item m="1" x="6089"/>
        <item m="1" x="6595"/>
        <item m="1" x="7097"/>
        <item m="1" x="7600"/>
        <item m="1" x="176"/>
        <item m="1" x="678"/>
        <item m="1" x="1183"/>
        <item m="1" x="1686"/>
        <item m="1" x="2183"/>
        <item m="1" x="2691"/>
        <item m="1" x="3199"/>
        <item m="1" x="3713"/>
        <item m="1" x="4224"/>
        <item m="1" x="4722"/>
        <item m="1" x="5218"/>
        <item m="1" x="5712"/>
        <item m="1" x="6212"/>
        <item m="1" x="6719"/>
        <item m="1" x="7220"/>
        <item m="1" x="7721"/>
        <item m="1" x="296"/>
        <item m="1" x="797"/>
        <item m="1" x="1302"/>
        <item m="1" x="1801"/>
        <item m="1" x="2302"/>
        <item m="1" x="2813"/>
        <item m="1" x="3325"/>
        <item m="1" x="3837"/>
        <item m="1" x="4347"/>
        <item m="1" x="4844"/>
        <item m="1" x="5340"/>
        <item m="1" x="5833"/>
        <item m="1" x="6334"/>
        <item m="1" x="6841"/>
        <item m="1" x="7342"/>
        <item m="1" x="7843"/>
        <item m="1" x="417"/>
        <item m="1" x="920"/>
        <item m="1" x="1421"/>
        <item m="1" x="1922"/>
        <item m="1" x="2425"/>
        <item m="1" x="2935"/>
        <item m="1" x="3451"/>
        <item m="1" x="3967"/>
        <item m="1" x="4472"/>
        <item m="1" x="4964"/>
        <item m="1" x="5459"/>
        <item m="1" x="5953"/>
        <item m="1" x="6455"/>
        <item m="1" x="6958"/>
        <item m="1" x="7461"/>
        <item m="1" x="7964"/>
        <item m="1" x="540"/>
        <item m="1" x="1042"/>
        <item m="1" x="1543"/>
        <item m="1" x="2045"/>
        <item m="1" x="2551"/>
        <item m="1" x="3057"/>
        <item m="1" x="3572"/>
        <item m="1" x="4090"/>
        <item m="1" x="4590"/>
        <item m="1" x="5081"/>
        <item m="1" x="5575"/>
        <item m="1" x="6074"/>
        <item m="1" x="6576"/>
        <item m="1" x="7078"/>
        <item m="1" x="7582"/>
        <item m="1" x="159"/>
        <item m="1" x="661"/>
        <item m="1" x="1164"/>
        <item m="1" x="1667"/>
        <item m="1" x="2168"/>
        <item m="1" x="2674"/>
        <item m="1" x="3180"/>
        <item m="1" x="3698"/>
        <item m="1" x="4211"/>
        <item m="1" x="4707"/>
        <item m="1" x="5200"/>
        <item m="1" x="5696"/>
        <item m="1" x="6198"/>
        <item m="1" x="6701"/>
        <item m="1" x="7202"/>
        <item m="1" x="7707"/>
        <item m="1" x="281"/>
        <item m="1" x="782"/>
        <item m="1" x="1285"/>
        <item m="1" x="1786"/>
        <item m="1" x="2287"/>
        <item m="1" x="2794"/>
        <item m="1" x="3304"/>
        <item m="1" x="3822"/>
        <item m="1" x="4332"/>
        <item m="1" x="4829"/>
        <item m="1" x="5322"/>
        <item m="1" x="5817"/>
        <item m="1" x="6319"/>
        <item m="1" x="6825"/>
        <item m="1" x="7321"/>
        <item m="1" x="7829"/>
        <item m="1" x="402"/>
        <item m="1" x="905"/>
        <item m="1" x="1403"/>
        <item m="1" x="1904"/>
        <item m="1" x="2410"/>
        <item m="1" x="2919"/>
        <item m="1" x="3428"/>
        <item m="1" x="3950"/>
        <item m="1" x="4456"/>
        <item m="1" x="4950"/>
        <item m="1" x="7143"/>
        <item m="1" x="7644"/>
        <item m="1" x="218"/>
        <item m="1" x="722"/>
        <item m="1" x="1231"/>
        <item m="1" x="1729"/>
        <item m="1" x="2229"/>
        <item m="1" x="2734"/>
        <item m="1" x="3244"/>
        <item m="1" x="3757"/>
        <item m="1" x="4268"/>
        <item m="1" x="4768"/>
        <item m="1" x="5265"/>
        <item m="1" x="5758"/>
        <item m="1" x="6259"/>
        <item m="1" x="6763"/>
        <item m="1" x="7265"/>
        <item m="1" x="7763"/>
        <item m="1" x="341"/>
        <item m="1" x="844"/>
        <item m="1" x="1350"/>
        <item m="1" x="1846"/>
        <item m="1" x="2350"/>
        <item m="1" x="2858"/>
        <item m="1" x="3369"/>
        <item m="1" x="3883"/>
        <item m="1" x="4392"/>
        <item m="1" x="4891"/>
        <item m="1" x="5387"/>
        <item m="1" x="5878"/>
        <item m="1" x="6381"/>
        <item m="1" x="6885"/>
        <item m="1" x="7385"/>
        <item m="1" x="7884"/>
        <item m="1" x="462"/>
        <item m="1" x="968"/>
        <item m="1" x="1469"/>
        <item m="1" x="1968"/>
        <item m="1" x="2475"/>
        <item m="1" x="2982"/>
        <item m="1" x="3495"/>
        <item m="1" x="4010"/>
        <item m="1" x="4517"/>
        <item m="1" x="5010"/>
        <item m="1" x="5506"/>
        <item m="1" x="5999"/>
        <item m="1" x="6503"/>
        <item m="1" x="7003"/>
        <item m="1" x="7505"/>
        <item m="1" x="78"/>
        <item m="1" x="585"/>
        <item m="1" x="1088"/>
        <item m="1" x="1593"/>
        <item m="1" x="2092"/>
        <item m="1" x="2598"/>
        <item m="1" x="3104"/>
        <item m="1" x="3618"/>
        <item m="1" x="4133"/>
        <item m="1" x="4632"/>
        <item m="1" x="5126"/>
        <item m="1" x="5625"/>
        <item m="1" x="6121"/>
        <item m="1" x="6624"/>
        <item m="1" x="7124"/>
        <item m="1" x="7629"/>
        <item m="1" x="202"/>
        <item m="1" x="704"/>
        <item m="1" x="1211"/>
        <item m="1" x="1716"/>
        <item m="1" x="2213"/>
        <item m="1" x="2720"/>
        <item m="1" x="3227"/>
        <item m="1" x="3743"/>
        <item m="1" x="4253"/>
        <item m="1" x="4750"/>
        <item m="1" x="5246"/>
        <item m="1" x="5745"/>
        <item m="1" x="6245"/>
        <item m="1" x="6748"/>
        <item m="1" x="7247"/>
        <item m="1" x="7749"/>
        <item m="1" x="325"/>
        <item m="1" x="827"/>
        <item m="1" x="1330"/>
        <item m="1" x="1832"/>
        <item m="1" x="2334"/>
        <item m="1" x="2842"/>
        <item m="1" x="3351"/>
        <item m="1" x="3867"/>
        <item m="1" x="4376"/>
        <item m="1" x="4875"/>
        <item m="1" x="5367"/>
        <item m="1" x="5864"/>
        <item m="1" x="6366"/>
        <item m="1" x="6870"/>
        <item m="1" x="7367"/>
        <item m="1" x="7870"/>
        <item m="1" x="446"/>
        <item m="1" x="949"/>
        <item m="1" x="1449"/>
        <item m="1" x="1954"/>
        <item m="1" x="2457"/>
        <item m="1" x="2966"/>
        <item m="1" x="3476"/>
        <item m="1" x="3994"/>
        <item m="1" x="4500"/>
        <item m="1" x="4993"/>
        <item m="1" x="5486"/>
        <item m="1" x="5984"/>
        <item m="1" x="6487"/>
        <item m="1" x="6988"/>
        <item m="1" x="7487"/>
        <item m="1" x="7992"/>
        <item m="1" x="568"/>
        <item m="1" x="1072"/>
        <item m="1" x="1573"/>
        <item m="1" x="2077"/>
        <item m="1" x="2583"/>
        <item m="1" x="3090"/>
        <item m="1" x="3601"/>
        <item m="1" x="4119"/>
        <item m="1" x="4618"/>
        <item m="1" x="5111"/>
        <item m="1" x="5606"/>
        <item m="1" x="6106"/>
        <item m="1" x="6609"/>
        <item m="1" x="7110"/>
        <item m="1" x="7611"/>
        <item m="1" x="189"/>
        <item m="1" x="691"/>
        <item m="1" x="1195"/>
        <item m="1" x="1697"/>
        <item m="1" x="2199"/>
        <item m="1" x="2705"/>
        <item m="1" x="3211"/>
        <item m="1" x="3725"/>
        <item m="1" x="4237"/>
        <item m="1" x="4735"/>
        <item m="1" x="5230"/>
        <item m="1" x="5725"/>
        <item m="1" x="6228"/>
        <item m="1" x="6734"/>
        <item m="1" x="7232"/>
        <item m="1" x="7733"/>
        <item m="1" x="309"/>
        <item m="1" x="812"/>
        <item m="1" x="1314"/>
        <item m="1" x="1813"/>
        <item m="1" x="2316"/>
        <item m="1" x="2827"/>
        <item m="1" x="3336"/>
        <item m="1" x="3850"/>
        <item m="1" x="4359"/>
        <item m="1" x="4858"/>
        <item m="1" x="5352"/>
        <item m="1" x="5845"/>
        <item m="1" x="6348"/>
        <item m="1" x="6856"/>
        <item m="1" x="7353"/>
        <item m="1" x="7854"/>
        <item m="1" x="430"/>
        <item m="1" x="935"/>
        <item m="1" x="1434"/>
        <item m="1" x="1934"/>
        <item m="1" x="2440"/>
        <item m="1" x="2950"/>
        <item m="1" x="3462"/>
        <item m="1" x="3978"/>
        <item m="1" x="4485"/>
        <item m="1" x="4977"/>
        <item m="1" x="5471"/>
        <item m="1" x="5965"/>
        <item m="1" x="6470"/>
        <item m="1" x="6973"/>
        <item m="1" x="7473"/>
        <item m="1" x="7975"/>
        <item m="1" x="552"/>
        <item m="1" x="1056"/>
        <item m="1" x="1558"/>
        <item m="1" x="2058"/>
        <item m="1" x="2566"/>
        <item m="1" x="3074"/>
        <item m="1" x="3587"/>
        <item m="1" x="4103"/>
        <item m="1" x="4603"/>
        <item m="1" x="5095"/>
        <item m="1" x="5591"/>
        <item m="1" x="6086"/>
        <item m="1" x="6590"/>
        <item m="1" x="7094"/>
        <item m="1" x="7596"/>
        <item m="1" x="171"/>
        <item m="1" x="673"/>
        <item m="1" x="1177"/>
        <item m="1" x="1681"/>
        <item m="1" x="2177"/>
        <item m="1" x="2686"/>
        <item m="1" x="3194"/>
        <item m="1" x="3709"/>
        <item m="1" x="4221"/>
        <item m="1" x="4718"/>
        <item m="1" x="5213"/>
        <item m="1" x="5708"/>
        <item m="1" x="6208"/>
        <item m="1" x="6714"/>
        <item m="1" x="7216"/>
        <item m="1" x="7718"/>
        <item m="1" x="292"/>
        <item m="1" x="792"/>
        <item m="1" x="1297"/>
        <item m="1" x="1798"/>
        <item m="1" x="2298"/>
        <item m="1" x="2808"/>
        <item m="1" x="3321"/>
        <item m="1" x="3834"/>
        <item m="1" x="4344"/>
        <item m="1" x="4840"/>
        <item m="1" x="5335"/>
        <item m="1" x="5830"/>
        <item m="1" x="6330"/>
        <item m="1" x="6836"/>
        <item m="1" x="7337"/>
        <item m="1" x="7840"/>
        <item m="1" x="413"/>
        <item m="1" x="915"/>
        <item m="1" x="1416"/>
        <item m="1" x="1917"/>
        <item m="1" x="2421"/>
        <item m="1" x="2930"/>
        <item m="1" x="3446"/>
        <item m="1" x="3963"/>
        <item m="1" x="4469"/>
        <item m="1" x="4960"/>
        <item m="1" x="5453"/>
        <item m="1" x="5949"/>
        <item m="1" x="6452"/>
        <item m="1" x="6953"/>
        <item m="1" x="7456"/>
        <item m="1" x="7960"/>
        <item m="1" x="536"/>
        <item m="1" x="1037"/>
        <item m="1" x="1538"/>
        <item m="1" x="2041"/>
        <item m="1" x="2548"/>
        <item m="1" x="3052"/>
        <item m="1" x="5770"/>
        <item m="1" x="6270"/>
        <item m="1" x="6776"/>
        <item m="1" x="7274"/>
        <item m="1" x="7775"/>
        <item m="1" x="353"/>
        <item m="1" x="858"/>
        <item m="1" x="1358"/>
        <item m="1" x="1856"/>
        <item m="1" x="2360"/>
        <item m="1" x="2870"/>
        <item m="1" x="3378"/>
        <item m="1" x="3893"/>
        <item m="1" x="4404"/>
        <item m="1" x="4904"/>
        <item m="1" x="5394"/>
        <item m="1" x="5889"/>
        <item m="1" x="6391"/>
        <item m="1" x="6897"/>
        <item m="1" x="7393"/>
        <item m="1" x="7895"/>
        <item m="1" x="475"/>
        <item m="1" x="982"/>
        <item m="1" x="1478"/>
        <item m="1" x="1979"/>
        <item m="1" x="2485"/>
        <item m="1" x="2994"/>
        <item m="1" x="3503"/>
        <item m="1" x="4021"/>
        <item m="1" x="4529"/>
        <item m="1" x="5025"/>
        <item m="1" x="5515"/>
        <item m="1" x="6010"/>
        <item m="1" x="6514"/>
        <item m="1" x="7016"/>
        <item m="1" x="7515"/>
        <item m="1" x="91"/>
        <item m="1" x="598"/>
        <item m="1" x="1105"/>
        <item m="1" x="1605"/>
        <item m="1" x="2104"/>
        <item m="1" x="2610"/>
        <item m="1" x="3119"/>
        <item m="1" x="3629"/>
        <item m="1" x="4143"/>
        <item m="1" x="4645"/>
        <item m="1" x="5142"/>
        <item m="1" x="5635"/>
        <item m="1" x="6132"/>
        <item m="1" x="6636"/>
        <item m="1" x="7137"/>
        <item m="1" x="7640"/>
        <item m="1" x="213"/>
        <item m="1" x="717"/>
        <item m="1" x="1225"/>
        <item m="1" x="1726"/>
        <item m="1" x="2224"/>
        <item m="1" x="2730"/>
        <item m="1" x="3239"/>
        <item m="1" x="3753"/>
        <item m="1" x="4263"/>
        <item m="1" x="4763"/>
        <item m="1" x="5260"/>
        <item m="1" x="5755"/>
        <item m="1" x="6255"/>
        <item m="1" x="6759"/>
        <item m="1" x="7260"/>
        <item m="1" x="7760"/>
        <item m="1" x="336"/>
        <item m="1" x="839"/>
        <item m="1" x="1345"/>
        <item m="1" x="1843"/>
        <item m="1" x="2345"/>
        <item m="1" x="2853"/>
        <item m="1" x="3364"/>
        <item m="1" x="3879"/>
        <item m="1" x="4386"/>
        <item m="1" x="4886"/>
        <item m="1" x="5382"/>
        <item m="1" x="5874"/>
        <item m="1" x="6377"/>
        <item m="1" x="6881"/>
        <item m="1" x="7380"/>
        <item m="1" x="7880"/>
        <item m="1" x="457"/>
        <item m="1" x="961"/>
        <item m="1" x="1464"/>
        <item m="1" x="1964"/>
        <item m="1" x="2470"/>
        <item m="1" x="2976"/>
        <item m="1" x="3490"/>
        <item m="1" x="4005"/>
        <item m="1" x="4513"/>
        <item m="1" x="5004"/>
        <item m="1" x="5501"/>
        <item m="1" x="5995"/>
        <item m="1" x="6499"/>
        <item m="1" x="6998"/>
        <item m="1" x="7500"/>
        <item m="1" x="74"/>
        <item m="1" x="581"/>
        <item m="1" x="1082"/>
        <item m="1" x="1588"/>
        <item m="1" x="2088"/>
        <item m="1" x="2594"/>
        <item m="1" x="3099"/>
        <item m="1" x="3614"/>
        <item m="1" x="4129"/>
        <item m="1" x="4628"/>
        <item m="1" x="5121"/>
        <item m="1" x="5621"/>
        <item m="1" x="6117"/>
        <item m="1" x="6620"/>
        <item m="1" x="7120"/>
        <item m="1" x="7624"/>
        <item m="1" x="199"/>
        <item m="1" x="701"/>
        <item m="1" x="1206"/>
        <item m="1" x="1712"/>
        <item m="1" x="2210"/>
        <item m="1" x="2716"/>
        <item m="1" x="3221"/>
        <item m="1" x="3738"/>
        <item m="1" x="4249"/>
        <item m="1" x="4747"/>
        <item m="1" x="5241"/>
        <item m="1" x="5740"/>
        <item m="1" x="6242"/>
        <item m="1" x="6745"/>
        <item m="1" x="7243"/>
        <item m="1" x="7745"/>
        <item m="1" x="322"/>
        <item m="1" x="824"/>
        <item m="1" x="1325"/>
        <item m="1" x="1827"/>
        <item m="1" x="2331"/>
        <item m="1" x="2838"/>
        <item m="1" x="3346"/>
        <item m="1" x="3862"/>
        <item m="1" x="4373"/>
        <item m="1" x="4870"/>
        <item m="1" x="5363"/>
        <item m="1" x="5858"/>
        <item m="1" x="6362"/>
        <item m="1" x="6866"/>
        <item m="1" x="7364"/>
        <item m="1" x="7865"/>
        <item m="1" x="442"/>
        <item m="1" x="945"/>
        <item m="1" x="1445"/>
        <item m="1" x="1948"/>
        <item m="1" x="2453"/>
        <item m="1" x="2961"/>
        <item m="1" x="3472"/>
        <item m="1" x="3989"/>
        <item m="1" x="4497"/>
        <item m="1" x="4989"/>
        <item m="1" x="5482"/>
        <item m="1" x="5978"/>
        <item m="1" x="6484"/>
        <item m="1" x="6984"/>
        <item m="1" x="7484"/>
        <item m="1" x="7987"/>
        <item m="1" x="565"/>
        <item m="1" x="1068"/>
        <item m="1" x="1569"/>
        <item m="1" x="2071"/>
        <item m="1" x="2580"/>
        <item m="1" x="3085"/>
        <item m="1" x="3597"/>
        <item m="1" x="4114"/>
        <item m="1" x="4615"/>
        <item m="1" x="5106"/>
        <item m="1" x="5601"/>
        <item m="1" x="6100"/>
        <item m="1" x="6604"/>
        <item m="1" x="7105"/>
        <item m="1" x="7608"/>
        <item m="1" x="184"/>
        <item m="1" x="687"/>
        <item m="1" x="1191"/>
        <item m="1" x="1693"/>
        <item m="1" x="2192"/>
        <item m="1" x="2701"/>
        <item m="1" x="3207"/>
        <item m="1" x="3721"/>
        <item m="1" x="4232"/>
        <item m="1" x="4731"/>
        <item m="1" x="5226"/>
        <item m="1" x="5720"/>
        <item m="1" x="6221"/>
        <item m="1" x="6729"/>
        <item m="1" x="7228"/>
        <item m="1" x="7729"/>
        <item m="1" x="303"/>
        <item m="1" x="806"/>
        <item m="1" x="1310"/>
        <item m="1" x="1808"/>
        <item m="1" x="2310"/>
        <item m="1" x="2822"/>
        <item m="1" x="3332"/>
        <item m="1" x="3845"/>
        <item m="1" x="4354"/>
        <item m="1" x="4853"/>
        <item m="1" x="5347"/>
        <item m="1" x="5839"/>
        <item m="1" x="6342"/>
        <item m="1" x="6850"/>
        <item m="1" x="7349"/>
        <item m="1" x="7850"/>
        <item m="1" x="425"/>
        <item m="1" x="929"/>
        <item m="1" x="1430"/>
        <item m="1" x="1929"/>
        <item m="1" x="2434"/>
        <item m="1" x="2945"/>
        <item m="1" x="3458"/>
        <item m="1" x="3973"/>
        <item m="1" x="4479"/>
        <item m="1" x="4972"/>
        <item m="1" x="5467"/>
        <item m="1" x="5960"/>
        <item m="1" x="6464"/>
        <item m="1" x="6968"/>
        <item m="1" x="7469"/>
        <item m="1" x="7971"/>
        <item m="1" x="547"/>
        <item m="1" x="1051"/>
        <item m="1" x="1553"/>
        <item m="1" x="2054"/>
        <item m="1" x="2560"/>
        <item m="1" x="3069"/>
        <item m="1" x="3582"/>
        <item m="1" x="4098"/>
        <item m="1" x="4597"/>
        <item m="1" x="5090"/>
        <item m="1" x="5585"/>
        <item m="1" x="6081"/>
        <item m="1" x="6584"/>
        <item m="1" x="7089"/>
        <item m="1" x="7590"/>
        <item m="1" x="167"/>
        <item m="1" x="668"/>
        <item m="1" x="1173"/>
        <item m="1" x="1676"/>
        <item m="1" x="3908"/>
        <item m="1" x="4418"/>
        <item m="1" x="2508"/>
        <item m="1" x="3014"/>
        <item m="1" x="3528"/>
        <item m="1" x="4047"/>
        <item m="1" x="633"/>
        <item m="1" x="1137"/>
        <item m="1" x="1637"/>
        <item m="1" x="2136"/>
        <item m="1" x="2642"/>
        <item m="1" x="261"/>
        <item m="1" x="514"/>
        <item m="1" x="763"/>
        <item m="1" x="1017"/>
        <item m="1" x="3693"/>
        <item m="1" x="3955"/>
        <item m="1" x="4206"/>
        <item m="1" x="4461"/>
        <item m="1" x="2046"/>
        <item m="1" x="2295"/>
        <item m="1" x="2552"/>
        <item m="1" x="2803"/>
        <item m="1" x="3058"/>
        <item m="1" x="3316"/>
        <item m="1" x="3573"/>
        <item m="1" x="3830"/>
        <item m="1" x="4091"/>
        <item m="1" x="172"/>
        <item m="1" x="420"/>
        <item m="1" x="674"/>
        <item m="1" x="925"/>
        <item m="1" x="1178"/>
        <item m="1" x="1426"/>
        <item m="1" x="1682"/>
        <item m="1" x="1926"/>
        <item m="1" x="2178"/>
        <item m="1" x="2429"/>
        <item m="1" x="304"/>
        <item m="1" x="557"/>
        <item m="1" x="807"/>
        <item m="1" x="3222"/>
        <item m="1" x="3481"/>
        <item m="1" x="3739"/>
        <item m="1" x="3998"/>
        <item m="1" x="4250"/>
        <item m="1" x="4505"/>
        <item m="1" x="1594"/>
        <item m="1" x="1839"/>
        <item m="1" x="2093"/>
        <item m="1" x="2342"/>
        <item m="1" x="2599"/>
        <item m="1" x="2849"/>
        <item m="1" x="3105"/>
        <item m="1" x="3360"/>
        <item m="1" x="3619"/>
        <item m="1" x="3875"/>
      </items>
    </pivotField>
    <pivotField axis="axisRow" showAll="0" sortType="ascending" defaultSubtotal="0">
      <items count="8000">
        <item sd="0" m="1" x="204"/>
        <item sd="0" m="1" x="205"/>
        <item sd="0" m="1" x="206"/>
        <item sd="0" m="1" x="207"/>
        <item sd="0" m="1" x="208"/>
        <item sd="0" m="1" x="209"/>
        <item sd="0" m="1" x="520"/>
        <item sd="0" m="1" x="837"/>
        <item sd="0" m="1" x="838"/>
        <item sd="0" m="1" x="521"/>
        <item sd="0" m="1" x="839"/>
        <item sd="0" m="1" x="840"/>
        <item sd="0" m="1" x="841"/>
        <item sd="0" m="1" x="274"/>
        <item sd="0" m="1" x="275"/>
        <item sd="0" m="1" x="276"/>
        <item sd="0" m="1" x="277"/>
        <item sd="0" m="1" x="278"/>
        <item sd="0" m="1" x="279"/>
        <item sd="0" m="1" x="280"/>
        <item sd="0" m="1" x="281"/>
        <item sd="0" m="1" x="282"/>
        <item sd="0" m="1" x="283"/>
        <item sd="0" m="1" x="284"/>
        <item sd="0" m="1" x="285"/>
        <item sd="0" m="1" x="286"/>
        <item sd="0" m="1" x="519"/>
        <item sd="0" m="1" x="1690"/>
        <item sd="0" m="1" x="938"/>
        <item sd="0" m="1" x="1459"/>
        <item sd="0" m="1" x="2168"/>
        <item sd="0" m="1" x="2995"/>
        <item sd="0" m="1" x="2197"/>
        <item sd="0" m="1" x="3041"/>
        <item sd="0" m="1" x="3988"/>
        <item sd="0" m="1" x="4938"/>
        <item sd="0" m="1" x="4038"/>
        <item sd="0" m="1" x="916"/>
        <item sd="0" m="1" x="1386"/>
        <item sd="0" m="1" x="2048"/>
        <item sd="0" m="1" x="2865"/>
        <item sd="0" m="1" x="6418"/>
        <item sd="0" m="1" x="7008"/>
        <item sd="0" m="1" x="7452"/>
        <item sd="0" m="1" x="2145"/>
        <item sd="0" m="1" x="2948"/>
        <item sd="0" m="1" x="3858"/>
        <item sd="0" m="1" x="4816"/>
        <item sd="0" m="1" x="7516"/>
        <item sd="0" m="1" x="7814"/>
        <item sd="0" m="1" x="7972"/>
        <item sd="0" m="1" x="3929"/>
        <item sd="0" m="1" x="4877"/>
        <item sd="0" m="1" x="5756"/>
        <item sd="0" m="1" x="6486"/>
        <item sd="0" m="1" x="782"/>
        <item sd="0" m="1" x="1237"/>
        <item sd="0" m="1" x="5445"/>
        <item sd="0" m="1" x="6233"/>
        <item sd="0" m="1" x="6853"/>
        <item sd="0" m="1" x="7337"/>
        <item sd="0" m="1" x="1941"/>
        <item sd="0" m="1" x="2719"/>
        <item sd="0" m="1" x="6925"/>
        <item sd="0" m="1" x="7399"/>
        <item sd="0" m="1" x="7742"/>
        <item sd="0" m="1" x="7942"/>
        <item sd="0" m="1" x="2017"/>
        <item sd="0" m="1" x="2820"/>
        <item sd="0" m="1" x="3746"/>
        <item sd="0" m="1" x="4706"/>
        <item sd="0" m="1" x="3802"/>
        <item sd="0" m="1" x="4768"/>
        <item sd="0" m="1" x="5676"/>
        <item sd="0" m="1" x="6434"/>
        <item sd="0" m="1" x="1200"/>
        <item sd="0" m="1" x="1819"/>
        <item sd="0" m="1" x="2613"/>
        <item sd="0" m="1" x="2666"/>
        <item sd="0" m="1" x="3566"/>
        <item sd="0" m="1" x="4534"/>
        <item sd="0" m="1" x="4588"/>
        <item sd="0" m="1" x="367"/>
        <item sd="0" m="1" x="643"/>
        <item sd="0" m="1" x="1060"/>
        <item sd="0" m="1" x="1632"/>
        <item sd="0" m="1" x="5993"/>
        <item sd="0" m="1" x="1115"/>
        <item sd="0" m="1" x="1670"/>
        <item sd="0" m="1" x="2424"/>
        <item sd="0" m="1" x="3292"/>
        <item sd="0" m="1" x="7221"/>
        <item sd="0" m="1" x="2504"/>
        <item sd="0" m="1" x="3354"/>
        <item sd="0" m="1" x="4313"/>
        <item sd="0" m="1" x="195"/>
        <item sd="0" m="1" x="302"/>
        <item sd="0" m="1" x="538"/>
        <item sd="0" m="1" x="939"/>
        <item sd="0" m="1" x="3967"/>
        <item sd="0" m="1" x="4913"/>
        <item sd="0" m="1" x="5769"/>
        <item sd="0" m="1" x="585"/>
        <item sd="0" m="1" x="979"/>
        <item sd="0" m="1" x="1504"/>
        <item sd="0" m="1" x="2223"/>
        <item sd="0" m="1" x="5842"/>
        <item sd="0" m="1" x="6542"/>
        <item sd="0" m="1" x="7102"/>
        <item sd="0" m="1" x="1583"/>
        <item sd="0" m="1" x="2294"/>
        <item sd="0" m="1" x="3131"/>
        <item sd="0" m="1" x="4082"/>
        <item sd="0" m="1" x="170"/>
        <item sd="0" m="1" x="255"/>
        <item sd="0" m="1" x="454"/>
        <item sd="0" m="1" x="2799"/>
        <item sd="0" m="1" x="3704"/>
        <item sd="0" m="1" x="4652"/>
        <item sd="0" m="1" x="5550"/>
        <item sd="0" m="1" x="509"/>
        <item sd="0" m="1" x="868"/>
        <item sd="0" m="1" x="4707"/>
        <item sd="0" m="1" x="5611"/>
        <item sd="0" m="1" x="6370"/>
        <item sd="0" m="1" x="6959"/>
        <item sd="0" m="1" x="1416"/>
        <item sd="0" m="1" x="2067"/>
        <item sd="0" m="1" x="615"/>
        <item sd="0" m="1" x="1009"/>
        <item sd="0" m="1" x="1534"/>
        <item sd="0" m="1" x="2248"/>
        <item sd="0" m="1" x="6579"/>
        <item sd="0" m="1" x="7128"/>
        <item sd="0" m="1" x="1618"/>
        <item sd="0" m="1" x="2328"/>
        <item sd="0" m="1" x="3165"/>
        <item sd="0" m="1" x="4107"/>
        <item sd="0" m="1" x="7587"/>
        <item sd="0" m="1" x="7858"/>
        <item sd="0" m="1" x="3226"/>
        <item sd="0" m="1" x="4157"/>
        <item sd="0" m="1" x="5102"/>
        <item sd="0" m="1" x="5949"/>
        <item sd="0" m="1" x="522"/>
        <item sd="0" m="1" x="901"/>
        <item sd="0" m="1" x="1364"/>
        <item sd="0" m="1" x="4748"/>
        <item sd="0" m="1" x="5638"/>
        <item sd="0" m="1" x="6402"/>
        <item sd="0" m="1" x="6986"/>
        <item sd="0" m="1" x="1442"/>
        <item sd="0" m="1" x="2127"/>
        <item sd="0" m="1" x="2923"/>
        <item sd="0" m="1" x="6459"/>
        <item sd="0" m="1" x="7046"/>
        <item sd="0" m="1" x="7504"/>
        <item sd="0" m="1" x="7804"/>
        <item sd="0" m="1" x="2996"/>
        <item sd="0" m="1" x="3910"/>
        <item sd="0" m="1" x="4867"/>
        <item sd="0" m="1" x="435"/>
        <item sd="0" m="1" x="3534"/>
        <item sd="0" m="1" x="4501"/>
        <item sd="0" m="1" x="5427"/>
        <item sd="0" m="1" x="6212"/>
        <item sd="0" m="1" x="1298"/>
        <item sd="0" m="1" x="5477"/>
        <item sd="0" m="1" x="6290"/>
        <item sd="0" m="1" x="6911"/>
        <item sd="0" m="1" x="7387"/>
        <item sd="0" m="1" x="2774"/>
        <item sd="0" m="1" x="2391"/>
        <item sd="0" m="1" x="3266"/>
        <item sd="0" m="1" x="4228"/>
        <item sd="0" m="1" x="4273"/>
        <item sd="0" m="1" x="5236"/>
        <item sd="0" m="1" x="6075"/>
        <item sd="0" m="1" x="960"/>
        <item sd="0" m="1" x="1473"/>
        <item sd="0" m="1" x="2198"/>
        <item sd="0" m="1" x="3042"/>
        <item sd="0" m="1" x="2249"/>
        <item sd="0" m="1" x="3100"/>
        <item sd="0" m="1" x="4049"/>
        <item sd="0" m="1" x="5007"/>
        <item sd="0" m="1" x="4108"/>
        <item sd="0" m="1" x="5063"/>
        <item sd="0" m="1" x="210"/>
        <item sd="0" m="1" x="343"/>
        <item sd="0" m="1" x="3238"/>
        <item sd="0" m="1" x="4179"/>
        <item sd="0" m="1" x="5115"/>
        <item sd="0" m="1" x="672"/>
        <item sd="0" m="1" x="1084"/>
        <item sd="0" m="1" x="5168"/>
        <item sd="0" m="1" x="6020"/>
        <item sd="0" m="1" x="6678"/>
        <item sd="0" m="1" x="1705"/>
        <item sd="0" m="1" x="2449"/>
        <item sd="0" m="1" x="180"/>
        <item sd="0" m="1" x="1460"/>
        <item sd="0" m="1" x="2169"/>
        <item sd="0" m="1" x="3005"/>
        <item sd="0" m="1" x="3922"/>
        <item sd="0" m="1" x="564"/>
        <item sd="0" m="1" x="3043"/>
        <item sd="0" m="1" x="3991"/>
        <item sd="0" m="1" x="4948"/>
        <item sd="0" m="1" x="5814"/>
        <item sd="0" m="1" x="1535"/>
        <item sd="0" m="1" x="1417"/>
        <item sd="0" m="1" x="2068"/>
        <item sd="0" m="1" x="2884"/>
        <item sd="0" m="1" x="3803"/>
        <item sd="0" m="1" x="7030"/>
        <item sd="0" m="1" x="7471"/>
        <item sd="0" m="1" x="2979"/>
        <item sd="0" m="1" x="3877"/>
        <item sd="0" m="1" x="4835"/>
        <item sd="0" m="1" x="5718"/>
        <item sd="0" m="1" x="7831"/>
        <item sd="0" m="1" x="7973"/>
        <item sd="0" m="1" x="4901"/>
        <item sd="0" m="1" x="5757"/>
        <item sd="0" m="1" x="6487"/>
        <item sd="0" m="1" x="805"/>
        <item sd="0" m="1" x="1257"/>
        <item sd="0" m="1" x="1878"/>
        <item sd="0" m="1" x="6266"/>
        <item sd="0" m="1" x="6873"/>
        <item sd="0" m="1" x="7357"/>
        <item sd="0" m="1" x="1964"/>
        <item sd="0" m="1" x="2739"/>
        <item sd="0" m="1" x="3625"/>
        <item sd="0" m="1" x="7413"/>
        <item sd="0" m="1" x="7743"/>
        <item sd="0" m="1" x="7943"/>
        <item sd="0" m="1" x="3683"/>
        <item sd="0" m="1" x="4634"/>
        <item sd="0" m="1" x="5532"/>
        <item sd="0" m="1" x="697"/>
        <item sd="0" m="1" x="1116"/>
        <item sd="0" m="1" x="5207"/>
        <item sd="0" m="1" x="6046"/>
        <item sd="0" m="1" x="6711"/>
        <item sd="0" m="1" x="1761"/>
        <item sd="0" m="1" x="2505"/>
        <item sd="0" m="1" x="6769"/>
        <item sd="0" m="1" x="7288"/>
        <item sd="0" m="1" x="7666"/>
        <item sd="0" m="1" x="3435"/>
        <item sd="0" m="1" x="4376"/>
        <item sd="0" m="1" x="1201"/>
        <item sd="0" m="1" x="1820"/>
        <item sd="0" m="1" x="2614"/>
        <item sd="0" m="1" x="6832"/>
        <item sd="0" m="1" x="2667"/>
        <item sd="0" m="1" x="3567"/>
        <item sd="0" m="1" x="4535"/>
        <item sd="0" m="1" x="7719"/>
        <item sd="0" m="1" x="4589"/>
        <item sd="0" m="1" x="5509"/>
        <item sd="0" m="1" x="368"/>
        <item sd="0" m="1" x="644"/>
        <item sd="0" m="1" x="1061"/>
        <item sd="0" m="1" x="1633"/>
        <item sd="0" m="1" x="5994"/>
        <item sd="0" m="1" x="6661"/>
        <item sd="0" m="1" x="1117"/>
        <item sd="0" m="1" x="1671"/>
        <item sd="0" m="1" x="2425"/>
        <item sd="0" m="1" x="3293"/>
        <item sd="0" m="1" x="7222"/>
        <item sd="0" m="1" x="7625"/>
        <item sd="0" m="1" x="2506"/>
        <item sd="0" m="1" x="3355"/>
        <item sd="0" m="1" x="4314"/>
        <item sd="0" m="1" x="5262"/>
        <item sd="0" m="1" x="303"/>
        <item sd="0" m="1" x="539"/>
        <item sd="0" m="1" x="940"/>
        <item sd="0" m="1" x="3968"/>
        <item sd="0" m="1" x="4914"/>
        <item sd="0" m="1" x="5770"/>
        <item sd="0" m="1" x="6495"/>
        <item sd="0" m="1" x="980"/>
        <item sd="0" m="1" x="1505"/>
        <item sd="0" m="1" x="2224"/>
        <item sd="0" m="1" x="5843"/>
        <item sd="0" m="1" x="6543"/>
        <item sd="0" m="1" x="7103"/>
        <item sd="0" m="1" x="7537"/>
        <item sd="0" m="1" x="2295"/>
        <item sd="0" m="1" x="3132"/>
        <item sd="0" m="1" x="4083"/>
        <item sd="0" m="1" x="256"/>
        <item sd="0" m="1" x="455"/>
        <item sd="0" m="1" x="2800"/>
        <item sd="0" m="1" x="3705"/>
        <item sd="0" m="1" x="4653"/>
        <item sd="0" m="1" x="5551"/>
        <item sd="0" m="1" x="869"/>
        <item sd="0" m="1" x="4708"/>
        <item sd="0" m="1" x="5612"/>
        <item sd="0" m="1" x="6371"/>
        <item sd="0" m="1" x="6960"/>
        <item sd="0" m="1" x="2069"/>
        <item sd="0" m="1" x="1793"/>
        <item sd="0" m="1" x="2579"/>
        <item sd="0" m="1" x="3453"/>
        <item sd="0" m="1" x="4397"/>
        <item sd="0" m="1" x="3502"/>
        <item sd="0" m="1" x="4475"/>
        <item sd="0" m="1" x="5398"/>
        <item sd="0" m="1" x="74"/>
        <item sd="0" m="1" x="806"/>
        <item sd="0" m="1" x="1258"/>
        <item sd="0" m="1" x="1879"/>
        <item sd="0" m="1" x="6267"/>
        <item sd="0" m="1" x="6874"/>
        <item sd="0" m="1" x="1965"/>
        <item sd="0" m="1" x="2740"/>
        <item sd="0" m="1" x="3626"/>
        <item sd="0" m="1" x="7414"/>
        <item sd="0" m="1" x="7744"/>
        <item sd="0" m="1" x="3684"/>
        <item sd="0" m="1" x="4635"/>
        <item sd="0" m="1" x="5533"/>
        <item sd="0" m="1" x="390"/>
        <item sd="0" m="1" x="698"/>
        <item sd="0" m="1" x="1118"/>
        <item sd="0" m="1" x="5208"/>
        <item sd="0" m="1" x="6047"/>
        <item sd="0" m="1" x="6712"/>
        <item sd="0" m="1" x="1174"/>
        <item sd="0" m="1" x="1762"/>
        <item sd="0" m="1" x="2507"/>
        <item sd="0" m="1" x="6770"/>
        <item sd="0" m="1" x="7289"/>
        <item sd="0" m="1" x="7667"/>
        <item sd="0" m="1" x="2571"/>
        <item sd="0" m="1" x="3436"/>
        <item sd="0" m="1" x="4377"/>
        <item sd="0" m="1" x="336"/>
        <item sd="0" m="1" x="586"/>
        <item sd="0" m="1" x="3078"/>
        <item sd="0" m="1" x="4015"/>
        <item sd="0" m="1" x="4978"/>
        <item sd="0" m="1" x="5844"/>
        <item sd="0" m="1" x="1050"/>
        <item sd="0" m="1" x="1584"/>
        <item sd="0" m="1" x="5041"/>
        <item sd="0" m="1" x="5901"/>
        <item sd="0" m="1" x="6623"/>
        <item sd="0" m="1" x="7164"/>
        <item sd="0" m="1" x="2369"/>
        <item sd="0" m="1" x="3201"/>
        <item sd="0" m="1" x="2018"/>
        <item sd="0" m="1" x="2821"/>
        <item sd="0" m="1" x="3747"/>
        <item sd="0" m="1" x="4709"/>
        <item sd="0" m="1" x="3804"/>
        <item sd="0" m="1" x="4769"/>
        <item sd="0" m="1" x="5677"/>
        <item sd="0" m="1" x="6435"/>
        <item sd="0" m="1" x="1202"/>
        <item sd="0" m="1" x="1821"/>
        <item sd="0" m="1" x="2615"/>
        <item sd="0" m="1" x="2668"/>
        <item sd="0" m="1" x="3568"/>
        <item sd="0" m="1" x="4536"/>
        <item sd="0" m="1" x="4590"/>
        <item sd="0" m="1" x="171"/>
        <item sd="0" m="1" x="257"/>
        <item sd="0" m="1" x="456"/>
        <item sd="0" m="1" x="2801"/>
        <item sd="0" m="1" x="3706"/>
        <item sd="0" m="1" x="4654"/>
        <item sd="0" m="1" x="5552"/>
        <item sd="0" m="1" x="510"/>
        <item sd="0" m="1" x="870"/>
        <item sd="0" m="1" x="4710"/>
        <item sd="0" m="1" x="5613"/>
        <item sd="0" m="1" x="6372"/>
        <item sd="0" m="1" x="6961"/>
        <item sd="0" m="1" x="1418"/>
        <item sd="0" m="1" x="2070"/>
        <item sd="0" m="1" x="161"/>
        <item sd="0" m="1" x="1794"/>
        <item sd="0" m="1" x="2580"/>
        <item sd="0" m="1" x="3454"/>
        <item sd="0" m="1" x="4398"/>
        <item sd="0" m="1" x="425"/>
        <item sd="0" m="1" x="3503"/>
        <item sd="0" m="1" x="4476"/>
        <item sd="0" m="1" x="5399"/>
        <item sd="0" m="1" x="1259"/>
        <item sd="0" m="1" x="1706"/>
        <item sd="0" m="1" x="2450"/>
        <item sd="0" m="1" x="3316"/>
        <item sd="0" m="1" x="7255"/>
        <item sd="0" m="1" x="3395"/>
        <item sd="0" m="1" x="4345"/>
        <item sd="0" m="1" x="5280"/>
        <item sd="0" m="1" x="7906"/>
        <item sd="0" m="1" x="5331"/>
        <item sd="0" m="1" x="6142"/>
        <item sd="0" m="1" x="616"/>
        <item sd="0" m="1" x="1010"/>
        <item sd="0" m="1" x="1536"/>
        <item sd="0" m="1" x="2250"/>
        <item sd="0" m="1" x="6580"/>
        <item sd="0" m="1" x="7129"/>
        <item sd="0" m="1" x="1619"/>
        <item sd="0" m="1" x="2329"/>
        <item sd="0" m="1" x="3166"/>
        <item sd="0" m="1" x="4109"/>
        <item sd="0" m="1" x="7588"/>
        <item sd="0" m="1" x="7859"/>
        <item sd="0" m="1" x="3227"/>
        <item sd="0" m="1" x="4158"/>
        <item sd="0" m="1" x="5103"/>
        <item sd="0" m="1" x="5950"/>
        <item sd="0" m="1" x="523"/>
        <item sd="0" m="1" x="902"/>
        <item sd="0" m="1" x="1365"/>
        <item sd="0" m="1" x="4749"/>
        <item sd="0" m="1" x="5639"/>
        <item sd="0" m="1" x="6403"/>
        <item sd="0" m="1" x="6987"/>
        <item sd="0" m="1" x="1443"/>
        <item sd="0" m="1" x="2128"/>
        <item sd="0" m="1" x="2924"/>
        <item sd="0" m="1" x="6460"/>
        <item sd="0" m="1" x="7047"/>
        <item sd="0" m="1" x="7505"/>
        <item sd="0" m="1" x="7805"/>
        <item sd="0" m="1" x="2997"/>
        <item sd="0" m="1" x="3911"/>
        <item sd="0" m="1" x="4868"/>
        <item sd="0" m="1" x="961"/>
        <item sd="0" m="1" x="1474"/>
        <item sd="0" m="1" x="2199"/>
        <item sd="0" m="1" x="3044"/>
        <item sd="0" m="1" x="2251"/>
        <item sd="0" m="1" x="3101"/>
        <item sd="0" m="1" x="4050"/>
        <item sd="0" m="1" x="5008"/>
        <item sd="0" m="1" x="4110"/>
        <item sd="0" m="1" x="5064"/>
        <item sd="0" m="1" x="474"/>
        <item sd="0" m="1" x="842"/>
        <item sd="0" m="1" x="1324"/>
        <item sd="0" m="1" x="1998"/>
        <item sd="0" m="1" x="5592"/>
        <item sd="0" m="1" x="6338"/>
        <item sd="0" m="1" x="1366"/>
        <item sd="0" m="1" x="2040"/>
        <item sd="0" m="1" x="2850"/>
        <item sd="0" m="1" x="3776"/>
        <item sd="0" m="1" x="6988"/>
        <item sd="0" m="1" x="7437"/>
        <item sd="0" m="1" x="2925"/>
        <item sd="0" m="1" x="3847"/>
        <item sd="0" m="1" x="4798"/>
        <item sd="0" m="1" x="233"/>
        <item sd="0" m="1" x="399"/>
        <item sd="0" m="1" x="729"/>
        <item sd="0" m="1" x="4438"/>
        <item sd="0" m="1" x="5354"/>
        <item sd="0" m="1" x="6156"/>
        <item sd="0" m="1" x="769"/>
        <item sd="0" m="1" x="1229"/>
        <item sd="0" m="1" x="1845"/>
        <item sd="0" m="1" x="6213"/>
        <item sd="0" m="1" x="6846"/>
        <item sd="0" m="1" x="7327"/>
        <item sd="0" m="1" x="1923"/>
        <item sd="0" m="1" x="2706"/>
        <item sd="0" m="1" x="3592"/>
        <item sd="0" m="1" x="211"/>
        <item sd="0" m="1" x="344"/>
        <item sd="0" m="1" x="3239"/>
        <item sd="0" m="1" x="4180"/>
        <item sd="0" m="1" x="5116"/>
        <item sd="0" m="1" x="673"/>
        <item sd="0" m="1" x="1085"/>
        <item sd="0" m="1" x="5169"/>
        <item sd="0" m="1" x="6021"/>
        <item sd="0" m="1" x="6679"/>
        <item sd="0" m="1" x="1707"/>
        <item sd="0" m="1" x="2451"/>
        <item sd="0" m="1" x="181"/>
        <item sd="0" m="1" x="1461"/>
        <item sd="0" m="1" x="2170"/>
        <item sd="0" m="1" x="3006"/>
        <item sd="0" m="1" x="3923"/>
        <item sd="0" m="1" x="565"/>
        <item sd="0" m="1" x="3045"/>
        <item sd="0" m="1" x="3992"/>
        <item sd="0" m="1" x="4949"/>
        <item sd="0" m="1" x="5815"/>
        <item sd="0" m="1" x="1537"/>
        <item sd="0" m="1" x="699"/>
        <item sd="0" m="1" x="1119"/>
        <item sd="0" m="1" x="5209"/>
        <item sd="0" m="1" x="6048"/>
        <item sd="0" m="1" x="6713"/>
        <item sd="0" m="1" x="1763"/>
        <item sd="0" m="1" x="2508"/>
        <item sd="0" m="1" x="6771"/>
        <item sd="0" m="1" x="7290"/>
        <item sd="0" m="1" x="7668"/>
        <item sd="0" m="1" x="3437"/>
        <item sd="0" m="1" x="4378"/>
        <item sd="0" m="1" x="587"/>
        <item sd="0" m="1" x="3079"/>
        <item sd="0" m="1" x="4016"/>
        <item sd="0" m="1" x="4979"/>
        <item sd="0" m="1" x="5845"/>
        <item sd="0" m="1" x="1585"/>
        <item sd="0" m="1" x="5042"/>
        <item sd="0" m="1" x="5902"/>
        <item sd="0" m="1" x="6624"/>
        <item sd="0" m="1" x="7165"/>
        <item sd="0" m="1" x="3202"/>
        <item sd="0" m="1" x="2019"/>
        <item sd="0" m="1" x="2822"/>
        <item sd="0" m="1" x="3748"/>
        <item sd="0" m="1" x="4711"/>
        <item sd="0" m="1" x="3805"/>
        <item sd="0" m="1" x="4770"/>
        <item sd="0" m="1" x="5678"/>
        <item sd="0" m="1" x="6436"/>
        <item sd="0" m="1" x="5719"/>
        <item sd="0" m="1" x="1203"/>
        <item sd="0" m="1" x="1822"/>
        <item sd="0" m="1" x="2616"/>
        <item sd="0" m="1" x="6833"/>
        <item sd="0" m="1" x="2669"/>
        <item sd="0" m="1" x="3569"/>
        <item sd="0" m="1" x="4537"/>
        <item sd="0" m="1" x="7720"/>
        <item sd="0" m="1" x="4591"/>
        <item sd="0" m="1" x="5510"/>
        <item sd="0" m="1" x="369"/>
        <item sd="0" m="1" x="645"/>
        <item sd="0" m="1" x="1062"/>
        <item sd="0" m="1" x="1634"/>
        <item sd="0" m="1" x="5995"/>
        <item sd="0" m="1" x="6662"/>
        <item sd="0" m="1" x="1120"/>
        <item sd="0" m="1" x="1672"/>
        <item sd="0" m="1" x="2426"/>
        <item sd="0" m="1" x="3294"/>
        <item sd="0" m="1" x="7223"/>
        <item sd="0" m="1" x="7626"/>
        <item sd="0" m="1" x="2509"/>
        <item sd="0" m="1" x="3356"/>
        <item sd="0" m="1" x="4315"/>
        <item sd="0" m="1" x="5263"/>
        <item sd="0" m="1" x="1795"/>
        <item sd="0" m="1" x="2581"/>
        <item sd="0" m="1" x="3455"/>
        <item sd="0" m="1" x="4399"/>
        <item sd="0" m="1" x="3504"/>
        <item sd="0" m="1" x="4477"/>
        <item sd="0" m="1" x="5400"/>
        <item sd="0" m="1" x="807"/>
        <item sd="0" m="1" x="1260"/>
        <item sd="0" m="1" x="1880"/>
        <item sd="0" m="1" x="6268"/>
        <item sd="0" m="1" x="6875"/>
        <item sd="0" m="1" x="1966"/>
        <item sd="0" m="1" x="2741"/>
        <item sd="0" m="1" x="3627"/>
        <item sd="0" m="1" x="7415"/>
        <item sd="0" m="1" x="7745"/>
        <item sd="0" m="1" x="3685"/>
        <item sd="0" m="1" x="4636"/>
        <item sd="0" m="1" x="5534"/>
        <item sd="0" m="1" x="391"/>
        <item sd="0" m="1" x="700"/>
        <item sd="0" m="1" x="1121"/>
        <item sd="0" m="1" x="5210"/>
        <item sd="0" m="1" x="6049"/>
        <item sd="0" m="1" x="6714"/>
        <item sd="0" m="1" x="1175"/>
        <item sd="0" m="1" x="1764"/>
        <item sd="0" m="1" x="2510"/>
        <item sd="0" m="1" x="6772"/>
        <item sd="0" m="1" x="7291"/>
        <item sd="0" m="1" x="7669"/>
        <item sd="0" m="1" x="2572"/>
        <item sd="0" m="1" x="3438"/>
        <item sd="0" m="1" x="4379"/>
        <item sd="0" m="1" x="337"/>
        <item sd="0" m="1" x="588"/>
        <item sd="0" m="1" x="3080"/>
        <item sd="0" m="1" x="4017"/>
        <item sd="0" m="1" x="4980"/>
        <item sd="0" m="1" x="5846"/>
        <item sd="0" m="1" x="1051"/>
        <item sd="0" m="1" x="1586"/>
        <item sd="0" m="1" x="5043"/>
        <item sd="0" m="1" x="5903"/>
        <item sd="0" m="1" x="6625"/>
        <item sd="0" m="1" x="7166"/>
        <item sd="0" m="1" x="2370"/>
        <item sd="0" m="1" x="3203"/>
        <item sd="0" m="1" x="2020"/>
        <item sd="0" m="1" x="2823"/>
        <item sd="0" m="1" x="3749"/>
        <item sd="0" m="1" x="4712"/>
        <item sd="0" m="1" x="3806"/>
        <item sd="0" m="1" x="4771"/>
        <item sd="0" m="1" x="5679"/>
        <item sd="0" m="1" x="6437"/>
        <item sd="0" m="1" x="196"/>
        <item sd="0" m="1" x="304"/>
        <item sd="0" m="1" x="540"/>
        <item sd="0" m="1" x="941"/>
        <item sd="0" m="1" x="3969"/>
        <item sd="0" m="1" x="4915"/>
        <item sd="0" m="1" x="5771"/>
        <item sd="0" m="1" x="589"/>
        <item sd="0" m="1" x="981"/>
        <item sd="0" m="1" x="1506"/>
        <item sd="0" m="1" x="2225"/>
        <item sd="0" m="1" x="5847"/>
        <item sd="0" m="1" x="6544"/>
        <item sd="0" m="1" x="7104"/>
        <item sd="0" m="1" x="1587"/>
        <item sd="0" m="1" x="2296"/>
        <item sd="0" m="1" x="3133"/>
        <item sd="0" m="1" x="4084"/>
        <item sd="0" m="1" x="172"/>
        <item sd="0" m="1" x="258"/>
        <item sd="0" m="1" x="457"/>
        <item sd="0" m="1" x="2802"/>
        <item sd="0" m="1" x="3707"/>
        <item sd="0" m="1" x="4655"/>
        <item sd="0" m="1" x="5553"/>
        <item sd="0" m="1" x="511"/>
        <item sd="0" m="1" x="871"/>
        <item sd="0" m="1" x="4713"/>
        <item sd="0" m="1" x="5614"/>
        <item sd="0" m="1" x="6373"/>
        <item sd="0" m="1" x="6962"/>
        <item sd="0" m="1" x="1419"/>
        <item sd="0" m="1" x="2071"/>
        <item sd="0" m="1" x="162"/>
        <item sd="0" m="1" x="1796"/>
        <item sd="0" m="1" x="2582"/>
        <item sd="0" m="1" x="3456"/>
        <item sd="0" m="1" x="4400"/>
        <item sd="0" m="1" x="426"/>
        <item sd="0" m="1" x="3505"/>
        <item sd="0" m="1" x="4478"/>
        <item sd="0" m="1" x="5401"/>
        <item sd="0" m="1" x="1261"/>
        <item sd="0" m="1" x="1708"/>
        <item sd="0" m="1" x="2452"/>
        <item sd="0" m="1" x="3317"/>
        <item sd="0" m="1" x="7256"/>
        <item sd="0" m="1" x="3396"/>
        <item sd="0" m="1" x="4346"/>
        <item sd="0" m="1" x="5281"/>
        <item sd="0" m="1" x="7907"/>
        <item sd="0" m="1" x="5332"/>
        <item sd="0" m="1" x="6143"/>
        <item sd="0" m="1" x="617"/>
        <item sd="0" m="1" x="1011"/>
        <item sd="0" m="1" x="1538"/>
        <item sd="0" m="1" x="2252"/>
        <item sd="0" m="1" x="6581"/>
        <item sd="0" m="1" x="7130"/>
        <item sd="0" m="1" x="1620"/>
        <item sd="0" m="1" x="2330"/>
        <item sd="0" m="1" x="3167"/>
        <item sd="0" m="1" x="4111"/>
        <item sd="0" m="1" x="7589"/>
        <item sd="0" m="1" x="7860"/>
        <item sd="0" m="1" x="3228"/>
        <item sd="0" m="1" x="4159"/>
        <item sd="0" m="1" x="5104"/>
        <item sd="0" m="1" x="5951"/>
        <item sd="0" m="1" x="2392"/>
        <item sd="0" m="1" x="3267"/>
        <item sd="0" m="1" x="4229"/>
        <item sd="0" m="1" x="4274"/>
        <item sd="0" m="1" x="5237"/>
        <item sd="0" m="1" x="6076"/>
        <item sd="0" m="1" x="962"/>
        <item sd="0" m="1" x="1475"/>
        <item sd="0" m="1" x="2200"/>
        <item sd="0" m="1" x="3046"/>
        <item sd="0" m="1" x="2253"/>
        <item sd="0" m="1" x="3102"/>
        <item sd="0" m="1" x="4051"/>
        <item sd="0" m="1" x="5009"/>
        <item sd="0" m="1" x="4112"/>
        <item sd="0" m="1" x="5065"/>
        <item sd="0" m="1" x="475"/>
        <item sd="0" m="1" x="843"/>
        <item sd="0" m="1" x="1325"/>
        <item sd="0" m="1" x="1999"/>
        <item sd="0" m="1" x="5593"/>
        <item sd="0" m="1" x="6339"/>
        <item sd="0" m="1" x="1367"/>
        <item sd="0" m="1" x="2041"/>
        <item sd="0" m="1" x="2851"/>
        <item sd="0" m="1" x="3777"/>
        <item sd="0" m="1" x="6989"/>
        <item sd="0" m="1" x="7438"/>
        <item sd="0" m="1" x="2926"/>
        <item sd="0" m="1" x="3848"/>
        <item sd="0" m="1" x="4799"/>
        <item sd="0" m="1" x="234"/>
        <item sd="0" m="1" x="400"/>
        <item sd="0" m="1" x="730"/>
        <item sd="0" m="1" x="4439"/>
        <item sd="0" m="1" x="5355"/>
        <item sd="0" m="1" x="6157"/>
        <item sd="0" m="1" x="770"/>
        <item sd="0" m="1" x="1230"/>
        <item sd="0" m="1" x="1846"/>
        <item sd="0" m="1" x="6214"/>
        <item sd="0" m="1" x="6847"/>
        <item sd="0" m="1" x="7328"/>
        <item sd="0" m="1" x="1924"/>
        <item sd="0" m="1" x="2707"/>
        <item sd="0" m="1" x="3593"/>
        <item sd="0" m="1" x="212"/>
        <item sd="0" m="1" x="345"/>
        <item sd="0" m="1" x="3240"/>
        <item sd="0" m="1" x="4181"/>
        <item sd="0" m="1" x="5117"/>
        <item sd="0" m="1" x="674"/>
        <item sd="0" m="1" x="1086"/>
        <item sd="0" m="1" x="5170"/>
        <item sd="0" m="1" x="6022"/>
        <item sd="0" m="1" x="6680"/>
        <item sd="0" m="1" x="1709"/>
        <item sd="0" m="1" x="2453"/>
        <item sd="0" m="1" x="808"/>
        <item sd="0" m="1" x="1262"/>
        <item sd="0" m="1" x="1881"/>
        <item sd="0" m="1" x="6269"/>
        <item sd="0" m="1" x="6876"/>
        <item sd="0" m="1" x="7358"/>
        <item sd="0" m="1" x="1967"/>
        <item sd="0" m="1" x="2742"/>
        <item sd="0" m="1" x="3628"/>
        <item sd="0" m="1" x="7416"/>
        <item sd="0" m="1" x="7746"/>
        <item sd="0" m="1" x="7944"/>
        <item sd="0" m="1" x="3686"/>
        <item sd="0" m="1" x="4637"/>
        <item sd="0" m="1" x="5535"/>
        <item sd="0" m="1" x="701"/>
        <item sd="0" m="1" x="1122"/>
        <item sd="0" m="1" x="5211"/>
        <item sd="0" m="1" x="6050"/>
        <item sd="0" m="1" x="6715"/>
        <item sd="0" m="1" x="1765"/>
        <item sd="0" m="1" x="2511"/>
        <item sd="0" m="1" x="6773"/>
        <item sd="0" m="1" x="7292"/>
        <item sd="0" m="1" x="7670"/>
        <item sd="0" m="1" x="3439"/>
        <item sd="0" m="1" x="4380"/>
        <item sd="0" m="1" x="590"/>
        <item sd="0" m="1" x="3081"/>
        <item sd="0" m="1" x="4018"/>
        <item sd="0" m="1" x="4981"/>
        <item sd="0" m="1" x="5848"/>
        <item sd="0" m="1" x="1588"/>
        <item sd="0" m="1" x="5044"/>
        <item sd="0" m="1" x="5904"/>
        <item sd="0" m="1" x="6626"/>
        <item sd="0" m="1" x="7167"/>
        <item sd="0" m="1" x="3204"/>
        <item sd="0" m="1" x="2021"/>
        <item sd="0" m="1" x="2824"/>
        <item sd="0" m="1" x="3750"/>
        <item sd="0" m="1" x="4714"/>
        <item sd="0" m="1" x="3807"/>
        <item sd="0" m="1" x="4772"/>
        <item sd="0" m="1" x="5680"/>
        <item sd="0" m="1" x="6438"/>
        <item sd="0" m="1" x="5720"/>
        <item sd="0" m="1" x="1204"/>
        <item sd="0" m="1" x="1823"/>
        <item sd="0" m="1" x="2617"/>
        <item sd="0" m="1" x="6834"/>
        <item sd="0" m="1" x="2670"/>
        <item sd="0" m="1" x="3570"/>
        <item sd="0" m="1" x="4538"/>
        <item sd="0" m="1" x="7721"/>
        <item sd="0" m="1" x="4592"/>
        <item sd="0" m="1" x="259"/>
        <item sd="0" m="1" x="458"/>
        <item sd="0" m="1" x="2803"/>
        <item sd="0" m="1" x="3708"/>
        <item sd="0" m="1" x="4656"/>
        <item sd="0" m="1" x="5554"/>
        <item sd="0" m="1" x="872"/>
        <item sd="0" m="1" x="4715"/>
        <item sd="0" m="1" x="5615"/>
        <item sd="0" m="1" x="6374"/>
        <item sd="0" m="1" x="6963"/>
        <item sd="0" m="1" x="2072"/>
        <item sd="0" m="1" x="1797"/>
        <item sd="0" m="1" x="2583"/>
        <item sd="0" m="1" x="3457"/>
        <item sd="0" m="1" x="4401"/>
        <item sd="0" m="1" x="3506"/>
        <item sd="0" m="1" x="4479"/>
        <item sd="0" m="1" x="5402"/>
        <item sd="0" m="1" x="1710"/>
        <item sd="0" m="1" x="2454"/>
        <item sd="0" m="1" x="3318"/>
        <item sd="0" m="1" x="7257"/>
        <item sd="0" m="1" x="7642"/>
        <item sd="0" m="1" x="3397"/>
        <item sd="0" m="1" x="4347"/>
        <item sd="0" m="1" x="5282"/>
        <item sd="0" m="1" x="7908"/>
        <item sd="0" m="1" x="97"/>
        <item sd="0" m="1" x="5333"/>
        <item sd="0" m="1" x="6144"/>
        <item sd="0" m="1" x="6798"/>
        <item sd="0" m="1" x="1012"/>
        <item sd="0" m="1" x="1539"/>
        <item sd="0" m="1" x="2254"/>
        <item sd="0" m="1" x="6582"/>
        <item sd="0" m="1" x="7131"/>
        <item sd="0" m="1" x="7552"/>
        <item sd="0" m="1" x="2331"/>
        <item sd="0" m="1" x="3168"/>
        <item sd="0" m="1" x="4113"/>
        <item sd="0" m="1" x="7590"/>
        <item sd="0" m="1" x="7861"/>
        <item sd="0" m="1" x="75"/>
        <item sd="0" m="1" x="4160"/>
        <item sd="0" m="1" x="5105"/>
        <item sd="0" m="1" x="5952"/>
        <item sd="0" m="1" x="809"/>
        <item sd="0" m="1" x="1263"/>
        <item sd="0" m="1" x="1882"/>
        <item sd="0" m="1" x="6270"/>
        <item sd="0" m="1" x="6877"/>
        <item sd="0" m="1" x="1968"/>
        <item sd="0" m="1" x="2743"/>
        <item sd="0" m="1" x="3629"/>
        <item sd="0" m="1" x="7417"/>
        <item sd="0" m="1" x="7747"/>
        <item sd="0" m="1" x="3687"/>
        <item sd="0" m="1" x="4638"/>
        <item sd="0" m="1" x="5536"/>
        <item sd="0" m="1" x="2022"/>
        <item sd="0" m="1" x="2825"/>
        <item sd="0" m="1" x="3751"/>
        <item sd="0" m="1" x="4716"/>
        <item sd="0" m="1" x="3808"/>
        <item sd="0" m="1" x="4773"/>
        <item sd="0" m="1" x="5681"/>
        <item sd="0" m="1" x="6439"/>
        <item sd="0" m="1" x="1205"/>
        <item sd="0" m="1" x="1824"/>
        <item sd="0" m="1" x="2618"/>
        <item sd="0" m="1" x="2671"/>
        <item sd="0" m="1" x="3571"/>
        <item sd="0" m="1" x="4539"/>
        <item sd="0" m="1" x="4593"/>
        <item sd="0" m="1" x="370"/>
        <item sd="0" m="1" x="646"/>
        <item sd="0" m="1" x="1063"/>
        <item sd="0" m="1" x="1635"/>
        <item sd="0" m="1" x="5996"/>
        <item sd="0" m="1" x="1123"/>
        <item sd="0" m="1" x="1673"/>
        <item sd="0" m="1" x="2427"/>
        <item sd="0" m="1" x="3295"/>
        <item sd="0" m="1" x="7224"/>
        <item sd="0" m="1" x="2512"/>
        <item sd="0" m="1" x="3357"/>
        <item sd="0" m="1" x="4316"/>
        <item sd="0" m="1" x="197"/>
        <item sd="0" m="1" x="305"/>
        <item sd="0" m="1" x="541"/>
        <item sd="0" m="1" x="942"/>
        <item sd="0" m="1" x="3970"/>
        <item sd="0" m="1" x="4916"/>
        <item sd="0" m="1" x="5772"/>
        <item sd="0" m="1" x="591"/>
        <item sd="0" m="1" x="982"/>
        <item sd="0" m="1" x="1507"/>
        <item sd="0" m="1" x="2226"/>
        <item sd="0" m="1" x="5849"/>
        <item sd="0" m="1" x="6545"/>
        <item sd="0" m="1" x="7105"/>
        <item sd="0" m="1" x="1589"/>
        <item sd="0" m="1" x="2297"/>
        <item sd="0" m="1" x="3134"/>
        <item sd="0" m="1" x="4085"/>
        <item sd="0" m="1" x="173"/>
        <item sd="0" m="1" x="260"/>
        <item sd="0" m="1" x="459"/>
        <item sd="0" m="1" x="2804"/>
        <item sd="0" m="1" x="3709"/>
        <item sd="0" m="1" x="4657"/>
        <item sd="0" m="1" x="5555"/>
        <item sd="0" m="1" x="512"/>
        <item sd="0" m="1" x="873"/>
        <item sd="0" m="1" x="4717"/>
        <item sd="0" m="1" x="5616"/>
        <item sd="0" m="1" x="6375"/>
        <item sd="0" m="1" x="6964"/>
        <item sd="0" m="1" x="1420"/>
        <item sd="0" m="1" x="2073"/>
        <item sd="0" m="1" x="618"/>
        <item sd="0" m="1" x="1013"/>
        <item sd="0" m="1" x="1540"/>
        <item sd="0" m="1" x="2255"/>
        <item sd="0" m="1" x="6583"/>
        <item sd="0" m="1" x="7132"/>
        <item sd="0" m="1" x="1621"/>
        <item sd="0" m="1" x="2332"/>
        <item sd="0" m="1" x="3169"/>
        <item sd="0" m="1" x="4114"/>
        <item sd="0" m="1" x="7591"/>
        <item sd="0" m="1" x="7862"/>
        <item sd="0" m="1" x="3229"/>
        <item sd="0" m="1" x="4161"/>
        <item sd="0" m="1" x="5106"/>
        <item sd="0" m="1" x="5953"/>
        <item sd="0" m="1" x="524"/>
        <item sd="0" m="1" x="903"/>
        <item sd="0" m="1" x="1368"/>
        <item sd="0" m="1" x="4750"/>
        <item sd="0" m="1" x="5640"/>
        <item sd="0" m="1" x="6404"/>
        <item sd="0" m="1" x="6990"/>
        <item sd="0" m="1" x="1444"/>
        <item sd="0" m="1" x="2129"/>
        <item sd="0" m="1" x="2927"/>
        <item sd="0" m="1" x="6461"/>
        <item sd="0" m="1" x="7048"/>
        <item sd="0" m="1" x="7506"/>
        <item sd="0" m="1" x="7806"/>
        <item sd="0" m="1" x="2998"/>
        <item sd="0" m="1" x="3912"/>
        <item sd="0" m="1" x="4869"/>
        <item sd="0" m="1" x="436"/>
        <item sd="0" m="1" x="3535"/>
        <item sd="0" m="1" x="4502"/>
        <item sd="0" m="1" x="5428"/>
        <item sd="0" m="1" x="6215"/>
        <item sd="0" m="1" x="1299"/>
        <item sd="0" m="1" x="5478"/>
        <item sd="0" m="1" x="6291"/>
        <item sd="0" m="1" x="6912"/>
        <item sd="0" m="1" x="7388"/>
        <item sd="0" m="1" x="2775"/>
        <item sd="0" m="1" x="2393"/>
        <item sd="0" m="1" x="3268"/>
        <item sd="0" m="1" x="4230"/>
        <item sd="0" m="1" x="4275"/>
        <item sd="0" m="1" x="5238"/>
        <item sd="0" m="1" x="6077"/>
        <item sd="0" m="1" x="963"/>
        <item sd="0" m="1" x="1476"/>
        <item sd="0" m="1" x="2201"/>
        <item sd="0" m="1" x="3047"/>
        <item sd="0" m="1" x="2256"/>
        <item sd="0" m="1" x="3103"/>
        <item sd="0" m="1" x="4052"/>
        <item sd="0" m="1" x="5010"/>
        <item sd="0" m="1" x="4115"/>
        <item sd="0" m="1" x="5066"/>
        <item sd="0" m="1" x="213"/>
        <item sd="0" m="1" x="346"/>
        <item sd="0" m="1" x="3241"/>
        <item sd="0" m="1" x="4182"/>
        <item sd="0" m="1" x="5118"/>
        <item sd="0" m="1" x="675"/>
        <item sd="0" m="1" x="1087"/>
        <item sd="0" m="1" x="5171"/>
        <item sd="0" m="1" x="6023"/>
        <item sd="0" m="1" x="6681"/>
        <item sd="0" m="1" x="1711"/>
        <item sd="0" m="1" x="2455"/>
        <item sd="0" m="1" x="182"/>
        <item sd="0" m="1" x="1462"/>
        <item sd="0" m="1" x="2171"/>
        <item sd="0" m="1" x="3007"/>
        <item sd="0" m="1" x="3924"/>
        <item sd="0" m="1" x="566"/>
        <item sd="0" m="1" x="3048"/>
        <item sd="0" m="1" x="3993"/>
        <item sd="0" m="1" x="4950"/>
        <item sd="0" m="1" x="5816"/>
        <item sd="0" m="1" x="1541"/>
        <item sd="0" m="1" x="1421"/>
        <item sd="0" m="1" x="2074"/>
        <item sd="0" m="1" x="2885"/>
        <item sd="0" m="1" x="3809"/>
        <item sd="0" m="1" x="7031"/>
        <item sd="0" m="1" x="7472"/>
        <item sd="0" m="1" x="2980"/>
        <item sd="0" m="1" x="3878"/>
        <item sd="0" m="1" x="4836"/>
        <item sd="0" m="1" x="5721"/>
        <item sd="0" m="1" x="7832"/>
        <item sd="0" m="1" x="7974"/>
        <item sd="0" m="1" x="4902"/>
        <item sd="0" m="1" x="5758"/>
        <item sd="0" m="1" x="6488"/>
        <item sd="0" m="1" x="810"/>
        <item sd="0" m="1" x="1264"/>
        <item sd="0" m="1" x="1883"/>
        <item sd="0" m="1" x="6271"/>
        <item sd="0" m="1" x="6878"/>
        <item sd="0" m="1" x="7359"/>
        <item sd="0" m="1" x="1969"/>
        <item sd="0" m="1" x="2744"/>
        <item sd="0" m="1" x="3630"/>
        <item sd="0" m="1" x="7418"/>
        <item sd="0" m="1" x="7748"/>
        <item sd="0" m="1" x="7945"/>
        <item sd="0" m="1" x="3688"/>
        <item sd="0" m="1" x="4639"/>
        <item sd="0" m="1" x="5537"/>
        <item sd="0" m="1" x="702"/>
        <item sd="0" m="1" x="1124"/>
        <item sd="0" m="1" x="5212"/>
        <item sd="0" m="1" x="6051"/>
        <item sd="0" m="1" x="6716"/>
        <item sd="0" m="1" x="1766"/>
        <item sd="0" m="1" x="2513"/>
        <item sd="0" m="1" x="6774"/>
        <item sd="0" m="1" x="7293"/>
        <item sd="0" m="1" x="7671"/>
        <item sd="0" m="1" x="3440"/>
        <item sd="0" m="1" x="4381"/>
        <item sd="0" m="1" x="1206"/>
        <item sd="0" m="1" x="1825"/>
        <item sd="0" m="1" x="2619"/>
        <item sd="0" m="1" x="6835"/>
        <item sd="0" m="1" x="2672"/>
        <item sd="0" m="1" x="3572"/>
        <item sd="0" m="1" x="4540"/>
        <item sd="0" m="1" x="7722"/>
        <item sd="0" m="1" x="4594"/>
        <item sd="0" m="1" x="5511"/>
        <item sd="0" m="1" x="371"/>
        <item sd="0" m="1" x="647"/>
        <item sd="0" m="1" x="1064"/>
        <item sd="0" m="1" x="1636"/>
        <item sd="0" m="1" x="5997"/>
        <item sd="0" m="1" x="6663"/>
        <item sd="0" m="1" x="1125"/>
        <item sd="0" m="1" x="1674"/>
        <item sd="0" m="1" x="2428"/>
        <item sd="0" m="1" x="3296"/>
        <item sd="0" m="1" x="7225"/>
        <item sd="0" m="1" x="7627"/>
        <item sd="0" m="1" x="2514"/>
        <item sd="0" m="1" x="3358"/>
        <item sd="0" m="1" x="4317"/>
        <item sd="0" m="1" x="5264"/>
        <item sd="0" m="1" x="306"/>
        <item sd="0" m="1" x="542"/>
        <item sd="0" m="1" x="943"/>
        <item sd="0" m="1" x="3971"/>
        <item sd="0" m="1" x="4917"/>
        <item sd="0" m="1" x="5773"/>
        <item sd="0" m="1" x="6496"/>
        <item sd="0" m="1" x="983"/>
        <item sd="0" m="1" x="1508"/>
        <item sd="0" m="1" x="2227"/>
        <item sd="0" m="1" x="5850"/>
        <item sd="0" m="1" x="6546"/>
        <item sd="0" m="1" x="7106"/>
        <item sd="0" m="1" x="7538"/>
        <item sd="0" m="1" x="2298"/>
        <item sd="0" m="1" x="3135"/>
        <item sd="0" m="1" x="4086"/>
        <item sd="0" m="1" x="261"/>
        <item sd="0" m="1" x="460"/>
        <item sd="0" m="1" x="2805"/>
        <item sd="0" m="1" x="3710"/>
        <item sd="0" m="1" x="4658"/>
        <item sd="0" m="1" x="5556"/>
        <item sd="0" m="1" x="874"/>
        <item sd="0" m="1" x="4718"/>
        <item sd="0" m="1" x="5617"/>
        <item sd="0" m="1" x="6376"/>
        <item sd="0" m="1" x="6965"/>
        <item sd="0" m="1" x="2075"/>
        <item sd="0" m="1" x="1798"/>
        <item sd="0" m="1" x="2584"/>
        <item sd="0" m="1" x="3458"/>
        <item sd="0" m="1" x="4402"/>
        <item sd="0" m="1" x="3507"/>
        <item sd="0" m="1" x="4480"/>
        <item sd="0" m="1" x="5403"/>
        <item sd="0" m="1" x="392"/>
        <item sd="0" m="1" x="703"/>
        <item sd="0" m="1" x="1126"/>
        <item sd="0" m="1" x="5213"/>
        <item sd="0" m="1" x="6052"/>
        <item sd="0" m="1" x="6717"/>
        <item sd="0" m="1" x="1176"/>
        <item sd="0" m="1" x="1767"/>
        <item sd="0" m="1" x="2515"/>
        <item sd="0" m="1" x="6775"/>
        <item sd="0" m="1" x="7294"/>
        <item sd="0" m="1" x="7672"/>
        <item sd="0" m="1" x="2573"/>
        <item sd="0" m="1" x="3441"/>
        <item sd="0" m="1" x="4382"/>
        <item sd="0" m="1" x="338"/>
        <item sd="0" m="1" x="592"/>
        <item sd="0" m="1" x="3082"/>
        <item sd="0" m="1" x="4019"/>
        <item sd="0" m="1" x="4982"/>
        <item sd="0" m="1" x="5851"/>
        <item sd="0" m="1" x="1052"/>
        <item sd="0" m="1" x="1590"/>
        <item sd="0" m="1" x="5045"/>
        <item sd="0" m="1" x="5905"/>
        <item sd="0" m="1" x="6627"/>
        <item sd="0" m="1" x="7168"/>
        <item sd="0" m="1" x="2371"/>
        <item sd="0" m="1" x="3205"/>
        <item sd="0" m="1" x="2023"/>
        <item sd="0" m="1" x="2826"/>
        <item sd="0" m="1" x="3752"/>
        <item sd="0" m="1" x="4719"/>
        <item sd="0" m="1" x="3810"/>
        <item sd="0" m="1" x="4774"/>
        <item sd="0" m="1" x="5682"/>
        <item sd="0" m="1" x="6440"/>
        <item sd="0" m="1" x="1207"/>
        <item sd="0" m="1" x="1826"/>
        <item sd="0" m="1" x="2620"/>
        <item sd="0" m="1" x="2673"/>
        <item sd="0" m="1" x="3573"/>
        <item sd="0" m="1" x="4541"/>
        <item sd="0" m="1" x="4595"/>
        <item sd="0" m="1" x="372"/>
        <item sd="0" m="1" x="648"/>
        <item sd="0" m="1" x="1065"/>
        <item sd="0" m="1" x="1637"/>
        <item sd="0" m="1" x="5998"/>
        <item sd="0" m="1" x="1127"/>
        <item sd="0" m="1" x="1675"/>
        <item sd="0" m="1" x="2429"/>
        <item sd="0" m="1" x="3297"/>
        <item sd="0" m="1" x="7226"/>
        <item sd="0" m="1" x="2516"/>
        <item sd="0" m="1" x="3359"/>
        <item sd="0" m="1" x="4318"/>
        <item sd="0" m="1" x="163"/>
        <item sd="0" m="1" x="1799"/>
        <item sd="0" m="1" x="2585"/>
        <item sd="0" m="1" x="3459"/>
        <item sd="0" m="1" x="4403"/>
        <item sd="0" m="1" x="427"/>
        <item sd="0" m="1" x="3508"/>
        <item sd="0" m="1" x="4481"/>
        <item sd="0" m="1" x="5404"/>
        <item sd="0" m="1" x="1265"/>
        <item sd="0" m="1" x="1712"/>
        <item sd="0" m="1" x="2456"/>
        <item sd="0" m="1" x="3319"/>
        <item sd="0" m="1" x="7258"/>
        <item sd="0" m="1" x="3398"/>
        <item sd="0" m="1" x="4348"/>
        <item sd="0" m="1" x="5283"/>
        <item sd="0" m="1" x="7909"/>
        <item sd="0" m="1" x="5334"/>
        <item sd="0" m="1" x="6145"/>
        <item sd="0" m="1" x="619"/>
        <item sd="0" m="1" x="1014"/>
        <item sd="0" m="1" x="1542"/>
        <item sd="0" m="1" x="2257"/>
        <item sd="0" m="1" x="6584"/>
        <item sd="0" m="1" x="7133"/>
        <item sd="0" m="1" x="1622"/>
        <item sd="0" m="1" x="2333"/>
        <item sd="0" m="1" x="3170"/>
        <item sd="0" m="1" x="4116"/>
        <item sd="0" m="1" x="7592"/>
        <item sd="0" m="1" x="7863"/>
        <item sd="0" m="1" x="3230"/>
        <item sd="0" m="1" x="4162"/>
        <item sd="0" m="1" x="5107"/>
        <item sd="0" m="1" x="5954"/>
        <item sd="0" m="1" x="525"/>
        <item sd="0" m="1" x="904"/>
        <item sd="0" m="1" x="1369"/>
        <item sd="0" m="1" x="4751"/>
        <item sd="0" m="1" x="5641"/>
        <item sd="0" m="1" x="6405"/>
        <item sd="0" m="1" x="6991"/>
        <item sd="0" m="1" x="1445"/>
        <item sd="0" m="1" x="2130"/>
        <item sd="0" m="1" x="2928"/>
        <item sd="0" m="1" x="6462"/>
        <item sd="0" m="1" x="7049"/>
        <item sd="0" m="1" x="7507"/>
        <item sd="0" m="1" x="7807"/>
        <item sd="0" m="1" x="2999"/>
        <item sd="0" m="1" x="3913"/>
        <item sd="0" m="1" x="4870"/>
        <item sd="0" m="1" x="437"/>
        <item sd="0" m="1" x="3536"/>
        <item sd="0" m="1" x="4503"/>
        <item sd="0" m="1" x="5429"/>
        <item sd="0" m="1" x="6216"/>
        <item sd="0" m="1" x="1300"/>
        <item sd="0" m="1" x="5479"/>
        <item sd="0" m="1" x="6292"/>
        <item sd="0" m="1" x="6913"/>
        <item sd="0" m="1" x="7389"/>
        <item sd="0" m="1" x="2776"/>
        <item sd="0" m="1" x="476"/>
        <item sd="0" m="1" x="844"/>
        <item sd="0" m="1" x="1326"/>
        <item sd="0" m="1" x="2000"/>
        <item sd="0" m="1" x="5594"/>
        <item sd="0" m="1" x="6340"/>
        <item sd="0" m="1" x="1370"/>
        <item sd="0" m="1" x="2042"/>
        <item sd="0" m="1" x="2852"/>
        <item sd="0" m="1" x="3778"/>
        <item sd="0" m="1" x="6992"/>
        <item sd="0" m="1" x="7439"/>
        <item sd="0" m="1" x="2929"/>
        <item sd="0" m="1" x="3849"/>
        <item sd="0" m="1" x="4800"/>
        <item sd="0" m="1" x="235"/>
        <item sd="0" m="1" x="401"/>
        <item sd="0" m="1" x="731"/>
        <item sd="0" m="1" x="4440"/>
        <item sd="0" m="1" x="5356"/>
        <item sd="0" m="1" x="6158"/>
        <item sd="0" m="1" x="771"/>
        <item sd="0" m="1" x="1231"/>
        <item sd="0" m="1" x="1847"/>
        <item sd="0" m="1" x="6217"/>
        <item sd="0" m="1" x="6848"/>
        <item sd="0" m="1" x="7329"/>
        <item sd="0" m="1" x="1925"/>
        <item sd="0" m="1" x="2708"/>
        <item sd="0" m="1" x="3594"/>
        <item sd="0" m="1" x="214"/>
        <item sd="0" m="1" x="347"/>
        <item sd="0" m="1" x="3242"/>
        <item sd="0" m="1" x="4183"/>
        <item sd="0" m="1" x="5119"/>
        <item sd="0" m="1" x="676"/>
        <item sd="0" m="1" x="1088"/>
        <item sd="0" m="1" x="5172"/>
        <item sd="0" m="1" x="6024"/>
        <item sd="0" m="1" x="6682"/>
        <item sd="0" m="1" x="1713"/>
        <item sd="0" m="1" x="2457"/>
        <item sd="0" m="1" x="183"/>
        <item sd="0" m="1" x="1463"/>
        <item sd="0" m="1" x="2172"/>
        <item sd="0" m="1" x="3008"/>
        <item sd="0" m="1" x="3925"/>
        <item sd="0" m="1" x="567"/>
        <item sd="0" m="1" x="3049"/>
        <item sd="0" m="1" x="3994"/>
        <item sd="0" m="1" x="4951"/>
        <item sd="0" m="1" x="5817"/>
        <item sd="0" m="1" x="1543"/>
        <item sd="0" m="1" x="1422"/>
        <item sd="0" m="1" x="2076"/>
        <item sd="0" m="1" x="2886"/>
        <item sd="0" m="1" x="3811"/>
        <item sd="0" m="1" x="7032"/>
        <item sd="0" m="1" x="7473"/>
        <item sd="0" m="1" x="2981"/>
        <item sd="0" m="1" x="3879"/>
        <item sd="0" m="1" x="4837"/>
        <item sd="0" m="1" x="5722"/>
        <item sd="0" m="1" x="7833"/>
        <item sd="0" m="1" x="7975"/>
        <item sd="0" m="1" x="4903"/>
        <item sd="0" m="1" x="5759"/>
        <item sd="0" m="1" x="6489"/>
        <item sd="0" m="1" x="593"/>
        <item sd="0" m="1" x="3083"/>
        <item sd="0" m="1" x="4020"/>
        <item sd="0" m="1" x="4983"/>
        <item sd="0" m="1" x="5852"/>
        <item sd="0" m="1" x="1591"/>
        <item sd="0" m="1" x="5046"/>
        <item sd="0" m="1" x="5906"/>
        <item sd="0" m="1" x="6628"/>
        <item sd="0" m="1" x="7169"/>
        <item sd="0" m="1" x="3206"/>
        <item sd="0" m="1" x="2024"/>
        <item sd="0" m="1" x="2827"/>
        <item sd="0" m="1" x="3753"/>
        <item sd="0" m="1" x="4720"/>
        <item sd="0" m="1" x="3812"/>
        <item sd="0" m="1" x="4775"/>
        <item sd="0" m="1" x="5683"/>
        <item sd="0" m="1" x="6441"/>
        <item sd="0" m="1" x="5723"/>
        <item sd="0" m="1" x="1208"/>
        <item sd="0" m="1" x="1827"/>
        <item sd="0" m="1" x="2621"/>
        <item sd="0" m="1" x="6836"/>
        <item sd="0" m="1" x="2674"/>
        <item sd="0" m="1" x="3574"/>
        <item sd="0" m="1" x="4542"/>
        <item sd="0" m="1" x="7723"/>
        <item sd="0" m="1" x="4596"/>
        <item sd="0" m="1" x="5512"/>
        <item sd="0" m="1" x="373"/>
        <item sd="0" m="1" x="649"/>
        <item sd="0" m="1" x="1066"/>
        <item sd="0" m="1" x="1638"/>
        <item sd="0" m="1" x="5999"/>
        <item sd="0" m="1" x="6664"/>
        <item sd="0" m="1" x="1128"/>
        <item sd="0" m="1" x="1676"/>
        <item sd="0" m="1" x="2430"/>
        <item sd="0" m="1" x="3298"/>
        <item sd="0" m="1" x="7227"/>
        <item sd="0" m="1" x="7628"/>
        <item sd="0" m="1" x="2517"/>
        <item sd="0" m="1" x="3360"/>
        <item sd="0" m="1" x="4319"/>
        <item sd="0" m="1" x="5265"/>
        <item sd="0" m="1" x="307"/>
        <item sd="0" m="1" x="543"/>
        <item sd="0" m="1" x="944"/>
        <item sd="0" m="1" x="3972"/>
        <item sd="0" m="1" x="4918"/>
        <item sd="0" m="1" x="5774"/>
        <item sd="0" m="1" x="6497"/>
        <item sd="0" m="1" x="984"/>
        <item sd="0" m="1" x="1509"/>
        <item sd="0" m="1" x="2228"/>
        <item sd="0" m="1" x="5853"/>
        <item sd="0" m="1" x="6547"/>
        <item sd="0" m="1" x="7107"/>
        <item sd="0" m="1" x="7539"/>
        <item sd="0" m="1" x="2299"/>
        <item sd="0" m="1" x="3136"/>
        <item sd="0" m="1" x="4087"/>
        <item sd="0" m="1" x="1714"/>
        <item sd="0" m="1" x="2458"/>
        <item sd="0" m="1" x="3320"/>
        <item sd="0" m="1" x="7259"/>
        <item sd="0" m="1" x="7643"/>
        <item sd="0" m="1" x="3399"/>
        <item sd="0" m="1" x="4349"/>
        <item sd="0" m="1" x="5284"/>
        <item sd="0" m="1" x="7910"/>
        <item sd="0" m="1" x="98"/>
        <item sd="0" m="1" x="5335"/>
        <item sd="0" m="1" x="6146"/>
        <item sd="0" m="1" x="6799"/>
        <item sd="0" m="1" x="1015"/>
        <item sd="0" m="1" x="1544"/>
        <item sd="0" m="1" x="2258"/>
        <item sd="0" m="1" x="6585"/>
        <item sd="0" m="1" x="7134"/>
        <item sd="0" m="1" x="7553"/>
        <item sd="0" m="1" x="2334"/>
        <item sd="0" m="1" x="3171"/>
        <item sd="0" m="1" x="4117"/>
        <item sd="0" m="1" x="7593"/>
        <item sd="0" m="1" x="7864"/>
        <item sd="0" m="1" x="76"/>
        <item sd="0" m="1" x="4163"/>
        <item sd="0" m="1" x="5108"/>
        <item sd="0" m="1" x="5955"/>
        <item sd="0" m="1" x="811"/>
        <item sd="0" m="1" x="1266"/>
        <item sd="0" m="1" x="1884"/>
        <item sd="0" m="1" x="6272"/>
        <item sd="0" m="1" x="6879"/>
        <item sd="0" m="1" x="1970"/>
        <item sd="0" m="1" x="2745"/>
        <item sd="0" m="1" x="3631"/>
        <item sd="0" m="1" x="7419"/>
        <item sd="0" m="1" x="7749"/>
        <item sd="0" m="1" x="3689"/>
        <item sd="0" m="1" x="4640"/>
        <item sd="0" m="1" x="5538"/>
        <item sd="0" m="1" x="393"/>
        <item sd="0" m="1" x="704"/>
        <item sd="0" m="1" x="1129"/>
        <item sd="0" m="1" x="5214"/>
        <item sd="0" m="1" x="6053"/>
        <item sd="0" m="1" x="6718"/>
        <item sd="0" m="1" x="1177"/>
        <item sd="0" m="1" x="1768"/>
        <item sd="0" m="1" x="2518"/>
        <item sd="0" m="1" x="6776"/>
        <item sd="0" m="1" x="7295"/>
        <item sd="0" m="1" x="7673"/>
        <item sd="0" m="1" x="2574"/>
        <item sd="0" m="1" x="3442"/>
        <item sd="0" m="1" x="4383"/>
        <item sd="0" m="1" x="339"/>
        <item sd="0" m="1" x="594"/>
        <item sd="0" m="1" x="3084"/>
        <item sd="0" m="1" x="4021"/>
        <item sd="0" m="1" x="4984"/>
        <item sd="0" m="1" x="5854"/>
        <item sd="0" m="1" x="1053"/>
        <item sd="0" m="1" x="1592"/>
        <item sd="0" m="1" x="5047"/>
        <item sd="0" m="1" x="5907"/>
        <item sd="0" m="1" x="6629"/>
        <item sd="0" m="1" x="7170"/>
        <item sd="0" m="1" x="2372"/>
        <item sd="0" m="1" x="3207"/>
        <item sd="0" m="1" x="374"/>
        <item sd="0" m="1" x="650"/>
        <item sd="0" m="1" x="1067"/>
        <item sd="0" m="1" x="1639"/>
        <item sd="0" m="1" x="6000"/>
        <item sd="0" m="1" x="1130"/>
        <item sd="0" m="1" x="1677"/>
        <item sd="0" m="1" x="2431"/>
        <item sd="0" m="1" x="3299"/>
        <item sd="0" m="1" x="7228"/>
        <item sd="0" m="1" x="2519"/>
        <item sd="0" m="1" x="3361"/>
        <item sd="0" m="1" x="4320"/>
        <item sd="0" m="1" x="198"/>
        <item sd="0" m="1" x="308"/>
        <item sd="0" m="1" x="544"/>
        <item sd="0" m="1" x="945"/>
        <item sd="0" m="1" x="3973"/>
        <item sd="0" m="1" x="4919"/>
        <item sd="0" m="1" x="5775"/>
        <item sd="0" m="1" x="595"/>
        <item sd="0" m="1" x="985"/>
        <item sd="0" m="1" x="1510"/>
        <item sd="0" m="1" x="2229"/>
        <item sd="0" m="1" x="5855"/>
        <item sd="0" m="1" x="6548"/>
        <item sd="0" m="1" x="7108"/>
        <item sd="0" m="1" x="1593"/>
        <item sd="0" m="1" x="2300"/>
        <item sd="0" m="1" x="3137"/>
        <item sd="0" m="1" x="4088"/>
        <item sd="0" m="1" x="174"/>
        <item sd="0" m="1" x="262"/>
        <item sd="0" m="1" x="461"/>
        <item sd="0" m="1" x="2806"/>
        <item sd="0" m="1" x="3711"/>
        <item sd="0" m="1" x="4659"/>
        <item sd="0" m="1" x="5557"/>
        <item sd="0" m="1" x="513"/>
        <item sd="0" m="1" x="875"/>
        <item sd="0" m="1" x="4721"/>
        <item sd="0" m="1" x="5618"/>
        <item sd="0" m="1" x="6377"/>
        <item sd="0" m="1" x="6966"/>
        <item sd="0" m="1" x="1423"/>
        <item sd="0" m="1" x="2077"/>
        <item sd="0" m="1" x="164"/>
        <item sd="0" m="1" x="1800"/>
        <item sd="0" m="1" x="2586"/>
        <item sd="0" m="1" x="3460"/>
        <item sd="0" m="1" x="4404"/>
        <item sd="0" m="1" x="428"/>
        <item sd="0" m="1" x="3509"/>
        <item sd="0" m="1" x="4482"/>
        <item sd="0" m="1" x="5405"/>
        <item sd="0" m="1" x="1267"/>
        <item sd="0" m="1" x="1715"/>
        <item sd="0" m="1" x="2459"/>
        <item sd="0" m="1" x="3321"/>
        <item sd="0" m="1" x="7260"/>
        <item sd="0" m="1" x="3400"/>
        <item sd="0" m="1" x="4350"/>
        <item sd="0" m="1" x="5285"/>
        <item sd="0" m="1" x="7911"/>
        <item sd="0" m="1" x="5336"/>
        <item sd="0" m="1" x="6147"/>
        <item sd="0" m="1" x="438"/>
        <item sd="0" m="1" x="3537"/>
        <item sd="0" m="1" x="4504"/>
        <item sd="0" m="1" x="5430"/>
        <item sd="0" m="1" x="6218"/>
        <item sd="0" m="1" x="1301"/>
        <item sd="0" m="1" x="5480"/>
        <item sd="0" m="1" x="6293"/>
        <item sd="0" m="1" x="6914"/>
        <item sd="0" m="1" x="7390"/>
        <item sd="0" m="1" x="2777"/>
        <item sd="0" m="1" x="2394"/>
        <item sd="0" m="1" x="3269"/>
        <item sd="0" m="1" x="4231"/>
        <item sd="0" m="1" x="4276"/>
        <item sd="0" m="1" x="5239"/>
        <item sd="0" m="1" x="6078"/>
        <item sd="0" m="1" x="964"/>
        <item sd="0" m="1" x="1477"/>
        <item sd="0" m="1" x="2202"/>
        <item sd="0" m="1" x="3050"/>
        <item sd="0" m="1" x="2259"/>
        <item sd="0" m="1" x="3104"/>
        <item sd="0" m="1" x="4053"/>
        <item sd="0" m="1" x="5011"/>
        <item sd="0" m="1" x="4118"/>
        <item sd="0" m="1" x="5067"/>
        <item sd="0" m="1" x="477"/>
        <item sd="0" m="1" x="845"/>
        <item sd="0" m="1" x="1327"/>
        <item sd="0" m="1" x="2001"/>
        <item sd="0" m="1" x="5595"/>
        <item sd="0" m="1" x="6341"/>
        <item sd="0" m="1" x="1371"/>
        <item sd="0" m="1" x="2043"/>
        <item sd="0" m="1" x="2853"/>
        <item sd="0" m="1" x="3779"/>
        <item sd="0" m="1" x="6993"/>
        <item sd="0" m="1" x="7440"/>
        <item sd="0" m="1" x="2930"/>
        <item sd="0" m="1" x="3850"/>
        <item sd="0" m="1" x="4801"/>
        <item sd="0" m="1" x="236"/>
        <item sd="0" m="1" x="402"/>
        <item sd="0" m="1" x="732"/>
        <item sd="0" m="1" x="4441"/>
        <item sd="0" m="1" x="5357"/>
        <item sd="0" m="1" x="6159"/>
        <item sd="0" m="1" x="772"/>
        <item sd="0" m="1" x="1232"/>
        <item sd="0" m="1" x="1848"/>
        <item sd="0" m="1" x="6219"/>
        <item sd="0" m="1" x="6849"/>
        <item sd="0" m="1" x="7330"/>
        <item sd="0" m="1" x="1926"/>
        <item sd="0" m="1" x="2709"/>
        <item sd="0" m="1" x="3595"/>
        <item sd="0" m="1" x="1424"/>
        <item sd="0" m="1" x="2078"/>
        <item sd="0" m="1" x="2887"/>
        <item sd="0" m="1" x="3813"/>
        <item sd="0" m="1" x="7033"/>
        <item sd="0" m="1" x="7474"/>
        <item sd="0" m="1" x="2982"/>
        <item sd="0" m="1" x="3880"/>
        <item sd="0" m="1" x="4838"/>
        <item sd="0" m="1" x="5724"/>
        <item sd="0" m="1" x="7834"/>
        <item sd="0" m="1" x="7976"/>
        <item sd="0" m="1" x="4904"/>
        <item sd="0" m="1" x="5760"/>
        <item sd="0" m="1" x="6490"/>
        <item sd="0" m="1" x="812"/>
        <item sd="0" m="1" x="1268"/>
        <item sd="0" m="1" x="1885"/>
        <item sd="0" m="1" x="6273"/>
        <item sd="0" m="1" x="6880"/>
        <item sd="0" m="1" x="7360"/>
        <item sd="0" m="1" x="1971"/>
        <item sd="0" m="1" x="2746"/>
        <item sd="0" m="1" x="3632"/>
        <item sd="0" m="1" x="7420"/>
        <item sd="0" m="1" x="7750"/>
        <item sd="0" m="1" x="7946"/>
        <item sd="0" m="1" x="3690"/>
        <item sd="0" m="1" x="4641"/>
        <item sd="0" m="1" x="5539"/>
        <item sd="0" m="1" x="705"/>
        <item sd="0" m="1" x="1131"/>
        <item sd="0" m="1" x="5215"/>
        <item sd="0" m="1" x="6054"/>
        <item sd="0" m="1" x="6719"/>
        <item sd="0" m="1" x="1769"/>
        <item sd="0" m="1" x="2520"/>
        <item sd="0" m="1" x="6777"/>
        <item sd="0" m="1" x="7296"/>
        <item sd="0" m="1" x="7674"/>
        <item sd="0" m="1" x="3443"/>
        <item sd="0" m="1" x="4384"/>
        <item sd="0" m="1" x="596"/>
        <item sd="0" m="1" x="3085"/>
        <item sd="0" m="1" x="4022"/>
        <item sd="0" m="1" x="4985"/>
        <item sd="0" m="1" x="5856"/>
        <item sd="0" m="1" x="1594"/>
        <item sd="0" m="1" x="5048"/>
        <item sd="0" m="1" x="5908"/>
        <item sd="0" m="1" x="6630"/>
        <item sd="0" m="1" x="7171"/>
        <item sd="0" m="1" x="3208"/>
        <item sd="0" m="1" x="2025"/>
        <item sd="0" m="1" x="2828"/>
        <item sd="0" m="1" x="3754"/>
        <item sd="0" m="1" x="4722"/>
        <item sd="0" m="1" x="3814"/>
        <item sd="0" m="1" x="4776"/>
        <item sd="0" m="1" x="5684"/>
        <item sd="0" m="1" x="6442"/>
        <item sd="0" m="1" x="5725"/>
        <item sd="0" m="1" x="309"/>
        <item sd="0" m="1" x="545"/>
        <item sd="0" m="1" x="946"/>
        <item sd="0" m="1" x="3974"/>
        <item sd="0" m="1" x="4920"/>
        <item sd="0" m="1" x="5776"/>
        <item sd="0" m="1" x="6498"/>
        <item sd="0" m="1" x="986"/>
        <item sd="0" m="1" x="1511"/>
        <item sd="0" m="1" x="2230"/>
        <item sd="0" m="1" x="5857"/>
        <item sd="0" m="1" x="6549"/>
        <item sd="0" m="1" x="7109"/>
        <item sd="0" m="1" x="7540"/>
        <item sd="0" m="1" x="2301"/>
        <item sd="0" m="1" x="3138"/>
        <item sd="0" m="1" x="4089"/>
        <item sd="0" m="1" x="263"/>
        <item sd="0" m="1" x="462"/>
        <item sd="0" m="1" x="2807"/>
        <item sd="0" m="1" x="3712"/>
        <item sd="0" m="1" x="4660"/>
        <item sd="0" m="1" x="5558"/>
        <item sd="0" m="1" x="876"/>
        <item sd="0" m="1" x="4723"/>
        <item sd="0" m="1" x="5619"/>
        <item sd="0" m="1" x="6378"/>
        <item sd="0" m="1" x="6967"/>
        <item sd="0" m="1" x="2079"/>
        <item sd="0" m="1" x="1801"/>
        <item sd="0" m="1" x="2587"/>
        <item sd="0" m="1" x="3461"/>
        <item sd="0" m="1" x="4405"/>
        <item sd="0" m="1" x="3510"/>
        <item sd="0" m="1" x="4483"/>
        <item sd="0" m="1" x="5406"/>
        <item sd="0" m="1" x="1716"/>
        <item sd="0" m="1" x="2460"/>
        <item sd="0" m="1" x="3322"/>
        <item sd="0" m="1" x="7261"/>
        <item sd="0" m="1" x="7644"/>
        <item sd="0" m="1" x="3401"/>
        <item sd="0" m="1" x="4351"/>
        <item sd="0" m="1" x="5286"/>
        <item sd="0" m="1" x="7912"/>
        <item sd="0" m="1" x="99"/>
        <item sd="0" m="1" x="5337"/>
        <item sd="0" m="1" x="6148"/>
        <item sd="0" m="1" x="6800"/>
        <item sd="0" m="1" x="813"/>
        <item sd="0" m="1" x="1269"/>
        <item sd="0" m="1" x="1886"/>
        <item sd="0" m="1" x="6274"/>
        <item sd="0" m="1" x="6881"/>
        <item sd="0" m="1" x="1972"/>
        <item sd="0" m="1" x="2747"/>
        <item sd="0" m="1" x="3633"/>
        <item sd="0" m="1" x="7421"/>
        <item sd="0" m="1" x="7751"/>
        <item sd="0" m="1" x="3691"/>
        <item sd="0" m="1" x="4642"/>
        <item sd="0" m="1" x="5540"/>
        <item sd="0" m="1" x="2026"/>
        <item sd="0" m="1" x="2829"/>
        <item sd="0" m="1" x="3755"/>
        <item sd="0" m="1" x="4724"/>
        <item sd="0" m="1" x="3815"/>
        <item sd="0" m="1" x="4777"/>
        <item sd="0" m="1" x="5685"/>
        <item sd="0" m="1" x="6443"/>
        <item sd="0" m="1" x="1209"/>
        <item sd="0" m="1" x="1828"/>
        <item sd="0" m="1" x="2622"/>
        <item sd="0" m="1" x="2675"/>
        <item sd="0" m="1" x="3575"/>
        <item sd="0" m="1" x="4543"/>
        <item sd="0" m="1" x="4597"/>
        <item sd="0" m="1" x="375"/>
        <item sd="0" m="1" x="651"/>
        <item sd="0" m="1" x="1068"/>
        <item sd="0" m="1" x="1640"/>
        <item sd="0" m="1" x="6001"/>
        <item sd="0" m="1" x="1132"/>
        <item sd="0" m="1" x="1678"/>
        <item sd="0" m="1" x="2432"/>
        <item sd="0" m="1" x="3300"/>
        <item sd="0" m="1" x="7229"/>
        <item sd="0" m="1" x="2521"/>
        <item sd="0" m="1" x="3362"/>
        <item sd="0" m="1" x="4321"/>
        <item sd="0" m="1" x="199"/>
        <item sd="0" m="1" x="310"/>
        <item sd="0" m="1" x="546"/>
        <item sd="0" m="1" x="947"/>
        <item sd="0" m="1" x="3975"/>
        <item sd="0" m="1" x="4921"/>
        <item sd="0" m="1" x="5777"/>
        <item sd="0" m="1" x="597"/>
        <item sd="0" m="1" x="987"/>
        <item sd="0" m="1" x="1512"/>
        <item sd="0" m="1" x="2231"/>
        <item sd="0" m="1" x="5858"/>
        <item sd="0" m="1" x="6550"/>
        <item sd="0" m="1" x="7110"/>
        <item sd="0" m="1" x="1595"/>
        <item sd="0" m="1" x="2302"/>
        <item sd="0" m="1" x="3139"/>
        <item sd="0" m="1" x="4090"/>
        <item sd="0" m="1" x="175"/>
        <item sd="0" m="1" x="264"/>
        <item sd="0" m="1" x="463"/>
        <item sd="0" m="1" x="2808"/>
        <item sd="0" m="1" x="3713"/>
        <item sd="0" m="1" x="4661"/>
        <item sd="0" m="1" x="5559"/>
        <item sd="0" m="1" x="514"/>
        <item sd="0" m="1" x="877"/>
        <item sd="0" m="1" x="4725"/>
        <item sd="0" m="1" x="5620"/>
        <item sd="0" m="1" x="6379"/>
        <item sd="0" m="1" x="6968"/>
        <item sd="0" m="1" x="1425"/>
        <item sd="0" m="1" x="2080"/>
        <item sd="0" m="1" x="620"/>
        <item sd="0" m="1" x="1016"/>
        <item sd="0" m="1" x="1545"/>
        <item sd="0" m="1" x="2260"/>
        <item sd="0" m="1" x="6586"/>
        <item sd="0" m="1" x="7135"/>
        <item sd="0" m="1" x="1623"/>
        <item sd="0" m="1" x="2335"/>
        <item sd="0" m="1" x="3172"/>
        <item sd="0" m="1" x="4119"/>
        <item sd="0" m="1" x="7594"/>
        <item sd="0" m="1" x="7865"/>
        <item sd="0" m="1" x="3231"/>
        <item sd="0" m="1" x="4164"/>
        <item sd="0" m="1" x="5109"/>
        <item sd="0" m="1" x="5956"/>
        <item sd="0" m="1" x="526"/>
        <item sd="0" m="1" x="905"/>
        <item sd="0" m="1" x="1372"/>
        <item sd="0" m="1" x="4752"/>
        <item sd="0" m="1" x="5642"/>
        <item sd="0" m="1" x="6406"/>
        <item sd="0" m="1" x="6994"/>
        <item sd="0" m="1" x="1446"/>
        <item sd="0" m="1" x="2131"/>
        <item sd="0" m="1" x="2931"/>
        <item sd="0" m="1" x="6463"/>
        <item sd="0" m="1" x="7050"/>
        <item sd="0" m="1" x="7508"/>
        <item sd="0" m="1" x="7808"/>
        <item sd="0" m="1" x="3000"/>
        <item sd="0" m="1" x="3914"/>
        <item sd="0" m="1" x="4871"/>
        <item sd="0" m="1" x="439"/>
        <item sd="0" m="1" x="3538"/>
        <item sd="0" m="1" x="4505"/>
        <item sd="0" m="1" x="5431"/>
        <item sd="0" m="1" x="6220"/>
        <item sd="0" m="1" x="1302"/>
        <item sd="0" m="1" x="5481"/>
        <item sd="0" m="1" x="6294"/>
        <item sd="0" m="1" x="6915"/>
        <item sd="0" m="1" x="7391"/>
        <item sd="0" m="1" x="2778"/>
        <item sd="0" m="1" x="2395"/>
        <item sd="0" m="1" x="3270"/>
        <item sd="0" m="1" x="4232"/>
        <item sd="0" m="1" x="4277"/>
        <item sd="0" m="1" x="5240"/>
        <item sd="0" m="1" x="6079"/>
        <item sd="0" m="1" x="965"/>
        <item sd="0" m="1" x="1478"/>
        <item sd="0" m="1" x="2203"/>
        <item sd="0" m="1" x="3051"/>
        <item sd="0" m="1" x="2261"/>
        <item sd="0" m="1" x="3105"/>
        <item sd="0" m="1" x="4054"/>
        <item sd="0" m="1" x="5012"/>
        <item sd="0" m="1" x="4120"/>
        <item sd="0" m="1" x="5068"/>
        <item sd="0" m="1" x="215"/>
        <item sd="0" m="1" x="348"/>
        <item sd="0" m="1" x="3243"/>
        <item sd="0" m="1" x="4184"/>
        <item sd="0" m="1" x="5120"/>
        <item sd="0" m="1" x="677"/>
        <item sd="0" m="1" x="1089"/>
        <item sd="0" m="1" x="5173"/>
        <item sd="0" m="1" x="6025"/>
        <item sd="0" m="1" x="6683"/>
        <item sd="0" m="1" x="1717"/>
        <item sd="0" m="1" x="2461"/>
        <item sd="0" m="1" x="184"/>
        <item sd="0" m="1" x="1464"/>
        <item sd="0" m="1" x="2173"/>
        <item sd="0" m="1" x="3009"/>
        <item sd="0" m="1" x="3926"/>
        <item sd="0" m="1" x="568"/>
        <item sd="0" m="1" x="3052"/>
        <item sd="0" m="1" x="3995"/>
        <item sd="0" m="1" x="4952"/>
        <item sd="0" m="1" x="5818"/>
        <item sd="0" m="1" x="1546"/>
        <item sd="0" m="1" x="1426"/>
        <item sd="0" m="1" x="2081"/>
        <item sd="0" m="1" x="2888"/>
        <item sd="0" m="1" x="3816"/>
        <item sd="0" m="1" x="7034"/>
        <item sd="0" m="1" x="7475"/>
        <item sd="0" m="1" x="2983"/>
        <item sd="0" m="1" x="3881"/>
        <item sd="0" m="1" x="4839"/>
        <item sd="0" m="1" x="5726"/>
        <item sd="0" m="1" x="7835"/>
        <item sd="0" m="1" x="7977"/>
        <item sd="0" m="1" x="4905"/>
        <item sd="0" m="1" x="5761"/>
        <item sd="0" m="1" x="6491"/>
        <item sd="0" m="1" x="814"/>
        <item sd="0" m="1" x="1270"/>
        <item sd="0" m="1" x="1887"/>
        <item sd="0" m="1" x="6275"/>
        <item sd="0" m="1" x="6882"/>
        <item sd="0" m="1" x="7361"/>
        <item sd="0" m="1" x="1973"/>
        <item sd="0" m="1" x="2748"/>
        <item sd="0" m="1" x="3634"/>
        <item sd="0" m="1" x="7422"/>
        <item sd="0" m="1" x="7752"/>
        <item sd="0" m="1" x="7947"/>
        <item sd="0" m="1" x="3692"/>
        <item sd="0" m="1" x="4643"/>
        <item sd="0" m="1" x="5541"/>
        <item sd="0" m="1" x="706"/>
        <item sd="0" m="1" x="1133"/>
        <item sd="0" m="1" x="5216"/>
        <item sd="0" m="1" x="6055"/>
        <item sd="0" m="1" x="6720"/>
        <item sd="0" m="1" x="1770"/>
        <item sd="0" m="1" x="2522"/>
        <item sd="0" m="1" x="6778"/>
        <item sd="0" m="1" x="7297"/>
        <item sd="0" m="1" x="7675"/>
        <item sd="0" m="1" x="3444"/>
        <item sd="0" m="1" x="4385"/>
        <item sd="0" m="1" x="1210"/>
        <item sd="0" m="1" x="1829"/>
        <item sd="0" m="1" x="2623"/>
        <item sd="0" m="1" x="6837"/>
        <item sd="0" m="1" x="2676"/>
        <item sd="0" m="1" x="3576"/>
        <item sd="0" m="1" x="4544"/>
        <item sd="0" m="1" x="7724"/>
        <item sd="0" m="1" x="4598"/>
        <item sd="0" m="1" x="5513"/>
        <item sd="0" m="1" x="376"/>
        <item sd="0" m="1" x="652"/>
        <item sd="0" m="1" x="1069"/>
        <item sd="0" m="1" x="1641"/>
        <item sd="0" m="1" x="6002"/>
        <item sd="0" m="1" x="6665"/>
        <item sd="0" m="1" x="1134"/>
        <item sd="0" m="1" x="1679"/>
        <item sd="0" m="1" x="2433"/>
        <item sd="0" m="1" x="3301"/>
        <item sd="0" m="1" x="7230"/>
        <item sd="0" m="1" x="7629"/>
        <item sd="0" m="1" x="2523"/>
        <item sd="0" m="1" x="3363"/>
        <item sd="0" m="1" x="4322"/>
        <item sd="0" m="1" x="5266"/>
        <item sd="0" m="1" x="311"/>
        <item sd="0" m="1" x="547"/>
        <item sd="0" m="1" x="948"/>
        <item sd="0" m="1" x="3976"/>
        <item sd="0" m="1" x="4922"/>
        <item sd="0" m="1" x="5778"/>
        <item sd="0" m="1" x="6499"/>
        <item sd="0" m="1" x="988"/>
        <item sd="0" m="1" x="1513"/>
        <item sd="0" m="1" x="2232"/>
        <item sd="0" m="1" x="5859"/>
        <item sd="0" m="1" x="6551"/>
        <item sd="0" m="1" x="7111"/>
        <item sd="0" m="1" x="7541"/>
        <item sd="0" m="1" x="2303"/>
        <item sd="0" m="1" x="3140"/>
        <item sd="0" m="1" x="4091"/>
        <item sd="0" m="1" x="265"/>
        <item sd="0" m="1" x="464"/>
        <item sd="0" m="1" x="2809"/>
        <item sd="0" m="1" x="3714"/>
        <item sd="0" m="1" x="4662"/>
        <item sd="0" m="1" x="5560"/>
        <item sd="0" m="1" x="878"/>
        <item sd="0" m="1" x="4726"/>
        <item sd="0" m="1" x="5621"/>
        <item sd="0" m="1" x="6380"/>
        <item sd="0" m="1" x="6969"/>
        <item sd="0" m="1" x="2082"/>
        <item sd="0" m="1" x="1802"/>
        <item sd="0" m="1" x="2588"/>
        <item sd="0" m="1" x="3462"/>
        <item sd="0" m="1" x="4406"/>
        <item sd="0" m="1" x="3511"/>
        <item sd="0" m="1" x="4484"/>
        <item sd="0" m="1" x="5407"/>
        <item sd="0" m="1" x="77"/>
        <item sd="0" m="1" x="815"/>
        <item sd="0" m="1" x="1271"/>
        <item sd="0" m="1" x="1888"/>
        <item sd="0" m="1" x="6276"/>
        <item sd="0" m="1" x="6883"/>
        <item sd="0" m="1" x="1974"/>
        <item sd="0" m="1" x="2749"/>
        <item sd="0" m="1" x="3635"/>
        <item sd="0" m="1" x="7423"/>
        <item sd="0" m="1" x="7753"/>
        <item sd="0" m="1" x="3693"/>
        <item sd="0" m="1" x="4644"/>
        <item sd="0" m="1" x="5542"/>
        <item sd="0" m="1" x="394"/>
        <item sd="0" m="1" x="707"/>
        <item sd="0" m="1" x="1135"/>
        <item sd="0" m="1" x="5217"/>
        <item sd="0" m="1" x="6056"/>
        <item sd="0" m="1" x="6721"/>
        <item sd="0" m="1" x="1178"/>
        <item sd="0" m="1" x="1771"/>
        <item sd="0" m="1" x="2524"/>
        <item sd="0" m="1" x="6779"/>
        <item sd="0" m="1" x="7298"/>
        <item sd="0" m="1" x="7676"/>
        <item sd="0" m="1" x="2575"/>
        <item sd="0" m="1" x="3445"/>
        <item sd="0" m="1" x="4386"/>
        <item sd="0" m="1" x="340"/>
        <item sd="0" m="1" x="598"/>
        <item sd="0" m="1" x="3086"/>
        <item sd="0" m="1" x="4023"/>
        <item sd="0" m="1" x="4986"/>
        <item sd="0" m="1" x="5860"/>
        <item sd="0" m="1" x="1054"/>
        <item sd="0" m="1" x="1596"/>
        <item sd="0" m="1" x="5049"/>
        <item sd="0" m="1" x="5909"/>
        <item sd="0" m="1" x="6631"/>
        <item sd="0" m="1" x="7172"/>
        <item sd="0" m="1" x="2373"/>
        <item sd="0" m="1" x="3209"/>
        <item sd="0" m="1" x="2027"/>
        <item sd="0" m="1" x="2830"/>
        <item sd="0" m="1" x="3756"/>
        <item sd="0" m="1" x="4727"/>
        <item sd="0" m="1" x="3817"/>
        <item sd="0" m="1" x="4778"/>
        <item sd="0" m="1" x="5686"/>
        <item sd="0" m="1" x="6444"/>
        <item sd="0" m="1" x="1211"/>
        <item sd="0" m="1" x="1830"/>
        <item sd="0" m="1" x="2624"/>
        <item sd="0" m="1" x="2677"/>
        <item sd="0" m="1" x="3577"/>
        <item sd="0" m="1" x="4545"/>
        <item sd="0" m="1" x="4599"/>
        <item sd="0" m="1" x="176"/>
        <item sd="0" m="1" x="266"/>
        <item sd="0" m="1" x="465"/>
        <item sd="0" m="1" x="2810"/>
        <item sd="0" m="1" x="3715"/>
        <item sd="0" m="1" x="4663"/>
        <item sd="0" m="1" x="5561"/>
        <item sd="0" m="1" x="515"/>
        <item sd="0" m="1" x="879"/>
        <item sd="0" m="1" x="4728"/>
        <item sd="0" m="1" x="5622"/>
        <item sd="0" m="1" x="6381"/>
        <item sd="0" m="1" x="6970"/>
        <item sd="0" m="1" x="1427"/>
        <item sd="0" m="1" x="2083"/>
        <item sd="0" m="1" x="165"/>
        <item sd="0" m="1" x="1803"/>
        <item sd="0" m="1" x="2589"/>
        <item sd="0" m="1" x="3463"/>
        <item sd="0" m="1" x="4407"/>
        <item sd="0" m="1" x="429"/>
        <item sd="0" m="1" x="3512"/>
        <item sd="0" m="1" x="4485"/>
        <item sd="0" m="1" x="5408"/>
        <item sd="0" m="1" x="1272"/>
        <item sd="0" m="1" x="1718"/>
        <item sd="0" m="1" x="2462"/>
        <item sd="0" m="1" x="3323"/>
        <item sd="0" m="1" x="7262"/>
        <item sd="0" m="1" x="3402"/>
        <item sd="0" m="1" x="4352"/>
        <item sd="0" m="1" x="5287"/>
        <item sd="0" m="1" x="7913"/>
        <item sd="0" m="1" x="5338"/>
        <item sd="0" m="1" x="6149"/>
        <item sd="0" m="1" x="621"/>
        <item sd="0" m="1" x="1017"/>
        <item sd="0" m="1" x="1547"/>
        <item sd="0" m="1" x="2262"/>
        <item sd="0" m="1" x="6587"/>
        <item sd="0" m="1" x="7136"/>
        <item sd="0" m="1" x="1624"/>
        <item sd="0" m="1" x="2336"/>
        <item sd="0" m="1" x="3173"/>
        <item sd="0" m="1" x="4121"/>
        <item sd="0" m="1" x="7595"/>
        <item sd="0" m="1" x="7866"/>
        <item sd="0" m="1" x="3232"/>
        <item sd="0" m="1" x="4165"/>
        <item sd="0" m="1" x="5110"/>
        <item sd="0" m="1" x="5957"/>
        <item sd="0" m="1" x="527"/>
        <item sd="0" m="1" x="906"/>
        <item sd="0" m="1" x="1373"/>
        <item sd="0" m="1" x="4753"/>
        <item sd="0" m="1" x="5643"/>
        <item sd="0" m="1" x="6407"/>
        <item sd="0" m="1" x="6995"/>
        <item sd="0" m="1" x="1447"/>
        <item sd="0" m="1" x="2132"/>
        <item sd="0" m="1" x="2932"/>
        <item sd="0" m="1" x="6464"/>
        <item sd="0" m="1" x="7051"/>
        <item sd="0" m="1" x="7509"/>
        <item sd="0" m="1" x="7809"/>
        <item sd="0" m="1" x="3001"/>
        <item sd="0" m="1" x="3915"/>
        <item sd="0" m="1" x="4872"/>
        <item sd="0" m="1" x="966"/>
        <item sd="0" m="1" x="1479"/>
        <item sd="0" m="1" x="2204"/>
        <item sd="0" m="1" x="3053"/>
        <item sd="0" m="1" x="2263"/>
        <item sd="0" m="1" x="3106"/>
        <item sd="0" m="1" x="4055"/>
        <item sd="0" m="1" x="5013"/>
        <item sd="0" m="1" x="4122"/>
        <item sd="0" m="1" x="5069"/>
        <item sd="0" m="1" x="478"/>
        <item sd="0" m="1" x="846"/>
        <item sd="0" m="1" x="1328"/>
        <item sd="0" m="1" x="2002"/>
        <item sd="0" m="1" x="5596"/>
        <item sd="0" m="1" x="6342"/>
        <item sd="0" m="1" x="1374"/>
        <item sd="0" m="1" x="2044"/>
        <item sd="0" m="1" x="2854"/>
        <item sd="0" m="1" x="3780"/>
        <item sd="0" m="1" x="6996"/>
        <item sd="0" m="1" x="7441"/>
        <item sd="0" m="1" x="2933"/>
        <item sd="0" m="1" x="3851"/>
        <item sd="0" m="1" x="4802"/>
        <item sd="0" m="1" x="237"/>
        <item sd="0" m="1" x="403"/>
        <item sd="0" m="1" x="733"/>
        <item sd="0" m="1" x="4442"/>
        <item sd="0" m="1" x="5358"/>
        <item sd="0" m="1" x="6160"/>
        <item sd="0" m="1" x="773"/>
        <item sd="0" m="1" x="1233"/>
        <item sd="0" m="1" x="1849"/>
        <item sd="0" m="1" x="6221"/>
        <item sd="0" m="1" x="6850"/>
        <item sd="0" m="1" x="7331"/>
        <item sd="0" m="1" x="1927"/>
        <item sd="0" m="1" x="2710"/>
        <item sd="0" m="1" x="3596"/>
        <item sd="0" m="1" x="216"/>
        <item sd="0" m="1" x="349"/>
        <item sd="0" m="1" x="3244"/>
        <item sd="0" m="1" x="4185"/>
        <item sd="0" m="1" x="5121"/>
        <item sd="0" m="1" x="678"/>
        <item sd="0" m="1" x="1090"/>
        <item sd="0" m="1" x="5174"/>
        <item sd="0" m="1" x="6026"/>
        <item sd="0" m="1" x="6684"/>
        <item sd="0" m="1" x="1719"/>
        <item sd="0" m="1" x="2463"/>
        <item sd="0" m="1" x="185"/>
        <item sd="0" m="1" x="1465"/>
        <item sd="0" m="1" x="2174"/>
        <item sd="0" m="1" x="3010"/>
        <item sd="0" m="1" x="3927"/>
        <item sd="0" m="1" x="569"/>
        <item sd="0" m="1" x="3054"/>
        <item sd="0" m="1" x="3996"/>
        <item sd="0" m="1" x="4953"/>
        <item sd="0" m="1" x="5819"/>
        <item sd="0" m="1" x="1548"/>
        <item sd="0" m="1" x="708"/>
        <item sd="0" m="1" x="1136"/>
        <item sd="0" m="1" x="5218"/>
        <item sd="0" m="1" x="6057"/>
        <item sd="0" m="1" x="6722"/>
        <item sd="0" m="1" x="1772"/>
        <item sd="0" m="1" x="2525"/>
        <item sd="0" m="1" x="6780"/>
        <item sd="0" m="1" x="7299"/>
        <item sd="0" m="1" x="7677"/>
        <item sd="0" m="1" x="3446"/>
        <item sd="0" m="1" x="4387"/>
        <item sd="0" m="1" x="599"/>
        <item sd="0" m="1" x="3087"/>
        <item sd="0" m="1" x="4024"/>
        <item sd="0" m="1" x="4987"/>
        <item sd="0" m="1" x="5861"/>
        <item sd="0" m="1" x="1597"/>
        <item sd="0" m="1" x="5050"/>
        <item sd="0" m="1" x="5910"/>
        <item sd="0" m="1" x="6632"/>
        <item sd="0" m="1" x="7173"/>
        <item sd="0" m="1" x="3210"/>
        <item sd="0" m="1" x="2028"/>
        <item sd="0" m="1" x="2831"/>
        <item sd="0" m="1" x="3757"/>
        <item sd="0" m="1" x="4729"/>
        <item sd="0" m="1" x="3818"/>
        <item sd="0" m="1" x="4779"/>
        <item sd="0" m="1" x="5687"/>
        <item sd="0" m="1" x="6445"/>
        <item sd="0" m="1" x="5727"/>
        <item sd="0" m="1" x="1212"/>
        <item sd="0" m="1" x="1831"/>
        <item sd="0" m="1" x="2625"/>
        <item sd="0" m="1" x="6838"/>
        <item sd="0" m="1" x="2678"/>
        <item sd="0" m="1" x="3578"/>
        <item sd="0" m="1" x="4546"/>
        <item sd="0" m="1" x="7725"/>
        <item sd="0" m="1" x="4600"/>
        <item sd="0" m="1" x="5514"/>
        <item sd="0" m="1" x="377"/>
        <item sd="0" m="1" x="653"/>
        <item sd="0" m="1" x="1070"/>
        <item sd="0" m="1" x="1642"/>
        <item sd="0" m="1" x="6003"/>
        <item sd="0" m="1" x="6666"/>
        <item sd="0" m="1" x="1137"/>
        <item sd="0" m="1" x="1680"/>
        <item sd="0" m="1" x="2434"/>
        <item sd="0" m="1" x="3302"/>
        <item sd="0" m="1" x="7231"/>
        <item sd="0" m="1" x="7630"/>
        <item sd="0" m="1" x="2526"/>
        <item sd="0" m="1" x="3364"/>
        <item sd="0" m="1" x="4323"/>
        <item sd="0" m="1" x="5267"/>
        <item sd="0" m="1" x="1804"/>
        <item sd="0" m="1" x="2590"/>
        <item sd="0" m="1" x="3464"/>
        <item sd="0" m="1" x="4408"/>
        <item sd="0" m="1" x="3513"/>
        <item sd="0" m="1" x="4486"/>
        <item sd="0" m="1" x="5409"/>
        <item sd="0" m="1" x="1720"/>
        <item sd="0" m="1" x="2464"/>
        <item sd="0" m="1" x="3324"/>
        <item sd="0" m="1" x="7263"/>
        <item sd="0" m="1" x="7645"/>
        <item sd="0" m="1" x="3403"/>
        <item sd="0" m="1" x="4353"/>
        <item sd="0" m="1" x="5288"/>
        <item sd="0" m="1" x="7914"/>
        <item sd="0" m="1" x="100"/>
        <item sd="0" m="1" x="5339"/>
        <item sd="0" m="1" x="6150"/>
        <item sd="0" m="1" x="6801"/>
        <item sd="0" m="1" x="1018"/>
        <item sd="0" m="1" x="1549"/>
        <item sd="0" m="1" x="2264"/>
        <item sd="0" m="1" x="6588"/>
        <item sd="0" m="1" x="7137"/>
        <item sd="0" m="1" x="7554"/>
        <item sd="0" m="1" x="2337"/>
        <item sd="0" m="1" x="3174"/>
        <item sd="0" m="1" x="4123"/>
        <item sd="0" m="1" x="7596"/>
        <item sd="0" m="1" x="7867"/>
        <item sd="0" m="1" x="78"/>
        <item sd="0" m="1" x="4166"/>
        <item sd="0" m="1" x="5111"/>
        <item sd="0" m="1" x="5958"/>
        <item sd="0" m="1" x="816"/>
        <item sd="0" m="1" x="1273"/>
        <item sd="0" m="1" x="1889"/>
        <item sd="0" m="1" x="6277"/>
        <item sd="0" m="1" x="6884"/>
        <item sd="0" m="1" x="1975"/>
        <item sd="0" m="1" x="2750"/>
        <item sd="0" m="1" x="3636"/>
        <item sd="0" m="1" x="7424"/>
        <item sd="0" m="1" x="7754"/>
        <item sd="0" m="1" x="3694"/>
        <item sd="0" m="1" x="4645"/>
        <item sd="0" m="1" x="5543"/>
        <item sd="0" m="1" x="395"/>
        <item sd="0" m="1" x="709"/>
        <item sd="0" m="1" x="1138"/>
        <item sd="0" m="1" x="5219"/>
        <item sd="0" m="1" x="6058"/>
        <item sd="0" m="1" x="6723"/>
        <item sd="0" m="1" x="1179"/>
        <item sd="0" m="1" x="1773"/>
        <item sd="0" m="1" x="2527"/>
        <item sd="0" m="1" x="6781"/>
        <item sd="0" m="1" x="7300"/>
        <item sd="0" m="1" x="7678"/>
        <item sd="0" m="1" x="2576"/>
        <item sd="0" m="1" x="3447"/>
        <item sd="0" m="1" x="4388"/>
        <item sd="0" m="1" x="1213"/>
        <item sd="0" m="1" x="1832"/>
        <item sd="0" m="1" x="2626"/>
        <item sd="0" m="1" x="2679"/>
        <item sd="0" m="1" x="3579"/>
        <item sd="0" m="1" x="4547"/>
        <item sd="0" m="1" x="4601"/>
        <item sd="0" m="1" x="378"/>
        <item sd="0" m="1" x="654"/>
        <item sd="0" m="1" x="1071"/>
        <item sd="0" m="1" x="1643"/>
        <item sd="0" m="1" x="6004"/>
        <item sd="0" m="1" x="1139"/>
        <item sd="0" m="1" x="1681"/>
        <item sd="0" m="1" x="2435"/>
        <item sd="0" m="1" x="3303"/>
        <item sd="0" m="1" x="7232"/>
        <item sd="0" m="1" x="2528"/>
        <item sd="0" m="1" x="3365"/>
        <item sd="0" m="1" x="4324"/>
        <item sd="0" m="1" x="200"/>
        <item sd="0" m="1" x="312"/>
        <item sd="0" m="1" x="548"/>
        <item sd="0" m="1" x="949"/>
        <item sd="0" m="1" x="3977"/>
        <item sd="0" m="1" x="4923"/>
        <item sd="0" m="1" x="5779"/>
        <item sd="0" m="1" x="600"/>
        <item sd="0" m="1" x="989"/>
        <item sd="0" m="1" x="1514"/>
        <item sd="0" m="1" x="2233"/>
        <item sd="0" m="1" x="5862"/>
        <item sd="0" m="1" x="6552"/>
        <item sd="0" m="1" x="7112"/>
        <item sd="0" m="1" x="1598"/>
        <item sd="0" m="1" x="2304"/>
        <item sd="0" m="1" x="3141"/>
        <item sd="0" m="1" x="4092"/>
        <item sd="0" m="1" x="177"/>
        <item sd="0" m="1" x="267"/>
        <item sd="0" m="1" x="466"/>
        <item sd="0" m="1" x="2811"/>
        <item sd="0" m="1" x="3716"/>
        <item sd="0" m="1" x="4664"/>
        <item sd="0" m="1" x="5562"/>
        <item sd="0" m="1" x="516"/>
        <item sd="0" m="1" x="880"/>
        <item sd="0" m="1" x="4730"/>
        <item sd="0" m="1" x="5623"/>
        <item sd="0" m="1" x="6382"/>
        <item sd="0" m="1" x="6971"/>
        <item sd="0" m="1" x="1428"/>
        <item sd="0" m="1" x="2084"/>
        <item sd="0" m="1" x="166"/>
        <item sd="0" m="1" x="1805"/>
        <item sd="0" m="1" x="2591"/>
        <item sd="0" m="1" x="3465"/>
        <item sd="0" m="1" x="4409"/>
        <item sd="0" m="1" x="430"/>
        <item sd="0" m="1" x="3514"/>
        <item sd="0" m="1" x="4487"/>
        <item sd="0" m="1" x="5410"/>
        <item sd="0" m="1" x="1274"/>
        <item sd="0" m="1" x="528"/>
        <item sd="0" m="1" x="907"/>
        <item sd="0" m="1" x="1375"/>
        <item sd="0" m="1" x="4754"/>
        <item sd="0" m="1" x="5644"/>
        <item sd="0" m="1" x="6408"/>
        <item sd="0" m="1" x="6997"/>
        <item sd="0" m="1" x="1448"/>
        <item sd="0" m="1" x="2133"/>
        <item sd="0" m="1" x="2934"/>
        <item sd="0" m="1" x="6465"/>
        <item sd="0" m="1" x="7052"/>
        <item sd="0" m="1" x="7510"/>
        <item sd="0" m="1" x="7810"/>
        <item sd="0" m="1" x="3002"/>
        <item sd="0" m="1" x="3916"/>
        <item sd="0" m="1" x="4873"/>
        <item sd="0" m="1" x="440"/>
        <item sd="0" m="1" x="3539"/>
        <item sd="0" m="1" x="4506"/>
        <item sd="0" m="1" x="5432"/>
        <item sd="0" m="1" x="6222"/>
        <item sd="0" m="1" x="1303"/>
        <item sd="0" m="1" x="5482"/>
        <item sd="0" m="1" x="6295"/>
        <item sd="0" m="1" x="6916"/>
        <item sd="0" m="1" x="7392"/>
        <item sd="0" m="1" x="2779"/>
        <item sd="0" m="1" x="2396"/>
        <item sd="0" m="1" x="3271"/>
        <item sd="0" m="1" x="4233"/>
        <item sd="0" m="1" x="4278"/>
        <item sd="0" m="1" x="5241"/>
        <item sd="0" m="1" x="6080"/>
        <item sd="0" m="1" x="967"/>
        <item sd="0" m="1" x="1480"/>
        <item sd="0" m="1" x="2205"/>
        <item sd="0" m="1" x="3055"/>
        <item sd="0" m="1" x="2265"/>
        <item sd="0" m="1" x="3107"/>
        <item sd="0" m="1" x="4056"/>
        <item sd="0" m="1" x="5014"/>
        <item sd="0" m="1" x="4124"/>
        <item sd="0" m="1" x="5070"/>
        <item sd="0" m="1" x="479"/>
        <item sd="0" m="1" x="847"/>
        <item sd="0" m="1" x="1329"/>
        <item sd="0" m="1" x="2003"/>
        <item sd="0" m="1" x="5597"/>
        <item sd="0" m="1" x="6343"/>
        <item sd="0" m="1" x="1376"/>
        <item sd="0" m="1" x="2045"/>
        <item sd="0" m="1" x="2855"/>
        <item sd="0" m="1" x="3781"/>
        <item sd="0" m="1" x="6998"/>
        <item sd="0" m="1" x="7442"/>
        <item sd="0" m="1" x="2935"/>
        <item sd="0" m="1" x="3852"/>
        <item sd="0" m="1" x="4803"/>
        <item sd="0" m="1" x="186"/>
        <item sd="0" m="1" x="1466"/>
        <item sd="0" m="1" x="2175"/>
        <item sd="0" m="1" x="3011"/>
        <item sd="0" m="1" x="3928"/>
        <item sd="0" m="1" x="570"/>
        <item sd="0" m="1" x="3056"/>
        <item sd="0" m="1" x="3997"/>
        <item sd="0" m="1" x="4954"/>
        <item sd="0" m="1" x="5820"/>
        <item sd="0" m="1" x="1550"/>
        <item sd="0" m="1" x="1429"/>
        <item sd="0" m="1" x="2085"/>
        <item sd="0" m="1" x="2889"/>
        <item sd="0" m="1" x="3819"/>
        <item sd="0" m="1" x="7035"/>
        <item sd="0" m="1" x="7476"/>
        <item sd="0" m="1" x="2984"/>
        <item sd="0" m="1" x="3882"/>
        <item sd="0" m="1" x="4840"/>
        <item sd="0" m="1" x="5728"/>
        <item sd="0" m="1" x="7836"/>
        <item sd="0" m="1" x="7978"/>
        <item sd="0" m="1" x="4906"/>
        <item sd="0" m="1" x="5762"/>
        <item sd="0" m="1" x="6492"/>
        <item sd="0" m="1" x="817"/>
        <item sd="0" m="1" x="1275"/>
        <item sd="0" m="1" x="1890"/>
        <item sd="0" m="1" x="6278"/>
        <item sd="0" m="1" x="6885"/>
        <item sd="0" m="1" x="7362"/>
        <item sd="0" m="1" x="1976"/>
        <item sd="0" m="1" x="2751"/>
        <item sd="0" m="1" x="3637"/>
        <item sd="0" m="1" x="7425"/>
        <item sd="0" m="1" x="7755"/>
        <item sd="0" m="1" x="7948"/>
        <item sd="0" m="1" x="3695"/>
        <item sd="0" m="1" x="4646"/>
        <item sd="0" m="1" x="5544"/>
        <item sd="0" m="1" x="710"/>
        <item sd="0" m="1" x="1140"/>
        <item sd="0" m="1" x="5220"/>
        <item sd="0" m="1" x="6059"/>
        <item sd="0" m="1" x="6724"/>
        <item sd="0" m="1" x="1774"/>
        <item sd="0" m="1" x="2529"/>
        <item sd="0" m="1" x="6782"/>
        <item sd="0" m="1" x="7301"/>
        <item sd="0" m="1" x="7679"/>
        <item sd="0" m="1" x="3448"/>
        <item sd="0" m="1" x="4389"/>
        <item sd="0" m="1" x="601"/>
        <item sd="0" m="1" x="3088"/>
        <item sd="0" m="1" x="4025"/>
        <item sd="0" m="1" x="4988"/>
        <item sd="0" m="1" x="5863"/>
        <item sd="0" m="1" x="1599"/>
        <item sd="0" m="1" x="5051"/>
        <item sd="0" m="1" x="5911"/>
        <item sd="0" m="1" x="6633"/>
        <item sd="0" m="1" x="7174"/>
        <item sd="0" m="1" x="3211"/>
        <item sd="0" m="1" x="379"/>
        <item sd="0" m="1" x="655"/>
        <item sd="0" m="1" x="1072"/>
        <item sd="0" m="1" x="1644"/>
        <item sd="0" m="1" x="6005"/>
        <item sd="0" m="1" x="6667"/>
        <item sd="0" m="1" x="1141"/>
        <item sd="0" m="1" x="1682"/>
        <item sd="0" m="1" x="2436"/>
        <item sd="0" m="1" x="3304"/>
        <item sd="0" m="1" x="7233"/>
        <item sd="0" m="1" x="7631"/>
        <item sd="0" m="1" x="2530"/>
        <item sd="0" m="1" x="3366"/>
        <item sd="0" m="1" x="4325"/>
        <item sd="0" m="1" x="5268"/>
        <item sd="0" m="1" x="313"/>
        <item sd="0" m="1" x="549"/>
        <item sd="0" m="1" x="950"/>
        <item sd="0" m="1" x="3978"/>
        <item sd="0" m="1" x="4924"/>
        <item sd="0" m="1" x="5780"/>
        <item sd="0" m="1" x="6500"/>
        <item sd="0" m="1" x="990"/>
        <item sd="0" m="1" x="1515"/>
        <item sd="0" m="1" x="2234"/>
        <item sd="0" m="1" x="5864"/>
        <item sd="0" m="1" x="6553"/>
        <item sd="0" m="1" x="7113"/>
        <item sd="0" m="1" x="7542"/>
        <item sd="0" m="1" x="2305"/>
        <item sd="0" m="1" x="3142"/>
        <item sd="0" m="1" x="4093"/>
        <item sd="0" m="1" x="268"/>
        <item sd="0" m="1" x="467"/>
        <item sd="0" m="1" x="2812"/>
        <item sd="0" m="1" x="3717"/>
        <item sd="0" m="1" x="4665"/>
        <item sd="0" m="1" x="5563"/>
        <item sd="0" m="1" x="881"/>
        <item sd="0" m="1" x="4731"/>
        <item sd="0" m="1" x="5624"/>
        <item sd="0" m="1" x="6383"/>
        <item sd="0" m="1" x="6972"/>
        <item sd="0" m="1" x="2086"/>
        <item sd="0" m="1" x="1806"/>
        <item sd="0" m="1" x="2592"/>
        <item sd="0" m="1" x="3466"/>
        <item sd="0" m="1" x="4410"/>
        <item sd="0" m="1" x="3515"/>
        <item sd="0" m="1" x="4488"/>
        <item sd="0" m="1" x="5411"/>
        <item sd="0" m="1" x="1721"/>
        <item sd="0" m="1" x="2465"/>
        <item sd="0" m="1" x="3325"/>
        <item sd="0" m="1" x="7264"/>
        <item sd="0" m="1" x="7646"/>
        <item sd="0" m="1" x="3404"/>
        <item sd="0" m="1" x="4354"/>
        <item sd="0" m="1" x="5289"/>
        <item sd="0" m="1" x="7915"/>
        <item sd="0" m="1" x="101"/>
        <item sd="0" m="1" x="5340"/>
        <item sd="0" m="1" x="6151"/>
        <item sd="0" m="1" x="6802"/>
        <item sd="0" m="1" x="341"/>
        <item sd="0" m="1" x="3089"/>
        <item sd="0" m="1" x="4026"/>
        <item sd="0" m="1" x="4989"/>
        <item sd="0" m="1" x="1055"/>
        <item sd="0" m="1" x="5052"/>
        <item sd="0" m="1" x="5912"/>
        <item sd="0" m="1" x="6634"/>
        <item sd="0" m="1" x="2374"/>
        <item sd="0" m="1" x="1349"/>
        <item sd="0" m="1" x="2029"/>
        <item sd="0" m="1" x="2832"/>
        <item sd="0" m="1" x="3758"/>
        <item sd="0" m="1" x="2890"/>
        <item sd="0" m="1" x="3820"/>
        <item sd="0" m="1" x="4780"/>
        <item sd="0" m="1" x="5688"/>
        <item sd="0" m="1" x="4841"/>
        <item sd="0" m="1" x="755"/>
        <item sd="0" m="1" x="1214"/>
        <item sd="0" m="1" x="1833"/>
        <item sd="0" m="1" x="2627"/>
        <item sd="0" m="1" x="6199"/>
        <item sd="0" m="1" x="1891"/>
        <item sd="0" m="1" x="2680"/>
        <item sd="0" m="1" x="3580"/>
        <item sd="0" m="1" x="4548"/>
        <item sd="0" m="1" x="7363"/>
        <item sd="0" m="1" x="3638"/>
        <item sd="0" m="1" x="4602"/>
        <item sd="0" m="1" x="380"/>
        <item sd="0" m="1" x="656"/>
        <item sd="0" m="1" x="1073"/>
        <item sd="0" m="1" x="1645"/>
        <item sd="0" m="1" x="5162"/>
        <item sd="0" m="1" x="6006"/>
        <item sd="0" m="1" x="1142"/>
        <item sd="0" m="1" x="1683"/>
        <item sd="0" m="1" x="2437"/>
        <item sd="0" m="1" x="6725"/>
        <item sd="0" m="1" x="7234"/>
        <item sd="0" m="1" x="2531"/>
        <item sd="0" m="1" x="3367"/>
        <item sd="0" m="1" x="4326"/>
        <item sd="0" m="1" x="201"/>
        <item sd="0" m="1" x="314"/>
        <item sd="0" m="1" x="550"/>
        <item sd="0" m="1" x="3979"/>
        <item sd="0" m="1" x="4925"/>
        <item sd="0" m="1" x="5781"/>
        <item sd="0" m="1" x="602"/>
        <item sd="0" m="1" x="991"/>
        <item sd="0" m="1" x="1516"/>
        <item sd="0" m="1" x="5865"/>
        <item sd="0" m="1" x="6554"/>
        <item sd="0" m="1" x="7114"/>
        <item sd="0" m="1" x="1600"/>
        <item sd="0" m="1" x="2306"/>
        <item sd="0" m="1" x="3143"/>
        <item sd="0" m="1" x="1159"/>
        <item sd="0" m="1" x="1722"/>
        <item sd="0" m="1" x="2466"/>
        <item sd="0" m="1" x="3326"/>
        <item sd="0" m="1" x="6744"/>
        <item sd="0" m="1" x="7265"/>
        <item sd="0" m="1" x="2555"/>
        <item sd="0" m="1" x="3405"/>
        <item sd="0" m="1" x="4355"/>
        <item sd="0" m="1" x="5290"/>
        <item sd="0" m="1" x="7699"/>
        <item sd="0" m="1" x="7916"/>
        <item sd="0" m="1" x="4425"/>
        <item sd="0" m="1" x="5341"/>
        <item sd="0" m="1" x="6152"/>
        <item sd="0" m="1" x="622"/>
        <item sd="0" m="1" x="1019"/>
        <item sd="0" m="1" x="1551"/>
        <item sd="0" m="1" x="5886"/>
        <item sd="0" m="1" x="6589"/>
        <item sd="0" m="1" x="7138"/>
        <item sd="0" m="1" x="1625"/>
        <item sd="0" m="1" x="2338"/>
        <item sd="0" m="1" x="3175"/>
        <item sd="0" m="1" x="7189"/>
        <item sd="0" m="1" x="7597"/>
        <item sd="0" m="1" x="7868"/>
        <item sd="0" m="1" x="3233"/>
        <item sd="0" m="1" x="4167"/>
        <item sd="0" m="1" x="5112"/>
        <item sd="0" m="1" x="529"/>
        <item sd="0" m="1" x="908"/>
        <item sd="0" m="1" x="4755"/>
        <item sd="0" m="1" x="5645"/>
        <item sd="0" m="1" x="6409"/>
        <item sd="0" m="1" x="1449"/>
        <item sd="0" m="1" x="2134"/>
        <item sd="0" m="1" x="6466"/>
        <item sd="0" m="1" x="7053"/>
        <item sd="0" m="1" x="7511"/>
        <item sd="0" m="1" x="3003"/>
        <item sd="0" m="1" x="3917"/>
        <item sd="0" m="1" x="441"/>
        <item sd="0" m="1" x="2643"/>
        <item sd="0" m="1" x="3540"/>
        <item sd="0" m="1" x="4507"/>
        <item sd="0" m="1" x="5433"/>
        <item sd="0" m="1" x="1304"/>
        <item sd="0" m="1" x="4565"/>
        <item sd="0" m="1" x="5483"/>
        <item sd="0" m="1" x="6296"/>
        <item sd="0" m="1" x="6917"/>
        <item sd="0" m="1" x="2780"/>
        <item sd="0" m="1" x="1656"/>
        <item sd="0" m="1" x="2397"/>
        <item sd="0" m="1" x="3272"/>
        <item sd="0" m="1" x="4234"/>
        <item sd="0" m="1" x="3327"/>
        <item sd="0" m="1" x="4279"/>
        <item sd="0" m="1" x="5242"/>
        <item sd="0" m="1" x="6081"/>
        <item sd="0" m="1" x="5291"/>
        <item sd="0" m="1" x="238"/>
        <item sd="0" m="1" x="404"/>
        <item sd="0" m="1" x="734"/>
        <item sd="0" m="1" x="3492"/>
        <item sd="0" m="1" x="4443"/>
        <item sd="0" m="1" x="5359"/>
        <item sd="0" m="1" x="6161"/>
        <item sd="0" m="1" x="774"/>
        <item sd="0" m="1" x="1234"/>
        <item sd="0" m="1" x="1850"/>
        <item sd="0" m="1" x="5434"/>
        <item sd="0" m="1" x="6223"/>
        <item sd="0" m="1" x="6851"/>
        <item sd="0" m="1" x="7332"/>
        <item sd="0" m="1" x="1928"/>
        <item sd="0" m="1" x="2711"/>
        <item sd="0" m="1" x="3597"/>
        <item sd="0" m="1" x="217"/>
        <item sd="0" m="1" x="2379"/>
        <item sd="0" m="1" x="3245"/>
        <item sd="0" m="1" x="4186"/>
        <item sd="0" m="1" x="5122"/>
        <item sd="0" m="1" x="679"/>
        <item sd="0" m="1" x="4235"/>
        <item sd="0" m="1" x="5175"/>
        <item sd="0" m="1" x="6027"/>
        <item sd="0" m="1" x="6685"/>
        <item sd="0" m="1" x="1723"/>
        <item sd="0" m="1" x="1467"/>
        <item sd="0" m="1" x="2176"/>
        <item sd="0" m="1" x="3012"/>
        <item sd="0" m="1" x="3057"/>
        <item sd="0" m="1" x="3998"/>
        <item sd="0" m="1" x="4955"/>
        <item sd="0" m="1" x="932"/>
        <item sd="0" m="1" x="1430"/>
        <item sd="0" m="1" x="2087"/>
        <item sd="0" m="1" x="2891"/>
        <item sd="0" m="1" x="7036"/>
        <item sd="0" m="1" x="7477"/>
        <item sd="0" m="1" x="2162"/>
        <item sd="0" m="1" x="2985"/>
        <item sd="0" m="1" x="3883"/>
        <item sd="0" m="1" x="4842"/>
        <item sd="0" m="1" x="7837"/>
        <item sd="0" m="1" x="7979"/>
        <item sd="0" m="1" x="3961"/>
        <item sd="0" m="1" x="4907"/>
        <item sd="0" m="1" x="5763"/>
        <item sd="0" m="1" x="6493"/>
        <item sd="0" m="1" x="818"/>
        <item sd="0" m="1" x="1276"/>
        <item sd="0" m="1" x="1892"/>
        <item sd="0" m="1" x="5463"/>
        <item sd="0" m="1" x="6279"/>
        <item sd="0" m="1" x="6886"/>
        <item sd="0" m="1" x="7364"/>
        <item sd="0" m="1" x="1977"/>
        <item sd="0" m="1" x="2752"/>
        <item sd="0" m="1" x="3639"/>
        <item sd="0" m="1" x="6943"/>
        <item sd="0" m="1" x="7426"/>
        <item sd="0" m="1" x="7756"/>
        <item sd="0" m="1" x="7949"/>
        <item sd="0" m="1" x="3696"/>
        <item sd="0" m="1" x="4647"/>
        <item sd="0" m="1" x="5545"/>
        <item sd="0" m="1" x="1350"/>
        <item sd="0" m="1" x="2030"/>
        <item sd="0" m="1" x="2833"/>
        <item sd="0" m="1" x="3759"/>
        <item sd="0" m="1" x="2892"/>
        <item sd="0" m="1" x="3821"/>
        <item sd="0" m="1" x="4781"/>
        <item sd="0" m="1" x="5689"/>
        <item sd="0" m="1" x="4843"/>
        <item sd="0" m="1" x="5729"/>
        <item sd="0" m="1" x="756"/>
        <item sd="0" m="1" x="1215"/>
        <item sd="0" m="1" x="1834"/>
        <item sd="0" m="1" x="2628"/>
        <item sd="0" m="1" x="6200"/>
        <item sd="0" m="1" x="6839"/>
        <item sd="0" m="1" x="1893"/>
        <item sd="0" m="1" x="2681"/>
        <item sd="0" m="1" x="3581"/>
        <item sd="0" m="1" x="4549"/>
        <item sd="0" m="1" x="7365"/>
        <item sd="0" m="1" x="7726"/>
        <item sd="0" m="1" x="3640"/>
        <item sd="0" m="1" x="4603"/>
        <item sd="0" m="1" x="5515"/>
        <item sd="0" m="1" x="381"/>
        <item sd="0" m="1" x="657"/>
        <item sd="0" m="1" x="1074"/>
        <item sd="0" m="1" x="1646"/>
        <item sd="0" m="1" x="5163"/>
        <item sd="0" m="1" x="6007"/>
        <item sd="0" m="1" x="6668"/>
        <item sd="0" m="1" x="1143"/>
        <item sd="0" m="1" x="1684"/>
        <item sd="0" m="1" x="2438"/>
        <item sd="0" m="1" x="6726"/>
        <item sd="0" m="1" x="7235"/>
        <item sd="0" m="1" x="7632"/>
        <item sd="0" m="1" x="2532"/>
        <item sd="0" m="1" x="3368"/>
        <item sd="0" m="1" x="4327"/>
        <item sd="0" m="1" x="315"/>
        <item sd="0" m="1" x="551"/>
        <item sd="0" m="1" x="3980"/>
        <item sd="0" m="1" x="4926"/>
        <item sd="0" m="1" x="5782"/>
        <item sd="0" m="1" x="6501"/>
        <item sd="0" m="1" x="992"/>
        <item sd="0" m="1" x="1517"/>
        <item sd="0" m="1" x="5866"/>
        <item sd="0" m="1" x="6555"/>
        <item sd="0" m="1" x="7115"/>
        <item sd="0" m="1" x="2307"/>
        <item sd="0" m="1" x="3144"/>
        <item sd="0" m="1" x="269"/>
        <item sd="0" m="1" x="1993"/>
        <item sd="0" m="1" x="2813"/>
        <item sd="0" m="1" x="3718"/>
        <item sd="0" m="1" x="4666"/>
        <item sd="0" m="1" x="882"/>
        <item sd="0" m="1" x="3760"/>
        <item sd="0" m="1" x="4732"/>
        <item sd="0" m="1" x="5625"/>
        <item sd="0" m="1" x="6384"/>
        <item sd="0" m="1" x="2088"/>
        <item sd="0" m="1" x="102"/>
        <item sd="0" m="1" x="1020"/>
        <item sd="0" m="1" x="1552"/>
        <item sd="0" m="1" x="5887"/>
        <item sd="0" m="1" x="6590"/>
        <item sd="0" m="1" x="7139"/>
        <item sd="0" m="1" x="7555"/>
        <item sd="0" m="1" x="2339"/>
        <item sd="0" m="1" x="3176"/>
        <item sd="0" m="1" x="7190"/>
        <item sd="0" m="1" x="7598"/>
        <item sd="0" m="1" x="7869"/>
        <item sd="0" m="1" x="79"/>
        <item sd="0" m="1" x="4168"/>
        <item sd="0" m="1" x="5113"/>
        <item sd="0" m="1" x="452"/>
        <item sd="0" m="1" x="819"/>
        <item sd="0" m="1" x="1277"/>
        <item sd="0" m="1" x="1894"/>
        <item sd="0" m="1" x="5464"/>
        <item sd="0" m="1" x="6280"/>
        <item sd="0" m="1" x="6887"/>
        <item sd="0" m="1" x="1322"/>
        <item sd="0" m="1" x="1978"/>
        <item sd="0" m="1" x="2753"/>
        <item sd="0" m="1" x="3641"/>
        <item sd="0" m="1" x="6944"/>
        <item sd="0" m="1" x="7427"/>
        <item sd="0" m="1" x="7757"/>
        <item sd="0" m="1" x="2797"/>
        <item sd="0" m="1" x="3697"/>
        <item sd="0" m="1" x="4648"/>
        <item sd="0" m="1" x="5546"/>
        <item sd="0" m="1" x="396"/>
        <item sd="0" m="1" x="711"/>
        <item sd="0" m="1" x="4260"/>
        <item sd="0" m="1" x="5221"/>
        <item sd="0" m="1" x="6060"/>
        <item sd="0" m="1" x="6727"/>
        <item sd="0" m="1" x="1180"/>
        <item sd="0" m="1" x="1775"/>
        <item sd="0" m="1" x="6109"/>
        <item sd="0" m="1" x="6783"/>
        <item sd="0" m="1" x="7302"/>
        <item sd="0" m="1" x="7680"/>
        <item sd="0" m="1" x="2577"/>
        <item sd="0" m="1" x="3449"/>
        <item sd="0" m="1" x="342"/>
        <item sd="0" m="1" x="3090"/>
        <item sd="0" m="1" x="4027"/>
        <item sd="0" m="1" x="4990"/>
        <item sd="0" m="1" x="1056"/>
        <item sd="0" m="1" x="5053"/>
        <item sd="0" m="1" x="5913"/>
        <item sd="0" m="1" x="6635"/>
        <item sd="0" m="1" x="2375"/>
        <item sd="0" m="1" x="1351"/>
        <item sd="0" m="1" x="2031"/>
        <item sd="0" m="1" x="2834"/>
        <item sd="0" m="1" x="3761"/>
        <item sd="0" m="1" x="2893"/>
        <item sd="0" m="1" x="3822"/>
        <item sd="0" m="1" x="4782"/>
        <item sd="0" m="1" x="5690"/>
        <item sd="0" m="1" x="202"/>
        <item sd="0" m="1" x="316"/>
        <item sd="0" m="1" x="552"/>
        <item sd="0" m="1" x="3981"/>
        <item sd="0" m="1" x="4927"/>
        <item sd="0" m="1" x="5783"/>
        <item sd="0" m="1" x="603"/>
        <item sd="0" m="1" x="993"/>
        <item sd="0" m="1" x="1518"/>
        <item sd="0" m="1" x="5867"/>
        <item sd="0" m="1" x="6556"/>
        <item sd="0" m="1" x="7116"/>
        <item sd="0" m="1" x="1601"/>
        <item sd="0" m="1" x="2308"/>
        <item sd="0" m="1" x="3145"/>
        <item sd="0" m="1" x="178"/>
        <item sd="0" m="1" x="270"/>
        <item sd="0" m="1" x="1994"/>
        <item sd="0" m="1" x="2814"/>
        <item sd="0" m="1" x="3719"/>
        <item sd="0" m="1" x="4667"/>
        <item sd="0" m="1" x="517"/>
        <item sd="0" m="1" x="883"/>
        <item sd="0" m="1" x="3762"/>
        <item sd="0" m="1" x="4733"/>
        <item sd="0" m="1" x="5626"/>
        <item sd="0" m="1" x="6385"/>
        <item sd="0" m="1" x="1431"/>
        <item sd="0" m="1" x="2089"/>
        <item sd="0" m="1" x="167"/>
        <item sd="0" m="1" x="1182"/>
        <item sd="0" m="1" x="1807"/>
        <item sd="0" m="1" x="2593"/>
        <item sd="0" m="1" x="3467"/>
        <item sd="0" m="1" x="2629"/>
        <item sd="0" m="1" x="3516"/>
        <item sd="0" m="1" x="4489"/>
        <item sd="0" m="1" x="5412"/>
        <item sd="0" m="1" x="1160"/>
        <item sd="0" m="1" x="1724"/>
        <item sd="0" m="1" x="2467"/>
        <item sd="0" m="1" x="3328"/>
        <item sd="0" m="1" x="6745"/>
        <item sd="0" m="1" x="7266"/>
        <item sd="0" m="1" x="2556"/>
        <item sd="0" m="1" x="3406"/>
        <item sd="0" m="1" x="4356"/>
        <item sd="0" m="1" x="5292"/>
        <item sd="0" m="1" x="7700"/>
        <item sd="0" m="1" x="7917"/>
        <item sd="0" m="1" x="4426"/>
        <item sd="0" m="1" x="5342"/>
        <item sd="0" m="1" x="6153"/>
        <item sd="0" m="1" x="623"/>
        <item sd="0" m="1" x="1021"/>
        <item sd="0" m="1" x="1553"/>
        <item sd="0" m="1" x="5888"/>
        <item sd="0" m="1" x="6591"/>
        <item sd="0" m="1" x="7140"/>
        <item sd="0" m="1" x="1626"/>
        <item sd="0" m="1" x="2340"/>
        <item sd="0" m="1" x="3177"/>
        <item sd="0" m="1" x="7191"/>
        <item sd="0" m="1" x="7599"/>
        <item sd="0" m="1" x="7870"/>
        <item sd="0" m="1" x="3234"/>
        <item sd="0" m="1" x="4169"/>
        <item sd="0" m="1" x="5114"/>
        <item sd="0" m="1" x="1657"/>
        <item sd="0" m="1" x="2398"/>
        <item sd="0" m="1" x="3273"/>
        <item sd="0" m="1" x="4236"/>
        <item sd="0" m="1" x="3329"/>
        <item sd="0" m="1" x="4280"/>
        <item sd="0" m="1" x="5243"/>
        <item sd="0" m="1" x="6082"/>
        <item sd="0" m="1" x="5293"/>
        <item sd="0" m="1" x="968"/>
        <item sd="0" m="1" x="1481"/>
        <item sd="0" m="1" x="2206"/>
        <item sd="0" m="1" x="6531"/>
        <item sd="0" m="1" x="2266"/>
        <item sd="0" m="1" x="3108"/>
        <item sd="0" m="1" x="4057"/>
        <item sd="0" m="1" x="7556"/>
        <item sd="0" m="1" x="4125"/>
        <item sd="0" m="1" x="5071"/>
        <item sd="0" m="1" x="295"/>
        <item sd="0" m="1" x="480"/>
        <item sd="0" m="1" x="848"/>
        <item sd="0" m="1" x="1330"/>
        <item sd="0" m="1" x="5598"/>
        <item sd="0" m="1" x="6344"/>
        <item sd="0" m="1" x="909"/>
        <item sd="0" m="1" x="1377"/>
        <item sd="0" m="1" x="2046"/>
        <item sd="0" m="1" x="2856"/>
        <item sd="0" m="1" x="6999"/>
        <item sd="0" m="1" x="7443"/>
        <item sd="0" m="1" x="2135"/>
        <item sd="0" m="1" x="2936"/>
        <item sd="0" m="1" x="3853"/>
        <item sd="0" m="1" x="4804"/>
        <item sd="0" m="1" x="239"/>
        <item sd="0" m="1" x="405"/>
        <item sd="0" m="1" x="735"/>
        <item sd="0" m="1" x="3493"/>
        <item sd="0" m="1" x="4444"/>
        <item sd="0" m="1" x="5360"/>
        <item sd="0" m="1" x="6162"/>
        <item sd="0" m="1" x="775"/>
        <item sd="0" m="1" x="1235"/>
        <item sd="0" m="1" x="1851"/>
        <item sd="0" m="1" x="5435"/>
        <item sd="0" m="1" x="6224"/>
        <item sd="0" m="1" x="6852"/>
        <item sd="0" m="1" x="7333"/>
        <item sd="0" m="1" x="1929"/>
        <item sd="0" m="1" x="2712"/>
        <item sd="0" m="1" x="3598"/>
        <item sd="0" m="1" x="218"/>
        <item sd="0" m="1" x="2380"/>
        <item sd="0" m="1" x="3246"/>
        <item sd="0" m="1" x="4187"/>
        <item sd="0" m="1" x="5123"/>
        <item sd="0" m="1" x="680"/>
        <item sd="0" m="1" x="4237"/>
        <item sd="0" m="1" x="5176"/>
        <item sd="0" m="1" x="6028"/>
        <item sd="0" m="1" x="6686"/>
        <item sd="0" m="1" x="1725"/>
        <item sd="0" m="1" x="820"/>
        <item sd="0" m="1" x="1278"/>
        <item sd="0" m="1" x="1895"/>
        <item sd="0" m="1" x="5465"/>
        <item sd="0" m="1" x="6281"/>
        <item sd="0" m="1" x="6888"/>
        <item sd="0" m="1" x="7366"/>
        <item sd="0" m="1" x="1979"/>
        <item sd="0" m="1" x="2754"/>
        <item sd="0" m="1" x="3642"/>
        <item sd="0" m="1" x="6945"/>
        <item sd="0" m="1" x="7428"/>
        <item sd="0" m="1" x="7758"/>
        <item sd="0" m="1" x="7950"/>
        <item sd="0" m="1" x="3698"/>
        <item sd="0" m="1" x="4649"/>
        <item sd="0" m="1" x="5547"/>
        <item sd="0" m="1" x="712"/>
        <item sd="0" m="1" x="4261"/>
        <item sd="0" m="1" x="5222"/>
        <item sd="0" m="1" x="6061"/>
        <item sd="0" m="1" x="6728"/>
        <item sd="0" m="1" x="1776"/>
        <item sd="0" m="1" x="6110"/>
        <item sd="0" m="1" x="6784"/>
        <item sd="0" m="1" x="7303"/>
        <item sd="0" m="1" x="7681"/>
        <item sd="0" m="1" x="3450"/>
        <item sd="0" m="1" x="3091"/>
        <item sd="0" m="1" x="4028"/>
        <item sd="0" m="1" x="4991"/>
        <item sd="0" m="1" x="5054"/>
        <item sd="0" m="1" x="5914"/>
        <item sd="0" m="1" x="6636"/>
        <item sd="0" m="1" x="1352"/>
        <item sd="0" m="1" x="2032"/>
        <item sd="0" m="1" x="2835"/>
        <item sd="0" m="1" x="3763"/>
        <item sd="0" m="1" x="2894"/>
        <item sd="0" m="1" x="3823"/>
        <item sd="0" m="1" x="4783"/>
        <item sd="0" m="1" x="5691"/>
        <item sd="0" m="1" x="4844"/>
        <item sd="0" m="1" x="5730"/>
        <item sd="0" m="1" x="757"/>
        <item sd="0" m="1" x="1216"/>
        <item sd="0" m="1" x="1835"/>
        <item sd="0" m="1" x="2630"/>
        <item sd="0" m="1" x="6201"/>
        <item sd="0" m="1" x="6840"/>
        <item sd="0" m="1" x="1896"/>
        <item sd="0" m="1" x="2682"/>
        <item sd="0" m="1" x="3582"/>
        <item sd="0" m="1" x="4550"/>
        <item sd="0" m="1" x="7367"/>
        <item sd="0" m="1" x="7727"/>
        <item sd="0" m="1" x="3643"/>
        <item sd="0" m="1" x="4604"/>
        <item sd="0" m="1" x="5516"/>
        <item sd="0" m="1" x="271"/>
        <item sd="0" m="1" x="1995"/>
        <item sd="0" m="1" x="2815"/>
        <item sd="0" m="1" x="3720"/>
        <item sd="0" m="1" x="4668"/>
        <item sd="0" m="1" x="884"/>
        <item sd="0" m="1" x="3764"/>
        <item sd="0" m="1" x="4734"/>
        <item sd="0" m="1" x="5627"/>
        <item sd="0" m="1" x="6386"/>
        <item sd="0" m="1" x="2090"/>
        <item sd="0" m="1" x="1183"/>
        <item sd="0" m="1" x="1808"/>
        <item sd="0" m="1" x="2594"/>
        <item sd="0" m="1" x="3468"/>
        <item sd="0" m="1" x="2631"/>
        <item sd="0" m="1" x="3517"/>
        <item sd="0" m="1" x="4490"/>
        <item sd="0" m="1" x="5413"/>
        <item sd="0" m="1" x="4551"/>
        <item sd="0" m="1" x="1161"/>
        <item sd="0" m="1" x="1726"/>
        <item sd="0" m="1" x="2468"/>
        <item sd="0" m="1" x="3330"/>
        <item sd="0" m="1" x="6746"/>
        <item sd="0" m="1" x="7267"/>
        <item sd="0" m="1" x="7647"/>
        <item sd="0" m="1" x="2557"/>
        <item sd="0" m="1" x="3407"/>
        <item sd="0" m="1" x="4357"/>
        <item sd="0" m="1" x="5294"/>
        <item sd="0" m="1" x="7701"/>
        <item sd="0" m="1" x="7918"/>
        <item sd="0" m="1" x="103"/>
        <item sd="0" m="1" x="4427"/>
        <item sd="0" m="1" x="5343"/>
        <item sd="0" m="1" x="6154"/>
        <item sd="0" m="1" x="6803"/>
        <item sd="0" m="1" x="453"/>
        <item sd="0" m="1" x="821"/>
        <item sd="0" m="1" x="1279"/>
        <item sd="0" m="1" x="1897"/>
        <item sd="0" m="1" x="5466"/>
        <item sd="0" m="1" x="6282"/>
        <item sd="0" m="1" x="6889"/>
        <item sd="0" m="1" x="1323"/>
        <item sd="0" m="1" x="1980"/>
        <item sd="0" m="1" x="2755"/>
        <item sd="0" m="1" x="3644"/>
        <item sd="0" m="1" x="6946"/>
        <item sd="0" m="1" x="7429"/>
        <item sd="0" m="1" x="7759"/>
        <item sd="0" m="1" x="2798"/>
        <item sd="0" m="1" x="3699"/>
        <item sd="0" m="1" x="4650"/>
        <item sd="0" m="1" x="5548"/>
        <item sd="0" m="1" x="397"/>
        <item sd="0" m="1" x="713"/>
        <item sd="0" m="1" x="4262"/>
        <item sd="0" m="1" x="5223"/>
        <item sd="0" m="1" x="6062"/>
        <item sd="0" m="1" x="6729"/>
        <item sd="0" m="1" x="1181"/>
        <item sd="0" m="1" x="1777"/>
        <item sd="0" m="1" x="6111"/>
        <item sd="0" m="1" x="6785"/>
        <item sd="0" m="1" x="7304"/>
        <item sd="0" m="1" x="7682"/>
        <item sd="0" m="1" x="2578"/>
        <item sd="0" m="1" x="3451"/>
        <item sd="0" m="1" x="758"/>
        <item sd="0" m="1" x="1217"/>
        <item sd="0" m="1" x="1836"/>
        <item sd="0" m="1" x="2632"/>
        <item sd="0" m="1" x="6202"/>
        <item sd="0" m="1" x="1898"/>
        <item sd="0" m="1" x="2683"/>
        <item sd="0" m="1" x="3583"/>
        <item sd="0" m="1" x="4552"/>
        <item sd="0" m="1" x="7368"/>
        <item sd="0" m="1" x="3645"/>
        <item sd="0" m="1" x="4605"/>
        <item sd="0" m="1" x="382"/>
        <item sd="0" m="1" x="658"/>
        <item sd="0" m="1" x="1075"/>
        <item sd="0" m="1" x="1647"/>
        <item sd="0" m="1" x="5164"/>
        <item sd="0" m="1" x="6008"/>
        <item sd="0" m="1" x="1144"/>
        <item sd="0" m="1" x="1685"/>
        <item sd="0" m="1" x="2439"/>
        <item sd="0" m="1" x="6730"/>
        <item sd="0" m="1" x="7236"/>
        <item sd="0" m="1" x="2533"/>
        <item sd="0" m="1" x="3369"/>
        <item sd="0" m="1" x="4328"/>
        <item sd="0" m="1" x="203"/>
        <item sd="0" m="1" x="317"/>
        <item sd="0" m="1" x="553"/>
        <item sd="0" m="1" x="3982"/>
        <item sd="0" m="1" x="4928"/>
        <item sd="0" m="1" x="5784"/>
        <item sd="0" m="1" x="604"/>
        <item sd="0" m="1" x="994"/>
        <item sd="0" m="1" x="1519"/>
        <item sd="0" m="1" x="5868"/>
        <item sd="0" m="1" x="6557"/>
        <item sd="0" m="1" x="7117"/>
        <item sd="0" m="1" x="1602"/>
        <item sd="0" m="1" x="2309"/>
        <item sd="0" m="1" x="3146"/>
        <item sd="0" m="1" x="179"/>
        <item sd="0" m="1" x="272"/>
        <item sd="0" m="1" x="1996"/>
        <item sd="0" m="1" x="2816"/>
        <item sd="0" m="1" x="3721"/>
        <item sd="0" m="1" x="4669"/>
        <item sd="0" m="1" x="518"/>
        <item sd="0" m="1" x="885"/>
        <item sd="0" m="1" x="3765"/>
        <item sd="0" m="1" x="4735"/>
        <item sd="0" m="1" x="5628"/>
        <item sd="0" m="1" x="6387"/>
        <item sd="0" m="1" x="1432"/>
        <item sd="0" m="1" x="2091"/>
        <item sd="0" m="1" x="168"/>
        <item sd="0" m="1" x="1184"/>
        <item sd="0" m="1" x="1809"/>
        <item sd="0" m="1" x="2595"/>
        <item sd="0" m="1" x="3469"/>
        <item sd="0" m="1" x="2633"/>
        <item sd="0" m="1" x="3518"/>
        <item sd="0" m="1" x="4491"/>
        <item sd="0" m="1" x="5414"/>
        <item sd="0" m="1" x="530"/>
        <item sd="0" m="1" x="910"/>
        <item sd="0" m="1" x="4756"/>
        <item sd="0" m="1" x="5646"/>
        <item sd="0" m="1" x="6410"/>
        <item sd="0" m="1" x="1450"/>
        <item sd="0" m="1" x="2136"/>
        <item sd="0" m="1" x="6467"/>
        <item sd="0" m="1" x="7054"/>
        <item sd="0" m="1" x="7512"/>
        <item sd="0" m="1" x="3004"/>
        <item sd="0" m="1" x="3918"/>
        <item sd="0" m="1" x="442"/>
        <item sd="0" m="1" x="2644"/>
        <item sd="0" m="1" x="3541"/>
        <item sd="0" m="1" x="4508"/>
        <item sd="0" m="1" x="5436"/>
        <item sd="0" m="1" x="1305"/>
        <item sd="0" m="1" x="4566"/>
        <item sd="0" m="1" x="5484"/>
        <item sd="0" m="1" x="6297"/>
        <item sd="0" m="1" x="6918"/>
        <item sd="0" m="1" x="2781"/>
        <item sd="0" m="1" x="1658"/>
        <item sd="0" m="1" x="2399"/>
        <item sd="0" m="1" x="3274"/>
        <item sd="0" m="1" x="4238"/>
        <item sd="0" m="1" x="3331"/>
        <item sd="0" m="1" x="4281"/>
        <item sd="0" m="1" x="5244"/>
        <item sd="0" m="1" x="6083"/>
        <item sd="0" m="1" x="5295"/>
        <item sd="0" m="1" x="969"/>
        <item sd="0" m="1" x="1482"/>
        <item sd="0" m="1" x="2207"/>
        <item sd="0" m="1" x="6532"/>
        <item sd="0" m="1" x="2267"/>
        <item sd="0" m="1" x="3109"/>
        <item sd="0" m="1" x="4058"/>
        <item sd="0" m="1" x="7557"/>
        <item sd="0" m="1" x="4126"/>
        <item sd="0" m="1" x="5072"/>
        <item sd="0" m="1" x="296"/>
        <item sd="0" m="1" x="481"/>
        <item sd="0" m="1" x="849"/>
        <item sd="0" m="1" x="1331"/>
        <item sd="0" m="1" x="5599"/>
        <item sd="0" m="1" x="6345"/>
        <item sd="0" m="1" x="911"/>
        <item sd="0" m="1" x="1378"/>
        <item sd="0" m="1" x="2047"/>
        <item sd="0" m="1" x="2857"/>
        <item sd="0" m="1" x="7000"/>
        <item sd="0" m="1" x="7444"/>
        <item sd="0" m="1" x="2137"/>
        <item sd="0" m="1" x="2937"/>
        <item sd="0" m="1" x="3854"/>
        <item sd="0" m="1" x="4805"/>
        <item sd="0" m="1" x="1468"/>
        <item sd="0" m="1" x="2177"/>
        <item sd="0" m="1" x="3013"/>
        <item sd="0" m="1" x="3058"/>
        <item sd="0" m="1" x="3999"/>
        <item sd="0" m="1" x="4956"/>
        <item sd="0" m="1" x="933"/>
        <item sd="0" m="1" x="1433"/>
        <item sd="0" m="1" x="2092"/>
        <item sd="0" m="1" x="2895"/>
        <item sd="0" m="1" x="7037"/>
        <item sd="0" m="1" x="7478"/>
        <item sd="0" m="1" x="2163"/>
        <item sd="0" m="1" x="2986"/>
        <item sd="0" m="1" x="3884"/>
        <item sd="0" m="1" x="4845"/>
        <item sd="0" m="1" x="7838"/>
        <item sd="0" m="1" x="7980"/>
        <item sd="0" m="1" x="3962"/>
        <item sd="0" m="1" x="4908"/>
        <item sd="0" m="1" x="5764"/>
        <item sd="0" m="1" x="6494"/>
        <item sd="0" m="1" x="822"/>
        <item sd="0" m="1" x="1280"/>
        <item sd="0" m="1" x="1899"/>
        <item sd="0" m="1" x="5467"/>
        <item sd="0" m="1" x="6283"/>
        <item sd="0" m="1" x="6890"/>
        <item sd="0" m="1" x="7369"/>
        <item sd="0" m="1" x="1981"/>
        <item sd="0" m="1" x="2756"/>
        <item sd="0" m="1" x="3646"/>
        <item sd="0" m="1" x="6947"/>
        <item sd="0" m="1" x="7430"/>
        <item sd="0" m="1" x="7760"/>
        <item sd="0" m="1" x="7951"/>
        <item sd="0" m="1" x="3700"/>
        <item sd="0" m="1" x="4651"/>
        <item sd="0" m="1" x="5549"/>
        <item sd="0" m="1" x="714"/>
        <item sd="0" m="1" x="4263"/>
        <item sd="0" m="1" x="5224"/>
        <item sd="0" m="1" x="6063"/>
        <item sd="0" m="1" x="6731"/>
        <item sd="0" m="1" x="1778"/>
        <item sd="0" m="1" x="6112"/>
        <item sd="0" m="1" x="6786"/>
        <item sd="0" m="1" x="7305"/>
        <item sd="0" m="1" x="7683"/>
        <item sd="0" m="1" x="3452"/>
        <item sd="0" m="1" x="3092"/>
        <item sd="0" m="1" x="4029"/>
        <item sd="0" m="1" x="4992"/>
        <item sd="0" m="1" x="5055"/>
        <item sd="0" m="1" x="5915"/>
        <item sd="0" m="1" x="6637"/>
        <item sd="0" m="1" x="383"/>
        <item sd="0" m="1" x="659"/>
        <item sd="0" m="1" x="6669"/>
        <item sd="0" m="1" x="1145"/>
        <item sd="0" m="1" x="1686"/>
        <item sd="0" m="1" x="2440"/>
        <item sd="0" m="1" x="6732"/>
        <item sd="0" m="1" x="7237"/>
        <item sd="0" m="1" x="7633"/>
        <item sd="0" m="1" x="2534"/>
        <item sd="0" m="1" x="3370"/>
        <item sd="0" m="1" x="4329"/>
        <item sd="0" m="1" x="318"/>
        <item sd="0" m="1" x="554"/>
        <item sd="0" m="1" x="3983"/>
        <item sd="0" m="1" x="4929"/>
        <item sd="0" m="1" x="5785"/>
        <item sd="0" m="1" x="6502"/>
        <item sd="0" m="1" x="995"/>
        <item sd="0" m="1" x="1520"/>
        <item sd="0" m="1" x="5869"/>
        <item sd="0" m="1" x="6558"/>
        <item sd="0" m="1" x="7118"/>
        <item sd="0" m="1" x="2310"/>
        <item sd="0" m="1" x="3147"/>
        <item sd="0" m="1" x="273"/>
        <item sd="0" m="1" x="1997"/>
        <item sd="0" m="1" x="2817"/>
        <item sd="0" m="1" x="3722"/>
        <item sd="0" m="1" x="4670"/>
        <item sd="0" m="1" x="886"/>
        <item sd="0" m="1" x="3766"/>
        <item sd="0" m="1" x="4736"/>
        <item sd="0" m="1" x="5629"/>
        <item sd="0" m="1" x="6388"/>
        <item sd="0" m="1" x="2093"/>
        <item sd="0" m="1" x="1185"/>
        <item sd="0" m="1" x="1810"/>
        <item sd="0" m="1" x="2596"/>
        <item sd="0" m="1" x="3470"/>
        <item sd="0" m="1" x="2634"/>
        <item sd="0" m="1" x="3519"/>
        <item sd="0" m="1" x="4492"/>
        <item sd="0" m="1" x="5415"/>
        <item sd="0" m="1" x="4553"/>
        <item sd="0" m="1" x="1162"/>
        <item sd="0" m="1" x="1727"/>
        <item sd="0" m="1" x="2469"/>
        <item sd="0" m="1" x="3332"/>
        <item sd="0" m="1" x="6747"/>
        <item sd="0" m="1" x="7268"/>
        <item sd="0" m="1" x="7648"/>
        <item sd="0" m="1" x="2558"/>
        <item sd="0" m="1" x="3408"/>
        <item sd="0" m="1" x="4358"/>
        <item sd="0" m="1" x="5296"/>
        <item sd="0" m="1" x="7702"/>
        <item sd="0" m="1" x="7919"/>
        <item sd="0" m="1" x="104"/>
        <item sd="0" m="1" x="4428"/>
        <item sd="0" m="1" x="5344"/>
        <item sd="0" m="1" x="6155"/>
        <item sd="0" m="1" x="6804"/>
        <item sd="0" m="1" x="7009"/>
        <item sd="0" m="1" x="1451"/>
        <item sd="0" m="1" x="2146"/>
        <item sd="0" m="1" x="2949"/>
        <item sd="0" m="1" x="7062"/>
        <item sd="0" m="1" x="7517"/>
        <item sd="0" m="1" x="7815"/>
        <item sd="0" m="1" x="3014"/>
        <item sd="0" m="1" x="3930"/>
        <item sd="0" m="1" x="4878"/>
        <item sd="0" m="1" x="443"/>
        <item sd="0" m="1" x="783"/>
        <item sd="0" m="1" x="3549"/>
        <item sd="0" m="1" x="4517"/>
        <item sd="0" m="1" x="5446"/>
        <item sd="0" m="1" x="6234"/>
        <item sd="0" m="1" x="1313"/>
        <item sd="0" m="1" x="1942"/>
        <item sd="0" m="1" x="5492"/>
        <item sd="0" m="1" x="6298"/>
        <item sd="0" m="1" x="6926"/>
        <item sd="0" m="1" x="7400"/>
        <item sd="0" m="1" x="2788"/>
        <item sd="0" m="1" x="3670"/>
        <item sd="0" m="1" x="2407"/>
        <item sd="0" m="1" x="3275"/>
        <item sd="0" m="1" x="4239"/>
        <item sd="0" m="1" x="5177"/>
        <item sd="0" m="1" x="4289"/>
        <item sd="0" m="1" x="5245"/>
        <item sd="0" m="1" x="6092"/>
        <item sd="0" m="1" x="6756"/>
        <item sd="0" m="1" x="1489"/>
        <item sd="0" m="1" x="2208"/>
        <item sd="0" m="1" x="3059"/>
        <item sd="0" m="1" x="3116"/>
        <item sd="0" m="1" x="4067"/>
        <item sd="0" m="1" x="5023"/>
        <item sd="0" m="1" x="5079"/>
        <item sd="0" m="1" x="491"/>
        <item sd="0" m="1" x="850"/>
        <item sd="0" m="1" x="1332"/>
        <item sd="0" m="1" x="2004"/>
        <item sd="0" m="1" x="6353"/>
        <item sd="0" m="1" x="1387"/>
        <item sd="0" m="1" x="2049"/>
        <item sd="0" m="1" x="2866"/>
        <item sd="0" m="1" x="3789"/>
        <item sd="0" m="1" x="7453"/>
        <item sd="0" m="1" x="2950"/>
        <item sd="0" m="1" x="3859"/>
        <item sd="0" m="1" x="4817"/>
        <item sd="0" m="1" x="187"/>
        <item sd="0" m="1" x="2178"/>
        <item sd="0" m="1" x="3022"/>
        <item sd="0" m="1" x="3946"/>
        <item sd="0" m="1" x="4890"/>
        <item sd="0" m="1" x="579"/>
        <item sd="0" m="1" x="4000"/>
        <item sd="0" m="1" x="4963"/>
        <item sd="0" m="1" x="5827"/>
        <item sd="0" m="1" x="1560"/>
        <item sd="0" m="1" x="2103"/>
        <item sd="0" m="1" x="2901"/>
        <item sd="0" m="1" x="3829"/>
        <item sd="0" m="1" x="7488"/>
        <item sd="0" m="1" x="3894"/>
        <item sd="0" m="1" x="4851"/>
        <item sd="0" m="1" x="5735"/>
        <item sd="0" m="1" x="7985"/>
        <item sd="0" m="1" x="5786"/>
        <item sd="0" m="1" x="6503"/>
        <item sd="0" m="1" x="827"/>
        <item sd="0" m="1" x="1284"/>
        <item sd="0" m="1" x="1903"/>
        <item sd="0" m="1" x="2687"/>
        <item sd="0" m="1" x="6897"/>
        <item sd="0" m="1" x="7373"/>
        <item sd="0" m="1" x="1985"/>
        <item sd="0" m="1" x="2760"/>
        <item sd="0" m="1" x="3650"/>
        <item sd="0" m="1" x="4609"/>
        <item sd="0" m="1" x="7764"/>
        <item sd="0" m="1" x="7952"/>
        <item sd="0" m="1" x="3723"/>
        <item sd="0" m="1" x="4671"/>
        <item sd="0" m="1" x="5564"/>
        <item sd="0" m="1" x="6321"/>
        <item sd="0" m="1" x="715"/>
        <item sd="0" m="1" x="1149"/>
        <item sd="0" m="1" x="1691"/>
        <item sd="0" m="1" x="5228"/>
        <item sd="0" m="1" x="6067"/>
        <item sd="0" m="1" x="6736"/>
        <item sd="0" m="1" x="7241"/>
        <item sd="0" m="1" x="1780"/>
        <item sd="0" m="1" x="2545"/>
        <item sd="0" m="1" x="3381"/>
        <item sd="0" m="1" x="6790"/>
        <item sd="0" m="1" x="7306"/>
        <item sd="0" m="1" x="7691"/>
        <item sd="0" m="1" x="7900"/>
        <item sd="0" m="1" x="3471"/>
        <item sd="0" m="1" x="4411"/>
        <item sd="0" m="1" x="5325"/>
        <item sd="0" m="1" x="605"/>
        <item sd="0" m="1" x="4039"/>
        <item sd="0" m="1" x="4997"/>
        <item sd="0" m="1" x="5874"/>
        <item sd="0" m="1" x="6563"/>
        <item sd="0" m="1" x="1608"/>
        <item sd="0" m="1" x="5920"/>
        <item sd="0" m="1" x="6638"/>
        <item sd="0" m="1" x="7179"/>
        <item sd="0" m="1" x="7580"/>
        <item sd="0" m="1" x="3216"/>
        <item sd="0" m="1" x="664"/>
        <item sd="0" m="1" x="1076"/>
        <item sd="0" m="1" x="1648"/>
        <item sd="0" m="1" x="2385"/>
        <item sd="0" m="1" x="6012"/>
        <item sd="0" m="1" x="6670"/>
        <item sd="0" m="1" x="1692"/>
        <item sd="0" m="1" x="2441"/>
        <item sd="0" m="1" x="3308"/>
        <item sd="0" m="1" x="4267"/>
        <item sd="0" m="1" x="7242"/>
        <item sd="0" m="1" x="7634"/>
        <item sd="0" m="1" x="3382"/>
        <item sd="0" m="1" x="4337"/>
        <item sd="0" m="1" x="5272"/>
        <item sd="0" m="1" x="323"/>
        <item sd="0" m="1" x="555"/>
        <item sd="0" m="1" x="951"/>
        <item sd="0" m="1" x="4939"/>
        <item sd="0" m="1" x="5802"/>
        <item sd="0" m="1" x="6519"/>
        <item sd="0" m="1" x="1000"/>
        <item sd="0" m="1" x="1525"/>
        <item sd="0" m="1" x="2239"/>
        <item sd="0" m="1" x="6564"/>
        <item sd="0" m="1" x="7119"/>
        <item sd="0" m="1" x="7543"/>
        <item sd="0" m="1" x="2319"/>
        <item sd="0" m="1" x="3156"/>
        <item sd="0" m="1" x="4098"/>
        <item sd="0" m="1" x="287"/>
        <item sd="0" m="1" x="468"/>
        <item sd="0" m="1" x="3731"/>
        <item sd="0" m="1" x="4685"/>
        <item sd="0" m="1" x="5578"/>
        <item sd="0" m="1" x="893"/>
        <item sd="0" m="1" x="1358"/>
        <item sd="0" m="1" x="5630"/>
        <item sd="0" m="1" x="6394"/>
        <item sd="0" m="1" x="6978"/>
        <item sd="0" m="1" x="2104"/>
        <item sd="0" m="1" x="2902"/>
        <item sd="0" m="1" x="227"/>
        <item sd="0" m="1" x="1811"/>
        <item sd="0" m="1" x="2597"/>
        <item sd="0" m="1" x="3479"/>
        <item sd="0" m="1" x="4419"/>
        <item sd="0" m="1" x="763"/>
        <item sd="0" m="1" x="3520"/>
        <item sd="0" m="1" x="4493"/>
        <item sd="0" m="1" x="5419"/>
        <item sd="0" m="1" x="6206"/>
        <item sd="0" m="1" x="1904"/>
        <item sd="0" m="1" x="1743"/>
        <item sd="0" m="1" x="2477"/>
        <item sd="0" m="1" x="3340"/>
        <item sd="0" m="1" x="4290"/>
        <item sd="0" m="1" x="7278"/>
        <item sd="0" m="1" x="7656"/>
        <item sd="0" m="1" x="3425"/>
        <item sd="0" m="1" x="4366"/>
        <item sd="0" m="1" x="5304"/>
        <item sd="0" m="1" x="6120"/>
        <item sd="0" m="1" x="7929"/>
        <item sd="0" m="1" x="105"/>
        <item sd="0" m="1" x="5369"/>
        <item sd="0" m="1" x="6163"/>
        <item sd="0" m="1" x="6805"/>
        <item sd="0" m="1" x="784"/>
        <item sd="0" m="1" x="3550"/>
        <item sd="0" m="1" x="4518"/>
        <item sd="0" m="1" x="5447"/>
        <item sd="0" m="1" x="6235"/>
        <item sd="0" m="1" x="1943"/>
        <item sd="0" m="1" x="5493"/>
        <item sd="0" m="1" x="6299"/>
        <item sd="0" m="1" x="6927"/>
        <item sd="0" m="1" x="7401"/>
        <item sd="0" m="1" x="3671"/>
        <item sd="0" m="1" x="2408"/>
        <item sd="0" m="1" x="3276"/>
        <item sd="0" m="1" x="4240"/>
        <item sd="0" m="1" x="5178"/>
        <item sd="0" m="1" x="4291"/>
        <item sd="0" m="1" x="5246"/>
        <item sd="0" m="1" x="6093"/>
        <item sd="0" m="1" x="6757"/>
        <item sd="0" m="1" x="6121"/>
        <item sd="0" m="1" x="1490"/>
        <item sd="0" m="1" x="2209"/>
        <item sd="0" m="1" x="3060"/>
        <item sd="0" m="1" x="7095"/>
        <item sd="0" m="1" x="3117"/>
        <item sd="0" m="1" x="4068"/>
        <item sd="0" m="1" x="5024"/>
        <item sd="0" m="1" x="7850"/>
        <item sd="0" m="1" x="5080"/>
        <item sd="0" m="1" x="5938"/>
        <item sd="0" m="1" x="492"/>
        <item sd="0" m="1" x="851"/>
        <item sd="0" m="1" x="1333"/>
        <item sd="0" m="1" x="2005"/>
        <item sd="0" m="1" x="6354"/>
        <item sd="0" m="1" x="6951"/>
        <item sd="0" m="1" x="1388"/>
        <item sd="0" m="1" x="2050"/>
        <item sd="0" m="1" x="2867"/>
        <item sd="0" m="1" x="3790"/>
        <item sd="0" m="1" x="7454"/>
        <item sd="0" m="1" x="7784"/>
        <item sd="0" m="1" x="2951"/>
        <item sd="0" m="1" x="3860"/>
        <item sd="0" m="1" x="4818"/>
        <item sd="0" m="1" x="5712"/>
        <item sd="0" m="1" x="406"/>
        <item sd="0" m="1" x="736"/>
        <item sd="0" m="1" x="1186"/>
        <item sd="0" m="1" x="4456"/>
        <item sd="0" m="1" x="5379"/>
        <item sd="0" m="1" x="6173"/>
        <item sd="0" m="1" x="6815"/>
        <item sd="0" m="1" x="1238"/>
        <item sd="0" m="1" x="1859"/>
        <item sd="0" m="1" x="2652"/>
        <item sd="0" m="1" x="6236"/>
        <item sd="0" m="1" x="6854"/>
        <item sd="0" m="1" x="7338"/>
        <item sd="0" m="1" x="7712"/>
        <item sd="0" m="1" x="2720"/>
        <item sd="0" m="1" x="3606"/>
        <item sd="0" m="1" x="4574"/>
        <item sd="0" m="1" x="2105"/>
        <item sd="0" m="1" x="2903"/>
        <item sd="0" m="1" x="3830"/>
        <item sd="0" m="1" x="7489"/>
        <item sd="0" m="1" x="7797"/>
        <item sd="0" m="1" x="3895"/>
        <item sd="0" m="1" x="4852"/>
        <item sd="0" m="1" x="5736"/>
        <item sd="0" m="1" x="7986"/>
        <item sd="0" m="1" x="138"/>
        <item sd="0" m="1" x="5787"/>
        <item sd="0" m="1" x="6504"/>
        <item sd="0" m="1" x="7082"/>
        <item sd="0" m="1" x="1285"/>
        <item sd="0" m="1" x="1905"/>
        <item sd="0" m="1" x="2688"/>
        <item sd="0" m="1" x="6898"/>
        <item sd="0" m="1" x="7374"/>
        <item sd="0" m="1" x="7731"/>
        <item sd="0" m="1" x="2761"/>
        <item sd="0" m="1" x="3651"/>
        <item sd="0" m="1" x="4610"/>
        <item sd="0" m="1" x="7765"/>
        <item sd="0" m="1" x="7953"/>
        <item sd="0" m="1" x="126"/>
        <item sd="0" m="1" x="4672"/>
        <item sd="0" m="1" x="5565"/>
        <item sd="0" m="1" x="6322"/>
        <item sd="0" m="1" x="1033"/>
        <item sd="0" m="1" x="1561"/>
        <item sd="0" m="1" x="2274"/>
        <item sd="0" m="1" x="6606"/>
        <item sd="0" m="1" x="7147"/>
        <item sd="0" m="1" x="2352"/>
        <item sd="0" m="1" x="3184"/>
        <item sd="0" m="1" x="4133"/>
        <item sd="0" m="1" x="7608"/>
        <item sd="0" m="1" x="7871"/>
        <item sd="0" m="1" x="4188"/>
        <item sd="0" m="1" x="5124"/>
        <item sd="0" m="1" x="5959"/>
        <item sd="0" m="1" x="531"/>
        <item sd="0" m="1" x="917"/>
        <item sd="0" m="1" x="1389"/>
        <item sd="0" m="1" x="5661"/>
        <item sd="0" m="1" x="6419"/>
        <item sd="0" m="1" x="7010"/>
        <item sd="0" m="1" x="1452"/>
        <item sd="0" m="1" x="2147"/>
        <item sd="0" m="1" x="2952"/>
        <item sd="0" m="1" x="7063"/>
        <item sd="0" m="1" x="7518"/>
        <item sd="0" m="1" x="7816"/>
        <item sd="0" m="1" x="3015"/>
        <item sd="0" m="1" x="3931"/>
        <item sd="0" m="1" x="4879"/>
        <item sd="0" m="1" x="444"/>
        <item sd="0" m="1" x="785"/>
        <item sd="0" m="1" x="3551"/>
        <item sd="0" m="1" x="4519"/>
        <item sd="0" m="1" x="5448"/>
        <item sd="0" m="1" x="6237"/>
        <item sd="0" m="1" x="1314"/>
        <item sd="0" m="1" x="1944"/>
        <item sd="0" m="1" x="5494"/>
        <item sd="0" m="1" x="6300"/>
        <item sd="0" m="1" x="6928"/>
        <item sd="0" m="1" x="7402"/>
        <item sd="0" m="1" x="2789"/>
        <item sd="0" m="1" x="3672"/>
        <item sd="0" m="1" x="493"/>
        <item sd="0" m="1" x="852"/>
        <item sd="0" m="1" x="1334"/>
        <item sd="0" m="1" x="2006"/>
        <item sd="0" m="1" x="6355"/>
        <item sd="0" m="1" x="1390"/>
        <item sd="0" m="1" x="2051"/>
        <item sd="0" m="1" x="2868"/>
        <item sd="0" m="1" x="3791"/>
        <item sd="0" m="1" x="7455"/>
        <item sd="0" m="1" x="2953"/>
        <item sd="0" m="1" x="3861"/>
        <item sd="0" m="1" x="4819"/>
        <item sd="0" m="1" x="246"/>
        <item sd="0" m="1" x="407"/>
        <item sd="0" m="1" x="737"/>
        <item sd="0" m="1" x="1187"/>
        <item sd="0" m="1" x="4457"/>
        <item sd="0" m="1" x="5380"/>
        <item sd="0" m="1" x="6174"/>
        <item sd="0" m="1" x="786"/>
        <item sd="0" m="1" x="1239"/>
        <item sd="0" m="1" x="1860"/>
        <item sd="0" m="1" x="2653"/>
        <item sd="0" m="1" x="6238"/>
        <item sd="0" m="1" x="6855"/>
        <item sd="0" m="1" x="7339"/>
        <item sd="0" m="1" x="1945"/>
        <item sd="0" m="1" x="2721"/>
        <item sd="0" m="1" x="3607"/>
        <item sd="0" m="1" x="4575"/>
        <item sd="0" m="1" x="219"/>
        <item sd="0" m="1" x="350"/>
        <item sd="0" m="1" x="630"/>
        <item sd="0" m="1" x="3249"/>
        <item sd="0" m="1" x="4205"/>
        <item sd="0" m="1" x="5141"/>
        <item sd="0" m="1" x="5976"/>
        <item sd="0" m="1" x="689"/>
        <item sd="0" m="1" x="1098"/>
        <item sd="0" m="1" x="5179"/>
        <item sd="0" m="1" x="6029"/>
        <item sd="0" m="1" x="6694"/>
        <item sd="0" m="1" x="7208"/>
        <item sd="0" m="1" x="1744"/>
        <item sd="0" m="1" x="2478"/>
        <item sd="0" m="1" x="188"/>
        <item sd="0" m="1" x="2179"/>
        <item sd="0" m="1" x="3023"/>
        <item sd="0" m="1" x="3947"/>
        <item sd="0" m="1" x="4891"/>
        <item sd="0" m="1" x="580"/>
        <item sd="0" m="1" x="4001"/>
        <item sd="0" m="1" x="4964"/>
        <item sd="0" m="1" x="5828"/>
        <item sd="0" m="1" x="1562"/>
        <item sd="0" m="1" x="2106"/>
        <item sd="0" m="1" x="2904"/>
        <item sd="0" m="1" x="3831"/>
        <item sd="0" m="1" x="7490"/>
        <item sd="0" m="1" x="3896"/>
        <item sd="0" m="1" x="4853"/>
        <item sd="0" m="1" x="5737"/>
        <item sd="0" m="1" x="7987"/>
        <item sd="0" m="1" x="5788"/>
        <item sd="0" m="1" x="6505"/>
        <item sd="0" m="1" x="606"/>
        <item sd="0" m="1" x="4040"/>
        <item sd="0" m="1" x="4998"/>
        <item sd="0" m="1" x="5875"/>
        <item sd="0" m="1" x="6565"/>
        <item sd="0" m="1" x="1609"/>
        <item sd="0" m="1" x="5921"/>
        <item sd="0" m="1" x="6639"/>
        <item sd="0" m="1" x="7180"/>
        <item sd="0" m="1" x="7581"/>
        <item sd="0" m="1" x="3217"/>
        <item sd="0" m="1" x="2841"/>
        <item sd="0" m="1" x="3767"/>
        <item sd="0" m="1" x="4737"/>
        <item sd="0" m="1" x="4789"/>
        <item sd="0" m="1" x="5696"/>
        <item sd="0" m="1" x="6450"/>
        <item sd="0" m="1" x="1221"/>
        <item sd="0" m="1" x="1837"/>
        <item sd="0" m="1" x="2635"/>
        <item sd="0" m="1" x="3521"/>
        <item sd="0" m="1" x="2689"/>
        <item sd="0" m="1" x="3584"/>
        <item sd="0" m="1" x="4557"/>
        <item sd="0" m="1" x="5471"/>
        <item sd="0" m="1" x="4611"/>
        <item sd="0" m="1" x="5517"/>
        <item sd="0" m="1" x="665"/>
        <item sd="0" m="1" x="1077"/>
        <item sd="0" m="1" x="1649"/>
        <item sd="0" m="1" x="2386"/>
        <item sd="0" m="1" x="6013"/>
        <item sd="0" m="1" x="6671"/>
        <item sd="0" m="1" x="1693"/>
        <item sd="0" m="1" x="2442"/>
        <item sd="0" m="1" x="3309"/>
        <item sd="0" m="1" x="4268"/>
        <item sd="0" m="1" x="7243"/>
        <item sd="0" m="1" x="7635"/>
        <item sd="0" m="1" x="3383"/>
        <item sd="0" m="1" x="4338"/>
        <item sd="0" m="1" x="5273"/>
        <item sd="0" m="1" x="324"/>
        <item sd="0" m="1" x="556"/>
        <item sd="0" m="1" x="952"/>
        <item sd="0" m="1" x="4940"/>
        <item sd="0" m="1" x="5803"/>
        <item sd="0" m="1" x="6520"/>
        <item sd="0" m="1" x="1001"/>
        <item sd="0" m="1" x="1526"/>
        <item sd="0" m="1" x="2240"/>
        <item sd="0" m="1" x="6566"/>
        <item sd="0" m="1" x="7120"/>
        <item sd="0" m="1" x="7544"/>
        <item sd="0" m="1" x="2320"/>
        <item sd="0" m="1" x="3157"/>
        <item sd="0" m="1" x="4099"/>
        <item sd="0" m="1" x="1745"/>
        <item sd="0" m="1" x="2479"/>
        <item sd="0" m="1" x="3341"/>
        <item sd="0" m="1" x="4292"/>
        <item sd="0" m="1" x="7279"/>
        <item sd="0" m="1" x="7657"/>
        <item sd="0" m="1" x="3426"/>
        <item sd="0" m="1" x="4367"/>
        <item sd="0" m="1" x="5305"/>
        <item sd="0" m="1" x="6122"/>
        <item sd="0" m="1" x="7930"/>
        <item sd="0" m="1" x="106"/>
        <item sd="0" m="1" x="5370"/>
        <item sd="0" m="1" x="6164"/>
        <item sd="0" m="1" x="6806"/>
        <item sd="0" m="1" x="1034"/>
        <item sd="0" m="1" x="1563"/>
        <item sd="0" m="1" x="2275"/>
        <item sd="0" m="1" x="6607"/>
        <item sd="0" m="1" x="7148"/>
        <item sd="0" m="1" x="7564"/>
        <item sd="0" m="1" x="2353"/>
        <item sd="0" m="1" x="3185"/>
        <item sd="0" m="1" x="4134"/>
        <item sd="0" m="1" x="7609"/>
        <item sd="0" m="1" x="7872"/>
        <item sd="0" m="1" x="80"/>
        <item sd="0" m="1" x="4189"/>
        <item sd="0" m="1" x="5125"/>
        <item sd="0" m="1" x="5960"/>
        <item sd="0" m="1" x="918"/>
        <item sd="0" m="1" x="1391"/>
        <item sd="0" m="1" x="5662"/>
        <item sd="0" m="1" x="6420"/>
        <item sd="0" m="1" x="7011"/>
        <item sd="0" m="1" x="2148"/>
        <item sd="0" m="1" x="2954"/>
        <item sd="0" m="1" x="7064"/>
        <item sd="0" m="1" x="7519"/>
        <item sd="0" m="1" x="7817"/>
        <item sd="0" m="1" x="3932"/>
        <item sd="0" m="1" x="4880"/>
        <item sd="0" m="1" x="787"/>
        <item sd="0" m="1" x="3552"/>
        <item sd="0" m="1" x="4520"/>
        <item sd="0" m="1" x="5449"/>
        <item sd="0" m="1" x="6239"/>
        <item sd="0" m="1" x="1946"/>
        <item sd="0" m="1" x="5495"/>
        <item sd="0" m="1" x="6301"/>
        <item sd="0" m="1" x="6929"/>
        <item sd="0" m="1" x="7403"/>
        <item sd="0" m="1" x="3673"/>
        <item sd="0" m="1" x="2409"/>
        <item sd="0" m="1" x="3277"/>
        <item sd="0" m="1" x="4241"/>
        <item sd="0" m="1" x="5180"/>
        <item sd="0" m="1" x="4293"/>
        <item sd="0" m="1" x="5247"/>
        <item sd="0" m="1" x="6094"/>
        <item sd="0" m="1" x="6758"/>
        <item sd="0" m="1" x="6123"/>
        <item sd="0" m="1" x="408"/>
        <item sd="0" m="1" x="738"/>
        <item sd="0" m="1" x="1188"/>
        <item sd="0" m="1" x="4458"/>
        <item sd="0" m="1" x="5381"/>
        <item sd="0" m="1" x="6175"/>
        <item sd="0" m="1" x="6816"/>
        <item sd="0" m="1" x="1240"/>
        <item sd="0" m="1" x="1861"/>
        <item sd="0" m="1" x="2654"/>
        <item sd="0" m="1" x="6240"/>
        <item sd="0" m="1" x="6856"/>
        <item sd="0" m="1" x="7340"/>
        <item sd="0" m="1" x="7713"/>
        <item sd="0" m="1" x="2722"/>
        <item sd="0" m="1" x="3608"/>
        <item sd="0" m="1" x="4576"/>
        <item sd="0" m="1" x="351"/>
        <item sd="0" m="1" x="631"/>
        <item sd="0" m="1" x="3250"/>
        <item sd="0" m="1" x="4206"/>
        <item sd="0" m="1" x="5142"/>
        <item sd="0" m="1" x="5977"/>
        <item sd="0" m="1" x="1099"/>
        <item sd="0" m="1" x="5181"/>
        <item sd="0" m="1" x="6030"/>
        <item sd="0" m="1" x="6695"/>
        <item sd="0" m="1" x="7209"/>
        <item sd="0" m="1" x="2480"/>
        <item sd="0" m="1" x="1035"/>
        <item sd="0" m="1" x="1564"/>
        <item sd="0" m="1" x="2276"/>
        <item sd="0" m="1" x="6608"/>
        <item sd="0" m="1" x="7149"/>
        <item sd="0" m="1" x="2354"/>
        <item sd="0" m="1" x="3186"/>
        <item sd="0" m="1" x="4135"/>
        <item sd="0" m="1" x="7610"/>
        <item sd="0" m="1" x="7873"/>
        <item sd="0" m="1" x="4190"/>
        <item sd="0" m="1" x="5126"/>
        <item sd="0" m="1" x="5961"/>
        <item sd="0" m="1" x="532"/>
        <item sd="0" m="1" x="919"/>
        <item sd="0" m="1" x="1392"/>
        <item sd="0" m="1" x="5663"/>
        <item sd="0" m="1" x="6421"/>
        <item sd="0" m="1" x="7012"/>
        <item sd="0" m="1" x="1453"/>
        <item sd="0" m="1" x="2149"/>
        <item sd="0" m="1" x="2955"/>
        <item sd="0" m="1" x="7065"/>
        <item sd="0" m="1" x="7520"/>
        <item sd="0" m="1" x="7818"/>
        <item sd="0" m="1" x="3016"/>
        <item sd="0" m="1" x="3933"/>
        <item sd="0" m="1" x="4881"/>
        <item sd="0" m="1" x="445"/>
        <item sd="0" m="1" x="788"/>
        <item sd="0" m="1" x="3553"/>
        <item sd="0" m="1" x="4521"/>
        <item sd="0" m="1" x="5450"/>
        <item sd="0" m="1" x="6241"/>
        <item sd="0" m="1" x="1315"/>
        <item sd="0" m="1" x="1947"/>
        <item sd="0" m="1" x="5496"/>
        <item sd="0" m="1" x="6302"/>
        <item sd="0" m="1" x="6930"/>
        <item sd="0" m="1" x="7404"/>
        <item sd="0" m="1" x="2790"/>
        <item sd="0" m="1" x="3674"/>
        <item sd="0" m="1" x="494"/>
        <item sd="0" m="1" x="853"/>
        <item sd="0" m="1" x="1335"/>
        <item sd="0" m="1" x="2007"/>
        <item sd="0" m="1" x="6356"/>
        <item sd="0" m="1" x="1393"/>
        <item sd="0" m="1" x="2052"/>
        <item sd="0" m="1" x="2869"/>
        <item sd="0" m="1" x="3792"/>
        <item sd="0" m="1" x="7456"/>
        <item sd="0" m="1" x="2956"/>
        <item sd="0" m="1" x="3862"/>
        <item sd="0" m="1" x="4820"/>
        <item sd="0" m="1" x="247"/>
        <item sd="0" m="1" x="409"/>
        <item sd="0" m="1" x="739"/>
        <item sd="0" m="1" x="1189"/>
        <item sd="0" m="1" x="4459"/>
        <item sd="0" m="1" x="5382"/>
        <item sd="0" m="1" x="6176"/>
        <item sd="0" m="1" x="789"/>
        <item sd="0" m="1" x="1241"/>
        <item sd="0" m="1" x="1862"/>
        <item sd="0" m="1" x="2655"/>
        <item sd="0" m="1" x="6242"/>
        <item sd="0" m="1" x="6857"/>
        <item sd="0" m="1" x="7341"/>
        <item sd="0" m="1" x="1948"/>
        <item sd="0" m="1" x="2723"/>
        <item sd="0" m="1" x="3609"/>
        <item sd="0" m="1" x="4577"/>
        <item sd="0" m="1" x="220"/>
        <item sd="0" m="1" x="352"/>
        <item sd="0" m="1" x="632"/>
        <item sd="0" m="1" x="3251"/>
        <item sd="0" m="1" x="4207"/>
        <item sd="0" m="1" x="5143"/>
        <item sd="0" m="1" x="5978"/>
        <item sd="0" m="1" x="690"/>
        <item sd="0" m="1" x="1100"/>
        <item sd="0" m="1" x="5182"/>
        <item sd="0" m="1" x="6031"/>
        <item sd="0" m="1" x="6696"/>
        <item sd="0" m="1" x="7210"/>
        <item sd="0" m="1" x="1746"/>
        <item sd="0" m="1" x="2481"/>
        <item sd="0" m="1" x="189"/>
        <item sd="0" m="1" x="2180"/>
        <item sd="0" m="1" x="3024"/>
        <item sd="0" m="1" x="3948"/>
        <item sd="0" m="1" x="4892"/>
        <item sd="0" m="1" x="581"/>
        <item sd="0" m="1" x="4002"/>
        <item sd="0" m="1" x="4965"/>
        <item sd="0" m="1" x="5829"/>
        <item sd="0" m="1" x="1565"/>
        <item sd="0" m="1" x="2107"/>
        <item sd="0" m="1" x="2905"/>
        <item sd="0" m="1" x="3832"/>
        <item sd="0" m="1" x="7491"/>
        <item sd="0" m="1" x="3897"/>
        <item sd="0" m="1" x="4854"/>
        <item sd="0" m="1" x="5738"/>
        <item sd="0" m="1" x="7988"/>
        <item sd="0" m="1" x="5789"/>
        <item sd="0" m="1" x="6506"/>
        <item sd="0" m="1" x="607"/>
        <item sd="0" m="1" x="4041"/>
        <item sd="0" m="1" x="4999"/>
        <item sd="0" m="1" x="5876"/>
        <item sd="0" m="1" x="6567"/>
        <item sd="0" m="1" x="1610"/>
        <item sd="0" m="1" x="5922"/>
        <item sd="0" m="1" x="6640"/>
        <item sd="0" m="1" x="7181"/>
        <item sd="0" m="1" x="7582"/>
        <item sd="0" m="1" x="3218"/>
        <item sd="0" m="1" x="2842"/>
        <item sd="0" m="1" x="3768"/>
        <item sd="0" m="1" x="4738"/>
        <item sd="0" m="1" x="4790"/>
        <item sd="0" m="1" x="5697"/>
        <item sd="0" m="1" x="6451"/>
        <item sd="0" m="1" x="1222"/>
        <item sd="0" m="1" x="1838"/>
        <item sd="0" m="1" x="2636"/>
        <item sd="0" m="1" x="3522"/>
        <item sd="0" m="1" x="2690"/>
        <item sd="0" m="1" x="3585"/>
        <item sd="0" m="1" x="4558"/>
        <item sd="0" m="1" x="5472"/>
        <item sd="0" m="1" x="4612"/>
        <item sd="0" m="1" x="5518"/>
        <item sd="0" m="1" x="666"/>
        <item sd="0" m="1" x="1078"/>
        <item sd="0" m="1" x="1650"/>
        <item sd="0" m="1" x="2387"/>
        <item sd="0" m="1" x="6014"/>
        <item sd="0" m="1" x="6672"/>
        <item sd="0" m="1" x="1694"/>
        <item sd="0" m="1" x="2443"/>
        <item sd="0" m="1" x="3310"/>
        <item sd="0" m="1" x="4269"/>
        <item sd="0" m="1" x="7244"/>
        <item sd="0" m="1" x="7636"/>
        <item sd="0" m="1" x="3384"/>
        <item sd="0" m="1" x="4339"/>
        <item sd="0" m="1" x="5274"/>
        <item sd="0" m="1" x="325"/>
        <item sd="0" m="1" x="557"/>
        <item sd="0" m="1" x="953"/>
        <item sd="0" m="1" x="4941"/>
        <item sd="0" m="1" x="5804"/>
        <item sd="0" m="1" x="6521"/>
        <item sd="0" m="1" x="1002"/>
        <item sd="0" m="1" x="1527"/>
        <item sd="0" m="1" x="2241"/>
        <item sd="0" m="1" x="6568"/>
        <item sd="0" m="1" x="7121"/>
        <item sd="0" m="1" x="7545"/>
        <item sd="0" m="1" x="2321"/>
        <item sd="0" m="1" x="3158"/>
        <item sd="0" m="1" x="4100"/>
        <item sd="0" m="1" x="1747"/>
        <item sd="0" m="1" x="2482"/>
        <item sd="0" m="1" x="3342"/>
        <item sd="0" m="1" x="4294"/>
        <item sd="0" m="1" x="7280"/>
        <item sd="0" m="1" x="7658"/>
        <item sd="0" m="1" x="3427"/>
        <item sd="0" m="1" x="4368"/>
        <item sd="0" m="1" x="5306"/>
        <item sd="0" m="1" x="6124"/>
        <item sd="0" m="1" x="7931"/>
        <item sd="0" m="1" x="107"/>
        <item sd="0" m="1" x="5371"/>
        <item sd="0" m="1" x="6165"/>
        <item sd="0" m="1" x="6807"/>
        <item sd="0" m="1" x="1036"/>
        <item sd="0" m="1" x="1566"/>
        <item sd="0" m="1" x="2277"/>
        <item sd="0" m="1" x="6609"/>
        <item sd="0" m="1" x="7150"/>
        <item sd="0" m="1" x="7565"/>
        <item sd="0" m="1" x="2355"/>
        <item sd="0" m="1" x="3187"/>
        <item sd="0" m="1" x="4136"/>
        <item sd="0" m="1" x="7611"/>
        <item sd="0" m="1" x="7874"/>
        <item sd="0" m="1" x="81"/>
        <item sd="0" m="1" x="4191"/>
        <item sd="0" m="1" x="5127"/>
        <item sd="0" m="1" x="5962"/>
        <item sd="0" m="1" x="920"/>
        <item sd="0" m="1" x="1394"/>
        <item sd="0" m="1" x="5664"/>
        <item sd="0" m="1" x="6422"/>
        <item sd="0" m="1" x="7013"/>
        <item sd="0" m="1" x="2150"/>
        <item sd="0" m="1" x="2957"/>
        <item sd="0" m="1" x="7066"/>
        <item sd="0" m="1" x="7521"/>
        <item sd="0" m="1" x="7819"/>
        <item sd="0" m="1" x="3934"/>
        <item sd="0" m="1" x="4882"/>
        <item sd="0" m="1" x="790"/>
        <item sd="0" m="1" x="3554"/>
        <item sd="0" m="1" x="4522"/>
        <item sd="0" m="1" x="5451"/>
        <item sd="0" m="1" x="6243"/>
        <item sd="0" m="1" x="1949"/>
        <item sd="0" m="1" x="5497"/>
        <item sd="0" m="1" x="6303"/>
        <item sd="0" m="1" x="6931"/>
        <item sd="0" m="1" x="7405"/>
        <item sd="0" m="1" x="3675"/>
        <item sd="0" m="1" x="2410"/>
        <item sd="0" m="1" x="3278"/>
        <item sd="0" m="1" x="4242"/>
        <item sd="0" m="1" x="5183"/>
        <item sd="0" m="1" x="4295"/>
        <item sd="0" m="1" x="5248"/>
        <item sd="0" m="1" x="6095"/>
        <item sd="0" m="1" x="6759"/>
        <item sd="0" m="1" x="410"/>
        <item sd="0" m="1" x="740"/>
        <item sd="0" m="1" x="1190"/>
        <item sd="0" m="1" x="4460"/>
        <item sd="0" m="1" x="5383"/>
        <item sd="0" m="1" x="6177"/>
        <item sd="0" m="1" x="6817"/>
        <item sd="0" m="1" x="1242"/>
        <item sd="0" m="1" x="1863"/>
        <item sd="0" m="1" x="2656"/>
        <item sd="0" m="1" x="6244"/>
        <item sd="0" m="1" x="6858"/>
        <item sd="0" m="1" x="7342"/>
        <item sd="0" m="1" x="7714"/>
        <item sd="0" m="1" x="2724"/>
        <item sd="0" m="1" x="3610"/>
        <item sd="0" m="1" x="4578"/>
        <item sd="0" m="1" x="353"/>
        <item sd="0" m="1" x="633"/>
        <item sd="0" m="1" x="3252"/>
        <item sd="0" m="1" x="4208"/>
        <item sd="0" m="1" x="5144"/>
        <item sd="0" m="1" x="5979"/>
        <item sd="0" m="1" x="1101"/>
        <item sd="0" m="1" x="5184"/>
        <item sd="0" m="1" x="6032"/>
        <item sd="0" m="1" x="6697"/>
        <item sd="0" m="1" x="7211"/>
        <item sd="0" m="1" x="2483"/>
        <item sd="0" m="1" x="2181"/>
        <item sd="0" m="1" x="3025"/>
        <item sd="0" m="1" x="3949"/>
        <item sd="0" m="1" x="4893"/>
        <item sd="0" m="1" x="4003"/>
        <item sd="0" m="1" x="4966"/>
        <item sd="0" m="1" x="5830"/>
        <item sd="0" m="1" x="2108"/>
        <item sd="0" m="1" x="2906"/>
        <item sd="0" m="1" x="3833"/>
        <item sd="0" m="1" x="7492"/>
        <item sd="0" m="1" x="7798"/>
        <item sd="0" m="1" x="3898"/>
        <item sd="0" m="1" x="4855"/>
        <item sd="0" m="1" x="5739"/>
        <item sd="0" m="1" x="7989"/>
        <item sd="0" m="1" x="139"/>
        <item sd="0" m="1" x="5790"/>
        <item sd="0" m="1" x="6507"/>
        <item sd="0" m="1" x="7083"/>
        <item sd="0" m="1" x="1286"/>
        <item sd="0" m="1" x="1906"/>
        <item sd="0" m="1" x="2691"/>
        <item sd="0" m="1" x="6899"/>
        <item sd="0" m="1" x="7375"/>
        <item sd="0" m="1" x="7732"/>
        <item sd="0" m="1" x="2762"/>
        <item sd="0" m="1" x="3652"/>
        <item sd="0" m="1" x="4613"/>
        <item sd="0" m="1" x="7766"/>
        <item sd="0" m="1" x="7954"/>
        <item sd="0" m="1" x="127"/>
        <item sd="0" m="1" x="4673"/>
        <item sd="0" m="1" x="5566"/>
        <item sd="0" m="1" x="6323"/>
        <item sd="0" m="1" x="446"/>
        <item sd="0" m="1" x="791"/>
        <item sd="0" m="1" x="3555"/>
        <item sd="0" m="1" x="4523"/>
        <item sd="0" m="1" x="5452"/>
        <item sd="0" m="1" x="6245"/>
        <item sd="0" m="1" x="1316"/>
        <item sd="0" m="1" x="1950"/>
        <item sd="0" m="1" x="5498"/>
        <item sd="0" m="1" x="6304"/>
        <item sd="0" m="1" x="6932"/>
        <item sd="0" m="1" x="7406"/>
        <item sd="0" m="1" x="2791"/>
        <item sd="0" m="1" x="3676"/>
        <item sd="0" m="1" x="2411"/>
        <item sd="0" m="1" x="3279"/>
        <item sd="0" m="1" x="4243"/>
        <item sd="0" m="1" x="5185"/>
        <item sd="0" m="1" x="4296"/>
        <item sd="0" m="1" x="5249"/>
        <item sd="0" m="1" x="6096"/>
        <item sd="0" m="1" x="6760"/>
        <item sd="0" m="1" x="1491"/>
        <item sd="0" m="1" x="2210"/>
        <item sd="0" m="1" x="3061"/>
        <item sd="0" m="1" x="3118"/>
        <item sd="0" m="1" x="4069"/>
        <item sd="0" m="1" x="5025"/>
        <item sd="0" m="1" x="5081"/>
        <item sd="0" m="1" x="495"/>
        <item sd="0" m="1" x="854"/>
        <item sd="0" m="1" x="1336"/>
        <item sd="0" m="1" x="2008"/>
        <item sd="0" m="1" x="6357"/>
        <item sd="0" m="1" x="1395"/>
        <item sd="0" m="1" x="2053"/>
        <item sd="0" m="1" x="2870"/>
        <item sd="0" m="1" x="3793"/>
        <item sd="0" m="1" x="7457"/>
        <item sd="0" m="1" x="2958"/>
        <item sd="0" m="1" x="3863"/>
        <item sd="0" m="1" x="4821"/>
        <item sd="0" m="1" x="248"/>
        <item sd="0" m="1" x="411"/>
        <item sd="0" m="1" x="741"/>
        <item sd="0" m="1" x="1191"/>
        <item sd="0" m="1" x="4461"/>
        <item sd="0" m="1" x="5384"/>
        <item sd="0" m="1" x="6178"/>
        <item sd="0" m="1" x="792"/>
        <item sd="0" m="1" x="1243"/>
        <item sd="0" m="1" x="1864"/>
        <item sd="0" m="1" x="2657"/>
        <item sd="0" m="1" x="6246"/>
        <item sd="0" m="1" x="6859"/>
        <item sd="0" m="1" x="7343"/>
        <item sd="0" m="1" x="1951"/>
        <item sd="0" m="1" x="2725"/>
        <item sd="0" m="1" x="3611"/>
        <item sd="0" m="1" x="4579"/>
        <item sd="0" m="1" x="2109"/>
        <item sd="0" m="1" x="2907"/>
        <item sd="0" m="1" x="3834"/>
        <item sd="0" m="1" x="7493"/>
        <item sd="0" m="1" x="3899"/>
        <item sd="0" m="1" x="4856"/>
        <item sd="0" m="1" x="5740"/>
        <item sd="0" m="1" x="7990"/>
        <item sd="0" m="1" x="5791"/>
        <item sd="0" m="1" x="6508"/>
        <item sd="0" m="1" x="828"/>
        <item sd="0" m="1" x="1287"/>
        <item sd="0" m="1" x="1907"/>
        <item sd="0" m="1" x="2692"/>
        <item sd="0" m="1" x="6900"/>
        <item sd="0" m="1" x="7376"/>
        <item sd="0" m="1" x="1986"/>
        <item sd="0" m="1" x="2763"/>
        <item sd="0" m="1" x="3653"/>
        <item sd="0" m="1" x="4614"/>
        <item sd="0" m="1" x="7767"/>
        <item sd="0" m="1" x="7955"/>
        <item sd="0" m="1" x="3724"/>
        <item sd="0" m="1" x="4674"/>
        <item sd="0" m="1" x="5567"/>
        <item sd="0" m="1" x="6324"/>
        <item sd="0" m="1" x="716"/>
        <item sd="0" m="1" x="1150"/>
        <item sd="0" m="1" x="1695"/>
        <item sd="0" m="1" x="5229"/>
        <item sd="0" m="1" x="6068"/>
        <item sd="0" m="1" x="6737"/>
        <item sd="0" m="1" x="7245"/>
        <item sd="0" m="1" x="1781"/>
        <item sd="0" m="1" x="2546"/>
        <item sd="0" m="1" x="3385"/>
        <item sd="0" m="1" x="6791"/>
        <item sd="0" m="1" x="7307"/>
        <item sd="0" m="1" x="7692"/>
        <item sd="0" m="1" x="7901"/>
        <item sd="0" m="1" x="3472"/>
        <item sd="0" m="1" x="4412"/>
        <item sd="0" m="1" x="5326"/>
        <item sd="0" m="1" x="608"/>
        <item sd="0" m="1" x="4042"/>
        <item sd="0" m="1" x="5000"/>
        <item sd="0" m="1" x="5877"/>
        <item sd="0" m="1" x="6569"/>
        <item sd="0" m="1" x="1611"/>
        <item sd="0" m="1" x="5923"/>
        <item sd="0" m="1" x="6641"/>
        <item sd="0" m="1" x="7182"/>
        <item sd="0" m="1" x="7583"/>
        <item sd="0" m="1" x="3219"/>
        <item sd="0" m="1" x="2843"/>
        <item sd="0" m="1" x="3769"/>
        <item sd="0" m="1" x="4739"/>
        <item sd="0" m="1" x="4791"/>
        <item sd="0" m="1" x="5698"/>
        <item sd="0" m="1" x="6452"/>
        <item sd="0" m="1" x="326"/>
        <item sd="0" m="1" x="558"/>
        <item sd="0" m="1" x="954"/>
        <item sd="0" m="1" x="4942"/>
        <item sd="0" m="1" x="5805"/>
        <item sd="0" m="1" x="6522"/>
        <item sd="0" m="1" x="1003"/>
        <item sd="0" m="1" x="1528"/>
        <item sd="0" m="1" x="2242"/>
        <item sd="0" m="1" x="6570"/>
        <item sd="0" m="1" x="7122"/>
        <item sd="0" m="1" x="7546"/>
        <item sd="0" m="1" x="2322"/>
        <item sd="0" m="1" x="3159"/>
        <item sd="0" m="1" x="4101"/>
        <item sd="0" m="1" x="288"/>
        <item sd="0" m="1" x="469"/>
        <item sd="0" m="1" x="3732"/>
        <item sd="0" m="1" x="4686"/>
        <item sd="0" m="1" x="5579"/>
        <item sd="0" m="1" x="894"/>
        <item sd="0" m="1" x="1359"/>
        <item sd="0" m="1" x="5631"/>
        <item sd="0" m="1" x="6395"/>
        <item sd="0" m="1" x="6979"/>
        <item sd="0" m="1" x="2110"/>
        <item sd="0" m="1" x="2908"/>
        <item sd="0" m="1" x="228"/>
        <item sd="0" m="1" x="1812"/>
        <item sd="0" m="1" x="2598"/>
        <item sd="0" m="1" x="3480"/>
        <item sd="0" m="1" x="4420"/>
        <item sd="0" m="1" x="764"/>
        <item sd="0" m="1" x="3523"/>
        <item sd="0" m="1" x="4494"/>
        <item sd="0" m="1" x="5420"/>
        <item sd="0" m="1" x="6207"/>
        <item sd="0" m="1" x="1908"/>
        <item sd="0" m="1" x="1748"/>
        <item sd="0" m="1" x="2484"/>
        <item sd="0" m="1" x="3343"/>
        <item sd="0" m="1" x="4297"/>
        <item sd="0" m="1" x="7281"/>
        <item sd="0" m="1" x="7659"/>
        <item sd="0" m="1" x="3428"/>
        <item sd="0" m="1" x="4369"/>
        <item sd="0" m="1" x="5307"/>
        <item sd="0" m="1" x="6125"/>
        <item sd="0" m="1" x="7932"/>
        <item sd="0" m="1" x="108"/>
        <item sd="0" m="1" x="5372"/>
        <item sd="0" m="1" x="6166"/>
        <item sd="0" m="1" x="6808"/>
        <item sd="0" m="1" x="1037"/>
        <item sd="0" m="1" x="1567"/>
        <item sd="0" m="1" x="2278"/>
        <item sd="0" m="1" x="6610"/>
        <item sd="0" m="1" x="7151"/>
        <item sd="0" m="1" x="7566"/>
        <item sd="0" m="1" x="2356"/>
        <item sd="0" m="1" x="3188"/>
        <item sd="0" m="1" x="4137"/>
        <item sd="0" m="1" x="7612"/>
        <item sd="0" m="1" x="7875"/>
        <item sd="0" m="1" x="82"/>
        <item sd="0" m="1" x="4192"/>
        <item sd="0" m="1" x="5128"/>
        <item sd="0" m="1" x="5963"/>
        <item sd="0" m="1" x="2412"/>
        <item sd="0" m="1" x="3280"/>
        <item sd="0" m="1" x="4244"/>
        <item sd="0" m="1" x="5186"/>
        <item sd="0" m="1" x="4298"/>
        <item sd="0" m="1" x="5250"/>
        <item sd="0" m="1" x="6097"/>
        <item sd="0" m="1" x="6761"/>
        <item sd="0" m="1" x="6126"/>
        <item sd="0" m="1" x="1492"/>
        <item sd="0" m="1" x="2211"/>
        <item sd="0" m="1" x="3062"/>
        <item sd="0" m="1" x="7096"/>
        <item sd="0" m="1" x="3119"/>
        <item sd="0" m="1" x="4070"/>
        <item sd="0" m="1" x="5026"/>
        <item sd="0" m="1" x="7851"/>
        <item sd="0" m="1" x="5082"/>
        <item sd="0" m="1" x="5939"/>
        <item sd="0" m="1" x="496"/>
        <item sd="0" m="1" x="855"/>
        <item sd="0" m="1" x="1337"/>
        <item sd="0" m="1" x="2009"/>
        <item sd="0" m="1" x="6358"/>
        <item sd="0" m="1" x="6952"/>
        <item sd="0" m="1" x="1396"/>
        <item sd="0" m="1" x="2054"/>
        <item sd="0" m="1" x="2871"/>
        <item sd="0" m="1" x="3794"/>
        <item sd="0" m="1" x="7458"/>
        <item sd="0" m="1" x="7785"/>
        <item sd="0" m="1" x="2959"/>
        <item sd="0" m="1" x="3864"/>
        <item sd="0" m="1" x="4822"/>
        <item sd="0" m="1" x="5713"/>
        <item sd="0" m="1" x="412"/>
        <item sd="0" m="1" x="742"/>
        <item sd="0" m="1" x="1192"/>
        <item sd="0" m="1" x="4462"/>
        <item sd="0" m="1" x="5385"/>
        <item sd="0" m="1" x="6179"/>
        <item sd="0" m="1" x="6818"/>
        <item sd="0" m="1" x="1244"/>
        <item sd="0" m="1" x="1865"/>
        <item sd="0" m="1" x="2658"/>
        <item sd="0" m="1" x="6247"/>
        <item sd="0" m="1" x="6860"/>
        <item sd="0" m="1" x="7344"/>
        <item sd="0" m="1" x="7715"/>
        <item sd="0" m="1" x="2726"/>
        <item sd="0" m="1" x="3612"/>
        <item sd="0" m="1" x="4580"/>
        <item sd="0" m="1" x="354"/>
        <item sd="0" m="1" x="634"/>
        <item sd="0" m="1" x="3253"/>
        <item sd="0" m="1" x="4209"/>
        <item sd="0" m="1" x="5145"/>
        <item sd="0" m="1" x="5980"/>
        <item sd="0" m="1" x="1102"/>
        <item sd="0" m="1" x="5187"/>
        <item sd="0" m="1" x="6033"/>
        <item sd="0" m="1" x="6698"/>
        <item sd="0" m="1" x="7212"/>
        <item sd="0" m="1" x="2485"/>
        <item sd="0" m="1" x="140"/>
        <item sd="0" m="1" x="1038"/>
        <item sd="0" m="1" x="1568"/>
        <item sd="0" m="1" x="2279"/>
        <item sd="0" m="1" x="6611"/>
        <item sd="0" m="1" x="7152"/>
        <item sd="0" m="1" x="2357"/>
        <item sd="0" m="1" x="3189"/>
        <item sd="0" m="1" x="4138"/>
        <item sd="0" m="1" x="7613"/>
        <item sd="0" m="1" x="7876"/>
        <item sd="0" m="1" x="4193"/>
        <item sd="0" m="1" x="5129"/>
        <item sd="0" m="1" x="5964"/>
        <item sd="0" m="1" x="533"/>
        <item sd="0" m="1" x="921"/>
        <item sd="0" m="1" x="1397"/>
        <item sd="0" m="1" x="5665"/>
        <item sd="0" m="1" x="6423"/>
        <item sd="0" m="1" x="7014"/>
        <item sd="0" m="1" x="1454"/>
        <item sd="0" m="1" x="2151"/>
        <item sd="0" m="1" x="2960"/>
        <item sd="0" m="1" x="7067"/>
        <item sd="0" m="1" x="7522"/>
        <item sd="0" m="1" x="7820"/>
        <item sd="0" m="1" x="3017"/>
        <item sd="0" m="1" x="3935"/>
        <item sd="0" m="1" x="4883"/>
        <item sd="0" m="1" x="447"/>
        <item sd="0" m="1" x="793"/>
        <item sd="0" m="1" x="3556"/>
        <item sd="0" m="1" x="4524"/>
        <item sd="0" m="1" x="5453"/>
        <item sd="0" m="1" x="6248"/>
        <item sd="0" m="1" x="1317"/>
        <item sd="0" m="1" x="1952"/>
        <item sd="0" m="1" x="5499"/>
        <item sd="0" m="1" x="6305"/>
        <item sd="0" m="1" x="6933"/>
        <item sd="0" m="1" x="7407"/>
        <item sd="0" m="1" x="2792"/>
        <item sd="0" m="1" x="3677"/>
        <item sd="0" m="1" x="2413"/>
        <item sd="0" m="1" x="3281"/>
        <item sd="0" m="1" x="4245"/>
        <item sd="0" m="1" x="5188"/>
        <item sd="0" m="1" x="4299"/>
        <item sd="0" m="1" x="5251"/>
        <item sd="0" m="1" x="6098"/>
        <item sd="0" m="1" x="6762"/>
        <item sd="0" m="1" x="1493"/>
        <item sd="0" m="1" x="2212"/>
        <item sd="0" m="1" x="3063"/>
        <item sd="0" m="1" x="3120"/>
        <item sd="0" m="1" x="4071"/>
        <item sd="0" m="1" x="5027"/>
        <item sd="0" m="1" x="5083"/>
        <item sd="0" m="1" x="221"/>
        <item sd="0" m="1" x="355"/>
        <item sd="0" m="1" x="635"/>
        <item sd="0" m="1" x="3254"/>
        <item sd="0" m="1" x="4210"/>
        <item sd="0" m="1" x="5146"/>
        <item sd="0" m="1" x="5981"/>
        <item sd="0" m="1" x="691"/>
        <item sd="0" m="1" x="1103"/>
        <item sd="0" m="1" x="5189"/>
        <item sd="0" m="1" x="6034"/>
        <item sd="0" m="1" x="6699"/>
        <item sd="0" m="1" x="7213"/>
        <item sd="0" m="1" x="1749"/>
        <item sd="0" m="1" x="2486"/>
        <item sd="0" m="1" x="190"/>
        <item sd="0" m="1" x="2182"/>
        <item sd="0" m="1" x="3026"/>
        <item sd="0" m="1" x="3950"/>
        <item sd="0" m="1" x="4894"/>
        <item sd="0" m="1" x="582"/>
        <item sd="0" m="1" x="4004"/>
        <item sd="0" m="1" x="4967"/>
        <item sd="0" m="1" x="5831"/>
        <item sd="0" m="1" x="1569"/>
        <item sd="0" m="1" x="2111"/>
        <item sd="0" m="1" x="2909"/>
        <item sd="0" m="1" x="3835"/>
        <item sd="0" m="1" x="7494"/>
        <item sd="0" m="1" x="3900"/>
        <item sd="0" m="1" x="4857"/>
        <item sd="0" m="1" x="5741"/>
        <item sd="0" m="1" x="7991"/>
        <item sd="0" m="1" x="5792"/>
        <item sd="0" m="1" x="6509"/>
        <item sd="0" m="1" x="829"/>
        <item sd="0" m="1" x="1288"/>
        <item sd="0" m="1" x="1909"/>
        <item sd="0" m="1" x="2693"/>
        <item sd="0" m="1" x="6901"/>
        <item sd="0" m="1" x="7377"/>
        <item sd="0" m="1" x="1987"/>
        <item sd="0" m="1" x="2764"/>
        <item sd="0" m="1" x="3654"/>
        <item sd="0" m="1" x="4615"/>
        <item sd="0" m="1" x="7768"/>
        <item sd="0" m="1" x="7956"/>
        <item sd="0" m="1" x="3725"/>
        <item sd="0" m="1" x="4675"/>
        <item sd="0" m="1" x="5568"/>
        <item sd="0" m="1" x="6325"/>
        <item sd="0" m="1" x="717"/>
        <item sd="0" m="1" x="1151"/>
        <item sd="0" m="1" x="1696"/>
        <item sd="0" m="1" x="5230"/>
        <item sd="0" m="1" x="6069"/>
        <item sd="0" m="1" x="6738"/>
        <item sd="0" m="1" x="7246"/>
        <item sd="0" m="1" x="1782"/>
        <item sd="0" m="1" x="2547"/>
        <item sd="0" m="1" x="3386"/>
        <item sd="0" m="1" x="6792"/>
        <item sd="0" m="1" x="7308"/>
        <item sd="0" m="1" x="7693"/>
        <item sd="0" m="1" x="7902"/>
        <item sd="0" m="1" x="3473"/>
        <item sd="0" m="1" x="4413"/>
        <item sd="0" m="1" x="5327"/>
        <item sd="0" m="1" x="1223"/>
        <item sd="0" m="1" x="1839"/>
        <item sd="0" m="1" x="2637"/>
        <item sd="0" m="1" x="3524"/>
        <item sd="0" m="1" x="2694"/>
        <item sd="0" m="1" x="3586"/>
        <item sd="0" m="1" x="4559"/>
        <item sd="0" m="1" x="5473"/>
        <item sd="0" m="1" x="4616"/>
        <item sd="0" m="1" x="5519"/>
        <item sd="0" m="1" x="667"/>
        <item sd="0" m="1" x="1079"/>
        <item sd="0" m="1" x="1651"/>
        <item sd="0" m="1" x="2388"/>
        <item sd="0" m="1" x="6015"/>
        <item sd="0" m="1" x="6673"/>
        <item sd="0" m="1" x="1697"/>
        <item sd="0" m="1" x="2444"/>
        <item sd="0" m="1" x="3311"/>
        <item sd="0" m="1" x="4270"/>
        <item sd="0" m="1" x="7247"/>
        <item sd="0" m="1" x="7637"/>
        <item sd="0" m="1" x="3387"/>
        <item sd="0" m="1" x="4340"/>
        <item sd="0" m="1" x="5275"/>
        <item sd="0" m="1" x="327"/>
        <item sd="0" m="1" x="559"/>
        <item sd="0" m="1" x="955"/>
        <item sd="0" m="1" x="4943"/>
        <item sd="0" m="1" x="5806"/>
        <item sd="0" m="1" x="6523"/>
        <item sd="0" m="1" x="1004"/>
        <item sd="0" m="1" x="1529"/>
        <item sd="0" m="1" x="2243"/>
        <item sd="0" m="1" x="6571"/>
        <item sd="0" m="1" x="7123"/>
        <item sd="0" m="1" x="7547"/>
        <item sd="0" m="1" x="2323"/>
        <item sd="0" m="1" x="3160"/>
        <item sd="0" m="1" x="4102"/>
        <item sd="0" m="1" x="289"/>
        <item sd="0" m="1" x="470"/>
        <item sd="0" m="1" x="3733"/>
        <item sd="0" m="1" x="4687"/>
        <item sd="0" m="1" x="5580"/>
        <item sd="0" m="1" x="895"/>
        <item sd="0" m="1" x="1360"/>
        <item sd="0" m="1" x="5632"/>
        <item sd="0" m="1" x="6396"/>
        <item sd="0" m="1" x="6980"/>
        <item sd="0" m="1" x="2112"/>
        <item sd="0" m="1" x="2910"/>
        <item sd="0" m="1" x="229"/>
        <item sd="0" m="1" x="1813"/>
        <item sd="0" m="1" x="2599"/>
        <item sd="0" m="1" x="3481"/>
        <item sd="0" m="1" x="4421"/>
        <item sd="0" m="1" x="765"/>
        <item sd="0" m="1" x="3525"/>
        <item sd="0" m="1" x="4495"/>
        <item sd="0" m="1" x="5421"/>
        <item sd="0" m="1" x="6208"/>
        <item sd="0" m="1" x="1910"/>
        <item sd="0" m="1" x="83"/>
        <item sd="0" m="1" x="922"/>
        <item sd="0" m="1" x="1398"/>
        <item sd="0" m="1" x="5666"/>
        <item sd="0" m="1" x="6424"/>
        <item sd="0" m="1" x="7015"/>
        <item sd="0" m="1" x="2152"/>
        <item sd="0" m="1" x="2961"/>
        <item sd="0" m="1" x="7068"/>
        <item sd="0" m="1" x="7523"/>
        <item sd="0" m="1" x="7821"/>
        <item sd="0" m="1" x="3936"/>
        <item sd="0" m="1" x="4884"/>
        <item sd="0" m="1" x="794"/>
        <item sd="0" m="1" x="3557"/>
        <item sd="0" m="1" x="4525"/>
        <item sd="0" m="1" x="5454"/>
        <item sd="0" m="1" x="6249"/>
        <item sd="0" m="1" x="1953"/>
        <item sd="0" m="1" x="5500"/>
        <item sd="0" m="1" x="6306"/>
        <item sd="0" m="1" x="6934"/>
        <item sd="0" m="1" x="7408"/>
        <item sd="0" m="1" x="3678"/>
        <item sd="0" m="1" x="2414"/>
        <item sd="0" m="1" x="3282"/>
        <item sd="0" m="1" x="4246"/>
        <item sd="0" m="1" x="5190"/>
        <item sd="0" m="1" x="4300"/>
        <item sd="0" m="1" x="5252"/>
        <item sd="0" m="1" x="6099"/>
        <item sd="0" m="1" x="6763"/>
        <item sd="0" m="1" x="6127"/>
        <item sd="0" m="1" x="1494"/>
        <item sd="0" m="1" x="2213"/>
        <item sd="0" m="1" x="3064"/>
        <item sd="0" m="1" x="7097"/>
        <item sd="0" m="1" x="3121"/>
        <item sd="0" m="1" x="4072"/>
        <item sd="0" m="1" x="5028"/>
        <item sd="0" m="1" x="7852"/>
        <item sd="0" m="1" x="5084"/>
        <item sd="0" m="1" x="5940"/>
        <item sd="0" m="1" x="497"/>
        <item sd="0" m="1" x="856"/>
        <item sd="0" m="1" x="1338"/>
        <item sd="0" m="1" x="2010"/>
        <item sd="0" m="1" x="6359"/>
        <item sd="0" m="1" x="6953"/>
        <item sd="0" m="1" x="1399"/>
        <item sd="0" m="1" x="2055"/>
        <item sd="0" m="1" x="2872"/>
        <item sd="0" m="1" x="3795"/>
        <item sd="0" m="1" x="7459"/>
        <item sd="0" m="1" x="7786"/>
        <item sd="0" m="1" x="2962"/>
        <item sd="0" m="1" x="3865"/>
        <item sd="0" m="1" x="4823"/>
        <item sd="0" m="1" x="5714"/>
        <item sd="0" m="1" x="2183"/>
        <item sd="0" m="1" x="3027"/>
        <item sd="0" m="1" x="3951"/>
        <item sd="0" m="1" x="4895"/>
        <item sd="0" m="1" x="4005"/>
        <item sd="0" m="1" x="4968"/>
        <item sd="0" m="1" x="5832"/>
        <item sd="0" m="1" x="2113"/>
        <item sd="0" m="1" x="2911"/>
        <item sd="0" m="1" x="3836"/>
        <item sd="0" m="1" x="7495"/>
        <item sd="0" m="1" x="7799"/>
        <item sd="0" m="1" x="3901"/>
        <item sd="0" m="1" x="4858"/>
        <item sd="0" m="1" x="5742"/>
        <item sd="0" m="1" x="7992"/>
        <item sd="0" m="1" x="141"/>
        <item sd="0" m="1" x="5793"/>
        <item sd="0" m="1" x="6510"/>
        <item sd="0" m="1" x="7084"/>
        <item sd="0" m="1" x="1289"/>
        <item sd="0" m="1" x="1911"/>
        <item sd="0" m="1" x="2695"/>
        <item sd="0" m="1" x="6902"/>
        <item sd="0" m="1" x="7378"/>
        <item sd="0" m="1" x="7733"/>
        <item sd="0" m="1" x="2765"/>
        <item sd="0" m="1" x="3655"/>
        <item sd="0" m="1" x="4617"/>
        <item sd="0" m="1" x="7769"/>
        <item sd="0" m="1" x="7957"/>
        <item sd="0" m="1" x="128"/>
        <item sd="0" m="1" x="4676"/>
        <item sd="0" m="1" x="5569"/>
        <item sd="0" m="1" x="6326"/>
        <item sd="0" m="1" x="1039"/>
        <item sd="0" m="1" x="1570"/>
        <item sd="0" m="1" x="2280"/>
        <item sd="0" m="1" x="6612"/>
        <item sd="0" m="1" x="7153"/>
        <item sd="0" m="1" x="2358"/>
        <item sd="0" m="1" x="3190"/>
        <item sd="0" m="1" x="4139"/>
        <item sd="0" m="1" x="7614"/>
        <item sd="0" m="1" x="7877"/>
        <item sd="0" m="1" x="4194"/>
        <item sd="0" m="1" x="5130"/>
        <item sd="0" m="1" x="5965"/>
        <item sd="0" m="1" x="534"/>
        <item sd="0" m="1" x="923"/>
        <item sd="0" m="1" x="1400"/>
        <item sd="0" m="1" x="5667"/>
        <item sd="0" m="1" x="6425"/>
        <item sd="0" m="1" x="7016"/>
        <item sd="0" m="1" x="1455"/>
        <item sd="0" m="1" x="2153"/>
        <item sd="0" m="1" x="2963"/>
        <item sd="0" m="1" x="7069"/>
        <item sd="0" m="1" x="7524"/>
        <item sd="0" m="1" x="7822"/>
        <item sd="0" m="1" x="3018"/>
        <item sd="0" m="1" x="3937"/>
        <item sd="0" m="1" x="4885"/>
        <item sd="0" m="1" x="1495"/>
        <item sd="0" m="1" x="2214"/>
        <item sd="0" m="1" x="3065"/>
        <item sd="0" m="1" x="3122"/>
        <item sd="0" m="1" x="4073"/>
        <item sd="0" m="1" x="5029"/>
        <item sd="0" m="1" x="5085"/>
        <item sd="0" m="1" x="498"/>
        <item sd="0" m="1" x="857"/>
        <item sd="0" m="1" x="1339"/>
        <item sd="0" m="1" x="2011"/>
        <item sd="0" m="1" x="6360"/>
        <item sd="0" m="1" x="1401"/>
        <item sd="0" m="1" x="2056"/>
        <item sd="0" m="1" x="2873"/>
        <item sd="0" m="1" x="3796"/>
        <item sd="0" m="1" x="7460"/>
        <item sd="0" m="1" x="2964"/>
        <item sd="0" m="1" x="3866"/>
        <item sd="0" m="1" x="4824"/>
        <item sd="0" m="1" x="249"/>
        <item sd="0" m="1" x="413"/>
        <item sd="0" m="1" x="743"/>
        <item sd="0" m="1" x="1193"/>
        <item sd="0" m="1" x="4463"/>
        <item sd="0" m="1" x="5386"/>
        <item sd="0" m="1" x="6180"/>
        <item sd="0" m="1" x="795"/>
        <item sd="0" m="1" x="1245"/>
        <item sd="0" m="1" x="1866"/>
        <item sd="0" m="1" x="2659"/>
        <item sd="0" m="1" x="6250"/>
        <item sd="0" m="1" x="6861"/>
        <item sd="0" m="1" x="7345"/>
        <item sd="0" m="1" x="1954"/>
        <item sd="0" m="1" x="2727"/>
        <item sd="0" m="1" x="3613"/>
        <item sd="0" m="1" x="4581"/>
        <item sd="0" m="1" x="222"/>
        <item sd="0" m="1" x="356"/>
        <item sd="0" m="1" x="636"/>
        <item sd="0" m="1" x="3255"/>
        <item sd="0" m="1" x="4211"/>
        <item sd="0" m="1" x="5147"/>
        <item sd="0" m="1" x="5982"/>
        <item sd="0" m="1" x="692"/>
        <item sd="0" m="1" x="1104"/>
        <item sd="0" m="1" x="5191"/>
        <item sd="0" m="1" x="6035"/>
        <item sd="0" m="1" x="6700"/>
        <item sd="0" m="1" x="7214"/>
        <item sd="0" m="1" x="1750"/>
        <item sd="0" m="1" x="2487"/>
        <item sd="0" m="1" x="191"/>
        <item sd="0" m="1" x="2184"/>
        <item sd="0" m="1" x="3028"/>
        <item sd="0" m="1" x="3952"/>
        <item sd="0" m="1" x="4896"/>
        <item sd="0" m="1" x="583"/>
        <item sd="0" m="1" x="4006"/>
        <item sd="0" m="1" x="4969"/>
        <item sd="0" m="1" x="5833"/>
        <item sd="0" m="1" x="1571"/>
        <item sd="0" m="1" x="718"/>
        <item sd="0" m="1" x="1152"/>
        <item sd="0" m="1" x="1698"/>
        <item sd="0" m="1" x="5231"/>
        <item sd="0" m="1" x="6070"/>
        <item sd="0" m="1" x="6739"/>
        <item sd="0" m="1" x="7248"/>
        <item sd="0" m="1" x="1783"/>
        <item sd="0" m="1" x="2548"/>
        <item sd="0" m="1" x="3388"/>
        <item sd="0" m="1" x="6793"/>
        <item sd="0" m="1" x="7309"/>
        <item sd="0" m="1" x="7694"/>
        <item sd="0" m="1" x="7903"/>
        <item sd="0" m="1" x="3474"/>
        <item sd="0" m="1" x="4414"/>
        <item sd="0" m="1" x="5328"/>
        <item sd="0" m="1" x="609"/>
        <item sd="0" m="1" x="4043"/>
        <item sd="0" m="1" x="5001"/>
        <item sd="0" m="1" x="5878"/>
        <item sd="0" m="1" x="6572"/>
        <item sd="0" m="1" x="1612"/>
        <item sd="0" m="1" x="5924"/>
        <item sd="0" m="1" x="6642"/>
        <item sd="0" m="1" x="7183"/>
        <item sd="0" m="1" x="7584"/>
        <item sd="0" m="1" x="3220"/>
        <item sd="0" m="1" x="2844"/>
        <item sd="0" m="1" x="3770"/>
        <item sd="0" m="1" x="4740"/>
        <item sd="0" m="1" x="4792"/>
        <item sd="0" m="1" x="5699"/>
        <item sd="0" m="1" x="6453"/>
        <item sd="0" m="1" x="1224"/>
        <item sd="0" m="1" x="1840"/>
        <item sd="0" m="1" x="2638"/>
        <item sd="0" m="1" x="3526"/>
        <item sd="0" m="1" x="2696"/>
        <item sd="0" m="1" x="3587"/>
        <item sd="0" m="1" x="4560"/>
        <item sd="0" m="1" x="5474"/>
        <item sd="0" m="1" x="4618"/>
        <item sd="0" m="1" x="5520"/>
        <item sd="0" m="1" x="668"/>
        <item sd="0" m="1" x="1080"/>
        <item sd="0" m="1" x="1652"/>
        <item sd="0" m="1" x="2389"/>
        <item sd="0" m="1" x="6016"/>
        <item sd="0" m="1" x="6674"/>
        <item sd="0" m="1" x="1699"/>
        <item sd="0" m="1" x="2445"/>
        <item sd="0" m="1" x="3312"/>
        <item sd="0" m="1" x="4271"/>
        <item sd="0" m="1" x="7249"/>
        <item sd="0" m="1" x="7638"/>
        <item sd="0" m="1" x="3389"/>
        <item sd="0" m="1" x="4341"/>
        <item sd="0" m="1" x="5276"/>
        <item sd="0" m="1" x="230"/>
        <item sd="0" m="1" x="1814"/>
        <item sd="0" m="1" x="2600"/>
        <item sd="0" m="1" x="3482"/>
        <item sd="0" m="1" x="4422"/>
        <item sd="0" m="1" x="766"/>
        <item sd="0" m="1" x="3527"/>
        <item sd="0" m="1" x="4496"/>
        <item sd="0" m="1" x="5422"/>
        <item sd="0" m="1" x="6209"/>
        <item sd="0" m="1" x="1912"/>
        <item sd="0" m="1" x="1751"/>
        <item sd="0" m="1" x="2488"/>
        <item sd="0" m="1" x="3344"/>
        <item sd="0" m="1" x="4301"/>
        <item sd="0" m="1" x="7282"/>
        <item sd="0" m="1" x="7660"/>
        <item sd="0" m="1" x="3429"/>
        <item sd="0" m="1" x="4370"/>
        <item sd="0" m="1" x="5308"/>
        <item sd="0" m="1" x="6128"/>
        <item sd="0" m="1" x="7933"/>
        <item sd="0" m="1" x="109"/>
        <item sd="0" m="1" x="5373"/>
        <item sd="0" m="1" x="6167"/>
        <item sd="0" m="1" x="6809"/>
        <item sd="0" m="1" x="1040"/>
        <item sd="0" m="1" x="1572"/>
        <item sd="0" m="1" x="2281"/>
        <item sd="0" m="1" x="6613"/>
        <item sd="0" m="1" x="7154"/>
        <item sd="0" m="1" x="7567"/>
        <item sd="0" m="1" x="2359"/>
        <item sd="0" m="1" x="3191"/>
        <item sd="0" m="1" x="4140"/>
        <item sd="0" m="1" x="7615"/>
        <item sd="0" m="1" x="7878"/>
        <item sd="0" m="1" x="84"/>
        <item sd="0" m="1" x="4195"/>
        <item sd="0" m="1" x="5131"/>
        <item sd="0" m="1" x="5966"/>
        <item sd="0" m="1" x="924"/>
        <item sd="0" m="1" x="1402"/>
        <item sd="0" m="1" x="5668"/>
        <item sd="0" m="1" x="6426"/>
        <item sd="0" m="1" x="7017"/>
        <item sd="0" m="1" x="2154"/>
        <item sd="0" m="1" x="2965"/>
        <item sd="0" m="1" x="7070"/>
        <item sd="0" m="1" x="7525"/>
        <item sd="0" m="1" x="7823"/>
        <item sd="0" m="1" x="3938"/>
        <item sd="0" m="1" x="4886"/>
        <item sd="0" m="1" x="796"/>
        <item sd="0" m="1" x="3558"/>
        <item sd="0" m="1" x="4526"/>
        <item sd="0" m="1" x="5455"/>
        <item sd="0" m="1" x="6251"/>
        <item sd="0" m="1" x="1955"/>
        <item sd="0" m="1" x="5501"/>
        <item sd="0" m="1" x="6307"/>
        <item sd="0" m="1" x="6935"/>
        <item sd="0" m="1" x="7409"/>
        <item sd="0" m="1" x="3679"/>
        <item sd="0" m="1" x="499"/>
        <item sd="0" m="1" x="858"/>
        <item sd="0" m="1" x="1340"/>
        <item sd="0" m="1" x="2012"/>
        <item sd="0" m="1" x="6361"/>
        <item sd="0" m="1" x="6954"/>
        <item sd="0" m="1" x="1403"/>
        <item sd="0" m="1" x="2057"/>
        <item sd="0" m="1" x="2874"/>
        <item sd="0" m="1" x="3797"/>
        <item sd="0" m="1" x="7461"/>
        <item sd="0" m="1" x="7787"/>
        <item sd="0" m="1" x="2966"/>
        <item sd="0" m="1" x="3867"/>
        <item sd="0" m="1" x="4825"/>
        <item sd="0" m="1" x="5715"/>
        <item sd="0" m="1" x="414"/>
        <item sd="0" m="1" x="744"/>
        <item sd="0" m="1" x="1194"/>
        <item sd="0" m="1" x="4464"/>
        <item sd="0" m="1" x="5387"/>
        <item sd="0" m="1" x="6181"/>
        <item sd="0" m="1" x="6819"/>
        <item sd="0" m="1" x="1246"/>
        <item sd="0" m="1" x="1867"/>
        <item sd="0" m="1" x="2660"/>
        <item sd="0" m="1" x="6252"/>
        <item sd="0" m="1" x="6862"/>
        <item sd="0" m="1" x="7346"/>
        <item sd="0" m="1" x="7716"/>
        <item sd="0" m="1" x="2728"/>
        <item sd="0" m="1" x="3614"/>
        <item sd="0" m="1" x="4582"/>
        <item sd="0" m="1" x="357"/>
        <item sd="0" m="1" x="637"/>
        <item sd="0" m="1" x="3256"/>
        <item sd="0" m="1" x="4212"/>
        <item sd="0" m="1" x="5148"/>
        <item sd="0" m="1" x="5983"/>
        <item sd="0" m="1" x="1105"/>
        <item sd="0" m="1" x="5192"/>
        <item sd="0" m="1" x="6036"/>
        <item sd="0" m="1" x="6701"/>
        <item sd="0" m="1" x="7215"/>
        <item sd="0" m="1" x="2489"/>
        <item sd="0" m="1" x="2185"/>
        <item sd="0" m="1" x="3029"/>
        <item sd="0" m="1" x="3953"/>
        <item sd="0" m="1" x="4897"/>
        <item sd="0" m="1" x="4007"/>
        <item sd="0" m="1" x="4970"/>
        <item sd="0" m="1" x="5834"/>
        <item sd="0" m="1" x="2114"/>
        <item sd="0" m="1" x="2912"/>
        <item sd="0" m="1" x="3837"/>
        <item sd="0" m="1" x="7496"/>
        <item sd="0" m="1" x="7800"/>
        <item sd="0" m="1" x="3902"/>
        <item sd="0" m="1" x="4859"/>
        <item sd="0" m="1" x="5743"/>
        <item sd="0" m="1" x="7993"/>
        <item sd="0" m="1" x="142"/>
        <item sd="0" m="1" x="5794"/>
        <item sd="0" m="1" x="6511"/>
        <item sd="0" m="1" x="7085"/>
        <item sd="0" m="1" x="448"/>
        <item sd="0" m="1" x="797"/>
        <item sd="0" m="1" x="3559"/>
        <item sd="0" m="1" x="4527"/>
        <item sd="0" m="1" x="5456"/>
        <item sd="0" m="1" x="6253"/>
        <item sd="0" m="1" x="1318"/>
        <item sd="0" m="1" x="1956"/>
        <item sd="0" m="1" x="5502"/>
        <item sd="0" m="1" x="6308"/>
        <item sd="0" m="1" x="6936"/>
        <item sd="0" m="1" x="7410"/>
        <item sd="0" m="1" x="2793"/>
        <item sd="0" m="1" x="3680"/>
        <item sd="0" m="1" x="2415"/>
        <item sd="0" m="1" x="3283"/>
        <item sd="0" m="1" x="4247"/>
        <item sd="0" m="1" x="5193"/>
        <item sd="0" m="1" x="4302"/>
        <item sd="0" m="1" x="5253"/>
        <item sd="0" m="1" x="6100"/>
        <item sd="0" m="1" x="6764"/>
        <item sd="0" m="1" x="1496"/>
        <item sd="0" m="1" x="2215"/>
        <item sd="0" m="1" x="3066"/>
        <item sd="0" m="1" x="3123"/>
        <item sd="0" m="1" x="4074"/>
        <item sd="0" m="1" x="5030"/>
        <item sd="0" m="1" x="5086"/>
        <item sd="0" m="1" x="500"/>
        <item sd="0" m="1" x="859"/>
        <item sd="0" m="1" x="1341"/>
        <item sd="0" m="1" x="2013"/>
        <item sd="0" m="1" x="6362"/>
        <item sd="0" m="1" x="1404"/>
        <item sd="0" m="1" x="2058"/>
        <item sd="0" m="1" x="2875"/>
        <item sd="0" m="1" x="3798"/>
        <item sd="0" m="1" x="7462"/>
        <item sd="0" m="1" x="2967"/>
        <item sd="0" m="1" x="3868"/>
        <item sd="0" m="1" x="4826"/>
        <item sd="0" m="1" x="250"/>
        <item sd="0" m="1" x="415"/>
        <item sd="0" m="1" x="745"/>
        <item sd="0" m="1" x="1195"/>
        <item sd="0" m="1" x="4465"/>
        <item sd="0" m="1" x="5388"/>
        <item sd="0" m="1" x="6182"/>
        <item sd="0" m="1" x="798"/>
        <item sd="0" m="1" x="1247"/>
        <item sd="0" m="1" x="1868"/>
        <item sd="0" m="1" x="2661"/>
        <item sd="0" m="1" x="6254"/>
        <item sd="0" m="1" x="6863"/>
        <item sd="0" m="1" x="7347"/>
        <item sd="0" m="1" x="1957"/>
        <item sd="0" m="1" x="2729"/>
        <item sd="0" m="1" x="3615"/>
        <item sd="0" m="1" x="4583"/>
        <item sd="0" m="1" x="2115"/>
        <item sd="0" m="1" x="2913"/>
        <item sd="0" m="1" x="3838"/>
        <item sd="0" m="1" x="7497"/>
        <item sd="0" m="1" x="3903"/>
        <item sd="0" m="1" x="4860"/>
        <item sd="0" m="1" x="5744"/>
        <item sd="0" m="1" x="7994"/>
        <item sd="0" m="1" x="5795"/>
        <item sd="0" m="1" x="6512"/>
        <item sd="0" m="1" x="830"/>
        <item sd="0" m="1" x="1290"/>
        <item sd="0" m="1" x="1913"/>
        <item sd="0" m="1" x="2697"/>
        <item sd="0" m="1" x="6903"/>
        <item sd="0" m="1" x="7379"/>
        <item sd="0" m="1" x="1988"/>
        <item sd="0" m="1" x="2766"/>
        <item sd="0" m="1" x="3656"/>
        <item sd="0" m="1" x="4619"/>
        <item sd="0" m="1" x="7770"/>
        <item sd="0" m="1" x="7958"/>
        <item sd="0" m="1" x="3726"/>
        <item sd="0" m="1" x="4677"/>
        <item sd="0" m="1" x="5570"/>
        <item sd="0" m="1" x="6327"/>
        <item sd="0" m="1" x="719"/>
        <item sd="0" m="1" x="1153"/>
        <item sd="0" m="1" x="1700"/>
        <item sd="0" m="1" x="5232"/>
        <item sd="0" m="1" x="6071"/>
        <item sd="0" m="1" x="6740"/>
        <item sd="0" m="1" x="7250"/>
        <item sd="0" m="1" x="1784"/>
        <item sd="0" m="1" x="2549"/>
        <item sd="0" m="1" x="3390"/>
        <item sd="0" m="1" x="6794"/>
        <item sd="0" m="1" x="7310"/>
        <item sd="0" m="1" x="7695"/>
        <item sd="0" m="1" x="7904"/>
        <item sd="0" m="1" x="3475"/>
        <item sd="0" m="1" x="4415"/>
        <item sd="0" m="1" x="5329"/>
        <item sd="0" m="1" x="610"/>
        <item sd="0" m="1" x="4044"/>
        <item sd="0" m="1" x="5002"/>
        <item sd="0" m="1" x="5879"/>
        <item sd="0" m="1" x="6573"/>
        <item sd="0" m="1" x="1613"/>
        <item sd="0" m="1" x="5925"/>
        <item sd="0" m="1" x="6643"/>
        <item sd="0" m="1" x="7184"/>
        <item sd="0" m="1" x="7585"/>
        <item sd="0" m="1" x="3221"/>
        <item sd="0" m="1" x="2845"/>
        <item sd="0" m="1" x="3771"/>
        <item sd="0" m="1" x="4741"/>
        <item sd="0" m="1" x="4793"/>
        <item sd="0" m="1" x="5700"/>
        <item sd="0" m="1" x="6454"/>
        <item sd="0" m="1" x="328"/>
        <item sd="0" m="1" x="560"/>
        <item sd="0" m="1" x="956"/>
        <item sd="0" m="1" x="4944"/>
        <item sd="0" m="1" x="5807"/>
        <item sd="0" m="1" x="6524"/>
        <item sd="0" m="1" x="1005"/>
        <item sd="0" m="1" x="1530"/>
        <item sd="0" m="1" x="2244"/>
        <item sd="0" m="1" x="6574"/>
        <item sd="0" m="1" x="7124"/>
        <item sd="0" m="1" x="7548"/>
        <item sd="0" m="1" x="2324"/>
        <item sd="0" m="1" x="3161"/>
        <item sd="0" m="1" x="4103"/>
        <item sd="0" m="1" x="290"/>
        <item sd="0" m="1" x="471"/>
        <item sd="0" m="1" x="3734"/>
        <item sd="0" m="1" x="4688"/>
        <item sd="0" m="1" x="5581"/>
        <item sd="0" m="1" x="896"/>
        <item sd="0" m="1" x="1361"/>
        <item sd="0" m="1" x="5633"/>
        <item sd="0" m="1" x="6397"/>
        <item sd="0" m="1" x="6981"/>
        <item sd="0" m="1" x="2116"/>
        <item sd="0" m="1" x="2914"/>
        <item sd="0" m="1" x="231"/>
        <item sd="0" m="1" x="1815"/>
        <item sd="0" m="1" x="2601"/>
        <item sd="0" m="1" x="3483"/>
        <item sd="0" m="1" x="4423"/>
        <item sd="0" m="1" x="767"/>
        <item sd="0" m="1" x="3528"/>
        <item sd="0" m="1" x="4497"/>
        <item sd="0" m="1" x="5423"/>
        <item sd="0" m="1" x="6210"/>
        <item sd="0" m="1" x="1914"/>
        <item sd="0" m="1" x="1752"/>
        <item sd="0" m="1" x="2490"/>
        <item sd="0" m="1" x="3345"/>
        <item sd="0" m="1" x="4303"/>
        <item sd="0" m="1" x="7283"/>
        <item sd="0" m="1" x="7661"/>
        <item sd="0" m="1" x="3430"/>
        <item sd="0" m="1" x="4371"/>
        <item sd="0" m="1" x="5309"/>
        <item sd="0" m="1" x="6129"/>
        <item sd="0" m="1" x="7934"/>
        <item sd="0" m="1" x="110"/>
        <item sd="0" m="1" x="5374"/>
        <item sd="0" m="1" x="6168"/>
        <item sd="0" m="1" x="6810"/>
        <item sd="0" m="1" x="1041"/>
        <item sd="0" m="1" x="1573"/>
        <item sd="0" m="1" x="2282"/>
        <item sd="0" m="1" x="6614"/>
        <item sd="0" m="1" x="7155"/>
        <item sd="0" m="1" x="7568"/>
        <item sd="0" m="1" x="2360"/>
        <item sd="0" m="1" x="3192"/>
        <item sd="0" m="1" x="4141"/>
        <item sd="0" m="1" x="7616"/>
        <item sd="0" m="1" x="7879"/>
        <item sd="0" m="1" x="85"/>
        <item sd="0" m="1" x="4196"/>
        <item sd="0" m="1" x="5132"/>
        <item sd="0" m="1" x="5967"/>
        <item sd="0" m="1" x="2416"/>
        <item sd="0" m="1" x="3284"/>
        <item sd="0" m="1" x="4248"/>
        <item sd="0" m="1" x="5194"/>
        <item sd="0" m="1" x="4304"/>
        <item sd="0" m="1" x="5254"/>
        <item sd="0" m="1" x="6101"/>
        <item sd="0" m="1" x="6765"/>
        <item sd="0" m="1" x="6130"/>
        <item sd="0" m="1" x="1497"/>
        <item sd="0" m="1" x="2216"/>
        <item sd="0" m="1" x="3067"/>
        <item sd="0" m="1" x="7098"/>
        <item sd="0" m="1" x="3124"/>
        <item sd="0" m="1" x="4075"/>
        <item sd="0" m="1" x="5031"/>
        <item sd="0" m="1" x="7853"/>
        <item sd="0" m="1" x="5087"/>
        <item sd="0" m="1" x="5941"/>
        <item sd="0" m="1" x="501"/>
        <item sd="0" m="1" x="860"/>
        <item sd="0" m="1" x="1342"/>
        <item sd="0" m="1" x="2014"/>
        <item sd="0" m="1" x="6363"/>
        <item sd="0" m="1" x="6955"/>
        <item sd="0" m="1" x="1405"/>
        <item sd="0" m="1" x="2059"/>
        <item sd="0" m="1" x="2876"/>
        <item sd="0" m="1" x="3799"/>
        <item sd="0" m="1" x="7463"/>
        <item sd="0" m="1" x="7788"/>
        <item sd="0" m="1" x="2968"/>
        <item sd="0" m="1" x="3869"/>
        <item sd="0" m="1" x="4827"/>
        <item sd="0" m="1" x="5716"/>
        <item sd="0" m="1" x="416"/>
        <item sd="0" m="1" x="746"/>
        <item sd="0" m="1" x="1196"/>
        <item sd="0" m="1" x="4466"/>
        <item sd="0" m="1" x="5389"/>
        <item sd="0" m="1" x="6183"/>
        <item sd="0" m="1" x="6820"/>
        <item sd="0" m="1" x="1248"/>
        <item sd="0" m="1" x="1869"/>
        <item sd="0" m="1" x="2662"/>
        <item sd="0" m="1" x="6255"/>
        <item sd="0" m="1" x="6864"/>
        <item sd="0" m="1" x="7348"/>
        <item sd="0" m="1" x="7717"/>
        <item sd="0" m="1" x="2730"/>
        <item sd="0" m="1" x="3616"/>
        <item sd="0" m="1" x="4584"/>
        <item sd="0" m="1" x="358"/>
        <item sd="0" m="1" x="638"/>
        <item sd="0" m="1" x="3257"/>
        <item sd="0" m="1" x="4213"/>
        <item sd="0" m="1" x="5149"/>
        <item sd="0" m="1" x="5984"/>
        <item sd="0" m="1" x="1106"/>
        <item sd="0" m="1" x="5195"/>
        <item sd="0" m="1" x="6037"/>
        <item sd="0" m="1" x="6702"/>
        <item sd="0" m="1" x="7216"/>
        <item sd="0" m="1" x="2491"/>
        <item sd="0" m="1" x="143"/>
        <item sd="0" m="1" x="1291"/>
        <item sd="0" m="1" x="1915"/>
        <item sd="0" m="1" x="2698"/>
        <item sd="0" m="1" x="6904"/>
        <item sd="0" m="1" x="7380"/>
        <item sd="0" m="1" x="7734"/>
        <item sd="0" m="1" x="2767"/>
        <item sd="0" m="1" x="3657"/>
        <item sd="0" m="1" x="4620"/>
        <item sd="0" m="1" x="7771"/>
        <item sd="0" m="1" x="7959"/>
        <item sd="0" m="1" x="129"/>
        <item sd="0" m="1" x="4678"/>
        <item sd="0" m="1" x="5571"/>
        <item sd="0" m="1" x="6328"/>
        <item sd="0" m="1" x="1042"/>
        <item sd="0" m="1" x="1574"/>
        <item sd="0" m="1" x="2283"/>
        <item sd="0" m="1" x="6615"/>
        <item sd="0" m="1" x="7156"/>
        <item sd="0" m="1" x="2361"/>
        <item sd="0" m="1" x="3193"/>
        <item sd="0" m="1" x="4142"/>
        <item sd="0" m="1" x="7617"/>
        <item sd="0" m="1" x="7880"/>
        <item sd="0" m="1" x="4197"/>
        <item sd="0" m="1" x="5133"/>
        <item sd="0" m="1" x="5968"/>
        <item sd="0" m="1" x="535"/>
        <item sd="0" m="1" x="925"/>
        <item sd="0" m="1" x="1406"/>
        <item sd="0" m="1" x="5669"/>
        <item sd="0" m="1" x="6427"/>
        <item sd="0" m="1" x="7018"/>
        <item sd="0" m="1" x="1456"/>
        <item sd="0" m="1" x="2155"/>
        <item sd="0" m="1" x="2969"/>
        <item sd="0" m="1" x="7071"/>
        <item sd="0" m="1" x="7526"/>
        <item sd="0" m="1" x="7824"/>
        <item sd="0" m="1" x="3019"/>
        <item sd="0" m="1" x="3939"/>
        <item sd="0" m="1" x="4887"/>
        <item sd="0" m="1" x="449"/>
        <item sd="0" m="1" x="799"/>
        <item sd="0" m="1" x="3560"/>
        <item sd="0" m="1" x="4528"/>
        <item sd="0" m="1" x="5457"/>
        <item sd="0" m="1" x="6256"/>
        <item sd="0" m="1" x="1319"/>
        <item sd="0" m="1" x="1958"/>
        <item sd="0" m="1" x="5503"/>
        <item sd="0" m="1" x="6309"/>
        <item sd="0" m="1" x="6937"/>
        <item sd="0" m="1" x="7411"/>
        <item sd="0" m="1" x="2794"/>
        <item sd="0" m="1" x="3681"/>
        <item sd="0" m="1" x="2417"/>
        <item sd="0" m="1" x="3285"/>
        <item sd="0" m="1" x="4249"/>
        <item sd="0" m="1" x="5196"/>
        <item sd="0" m="1" x="4305"/>
        <item sd="0" m="1" x="5255"/>
        <item sd="0" m="1" x="6102"/>
        <item sd="0" m="1" x="6766"/>
        <item sd="0" m="1" x="251"/>
        <item sd="0" m="1" x="417"/>
        <item sd="0" m="1" x="747"/>
        <item sd="0" m="1" x="1197"/>
        <item sd="0" m="1" x="4467"/>
        <item sd="0" m="1" x="5390"/>
        <item sd="0" m="1" x="6184"/>
        <item sd="0" m="1" x="800"/>
        <item sd="0" m="1" x="1249"/>
        <item sd="0" m="1" x="1870"/>
        <item sd="0" m="1" x="2663"/>
        <item sd="0" m="1" x="6257"/>
        <item sd="0" m="1" x="6865"/>
        <item sd="0" m="1" x="7349"/>
        <item sd="0" m="1" x="1959"/>
        <item sd="0" m="1" x="2731"/>
        <item sd="0" m="1" x="3617"/>
        <item sd="0" m="1" x="4585"/>
        <item sd="0" m="1" x="223"/>
        <item sd="0" m="1" x="359"/>
        <item sd="0" m="1" x="639"/>
        <item sd="0" m="1" x="3258"/>
        <item sd="0" m="1" x="4214"/>
        <item sd="0" m="1" x="5150"/>
        <item sd="0" m="1" x="5985"/>
        <item sd="0" m="1" x="693"/>
        <item sd="0" m="1" x="1107"/>
        <item sd="0" m="1" x="5197"/>
        <item sd="0" m="1" x="6038"/>
        <item sd="0" m="1" x="6703"/>
        <item sd="0" m="1" x="7217"/>
        <item sd="0" m="1" x="1753"/>
        <item sd="0" m="1" x="2492"/>
        <item sd="0" m="1" x="192"/>
        <item sd="0" m="1" x="2186"/>
        <item sd="0" m="1" x="3030"/>
        <item sd="0" m="1" x="3954"/>
        <item sd="0" m="1" x="4898"/>
        <item sd="0" m="1" x="584"/>
        <item sd="0" m="1" x="4008"/>
        <item sd="0" m="1" x="4971"/>
        <item sd="0" m="1" x="5835"/>
        <item sd="0" m="1" x="1575"/>
        <item sd="0" m="1" x="2117"/>
        <item sd="0" m="1" x="2915"/>
        <item sd="0" m="1" x="3839"/>
        <item sd="0" m="1" x="7498"/>
        <item sd="0" m="1" x="3904"/>
        <item sd="0" m="1" x="4861"/>
        <item sd="0" m="1" x="5745"/>
        <item sd="0" m="1" x="7995"/>
        <item sd="0" m="1" x="5796"/>
        <item sd="0" m="1" x="6513"/>
        <item sd="0" m="1" x="831"/>
        <item sd="0" m="1" x="1292"/>
        <item sd="0" m="1" x="1916"/>
        <item sd="0" m="1" x="2699"/>
        <item sd="0" m="1" x="6905"/>
        <item sd="0" m="1" x="7381"/>
        <item sd="0" m="1" x="1989"/>
        <item sd="0" m="1" x="2768"/>
        <item sd="0" m="1" x="3658"/>
        <item sd="0" m="1" x="4621"/>
        <item sd="0" m="1" x="7772"/>
        <item sd="0" m="1" x="7960"/>
        <item sd="0" m="1" x="3727"/>
        <item sd="0" m="1" x="4679"/>
        <item sd="0" m="1" x="5572"/>
        <item sd="0" m="1" x="6329"/>
        <item sd="0" m="1" x="2846"/>
        <item sd="0" m="1" x="3772"/>
        <item sd="0" m="1" x="4742"/>
        <item sd="0" m="1" x="4794"/>
        <item sd="0" m="1" x="5701"/>
        <item sd="0" m="1" x="6455"/>
        <item sd="0" m="1" x="1225"/>
        <item sd="0" m="1" x="1841"/>
        <item sd="0" m="1" x="2639"/>
        <item sd="0" m="1" x="3529"/>
        <item sd="0" m="1" x="2700"/>
        <item sd="0" m="1" x="3588"/>
        <item sd="0" m="1" x="4561"/>
        <item sd="0" m="1" x="5475"/>
        <item sd="0" m="1" x="4622"/>
        <item sd="0" m="1" x="5521"/>
        <item sd="0" m="1" x="669"/>
        <item sd="0" m="1" x="1081"/>
        <item sd="0" m="1" x="1653"/>
        <item sd="0" m="1" x="2390"/>
        <item sd="0" m="1" x="6017"/>
        <item sd="0" m="1" x="6675"/>
        <item sd="0" m="1" x="1701"/>
        <item sd="0" m="1" x="2446"/>
        <item sd="0" m="1" x="3313"/>
        <item sd="0" m="1" x="4272"/>
        <item sd="0" m="1" x="7251"/>
        <item sd="0" m="1" x="7639"/>
        <item sd="0" m="1" x="3391"/>
        <item sd="0" m="1" x="4342"/>
        <item sd="0" m="1" x="5277"/>
        <item sd="0" m="1" x="329"/>
        <item sd="0" m="1" x="561"/>
        <item sd="0" m="1" x="957"/>
        <item sd="0" m="1" x="4945"/>
        <item sd="0" m="1" x="5808"/>
        <item sd="0" m="1" x="6525"/>
        <item sd="0" m="1" x="1006"/>
        <item sd="0" m="1" x="1531"/>
        <item sd="0" m="1" x="2245"/>
        <item sd="0" m="1" x="6575"/>
        <item sd="0" m="1" x="7125"/>
        <item sd="0" m="1" x="7549"/>
        <item sd="0" m="1" x="2325"/>
        <item sd="0" m="1" x="3162"/>
        <item sd="0" m="1" x="4104"/>
        <item sd="0" m="1" x="291"/>
        <item sd="0" m="1" x="472"/>
        <item sd="0" m="1" x="3735"/>
        <item sd="0" m="1" x="4689"/>
        <item sd="0" m="1" x="5582"/>
        <item sd="0" m="1" x="897"/>
        <item sd="0" m="1" x="1362"/>
        <item sd="0" m="1" x="5634"/>
        <item sd="0" m="1" x="6398"/>
        <item sd="0" m="1" x="6982"/>
        <item sd="0" m="1" x="2118"/>
        <item sd="0" m="1" x="2916"/>
        <item sd="0" m="1" x="111"/>
        <item sd="0" m="1" x="1043"/>
        <item sd="0" m="1" x="1576"/>
        <item sd="0" m="1" x="2284"/>
        <item sd="0" m="1" x="6616"/>
        <item sd="0" m="1" x="7157"/>
        <item sd="0" m="1" x="7569"/>
        <item sd="0" m="1" x="2362"/>
        <item sd="0" m="1" x="3194"/>
        <item sd="0" m="1" x="4143"/>
        <item sd="0" m="1" x="7618"/>
        <item sd="0" m="1" x="7881"/>
        <item sd="0" m="1" x="86"/>
        <item sd="0" m="1" x="4198"/>
        <item sd="0" m="1" x="5134"/>
        <item sd="0" m="1" x="5969"/>
        <item sd="0" m="1" x="926"/>
        <item sd="0" m="1" x="1407"/>
        <item sd="0" m="1" x="5670"/>
        <item sd="0" m="1" x="6428"/>
        <item sd="0" m="1" x="7019"/>
        <item sd="0" m="1" x="2156"/>
        <item sd="0" m="1" x="2970"/>
        <item sd="0" m="1" x="7072"/>
        <item sd="0" m="1" x="7527"/>
        <item sd="0" m="1" x="7825"/>
        <item sd="0" m="1" x="3940"/>
        <item sd="0" m="1" x="4888"/>
        <item sd="0" m="1" x="801"/>
        <item sd="0" m="1" x="3561"/>
        <item sd="0" m="1" x="4529"/>
        <item sd="0" m="1" x="5458"/>
        <item sd="0" m="1" x="6258"/>
        <item sd="0" m="1" x="1960"/>
        <item sd="0" m="1" x="5504"/>
        <item sd="0" m="1" x="6310"/>
        <item sd="0" m="1" x="6938"/>
        <item sd="0" m="1" x="7412"/>
        <item sd="0" m="1" x="3682"/>
        <item sd="0" m="1" x="2418"/>
        <item sd="0" m="1" x="3286"/>
        <item sd="0" m="1" x="4250"/>
        <item sd="0" m="1" x="5198"/>
        <item sd="0" m="1" x="4306"/>
        <item sd="0" m="1" x="5256"/>
        <item sd="0" m="1" x="6103"/>
        <item sd="0" m="1" x="6767"/>
        <item sd="0" m="1" x="6131"/>
        <item sd="0" m="1" x="1498"/>
        <item sd="0" m="1" x="2217"/>
        <item sd="0" m="1" x="3068"/>
        <item sd="0" m="1" x="7099"/>
        <item sd="0" m="1" x="3125"/>
        <item sd="0" m="1" x="4076"/>
        <item sd="0" m="1" x="5032"/>
        <item sd="0" m="1" x="7854"/>
        <item sd="0" m="1" x="5088"/>
        <item sd="0" m="1" x="5942"/>
        <item sd="0" m="1" x="360"/>
        <item sd="0" m="1" x="640"/>
        <item sd="0" m="1" x="3259"/>
        <item sd="0" m="1" x="4215"/>
        <item sd="0" m="1" x="5151"/>
        <item sd="0" m="1" x="5986"/>
        <item sd="0" m="1" x="1108"/>
        <item sd="0" m="1" x="5199"/>
        <item sd="0" m="1" x="6039"/>
        <item sd="0" m="1" x="6704"/>
        <item sd="0" m="1" x="7218"/>
        <item sd="0" m="1" x="2493"/>
        <item sd="0" m="1" x="2187"/>
        <item sd="0" m="1" x="3031"/>
        <item sd="0" m="1" x="3955"/>
        <item sd="0" m="1" x="4899"/>
        <item sd="0" m="1" x="4009"/>
        <item sd="0" m="1" x="4972"/>
        <item sd="0" m="1" x="5836"/>
        <item sd="0" m="1" x="2119"/>
        <item sd="0" m="1" x="2917"/>
        <item sd="0" m="1" x="3840"/>
        <item sd="0" m="1" x="7499"/>
        <item sd="0" m="1" x="7801"/>
        <item sd="0" m="1" x="3905"/>
        <item sd="0" m="1" x="4862"/>
        <item sd="0" m="1" x="5746"/>
        <item sd="0" m="1" x="7996"/>
        <item sd="0" m="1" x="144"/>
        <item sd="0" m="1" x="5797"/>
        <item sd="0" m="1" x="6514"/>
        <item sd="0" m="1" x="7086"/>
        <item sd="0" m="1" x="1293"/>
        <item sd="0" m="1" x="1917"/>
        <item sd="0" m="1" x="2701"/>
        <item sd="0" m="1" x="6906"/>
        <item sd="0" m="1" x="7382"/>
        <item sd="0" m="1" x="7735"/>
        <item sd="0" m="1" x="2769"/>
        <item sd="0" m="1" x="3659"/>
        <item sd="0" m="1" x="4623"/>
        <item sd="0" m="1" x="7773"/>
        <item sd="0" m="1" x="7961"/>
        <item sd="0" m="1" x="130"/>
        <item sd="0" m="1" x="4680"/>
        <item sd="0" m="1" x="5573"/>
        <item sd="0" m="1" x="6330"/>
        <item sd="0" m="1" x="1044"/>
        <item sd="0" m="1" x="1577"/>
        <item sd="0" m="1" x="2285"/>
        <item sd="0" m="1" x="6617"/>
        <item sd="0" m="1" x="7158"/>
        <item sd="0" m="1" x="2363"/>
        <item sd="0" m="1" x="3195"/>
        <item sd="0" m="1" x="4144"/>
        <item sd="0" m="1" x="7619"/>
        <item sd="0" m="1" x="7882"/>
        <item sd="0" m="1" x="4199"/>
        <item sd="0" m="1" x="5135"/>
        <item sd="0" m="1" x="5970"/>
        <item sd="0" m="1" x="2419"/>
        <item sd="0" m="1" x="3287"/>
        <item sd="0" m="1" x="4251"/>
        <item sd="0" m="1" x="5200"/>
        <item sd="0" m="1" x="4307"/>
        <item sd="0" m="1" x="5257"/>
        <item sd="0" m="1" x="6104"/>
        <item sd="0" m="1" x="6768"/>
        <item sd="0" m="1" x="1499"/>
        <item sd="0" m="1" x="2218"/>
        <item sd="0" m="1" x="3069"/>
        <item sd="0" m="1" x="3126"/>
        <item sd="0" m="1" x="4077"/>
        <item sd="0" m="1" x="5033"/>
        <item sd="0" m="1" x="5089"/>
        <item sd="0" m="1" x="502"/>
        <item sd="0" m="1" x="861"/>
        <item sd="0" m="1" x="1343"/>
        <item sd="0" m="1" x="2015"/>
        <item sd="0" m="1" x="6364"/>
        <item sd="0" m="1" x="1408"/>
        <item sd="0" m="1" x="2060"/>
        <item sd="0" m="1" x="2877"/>
        <item sd="0" m="1" x="3800"/>
        <item sd="0" m="1" x="7464"/>
        <item sd="0" m="1" x="2971"/>
        <item sd="0" m="1" x="3870"/>
        <item sd="0" m="1" x="4828"/>
        <item sd="0" m="1" x="252"/>
        <item sd="0" m="1" x="418"/>
        <item sd="0" m="1" x="748"/>
        <item sd="0" m="1" x="1198"/>
        <item sd="0" m="1" x="4468"/>
        <item sd="0" m="1" x="5391"/>
        <item sd="0" m="1" x="6185"/>
        <item sd="0" m="1" x="802"/>
        <item sd="0" m="1" x="1250"/>
        <item sd="0" m="1" x="1871"/>
        <item sd="0" m="1" x="2664"/>
        <item sd="0" m="1" x="6259"/>
        <item sd="0" m="1" x="6866"/>
        <item sd="0" m="1" x="7350"/>
        <item sd="0" m="1" x="1961"/>
        <item sd="0" m="1" x="2732"/>
        <item sd="0" m="1" x="3618"/>
        <item sd="0" m="1" x="4586"/>
        <item sd="0" m="1" x="224"/>
        <item sd="0" m="1" x="361"/>
        <item sd="0" m="1" x="641"/>
        <item sd="0" m="1" x="3260"/>
        <item sd="0" m="1" x="4216"/>
        <item sd="0" m="1" x="5152"/>
        <item sd="0" m="1" x="5987"/>
        <item sd="0" m="1" x="694"/>
        <item sd="0" m="1" x="1109"/>
        <item sd="0" m="1" x="5201"/>
        <item sd="0" m="1" x="6040"/>
        <item sd="0" m="1" x="6705"/>
        <item sd="0" m="1" x="7219"/>
        <item sd="0" m="1" x="1754"/>
        <item sd="0" m="1" x="2494"/>
        <item sd="0" m="1" x="832"/>
        <item sd="0" m="1" x="1294"/>
        <item sd="0" m="1" x="1918"/>
        <item sd="0" m="1" x="2702"/>
        <item sd="0" m="1" x="6907"/>
        <item sd="0" m="1" x="7383"/>
        <item sd="0" m="1" x="1990"/>
        <item sd="0" m="1" x="2770"/>
        <item sd="0" m="1" x="3660"/>
        <item sd="0" m="1" x="4624"/>
        <item sd="0" m="1" x="7774"/>
        <item sd="0" m="1" x="7962"/>
        <item sd="0" m="1" x="3728"/>
        <item sd="0" m="1" x="4681"/>
        <item sd="0" m="1" x="5574"/>
        <item sd="0" m="1" x="6331"/>
        <item sd="0" m="1" x="720"/>
        <item sd="0" m="1" x="1154"/>
        <item sd="0" m="1" x="1702"/>
        <item sd="0" m="1" x="5233"/>
        <item sd="0" m="1" x="6072"/>
        <item sd="0" m="1" x="6741"/>
        <item sd="0" m="1" x="7252"/>
        <item sd="0" m="1" x="1785"/>
        <item sd="0" m="1" x="2550"/>
        <item sd="0" m="1" x="3392"/>
        <item sd="0" m="1" x="6795"/>
        <item sd="0" m="1" x="7311"/>
        <item sd="0" m="1" x="7696"/>
        <item sd="0" m="1" x="7905"/>
        <item sd="0" m="1" x="3476"/>
        <item sd="0" m="1" x="4416"/>
        <item sd="0" m="1" x="5330"/>
        <item sd="0" m="1" x="611"/>
        <item sd="0" m="1" x="4045"/>
        <item sd="0" m="1" x="5003"/>
        <item sd="0" m="1" x="5880"/>
        <item sd="0" m="1" x="6576"/>
        <item sd="0" m="1" x="1614"/>
        <item sd="0" m="1" x="5926"/>
        <item sd="0" m="1" x="6644"/>
        <item sd="0" m="1" x="7185"/>
        <item sd="0" m="1" x="7586"/>
        <item sd="0" m="1" x="3222"/>
        <item sd="0" m="1" x="2847"/>
        <item sd="0" m="1" x="3773"/>
        <item sd="0" m="1" x="4743"/>
        <item sd="0" m="1" x="4795"/>
        <item sd="0" m="1" x="5702"/>
        <item sd="0" m="1" x="6456"/>
        <item sd="0" m="1" x="1226"/>
        <item sd="0" m="1" x="1842"/>
        <item sd="0" m="1" x="2640"/>
        <item sd="0" m="1" x="3530"/>
        <item sd="0" m="1" x="2703"/>
        <item sd="0" m="1" x="3589"/>
        <item sd="0" m="1" x="4562"/>
        <item sd="0" m="1" x="5476"/>
        <item sd="0" m="1" x="4625"/>
        <item sd="0" m="1" x="5522"/>
        <item sd="0" m="1" x="292"/>
        <item sd="0" m="1" x="473"/>
        <item sd="0" m="1" x="3736"/>
        <item sd="0" m="1" x="4690"/>
        <item sd="0" m="1" x="5583"/>
        <item sd="0" m="1" x="898"/>
        <item sd="0" m="1" x="1363"/>
        <item sd="0" m="1" x="5635"/>
        <item sd="0" m="1" x="6399"/>
        <item sd="0" m="1" x="6983"/>
        <item sd="0" m="1" x="2120"/>
        <item sd="0" m="1" x="2918"/>
        <item sd="0" m="1" x="232"/>
        <item sd="0" m="1" x="1816"/>
        <item sd="0" m="1" x="2602"/>
        <item sd="0" m="1" x="3484"/>
        <item sd="0" m="1" x="4424"/>
        <item sd="0" m="1" x="768"/>
        <item sd="0" m="1" x="3531"/>
        <item sd="0" m="1" x="4498"/>
        <item sd="0" m="1" x="5424"/>
        <item sd="0" m="1" x="6211"/>
        <item sd="0" m="1" x="1919"/>
        <item sd="0" m="1" x="1755"/>
        <item sd="0" m="1" x="2495"/>
        <item sd="0" m="1" x="3346"/>
        <item sd="0" m="1" x="4308"/>
        <item sd="0" m="1" x="7284"/>
        <item sd="0" m="1" x="7662"/>
        <item sd="0" m="1" x="3431"/>
        <item sd="0" m="1" x="4372"/>
        <item sd="0" m="1" x="5310"/>
        <item sd="0" m="1" x="6132"/>
        <item sd="0" m="1" x="7935"/>
        <item sd="0" m="1" x="112"/>
        <item sd="0" m="1" x="5375"/>
        <item sd="0" m="1" x="6169"/>
        <item sd="0" m="1" x="6811"/>
        <item sd="0" m="1" x="1045"/>
        <item sd="0" m="1" x="1578"/>
        <item sd="0" m="1" x="2286"/>
        <item sd="0" m="1" x="6618"/>
        <item sd="0" m="1" x="7159"/>
        <item sd="0" m="1" x="7570"/>
        <item sd="0" m="1" x="2364"/>
        <item sd="0" m="1" x="3196"/>
        <item sd="0" m="1" x="4145"/>
        <item sd="0" m="1" x="7620"/>
        <item sd="0" m="1" x="7883"/>
        <item sd="0" m="1" x="87"/>
        <item sd="0" m="1" x="4200"/>
        <item sd="0" m="1" x="5136"/>
        <item sd="0" m="1" x="5971"/>
        <item sd="0" m="1" x="927"/>
        <item sd="0" m="1" x="1409"/>
        <item sd="0" m="1" x="5671"/>
        <item sd="0" m="1" x="6429"/>
        <item sd="0" m="1" x="7020"/>
        <item sd="0" m="1" x="2157"/>
        <item sd="0" m="1" x="2972"/>
        <item sd="0" m="1" x="7073"/>
        <item sd="0" m="1" x="7528"/>
        <item sd="0" m="1" x="7826"/>
        <item sd="0" m="1" x="3941"/>
        <item sd="0" m="1" x="4889"/>
        <item sd="0" m="1" x="1500"/>
        <item sd="0" m="1" x="2219"/>
        <item sd="0" m="1" x="3070"/>
        <item sd="0" m="1" x="7100"/>
        <item sd="0" m="1" x="3127"/>
        <item sd="0" m="1" x="4078"/>
        <item sd="0" m="1" x="5034"/>
        <item sd="0" m="1" x="7855"/>
        <item sd="0" m="1" x="5090"/>
        <item sd="0" m="1" x="5943"/>
        <item sd="0" m="1" x="503"/>
        <item sd="0" m="1" x="862"/>
        <item sd="0" m="1" x="1344"/>
        <item sd="0" m="1" x="2016"/>
        <item sd="0" m="1" x="6365"/>
        <item sd="0" m="1" x="6956"/>
        <item sd="0" m="1" x="1410"/>
        <item sd="0" m="1" x="2061"/>
        <item sd="0" m="1" x="2878"/>
        <item sd="0" m="1" x="3801"/>
        <item sd="0" m="1" x="7465"/>
        <item sd="0" m="1" x="7789"/>
        <item sd="0" m="1" x="2973"/>
        <item sd="0" m="1" x="3871"/>
        <item sd="0" m="1" x="4829"/>
        <item sd="0" m="1" x="5717"/>
        <item sd="0" m="1" x="419"/>
        <item sd="0" m="1" x="749"/>
        <item sd="0" m="1" x="1199"/>
        <item sd="0" m="1" x="4469"/>
        <item sd="0" m="1" x="5392"/>
        <item sd="0" m="1" x="6186"/>
        <item sd="0" m="1" x="6821"/>
        <item sd="0" m="1" x="1251"/>
        <item sd="0" m="1" x="1872"/>
        <item sd="0" m="1" x="2665"/>
        <item sd="0" m="1" x="6260"/>
        <item sd="0" m="1" x="6867"/>
        <item sd="0" m="1" x="7351"/>
        <item sd="0" m="1" x="7718"/>
        <item sd="0" m="1" x="2733"/>
        <item sd="0" m="1" x="3619"/>
        <item sd="0" m="1" x="4587"/>
        <item sd="0" m="1" x="362"/>
        <item sd="0" m="1" x="642"/>
        <item sd="0" m="1" x="3261"/>
        <item sd="0" m="1" x="4217"/>
        <item sd="0" m="1" x="5153"/>
        <item sd="0" m="1" x="5988"/>
        <item sd="0" m="1" x="1110"/>
        <item sd="0" m="1" x="5202"/>
        <item sd="0" m="1" x="6041"/>
        <item sd="0" m="1" x="6706"/>
        <item sd="0" m="1" x="7220"/>
        <item sd="0" m="1" x="2496"/>
        <item sd="0" m="1" x="2188"/>
        <item sd="0" m="1" x="3032"/>
        <item sd="0" m="1" x="3956"/>
        <item sd="0" m="1" x="4900"/>
        <item sd="0" m="1" x="4010"/>
        <item sd="0" m="1" x="4973"/>
        <item sd="0" m="1" x="5837"/>
        <item sd="0" m="1" x="536"/>
        <item sd="0" m="1" x="928"/>
        <item sd="0" m="1" x="4764"/>
        <item sd="0" m="1" x="5672"/>
        <item sd="0" m="1" x="6430"/>
        <item sd="0" m="1" x="7021"/>
        <item sd="0" m="1" x="1457"/>
        <item sd="0" m="1" x="2158"/>
        <item sd="0" m="1" x="6475"/>
        <item sd="0" m="1" x="7074"/>
        <item sd="0" m="1" x="7529"/>
        <item sd="0" m="1" x="7827"/>
        <item sd="0" m="1" x="3020"/>
        <item sd="0" m="1" x="3942"/>
        <item sd="0" m="1" x="450"/>
        <item sd="0" m="1" x="3562"/>
        <item sd="0" m="1" x="4530"/>
        <item sd="0" m="1" x="5459"/>
        <item sd="0" m="1" x="1320"/>
        <item sd="0" m="1" x="5505"/>
        <item sd="0" m="1" x="6311"/>
        <item sd="0" m="1" x="6939"/>
        <item sd="0" m="1" x="2795"/>
        <item sd="0" m="1" x="1666"/>
        <item sd="0" m="1" x="2420"/>
        <item sd="0" m="1" x="3288"/>
        <item sd="0" m="1" x="4252"/>
        <item sd="0" m="1" x="3347"/>
        <item sd="0" m="1" x="4309"/>
        <item sd="0" m="1" x="5258"/>
        <item sd="0" m="1" x="6105"/>
        <item sd="0" m="1" x="5311"/>
        <item sd="0" m="1" x="976"/>
        <item sd="0" m="1" x="1501"/>
        <item sd="0" m="1" x="2220"/>
        <item sd="0" m="1" x="3071"/>
        <item sd="0" m="1" x="6539"/>
        <item sd="0" m="1" x="2287"/>
        <item sd="0" m="1" x="3128"/>
        <item sd="0" m="1" x="4079"/>
        <item sd="0" m="1" x="5035"/>
        <item sd="0" m="1" x="7571"/>
        <item sd="0" m="1" x="4146"/>
        <item sd="0" m="1" x="5091"/>
        <item sd="0" m="1" x="504"/>
        <item sd="0" m="1" x="863"/>
        <item sd="0" m="1" x="1345"/>
        <item sd="0" m="1" x="5607"/>
        <item sd="0" m="1" x="6366"/>
        <item sd="0" m="1" x="1411"/>
        <item sd="0" m="1" x="2062"/>
        <item sd="0" m="1" x="2879"/>
        <item sd="0" m="1" x="7022"/>
        <item sd="0" m="1" x="7466"/>
        <item sd="0" m="1" x="2974"/>
        <item sd="0" m="1" x="3872"/>
        <item sd="0" m="1" x="4830"/>
        <item sd="0" m="1" x="193"/>
        <item sd="0" m="1" x="1469"/>
        <item sd="0" m="1" x="2189"/>
        <item sd="0" m="1" x="3033"/>
        <item sd="0" m="1" x="3957"/>
        <item sd="0" m="1" x="3072"/>
        <item sd="0" m="1" x="4011"/>
        <item sd="0" m="1" x="4974"/>
        <item sd="0" m="1" x="5838"/>
        <item sd="0" m="1" x="1438"/>
        <item sd="0" m="1" x="2121"/>
        <item sd="0" m="1" x="2919"/>
        <item sd="0" m="1" x="3841"/>
        <item sd="0" m="1" x="7042"/>
        <item sd="0" m="1" x="7500"/>
        <item sd="0" m="1" x="2991"/>
        <item sd="0" m="1" x="3906"/>
        <item sd="0" m="1" x="4863"/>
        <item sd="0" m="1" x="5747"/>
        <item sd="0" m="1" x="7843"/>
        <item sd="0" m="1" x="7997"/>
        <item sd="0" m="1" x="4934"/>
        <item sd="0" m="1" x="5798"/>
        <item sd="0" m="1" x="6515"/>
        <item sd="0" m="1" x="833"/>
        <item sd="0" m="1" x="1295"/>
        <item sd="0" m="1" x="1920"/>
        <item sd="0" m="1" x="6287"/>
        <item sd="0" m="1" x="6908"/>
        <item sd="0" m="1" x="7384"/>
        <item sd="0" m="1" x="1991"/>
        <item sd="0" m="1" x="2771"/>
        <item sd="0" m="1" x="3661"/>
        <item sd="0" m="1" x="7434"/>
        <item sd="0" m="1" x="7775"/>
        <item sd="0" m="1" x="7963"/>
        <item sd="0" m="1" x="3729"/>
        <item sd="0" m="1" x="4682"/>
        <item sd="0" m="1" x="5575"/>
        <item sd="0" m="1" x="721"/>
        <item sd="0" m="1" x="1155"/>
        <item sd="0" m="1" x="5234"/>
        <item sd="0" m="1" x="6073"/>
        <item sd="0" m="1" x="6742"/>
        <item sd="0" m="1" x="1786"/>
        <item sd="0" m="1" x="2551"/>
        <item sd="0" m="1" x="6796"/>
        <item sd="0" m="1" x="7312"/>
        <item sd="0" m="1" x="7697"/>
        <item sd="0" m="1" x="3477"/>
        <item sd="0" m="1" x="4417"/>
        <item sd="0" m="1" x="612"/>
        <item sd="0" m="1" x="3097"/>
        <item sd="0" m="1" x="4046"/>
        <item sd="0" m="1" x="5004"/>
        <item sd="0" m="1" x="5881"/>
        <item sd="0" m="1" x="1615"/>
        <item sd="0" m="1" x="5060"/>
        <item sd="0" m="1" x="5927"/>
        <item sd="0" m="1" x="6645"/>
        <item sd="0" m="1" x="7186"/>
        <item sd="0" m="1" x="3223"/>
        <item sd="0" m="1" x="388"/>
        <item sd="0" m="1" x="670"/>
        <item sd="0" m="1" x="1082"/>
        <item sd="0" m="1" x="1654"/>
        <item sd="0" m="1" x="6018"/>
        <item sd="0" m="1" x="6676"/>
        <item sd="0" m="1" x="1156"/>
        <item sd="0" m="1" x="1703"/>
        <item sd="0" m="1" x="2447"/>
        <item sd="0" m="1" x="3314"/>
        <item sd="0" m="1" x="7253"/>
        <item sd="0" m="1" x="7640"/>
        <item sd="0" m="1" x="2552"/>
        <item sd="0" m="1" x="3393"/>
        <item sd="0" m="1" x="4343"/>
        <item sd="0" m="1" x="5278"/>
        <item sd="0" m="1" x="330"/>
        <item sd="0" m="1" x="562"/>
        <item sd="0" m="1" x="958"/>
        <item sd="0" m="1" x="3989"/>
        <item sd="0" m="1" x="4946"/>
        <item sd="0" m="1" x="5809"/>
        <item sd="0" m="1" x="6526"/>
        <item sd="0" m="1" x="1007"/>
        <item sd="0" m="1" x="1532"/>
        <item sd="0" m="1" x="2246"/>
        <item sd="0" m="1" x="5882"/>
        <item sd="0" m="1" x="6577"/>
        <item sd="0" m="1" x="7126"/>
        <item sd="0" m="1" x="7550"/>
        <item sd="0" m="1" x="2326"/>
        <item sd="0" m="1" x="3163"/>
        <item sd="0" m="1" x="4105"/>
        <item sd="0" m="1" x="293"/>
        <item sd="0" m="1" x="2818"/>
        <item sd="0" m="1" x="3737"/>
        <item sd="0" m="1" x="4691"/>
        <item sd="0" m="1" x="5584"/>
        <item sd="0" m="1" x="899"/>
        <item sd="0" m="1" x="4744"/>
        <item sd="0" m="1" x="5636"/>
        <item sd="0" m="1" x="6400"/>
        <item sd="0" m="1" x="6984"/>
        <item sd="0" m="1" x="2122"/>
        <item sd="0" m="1" x="1817"/>
        <item sd="0" m="1" x="2603"/>
        <item sd="0" m="1" x="3485"/>
        <item sd="0" m="1" x="3532"/>
        <item sd="0" m="1" x="4499"/>
        <item sd="0" m="1" x="5425"/>
        <item sd="0" m="1" x="1171"/>
        <item sd="0" m="1" x="1756"/>
        <item sd="0" m="1" x="2497"/>
        <item sd="0" m="1" x="3348"/>
        <item sd="0" m="1" x="7285"/>
        <item sd="0" m="1" x="7663"/>
        <item sd="0" m="1" x="2568"/>
        <item sd="0" m="1" x="3432"/>
        <item sd="0" m="1" x="4373"/>
        <item sd="0" m="1" x="5312"/>
        <item sd="0" m="1" x="7936"/>
        <item sd="0" m="1" x="113"/>
        <item sd="0" m="1" x="4453"/>
        <item sd="0" m="1" x="5376"/>
        <item sd="0" m="1" x="6170"/>
        <item sd="0" m="1" x="6812"/>
        <item sd="0" m="1" x="3563"/>
        <item sd="0" m="1" x="4531"/>
        <item sd="0" m="1" x="5460"/>
        <item sd="0" m="1" x="5506"/>
        <item sd="0" m="1" x="6312"/>
        <item sd="0" m="1" x="6940"/>
        <item sd="0" m="1" x="1667"/>
        <item sd="0" m="1" x="2421"/>
        <item sd="0" m="1" x="3289"/>
        <item sd="0" m="1" x="4253"/>
        <item sd="0" m="1" x="3349"/>
        <item sd="0" m="1" x="4310"/>
        <item sd="0" m="1" x="5259"/>
        <item sd="0" m="1" x="6106"/>
        <item sd="0" m="1" x="5313"/>
        <item sd="0" m="1" x="6133"/>
        <item sd="0" m="1" x="977"/>
        <item sd="0" m="1" x="1502"/>
        <item sd="0" m="1" x="2221"/>
        <item sd="0" m="1" x="3073"/>
        <item sd="0" m="1" x="6540"/>
        <item sd="0" m="1" x="7101"/>
        <item sd="0" m="1" x="2288"/>
        <item sd="0" m="1" x="3129"/>
        <item sd="0" m="1" x="4080"/>
        <item sd="0" m="1" x="5036"/>
        <item sd="0" m="1" x="7572"/>
        <item sd="0" m="1" x="7856"/>
        <item sd="0" m="1" x="4147"/>
        <item sd="0" m="1" x="5092"/>
        <item sd="0" m="1" x="5944"/>
        <item sd="0" m="1" x="505"/>
        <item sd="0" m="1" x="864"/>
        <item sd="0" m="1" x="1346"/>
        <item sd="0" m="1" x="5608"/>
        <item sd="0" m="1" x="6367"/>
        <item sd="0" m="1" x="6957"/>
        <item sd="0" m="1" x="1412"/>
        <item sd="0" m="1" x="2063"/>
        <item sd="0" m="1" x="2880"/>
        <item sd="0" m="1" x="7023"/>
        <item sd="0" m="1" x="7467"/>
        <item sd="0" m="1" x="7790"/>
        <item sd="0" m="1" x="2975"/>
        <item sd="0" m="1" x="3873"/>
        <item sd="0" m="1" x="4831"/>
        <item sd="0" m="1" x="420"/>
        <item sd="0" m="1" x="750"/>
        <item sd="0" m="1" x="4470"/>
        <item sd="0" m="1" x="5393"/>
        <item sd="0" m="1" x="6187"/>
        <item sd="0" m="1" x="6822"/>
        <item sd="0" m="1" x="1252"/>
        <item sd="0" m="1" x="1873"/>
        <item sd="0" m="1" x="6261"/>
        <item sd="0" m="1" x="6868"/>
        <item sd="0" m="1" x="7352"/>
        <item sd="0" m="1" x="2734"/>
        <item sd="0" m="1" x="3620"/>
        <item sd="0" m="1" x="5037"/>
        <item sd="0" m="1" x="1439"/>
        <item sd="0" m="1" x="2123"/>
        <item sd="0" m="1" x="2920"/>
        <item sd="0" m="1" x="3842"/>
        <item sd="0" m="1" x="7043"/>
        <item sd="0" m="1" x="7501"/>
        <item sd="0" m="1" x="7802"/>
        <item sd="0" m="1" x="2992"/>
        <item sd="0" m="1" x="3907"/>
        <item sd="0" m="1" x="4864"/>
        <item sd="0" m="1" x="5748"/>
        <item sd="0" m="1" x="7844"/>
        <item sd="0" m="1" x="7998"/>
        <item sd="0" m="1" x="145"/>
        <item sd="0" m="1" x="4935"/>
        <item sd="0" m="1" x="5799"/>
        <item sd="0" m="1" x="6516"/>
        <item sd="0" m="1" x="7087"/>
        <item sd="0" m="1" x="1296"/>
        <item sd="0" m="1" x="1921"/>
        <item sd="0" m="1" x="6288"/>
        <item sd="0" m="1" x="6909"/>
        <item sd="0" m="1" x="7385"/>
        <item sd="0" m="1" x="7736"/>
        <item sd="0" m="1" x="2772"/>
        <item sd="0" m="1" x="3662"/>
        <item sd="0" m="1" x="7435"/>
        <item sd="0" m="1" x="7776"/>
        <item sd="0" m="1" x="7964"/>
        <item sd="0" m="1" x="131"/>
        <item sd="0" m="1" x="4683"/>
        <item sd="0" m="1" x="5576"/>
        <item sd="0" m="1" x="628"/>
        <item sd="0" m="1" x="1046"/>
        <item sd="0" m="1" x="1579"/>
        <item sd="0" m="1" x="2289"/>
        <item sd="0" m="1" x="5897"/>
        <item sd="0" m="1" x="6619"/>
        <item sd="0" m="1" x="7160"/>
        <item sd="0" m="1" x="1630"/>
        <item sd="0" m="1" x="2365"/>
        <item sd="0" m="1" x="3197"/>
        <item sd="0" m="1" x="4148"/>
        <item sd="0" m="1" x="7200"/>
        <item sd="0" m="1" x="7621"/>
        <item sd="0" m="1" x="7884"/>
        <item sd="0" m="1" x="3247"/>
        <item sd="0" m="1" x="4201"/>
        <item sd="0" m="1" x="5137"/>
        <item sd="0" m="1" x="5972"/>
        <item sd="0" m="1" x="537"/>
        <item sd="0" m="1" x="929"/>
        <item sd="0" m="1" x="4765"/>
        <item sd="0" m="1" x="5673"/>
        <item sd="0" m="1" x="6431"/>
        <item sd="0" m="1" x="7024"/>
        <item sd="0" m="1" x="1458"/>
        <item sd="0" m="1" x="2159"/>
        <item sd="0" m="1" x="6476"/>
        <item sd="0" m="1" x="7075"/>
        <item sd="0" m="1" x="7530"/>
        <item sd="0" m="1" x="7828"/>
        <item sd="0" m="1" x="3021"/>
        <item sd="0" m="1" x="3943"/>
        <item sd="0" m="1" x="451"/>
        <item sd="0" m="1" x="3564"/>
        <item sd="0" m="1" x="4532"/>
        <item sd="0" m="1" x="5461"/>
        <item sd="0" m="1" x="1321"/>
        <item sd="0" m="1" x="5507"/>
        <item sd="0" m="1" x="6313"/>
        <item sd="0" m="1" x="6941"/>
        <item sd="0" m="1" x="2796"/>
        <item sd="0" m="1" x="506"/>
        <item sd="0" m="1" x="865"/>
        <item sd="0" m="1" x="1347"/>
        <item sd="0" m="1" x="5609"/>
        <item sd="0" m="1" x="6368"/>
        <item sd="0" m="1" x="1413"/>
        <item sd="0" m="1" x="2064"/>
        <item sd="0" m="1" x="2881"/>
        <item sd="0" m="1" x="7025"/>
        <item sd="0" m="1" x="7468"/>
        <item sd="0" m="1" x="2976"/>
        <item sd="0" m="1" x="3874"/>
        <item sd="0" m="1" x="4832"/>
        <item sd="0" m="1" x="253"/>
        <item sd="0" m="1" x="421"/>
        <item sd="0" m="1" x="751"/>
        <item sd="0" m="1" x="4471"/>
        <item sd="0" m="1" x="5394"/>
        <item sd="0" m="1" x="6188"/>
        <item sd="0" m="1" x="803"/>
        <item sd="0" m="1" x="1253"/>
        <item sd="0" m="1" x="1874"/>
        <item sd="0" m="1" x="6262"/>
        <item sd="0" m="1" x="6869"/>
        <item sd="0" m="1" x="7353"/>
        <item sd="0" m="1" x="1962"/>
        <item sd="0" m="1" x="2735"/>
        <item sd="0" m="1" x="3621"/>
        <item sd="0" m="1" x="225"/>
        <item sd="0" m="1" x="363"/>
        <item sd="0" m="1" x="2381"/>
        <item sd="0" m="1" x="3262"/>
        <item sd="0" m="1" x="4218"/>
        <item sd="0" m="1" x="5154"/>
        <item sd="0" m="1" x="695"/>
        <item sd="0" m="1" x="1111"/>
        <item sd="0" m="1" x="4254"/>
        <item sd="0" m="1" x="5203"/>
        <item sd="0" m="1" x="6042"/>
        <item sd="0" m="1" x="6707"/>
        <item sd="0" m="1" x="1757"/>
        <item sd="0" m="1" x="2498"/>
        <item sd="0" m="1" x="194"/>
        <item sd="0" m="1" x="1470"/>
        <item sd="0" m="1" x="2190"/>
        <item sd="0" m="1" x="3034"/>
        <item sd="0" m="1" x="3958"/>
        <item sd="0" m="1" x="3074"/>
        <item sd="0" m="1" x="4012"/>
        <item sd="0" m="1" x="4975"/>
        <item sd="0" m="1" x="5839"/>
        <item sd="0" m="1" x="1440"/>
        <item sd="0" m="1" x="2124"/>
        <item sd="0" m="1" x="2921"/>
        <item sd="0" m="1" x="3843"/>
        <item sd="0" m="1" x="7044"/>
        <item sd="0" m="1" x="7502"/>
        <item sd="0" m="1" x="2993"/>
        <item sd="0" m="1" x="3908"/>
        <item sd="0" m="1" x="4865"/>
        <item sd="0" m="1" x="5749"/>
        <item sd="0" m="1" x="7845"/>
        <item sd="0" m="1" x="7999"/>
        <item sd="0" m="1" x="4936"/>
        <item sd="0" m="1" x="5800"/>
        <item sd="0" m="1" x="6517"/>
        <item sd="0" m="1" x="613"/>
        <item sd="0" m="1" x="3098"/>
        <item sd="0" m="1" x="4047"/>
        <item sd="0" m="1" x="5005"/>
        <item sd="0" m="1" x="5883"/>
        <item sd="0" m="1" x="1616"/>
        <item sd="0" m="1" x="5061"/>
        <item sd="0" m="1" x="5928"/>
        <item sd="0" m="1" x="6646"/>
        <item sd="0" m="1" x="7187"/>
        <item sd="0" m="1" x="3224"/>
        <item sd="0" m="1" x="2038"/>
        <item sd="0" m="1" x="2848"/>
        <item sd="0" m="1" x="3774"/>
        <item sd="0" m="1" x="4745"/>
        <item sd="0" m="1" x="3844"/>
        <item sd="0" m="1" x="4796"/>
        <item sd="0" m="1" x="5703"/>
        <item sd="0" m="1" x="6457"/>
        <item sd="0" m="1" x="5750"/>
        <item sd="0" m="1" x="1227"/>
        <item sd="0" m="1" x="1843"/>
        <item sd="0" m="1" x="2641"/>
        <item sd="0" m="1" x="6844"/>
        <item sd="0" m="1" x="2704"/>
        <item sd="0" m="1" x="3590"/>
        <item sd="0" m="1" x="4563"/>
        <item sd="0" m="1" x="7737"/>
        <item sd="0" m="1" x="4626"/>
        <item sd="0" m="1" x="5523"/>
        <item sd="0" m="1" x="389"/>
        <item sd="0" m="1" x="671"/>
        <item sd="0" m="1" x="1083"/>
        <item sd="0" m="1" x="1655"/>
        <item sd="0" m="1" x="6019"/>
        <item sd="0" m="1" x="6677"/>
        <item sd="0" m="1" x="1157"/>
        <item sd="0" m="1" x="1704"/>
        <item sd="0" m="1" x="2448"/>
        <item sd="0" m="1" x="3315"/>
        <item sd="0" m="1" x="7254"/>
        <item sd="0" m="1" x="7641"/>
        <item sd="0" m="1" x="2553"/>
        <item sd="0" m="1" x="3394"/>
        <item sd="0" m="1" x="4344"/>
        <item sd="0" m="1" x="5279"/>
        <item sd="0" m="1" x="331"/>
        <item sd="0" m="1" x="563"/>
        <item sd="0" m="1" x="959"/>
        <item sd="0" m="1" x="3990"/>
        <item sd="0" m="1" x="4947"/>
        <item sd="0" m="1" x="5810"/>
        <item sd="0" m="1" x="6527"/>
        <item sd="0" m="1" x="1008"/>
        <item sd="0" m="1" x="1533"/>
        <item sd="0" m="1" x="2247"/>
        <item sd="0" m="1" x="5884"/>
        <item sd="0" m="1" x="6578"/>
        <item sd="0" m="1" x="7127"/>
        <item sd="0" m="1" x="7551"/>
        <item sd="0" m="1" x="2327"/>
        <item sd="0" m="1" x="3164"/>
        <item sd="0" m="1" x="4106"/>
        <item sd="0" m="1" x="1172"/>
        <item sd="0" m="1" x="1758"/>
        <item sd="0" m="1" x="2499"/>
        <item sd="0" m="1" x="3350"/>
        <item sd="0" m="1" x="7286"/>
        <item sd="0" m="1" x="7664"/>
        <item sd="0" m="1" x="2569"/>
        <item sd="0" m="1" x="3433"/>
        <item sd="0" m="1" x="4374"/>
        <item sd="0" m="1" x="5314"/>
        <item sd="0" m="1" x="7937"/>
        <item sd="0" m="1" x="114"/>
        <item sd="0" m="1" x="4454"/>
        <item sd="0" m="1" x="5377"/>
        <item sd="0" m="1" x="6171"/>
        <item sd="0" m="1" x="6813"/>
        <item sd="0" m="1" x="1047"/>
        <item sd="0" m="1" x="1580"/>
        <item sd="0" m="1" x="2290"/>
        <item sd="0" m="1" x="5898"/>
        <item sd="0" m="1" x="6620"/>
        <item sd="0" m="1" x="7161"/>
        <item sd="0" m="1" x="7573"/>
        <item sd="0" m="1" x="2366"/>
        <item sd="0" m="1" x="3198"/>
        <item sd="0" m="1" x="4149"/>
        <item sd="0" m="1" x="7201"/>
        <item sd="0" m="1" x="7622"/>
        <item sd="0" m="1" x="7885"/>
        <item sd="0" m="1" x="88"/>
        <item sd="0" m="1" x="4202"/>
        <item sd="0" m="1" x="5138"/>
        <item sd="0" m="1" x="5973"/>
        <item sd="0" m="1" x="930"/>
        <item sd="0" m="1" x="4766"/>
        <item sd="0" m="1" x="5674"/>
        <item sd="0" m="1" x="6432"/>
        <item sd="0" m="1" x="7026"/>
        <item sd="0" m="1" x="2160"/>
        <item sd="0" m="1" x="6477"/>
        <item sd="0" m="1" x="7076"/>
        <item sd="0" m="1" x="7531"/>
        <item sd="0" m="1" x="7829"/>
        <item sd="0" m="1" x="3944"/>
        <item sd="0" m="1" x="3565"/>
        <item sd="0" m="1" x="4533"/>
        <item sd="0" m="1" x="5462"/>
        <item sd="0" m="1" x="5508"/>
        <item sd="0" m="1" x="6314"/>
        <item sd="0" m="1" x="6942"/>
        <item sd="0" m="1" x="1668"/>
        <item sd="0" m="1" x="2422"/>
        <item sd="0" m="1" x="3290"/>
        <item sd="0" m="1" x="4255"/>
        <item sd="0" m="1" x="3351"/>
        <item sd="0" m="1" x="4311"/>
        <item sd="0" m="1" x="5260"/>
        <item sd="0" m="1" x="6107"/>
        <item sd="0" m="1" x="5315"/>
        <item sd="0" m="1" x="6134"/>
        <item sd="0" m="1" x="422"/>
        <item sd="0" m="1" x="752"/>
        <item sd="0" m="1" x="4472"/>
        <item sd="0" m="1" x="5395"/>
        <item sd="0" m="1" x="6189"/>
        <item sd="0" m="1" x="6823"/>
        <item sd="0" m="1" x="1254"/>
        <item sd="0" m="1" x="1875"/>
        <item sd="0" m="1" x="6263"/>
        <item sd="0" m="1" x="6870"/>
        <item sd="0" m="1" x="7354"/>
        <item sd="0" m="1" x="2736"/>
        <item sd="0" m="1" x="3622"/>
        <item sd="0" m="1" x="364"/>
        <item sd="0" m="1" x="2382"/>
        <item sd="0" m="1" x="3263"/>
        <item sd="0" m="1" x="4219"/>
        <item sd="0" m="1" x="5155"/>
        <item sd="0" m="1" x="1112"/>
        <item sd="0" m="1" x="4256"/>
        <item sd="0" m="1" x="5204"/>
        <item sd="0" m="1" x="6043"/>
        <item sd="0" m="1" x="6708"/>
        <item sd="0" m="1" x="2500"/>
        <item sd="0" m="1" x="1471"/>
        <item sd="0" m="1" x="2191"/>
        <item sd="0" m="1" x="3035"/>
        <item sd="0" m="1" x="3959"/>
        <item sd="0" m="1" x="3075"/>
        <item sd="0" m="1" x="4013"/>
        <item sd="0" m="1" x="4976"/>
        <item sd="0" m="1" x="5840"/>
        <item sd="0" m="1" x="5038"/>
        <item sd="0" m="1" x="1441"/>
        <item sd="0" m="1" x="2125"/>
        <item sd="0" m="1" x="2922"/>
        <item sd="0" m="1" x="3845"/>
        <item sd="0" m="1" x="7045"/>
        <item sd="0" m="1" x="7503"/>
        <item sd="0" m="1" x="7803"/>
        <item sd="0" m="1" x="2994"/>
        <item sd="0" m="1" x="3909"/>
        <item sd="0" m="1" x="4866"/>
        <item sd="0" m="1" x="5751"/>
        <item sd="0" m="1" x="7846"/>
        <item sd="0" m="1" x="146"/>
        <item sd="0" m="1" x="4937"/>
        <item sd="0" m="1" x="5801"/>
        <item sd="0" m="1" x="6518"/>
        <item sd="0" m="1" x="7088"/>
        <item sd="0" m="1" x="629"/>
        <item sd="0" m="1" x="1048"/>
        <item sd="0" m="1" x="1581"/>
        <item sd="0" m="1" x="2291"/>
        <item sd="0" m="1" x="5899"/>
        <item sd="0" m="1" x="6621"/>
        <item sd="0" m="1" x="7162"/>
        <item sd="0" m="1" x="1631"/>
        <item sd="0" m="1" x="2367"/>
        <item sd="0" m="1" x="3199"/>
        <item sd="0" m="1" x="4150"/>
        <item sd="0" m="1" x="7202"/>
        <item sd="0" m="1" x="7623"/>
        <item sd="0" m="1" x="7886"/>
        <item sd="0" m="1" x="3248"/>
        <item sd="0" m="1" x="4203"/>
        <item sd="0" m="1" x="5139"/>
        <item sd="0" m="1" x="5974"/>
        <item sd="0" m="1" x="1669"/>
        <item sd="0" m="1" x="2423"/>
        <item sd="0" m="1" x="3291"/>
        <item sd="0" m="1" x="4257"/>
        <item sd="0" m="1" x="3352"/>
        <item sd="0" m="1" x="4312"/>
        <item sd="0" m="1" x="5261"/>
        <item sd="0" m="1" x="6108"/>
        <item sd="0" m="1" x="5316"/>
        <item sd="0" m="1" x="978"/>
        <item sd="0" m="1" x="1503"/>
        <item sd="0" m="1" x="2222"/>
        <item sd="0" m="1" x="3076"/>
        <item sd="0" m="1" x="6541"/>
        <item sd="0" m="1" x="2292"/>
        <item sd="0" m="1" x="3130"/>
        <item sd="0" m="1" x="4081"/>
        <item sd="0" m="1" x="5039"/>
        <item sd="0" m="1" x="7574"/>
        <item sd="0" m="1" x="4151"/>
        <item sd="0" m="1" x="5093"/>
        <item sd="0" m="1" x="507"/>
        <item sd="0" m="1" x="866"/>
        <item sd="0" m="1" x="1348"/>
        <item sd="0" m="1" x="5610"/>
        <item sd="0" m="1" x="6369"/>
        <item sd="0" m="1" x="1414"/>
        <item sd="0" m="1" x="2065"/>
        <item sd="0" m="1" x="2882"/>
        <item sd="0" m="1" x="7027"/>
        <item sd="0" m="1" x="7469"/>
        <item sd="0" m="1" x="2977"/>
        <item sd="0" m="1" x="3875"/>
        <item sd="0" m="1" x="4833"/>
        <item sd="0" m="1" x="254"/>
        <item sd="0" m="1" x="423"/>
        <item sd="0" m="1" x="753"/>
        <item sd="0" m="1" x="4473"/>
        <item sd="0" m="1" x="5396"/>
        <item sd="0" m="1" x="6190"/>
        <item sd="0" m="1" x="804"/>
        <item sd="0" m="1" x="1255"/>
        <item sd="0" m="1" x="1876"/>
        <item sd="0" m="1" x="6264"/>
        <item sd="0" m="1" x="6871"/>
        <item sd="0" m="1" x="7355"/>
        <item sd="0" m="1" x="1963"/>
        <item sd="0" m="1" x="2737"/>
        <item sd="0" m="1" x="3623"/>
        <item sd="0" m="1" x="226"/>
        <item sd="0" m="1" x="365"/>
        <item sd="0" m="1" x="2383"/>
        <item sd="0" m="1" x="3264"/>
        <item sd="0" m="1" x="4220"/>
        <item sd="0" m="1" x="5156"/>
        <item sd="0" m="1" x="696"/>
        <item sd="0" m="1" x="1113"/>
        <item sd="0" m="1" x="4258"/>
        <item sd="0" m="1" x="5205"/>
        <item sd="0" m="1" x="6044"/>
        <item sd="0" m="1" x="6709"/>
        <item sd="0" m="1" x="1759"/>
        <item sd="0" m="1" x="2501"/>
        <item sd="0" m="1" x="834"/>
        <item sd="0" m="1" x="1297"/>
        <item sd="0" m="1" x="1922"/>
        <item sd="0" m="1" x="6289"/>
        <item sd="0" m="1" x="6910"/>
        <item sd="0" m="1" x="7386"/>
        <item sd="0" m="1" x="1992"/>
        <item sd="0" m="1" x="2773"/>
        <item sd="0" m="1" x="3663"/>
        <item sd="0" m="1" x="7436"/>
        <item sd="0" m="1" x="7777"/>
        <item sd="0" m="1" x="7965"/>
        <item sd="0" m="1" x="3730"/>
        <item sd="0" m="1" x="4684"/>
        <item sd="0" m="1" x="5577"/>
        <item sd="0" m="1" x="722"/>
        <item sd="0" m="1" x="1158"/>
        <item sd="0" m="1" x="5235"/>
        <item sd="0" m="1" x="6074"/>
        <item sd="0" m="1" x="6743"/>
        <item sd="0" m="1" x="1787"/>
        <item sd="0" m="1" x="2554"/>
        <item sd="0" m="1" x="6797"/>
        <item sd="0" m="1" x="7313"/>
        <item sd="0" m="1" x="7698"/>
        <item sd="0" m="1" x="3478"/>
        <item sd="0" m="1" x="4418"/>
        <item sd="0" m="1" x="614"/>
        <item sd="0" m="1" x="3099"/>
        <item sd="0" m="1" x="4048"/>
        <item sd="0" m="1" x="5006"/>
        <item sd="0" m="1" x="5885"/>
        <item sd="0" m="1" x="1617"/>
        <item sd="0" m="1" x="5062"/>
        <item sd="0" m="1" x="5929"/>
        <item sd="0" m="1" x="6647"/>
        <item sd="0" m="1" x="7188"/>
        <item sd="0" m="1" x="3225"/>
        <item sd="0" m="1" x="2039"/>
        <item sd="0" m="1" x="2849"/>
        <item sd="0" m="1" x="3775"/>
        <item sd="0" m="1" x="4746"/>
        <item sd="0" m="1" x="3846"/>
        <item sd="0" m="1" x="4797"/>
        <item sd="0" m="1" x="5704"/>
        <item sd="0" m="1" x="6458"/>
        <item sd="0" m="1" x="5752"/>
        <item sd="0" m="1" x="1228"/>
        <item sd="0" m="1" x="1844"/>
        <item sd="0" m="1" x="2642"/>
        <item sd="0" m="1" x="6845"/>
        <item sd="0" m="1" x="2705"/>
        <item sd="0" m="1" x="3591"/>
        <item sd="0" m="1" x="4564"/>
        <item sd="0" m="1" x="7738"/>
        <item sd="0" m="1" x="4627"/>
        <item sd="0" m="1" x="5524"/>
        <item sd="0" m="1" x="294"/>
        <item sd="0" m="1" x="2819"/>
        <item sd="0" m="1" x="3738"/>
        <item sd="0" m="1" x="4692"/>
        <item sd="0" m="1" x="5585"/>
        <item sd="0" m="1" x="900"/>
        <item sd="0" m="1" x="4747"/>
        <item sd="0" m="1" x="5637"/>
        <item sd="0" m="1" x="6401"/>
        <item sd="0" m="1" x="6985"/>
        <item sd="0" m="1" x="2126"/>
        <item sd="0" m="1" x="1818"/>
        <item sd="0" m="1" x="2604"/>
        <item sd="0" m="1" x="3486"/>
        <item sd="0" m="1" x="3533"/>
        <item sd="0" m="1" x="4500"/>
        <item sd="0" m="1" x="5426"/>
        <item sd="0" m="1" x="1173"/>
        <item sd="0" m="1" x="1760"/>
        <item sd="0" m="1" x="2502"/>
        <item sd="0" m="1" x="3353"/>
        <item sd="0" m="1" x="7287"/>
        <item sd="0" m="1" x="7665"/>
        <item sd="0" m="1" x="2570"/>
        <item sd="0" m="1" x="3434"/>
        <item sd="0" m="1" x="4375"/>
        <item sd="0" m="1" x="5317"/>
        <item sd="0" m="1" x="7938"/>
        <item sd="0" m="1" x="115"/>
        <item sd="0" m="1" x="4455"/>
        <item sd="0" m="1" x="5378"/>
        <item sd="0" m="1" x="6172"/>
        <item sd="0" m="1" x="6814"/>
        <item sd="0" m="1" x="1049"/>
        <item sd="0" m="1" x="1582"/>
        <item sd="0" m="1" x="2293"/>
        <item sd="0" m="1" x="5900"/>
        <item sd="0" m="1" x="6622"/>
        <item sd="0" m="1" x="7163"/>
        <item sd="0" m="1" x="7575"/>
        <item sd="0" m="1" x="2368"/>
        <item sd="0" m="1" x="3200"/>
        <item sd="0" m="1" x="4152"/>
        <item sd="0" m="1" x="7203"/>
        <item sd="0" m="1" x="7624"/>
        <item sd="0" m="1" x="7887"/>
        <item sd="0" m="1" x="89"/>
        <item sd="0" m="1" x="4204"/>
        <item sd="0" m="1" x="5140"/>
        <item sd="0" m="1" x="5975"/>
        <item sd="0" m="1" x="931"/>
        <item sd="0" m="1" x="4767"/>
        <item sd="0" m="1" x="5675"/>
        <item sd="0" m="1" x="6433"/>
        <item sd="0" m="1" x="7028"/>
        <item sd="0" m="1" x="2161"/>
        <item sd="0" m="1" x="6478"/>
        <item sd="0" m="1" x="7077"/>
        <item sd="0" m="1" x="7532"/>
        <item sd="0" m="1" x="7830"/>
        <item sd="0" m="1" x="3945"/>
        <item sd="0" m="1" x="508"/>
        <item sd="0" m="1" x="867"/>
        <item sd="0" m="1" x="6958"/>
        <item sd="0" m="1" x="1415"/>
        <item sd="0" m="1" x="2066"/>
        <item sd="0" m="1" x="2883"/>
        <item sd="0" m="1" x="7029"/>
        <item sd="0" m="1" x="7470"/>
        <item sd="0" m="1" x="7791"/>
        <item sd="0" m="1" x="2978"/>
        <item sd="0" m="1" x="3876"/>
        <item sd="0" m="1" x="4834"/>
        <item sd="0" m="1" x="424"/>
        <item sd="0" m="1" x="754"/>
        <item sd="0" m="1" x="4474"/>
        <item sd="0" m="1" x="5397"/>
        <item sd="0" m="1" x="6191"/>
        <item sd="0" m="1" x="6824"/>
        <item sd="0" m="1" x="1256"/>
        <item sd="0" m="1" x="1877"/>
        <item sd="0" m="1" x="6265"/>
        <item sd="0" m="1" x="6872"/>
        <item sd="0" m="1" x="7356"/>
        <item sd="0" m="1" x="2738"/>
        <item sd="0" m="1" x="3624"/>
        <item sd="0" m="1" x="366"/>
        <item sd="0" m="1" x="2384"/>
        <item sd="0" m="1" x="3265"/>
        <item sd="0" m="1" x="4221"/>
        <item sd="0" m="1" x="5157"/>
        <item sd="0" m="1" x="1114"/>
        <item sd="0" m="1" x="4259"/>
        <item sd="0" m="1" x="5206"/>
        <item sd="0" m="1" x="6045"/>
        <item sd="0" m="1" x="6710"/>
        <item sd="0" m="1" x="2503"/>
        <item sd="0" m="1" x="1472"/>
        <item sd="0" m="1" x="2192"/>
        <item sd="0" m="1" x="3036"/>
        <item sd="0" m="1" x="3960"/>
        <item sd="0" m="1" x="3077"/>
        <item sd="0" m="1" x="4014"/>
        <item sd="0" m="1" x="4977"/>
        <item sd="0" m="1" x="5841"/>
        <item sd="0" m="1" x="5040"/>
        <item sd="0" m="1" x="723"/>
        <item sd="0" m="1" x="7269"/>
        <item sd="0" m="1" x="1788"/>
        <item sd="0" m="1" x="2559"/>
        <item sd="0" m="1" x="3409"/>
        <item sd="0" m="1" x="7314"/>
        <item sd="0" m="1" x="7703"/>
        <item sd="0" m="1" x="7920"/>
        <item sd="0" m="1" x="3487"/>
        <item sd="0" m="1" x="4429"/>
        <item sd="0" m="1" x="5345"/>
        <item sd="0" m="1" x="624"/>
        <item sd="0" m="1" x="1022"/>
        <item sd="0" m="1" x="4059"/>
        <item sd="0" m="1" x="5015"/>
        <item sd="0" m="1" x="5889"/>
        <item sd="0" m="1" x="6592"/>
        <item sd="0" m="1" x="1627"/>
        <item sd="0" m="1" x="2341"/>
        <item sd="0" m="1" x="5930"/>
        <item sd="0" m="1" x="6648"/>
        <item sd="0" m="1" x="7192"/>
        <item sd="0" m="1" x="7600"/>
        <item sd="0" m="1" x="3235"/>
        <item sd="0" m="1" x="4170"/>
        <item sd="0" m="1" x="2858"/>
        <item sd="0" m="1" x="3782"/>
        <item sd="0" m="1" x="4757"/>
        <item sd="0" m="1" x="5647"/>
        <item sd="0" m="1" x="4806"/>
        <item sd="0" m="1" x="5705"/>
        <item sd="0" m="1" x="6468"/>
        <item sd="0" m="1" x="7055"/>
        <item sd="0" m="1" x="1852"/>
        <item sd="0" m="1" x="2645"/>
        <item sd="0" m="1" x="3542"/>
        <item sd="0" m="1" x="3599"/>
        <item sd="0" m="1" x="4567"/>
        <item sd="0" m="1" x="5485"/>
        <item sd="0" m="1" x="5525"/>
        <item sd="0" m="1" x="297"/>
        <item sd="0" m="1" x="482"/>
        <item sd="0" m="1" x="3739"/>
        <item sd="0" m="1" x="4699"/>
        <item sd="0" m="1" x="5600"/>
        <item sd="0" m="1" x="6346"/>
        <item sd="0" m="1" x="912"/>
        <item sd="0" m="1" x="1379"/>
        <item sd="0" m="1" x="5648"/>
        <item sd="0" m="1" x="6411"/>
        <item sd="0" m="1" x="7001"/>
        <item sd="0" m="1" x="7445"/>
        <item sd="0" m="1" x="2138"/>
        <item sd="0" m="1" x="2938"/>
        <item sd="0" m="1" x="240"/>
        <item sd="0" m="1" x="2605"/>
        <item sd="0" m="1" x="3494"/>
        <item sd="0" m="1" x="4445"/>
        <item sd="0" m="1" x="5361"/>
        <item sd="0" m="1" x="776"/>
        <item sd="0" m="1" x="4509"/>
        <item sd="0" m="1" x="5437"/>
        <item sd="0" m="1" x="6225"/>
        <item sd="0" m="1" x="1930"/>
        <item sd="0" m="1" x="2535"/>
        <item sd="0" m="1" x="3371"/>
        <item sd="0" m="1" x="4330"/>
        <item sd="0" m="1" x="7684"/>
        <item sd="0" m="1" x="4390"/>
        <item sd="0" m="1" x="5318"/>
        <item sd="0" m="1" x="6135"/>
        <item sd="0" m="1" x="117"/>
        <item sd="0" m="1" x="6192"/>
        <item sd="0" m="1" x="6825"/>
        <item sd="0" m="1" x="1057"/>
        <item sd="0" m="1" x="1603"/>
        <item sd="0" m="1" x="2311"/>
        <item sd="0" m="1" x="3148"/>
        <item sd="0" m="1" x="7175"/>
        <item sd="0" m="1" x="7576"/>
        <item sd="0" m="1" x="2376"/>
        <item sd="0" m="1" x="3212"/>
        <item sd="0" m="1" x="4153"/>
        <item sd="0" m="1" x="5094"/>
        <item sd="0" m="1" x="7888"/>
        <item sd="0" m="1" x="90"/>
        <item sd="0" m="1" x="4222"/>
        <item sd="0" m="1" x="5158"/>
        <item sd="0" m="1" x="5989"/>
        <item sd="0" m="1" x="6656"/>
        <item sd="0" m="1" x="934"/>
        <item sd="0" m="1" x="1434"/>
        <item sd="0" m="1" x="2094"/>
        <item sd="0" m="1" x="5692"/>
        <item sd="0" m="1" x="6446"/>
        <item sd="0" m="1" x="7038"/>
        <item sd="0" m="1" x="7479"/>
        <item sd="0" m="1" x="2164"/>
        <item sd="0" m="1" x="2987"/>
        <item sd="0" m="1" x="3885"/>
        <item sd="0" m="1" x="7078"/>
        <item sd="0" m="1" x="7533"/>
        <item sd="0" m="1" x="7839"/>
        <item sd="0" m="1" x="7981"/>
        <item sd="0" m="1" x="3963"/>
        <item sd="0" m="1" x="4909"/>
        <item sd="0" m="1" x="5765"/>
        <item sd="0" m="1" x="1521"/>
        <item sd="0" m="1" x="2235"/>
        <item sd="0" m="1" x="3093"/>
        <item sd="0" m="1" x="4030"/>
        <item sd="0" m="1" x="3149"/>
        <item sd="0" m="1" x="4094"/>
        <item sd="0" m="1" x="5056"/>
        <item sd="0" m="1" x="5916"/>
        <item sd="0" m="1" x="5095"/>
        <item sd="0" m="1" x="5945"/>
        <item sd="0" m="1" x="887"/>
        <item sd="0" m="1" x="1353"/>
        <item sd="0" m="1" x="2033"/>
        <item sd="0" m="1" x="2836"/>
        <item sd="0" m="1" x="6389"/>
        <item sd="0" m="1" x="6973"/>
        <item sd="0" m="1" x="2095"/>
        <item sd="0" m="1" x="2896"/>
        <item sd="0" m="1" x="3824"/>
        <item sd="0" m="1" x="4784"/>
        <item sd="0" m="1" x="7480"/>
        <item sd="0" m="1" x="7792"/>
        <item sd="0" m="1" x="3886"/>
        <item sd="0" m="1" x="4846"/>
        <item sd="0" m="1" x="5731"/>
        <item sd="0" m="1" x="431"/>
        <item sd="0" m="1" x="759"/>
        <item sd="0" m="1" x="1218"/>
        <item sd="0" m="1" x="5416"/>
        <item sd="0" m="1" x="6203"/>
        <item sd="0" m="1" x="6841"/>
        <item sd="0" m="1" x="1281"/>
        <item sd="0" m="1" x="1900"/>
        <item sd="0" m="1" x="2684"/>
        <item sd="0" m="1" x="6891"/>
        <item sd="0" m="1" x="7370"/>
        <item sd="0" m="1" x="7728"/>
        <item sd="0" m="1" x="2757"/>
        <item sd="0" m="1" x="3647"/>
        <item sd="0" m="1" x="4606"/>
        <item sd="0" m="1" x="384"/>
        <item sd="0" m="1" x="660"/>
        <item sd="0" m="1" x="4225"/>
        <item sd="0" m="1" x="5165"/>
        <item sd="0" m="1" x="6009"/>
        <item sd="0" m="1" x="1146"/>
        <item sd="0" m="1" x="1687"/>
        <item sd="0" m="1" x="6064"/>
        <item sd="0" m="1" x="6733"/>
        <item sd="0" m="1" x="7238"/>
        <item sd="0" m="1" x="2536"/>
        <item sd="0" m="1" x="3372"/>
        <item sd="0" m="1" x="319"/>
        <item sd="0" m="1" x="2193"/>
        <item sd="0" m="1" x="3037"/>
        <item sd="0" m="1" x="3984"/>
        <item sd="0" m="1" x="4930"/>
        <item sd="0" m="1" x="996"/>
        <item sd="0" m="1" x="4031"/>
        <item sd="0" m="1" x="4993"/>
        <item sd="0" m="1" x="5870"/>
        <item sd="0" m="1" x="6559"/>
        <item sd="0" m="1" x="2312"/>
        <item sd="0" m="1" x="132"/>
        <item sd="0" m="1" x="1163"/>
        <item sd="0" m="1" x="1728"/>
        <item sd="0" m="1" x="6084"/>
        <item sd="0" m="1" x="6748"/>
        <item sd="0" m="1" x="7270"/>
        <item sd="0" m="1" x="2560"/>
        <item sd="0" m="1" x="3410"/>
        <item sd="0" m="1" x="7315"/>
        <item sd="0" m="1" x="7704"/>
        <item sd="0" m="1" x="7921"/>
        <item sd="0" m="1" x="4430"/>
        <item sd="0" m="1" x="5346"/>
        <item sd="0" m="1" x="1023"/>
        <item sd="0" m="1" x="4060"/>
        <item sd="0" m="1" x="5016"/>
        <item sd="0" m="1" x="5890"/>
        <item sd="0" m="1" x="6593"/>
        <item sd="0" m="1" x="2342"/>
        <item sd="0" m="1" x="5931"/>
        <item sd="0" m="1" x="6649"/>
        <item sd="0" m="1" x="7193"/>
        <item sd="0" m="1" x="7601"/>
        <item sd="0" m="1" x="4171"/>
        <item sd="0" m="1" x="2859"/>
        <item sd="0" m="1" x="3783"/>
        <item sd="0" m="1" x="4758"/>
        <item sd="0" m="1" x="5649"/>
        <item sd="0" m="1" x="4807"/>
        <item sd="0" m="1" x="5706"/>
        <item sd="0" m="1" x="6469"/>
        <item sd="0" m="1" x="7056"/>
        <item sd="0" m="1" x="6479"/>
        <item sd="0" m="1" x="1853"/>
        <item sd="0" m="1" x="2646"/>
        <item sd="0" m="1" x="3543"/>
        <item sd="0" m="1" x="7334"/>
        <item sd="0" m="1" x="3600"/>
        <item sd="0" m="1" x="4568"/>
        <item sd="0" m="1" x="5486"/>
        <item sd="0" m="1" x="7939"/>
        <item sd="0" m="1" x="5526"/>
        <item sd="0" m="1" x="6318"/>
        <item sd="0" m="1" x="681"/>
        <item sd="0" m="1" x="1091"/>
        <item sd="0" m="1" x="1659"/>
        <item sd="0" m="1" x="2400"/>
        <item sd="0" m="1" x="6687"/>
        <item sd="0" m="1" x="7204"/>
        <item sd="0" m="1" x="1729"/>
        <item sd="0" m="1" x="2470"/>
        <item sd="0" m="1" x="3333"/>
        <item sd="0" m="1" x="4282"/>
        <item sd="0" m="1" x="7649"/>
        <item sd="0" m="1" x="7892"/>
        <item sd="0" m="1" x="3411"/>
        <item sd="0" m="1" x="4359"/>
        <item sd="0" m="1" x="5297"/>
        <item sd="0" m="1" x="6116"/>
        <item sd="0" m="1" x="2606"/>
        <item sd="0" m="1" x="3495"/>
        <item sd="0" m="1" x="4446"/>
        <item sd="0" m="1" x="5362"/>
        <item sd="0" m="1" x="4510"/>
        <item sd="0" m="1" x="5438"/>
        <item sd="0" m="1" x="6226"/>
        <item sd="0" m="1" x="2537"/>
        <item sd="0" m="1" x="3373"/>
        <item sd="0" m="1" x="4331"/>
        <item sd="0" m="1" x="7685"/>
        <item sd="0" m="1" x="7896"/>
        <item sd="0" m="1" x="4391"/>
        <item sd="0" m="1" x="5319"/>
        <item sd="0" m="1" x="6136"/>
        <item sd="0" m="1" x="118"/>
        <item sd="0" m="1" x="156"/>
        <item sd="0" m="1" x="6193"/>
        <item sd="0" m="1" x="6826"/>
        <item sd="0" m="1" x="7323"/>
        <item sd="0" m="1" x="1604"/>
        <item sd="0" m="1" x="2313"/>
        <item sd="0" m="1" x="3150"/>
        <item sd="0" m="1" x="7176"/>
        <item sd="0" m="1" x="7577"/>
        <item sd="0" m="1" x="7857"/>
        <item sd="0" m="1" x="3213"/>
        <item sd="0" m="1" x="4154"/>
        <item sd="0" m="1" x="5096"/>
        <item sd="0" m="1" x="7889"/>
        <item sd="0" m="1" x="91"/>
        <item sd="0" m="1" x="154"/>
        <item sd="0" m="1" x="5159"/>
        <item sd="0" m="1" x="5990"/>
        <item sd="0" m="1" x="6657"/>
        <item sd="0" m="1" x="1306"/>
        <item sd="0" m="1" x="1931"/>
        <item sd="0" m="1" x="2713"/>
        <item sd="0" m="1" x="6919"/>
        <item sd="0" m="1" x="7393"/>
        <item sd="0" m="1" x="2782"/>
        <item sd="0" m="1" x="3664"/>
        <item sd="0" m="1" x="4628"/>
        <item sd="0" m="1" x="7778"/>
        <item sd="0" m="1" x="7966"/>
        <item sd="0" m="1" x="4693"/>
        <item sd="0" m="1" x="5586"/>
        <item sd="0" m="1" x="6332"/>
        <item sd="0" m="1" x="724"/>
        <item sd="0" m="1" x="1164"/>
        <item sd="0" m="1" x="1730"/>
        <item sd="0" m="1" x="6085"/>
        <item sd="0" m="1" x="6749"/>
        <item sd="0" m="1" x="7271"/>
        <item sd="0" m="1" x="1789"/>
        <item sd="0" m="1" x="2561"/>
        <item sd="0" m="1" x="3412"/>
        <item sd="0" m="1" x="7316"/>
        <item sd="0" m="1" x="7705"/>
        <item sd="0" m="1" x="7922"/>
        <item sd="0" m="1" x="3488"/>
        <item sd="0" m="1" x="4431"/>
        <item sd="0" m="1" x="5347"/>
        <item sd="0" m="1" x="1854"/>
        <item sd="0" m="1" x="2647"/>
        <item sd="0" m="1" x="3544"/>
        <item sd="0" m="1" x="3601"/>
        <item sd="0" m="1" x="4569"/>
        <item sd="0" m="1" x="5487"/>
        <item sd="0" m="1" x="5527"/>
        <item sd="0" m="1" x="682"/>
        <item sd="0" m="1" x="1092"/>
        <item sd="0" m="1" x="1660"/>
        <item sd="0" m="1" x="2401"/>
        <item sd="0" m="1" x="6688"/>
        <item sd="0" m="1" x="1731"/>
        <item sd="0" m="1" x="2471"/>
        <item sd="0" m="1" x="3334"/>
        <item sd="0" m="1" x="4283"/>
        <item sd="0" m="1" x="7650"/>
        <item sd="0" m="1" x="3413"/>
        <item sd="0" m="1" x="4360"/>
        <item sd="0" m="1" x="5298"/>
        <item sd="0" m="1" x="332"/>
        <item sd="0" m="1" x="571"/>
        <item sd="0" m="1" x="970"/>
        <item sd="0" m="1" x="1483"/>
        <item sd="0" m="1" x="4957"/>
        <item sd="0" m="1" x="5821"/>
        <item sd="0" m="1" x="6533"/>
        <item sd="0" m="1" x="1024"/>
        <item sd="0" m="1" x="1554"/>
        <item sd="0" m="1" x="2268"/>
        <item sd="0" m="1" x="3110"/>
        <item sd="0" m="1" x="6594"/>
        <item sd="0" m="1" x="7141"/>
        <item sd="0" m="1" x="7558"/>
        <item sd="0" m="1" x="2343"/>
        <item sd="0" m="1" x="3178"/>
        <item sd="0" m="1" x="4127"/>
        <item sd="0" m="1" x="5073"/>
        <item sd="0" m="1" x="298"/>
        <item sd="0" m="1" x="483"/>
        <item sd="0" m="1" x="3740"/>
        <item sd="0" m="1" x="4700"/>
        <item sd="0" m="1" x="5601"/>
        <item sd="0" m="1" x="6347"/>
        <item sd="0" m="1" x="913"/>
        <item sd="0" m="1" x="1380"/>
        <item sd="0" m="1" x="5650"/>
        <item sd="0" m="1" x="6412"/>
        <item sd="0" m="1" x="7002"/>
        <item sd="0" m="1" x="7446"/>
        <item sd="0" m="1" x="2139"/>
        <item sd="0" m="1" x="2939"/>
        <item sd="0" m="1" x="241"/>
        <item sd="0" m="1" x="2607"/>
        <item sd="0" m="1" x="3496"/>
        <item sd="0" m="1" x="4447"/>
        <item sd="0" m="1" x="5363"/>
        <item sd="0" m="1" x="777"/>
        <item sd="0" m="1" x="4511"/>
        <item sd="0" m="1" x="5439"/>
        <item sd="0" m="1" x="6227"/>
        <item sd="0" m="1" x="1932"/>
        <item sd="0" m="1" x="92"/>
        <item sd="0" m="1" x="935"/>
        <item sd="0" m="1" x="1435"/>
        <item sd="0" m="1" x="2096"/>
        <item sd="0" m="1" x="5693"/>
        <item sd="0" m="1" x="6447"/>
        <item sd="0" m="1" x="7039"/>
        <item sd="0" m="1" x="7481"/>
        <item sd="0" m="1" x="2165"/>
        <item sd="0" m="1" x="2988"/>
        <item sd="0" m="1" x="3887"/>
        <item sd="0" m="1" x="7079"/>
        <item sd="0" m="1" x="7534"/>
        <item sd="0" m="1" x="7840"/>
        <item sd="0" m="1" x="7982"/>
        <item sd="0" m="1" x="3964"/>
        <item sd="0" m="1" x="4910"/>
        <item sd="0" m="1" x="5766"/>
        <item sd="0" m="1" x="823"/>
        <item sd="0" m="1" x="4554"/>
        <item sd="0" m="1" x="5468"/>
        <item sd="0" m="1" x="6284"/>
        <item sd="0" m="1" x="6892"/>
        <item sd="0" m="1" x="1982"/>
        <item sd="0" m="1" x="6315"/>
        <item sd="0" m="1" x="6948"/>
        <item sd="0" m="1" x="7431"/>
        <item sd="0" m="1" x="7761"/>
        <item sd="0" m="1" x="3701"/>
        <item sd="0" m="1" x="3305"/>
        <item sd="0" m="1" x="4264"/>
        <item sd="0" m="1" x="5225"/>
        <item sd="0" m="1" x="5269"/>
        <item sd="0" m="1" x="6113"/>
        <item sd="0" m="1" x="6787"/>
        <item sd="0" m="1" x="1522"/>
        <item sd="0" m="1" x="2236"/>
        <item sd="0" m="1" x="3094"/>
        <item sd="0" m="1" x="4032"/>
        <item sd="0" m="1" x="3151"/>
        <item sd="0" m="1" x="4095"/>
        <item sd="0" m="1" x="5057"/>
        <item sd="0" m="1" x="5917"/>
        <item sd="0" m="1" x="5097"/>
        <item sd="0" m="1" x="5946"/>
        <item sd="0" m="1" x="888"/>
        <item sd="0" m="1" x="1354"/>
        <item sd="0" m="1" x="2034"/>
        <item sd="0" m="1" x="2837"/>
        <item sd="0" m="1" x="6390"/>
        <item sd="0" m="1" x="6974"/>
        <item sd="0" m="1" x="2097"/>
        <item sd="0" m="1" x="2897"/>
        <item sd="0" m="1" x="3825"/>
        <item sd="0" m="1" x="4785"/>
        <item sd="0" m="1" x="7482"/>
        <item sd="0" m="1" x="7793"/>
        <item sd="0" m="1" x="3888"/>
        <item sd="0" m="1" x="4847"/>
        <item sd="0" m="1" x="5732"/>
        <item sd="0" m="1" x="320"/>
        <item sd="0" m="1" x="2194"/>
        <item sd="0" m="1" x="3038"/>
        <item sd="0" m="1" x="3985"/>
        <item sd="0" m="1" x="4931"/>
        <item sd="0" m="1" x="997"/>
        <item sd="0" m="1" x="4033"/>
        <item sd="0" m="1" x="4994"/>
        <item sd="0" m="1" x="5871"/>
        <item sd="0" m="1" x="6560"/>
        <item sd="0" m="1" x="2314"/>
        <item sd="0" m="1" x="2140"/>
        <item sd="0" m="1" x="2940"/>
        <item sd="0" m="1" x="3855"/>
        <item sd="0" m="1" x="4808"/>
        <item sd="0" m="1" x="7513"/>
        <item sd="0" m="1" x="7811"/>
        <item sd="0" m="1" x="3919"/>
        <item sd="0" m="1" x="4874"/>
        <item sd="0" m="1" x="5753"/>
        <item sd="0" m="1" x="6480"/>
        <item sd="0" m="1" x="147"/>
        <item sd="0" m="1" x="5811"/>
        <item sd="0" m="1" x="6528"/>
        <item sd="0" m="1" x="7089"/>
        <item sd="0" m="1" x="1307"/>
        <item sd="0" m="1" x="1933"/>
        <item sd="0" m="1" x="2714"/>
        <item sd="0" m="1" x="6920"/>
        <item sd="0" m="1" x="7394"/>
        <item sd="0" m="1" x="7739"/>
        <item sd="0" m="1" x="2783"/>
        <item sd="0" m="1" x="3665"/>
        <item sd="0" m="1" x="4629"/>
        <item sd="0" m="1" x="7779"/>
        <item sd="0" m="1" x="7967"/>
        <item sd="0" m="1" x="133"/>
        <item sd="0" m="1" x="4694"/>
        <item sd="0" m="1" x="5587"/>
        <item sd="0" m="1" x="6333"/>
        <item sd="0" m="1" x="1165"/>
        <item sd="0" m="1" x="1732"/>
        <item sd="0" m="1" x="6086"/>
        <item sd="0" m="1" x="6750"/>
        <item sd="0" m="1" x="7272"/>
        <item sd="0" m="1" x="2562"/>
        <item sd="0" m="1" x="3414"/>
        <item sd="0" m="1" x="7317"/>
        <item sd="0" m="1" x="7706"/>
        <item sd="0" m="1" x="7923"/>
        <item sd="0" m="1" x="4432"/>
        <item sd="0" m="1" x="5348"/>
        <item sd="0" m="1" x="1025"/>
        <item sd="0" m="1" x="4061"/>
        <item sd="0" m="1" x="5017"/>
        <item sd="0" m="1" x="5891"/>
        <item sd="0" m="1" x="6595"/>
        <item sd="0" m="1" x="2344"/>
        <item sd="0" m="1" x="5932"/>
        <item sd="0" m="1" x="6650"/>
        <item sd="0" m="1" x="7194"/>
        <item sd="0" m="1" x="7602"/>
        <item sd="0" m="1" x="4172"/>
        <item sd="0" m="1" x="683"/>
        <item sd="0" m="1" x="1093"/>
        <item sd="0" m="1" x="1661"/>
        <item sd="0" m="1" x="2402"/>
        <item sd="0" m="1" x="6689"/>
        <item sd="0" m="1" x="7205"/>
        <item sd="0" m="1" x="1733"/>
        <item sd="0" m="1" x="2472"/>
        <item sd="0" m="1" x="3335"/>
        <item sd="0" m="1" x="4284"/>
        <item sd="0" m="1" x="7651"/>
        <item sd="0" m="1" x="7893"/>
        <item sd="0" m="1" x="3415"/>
        <item sd="0" m="1" x="4361"/>
        <item sd="0" m="1" x="5299"/>
        <item sd="0" m="1" x="6117"/>
        <item sd="0" m="1" x="572"/>
        <item sd="0" m="1" x="971"/>
        <item sd="0" m="1" x="1484"/>
        <item sd="0" m="1" x="4958"/>
        <item sd="0" m="1" x="5822"/>
        <item sd="0" m="1" x="6534"/>
        <item sd="0" m="1" x="7092"/>
        <item sd="0" m="1" x="1555"/>
        <item sd="0" m="1" x="2269"/>
        <item sd="0" m="1" x="3111"/>
        <item sd="0" m="1" x="6596"/>
        <item sd="0" m="1" x="7142"/>
        <item sd="0" m="1" x="7559"/>
        <item sd="0" m="1" x="7847"/>
        <item sd="0" m="1" x="3179"/>
        <item sd="0" m="1" x="4128"/>
        <item sd="0" m="1" x="5074"/>
        <item sd="0" m="1" x="484"/>
        <item sd="0" m="1" x="3741"/>
        <item sd="0" m="1" x="4701"/>
        <item sd="0" m="1" x="5602"/>
        <item sd="0" m="1" x="6348"/>
        <item sd="0" m="1" x="1381"/>
        <item sd="0" m="1" x="5651"/>
        <item sd="0" m="1" x="6413"/>
        <item sd="0" m="1" x="7003"/>
        <item sd="0" m="1" x="7447"/>
        <item sd="0" m="1" x="2941"/>
        <item sd="0" m="1" x="1308"/>
        <item sd="0" m="1" x="1934"/>
        <item sd="0" m="1" x="2715"/>
        <item sd="0" m="1" x="6921"/>
        <item sd="0" m="1" x="7395"/>
        <item sd="0" m="1" x="2784"/>
        <item sd="0" m="1" x="3666"/>
        <item sd="0" m="1" x="4630"/>
        <item sd="0" m="1" x="7780"/>
        <item sd="0" m="1" x="7968"/>
        <item sd="0" m="1" x="4695"/>
        <item sd="0" m="1" x="5588"/>
        <item sd="0" m="1" x="6334"/>
        <item sd="0" m="1" x="725"/>
        <item sd="0" m="1" x="1166"/>
        <item sd="0" m="1" x="1734"/>
        <item sd="0" m="1" x="6087"/>
        <item sd="0" m="1" x="6751"/>
        <item sd="0" m="1" x="7273"/>
        <item sd="0" m="1" x="1790"/>
        <item sd="0" m="1" x="2563"/>
        <item sd="0" m="1" x="3416"/>
        <item sd="0" m="1" x="7318"/>
        <item sd="0" m="1" x="7707"/>
        <item sd="0" m="1" x="7924"/>
        <item sd="0" m="1" x="3489"/>
        <item sd="0" m="1" x="4433"/>
        <item sd="0" m="1" x="5349"/>
        <item sd="0" m="1" x="1855"/>
        <item sd="0" m="1" x="2648"/>
        <item sd="0" m="1" x="3545"/>
        <item sd="0" m="1" x="3602"/>
        <item sd="0" m="1" x="4570"/>
        <item sd="0" m="1" x="5488"/>
        <item sd="0" m="1" x="5528"/>
        <item sd="0" m="1" x="684"/>
        <item sd="0" m="1" x="1094"/>
        <item sd="0" m="1" x="1662"/>
        <item sd="0" m="1" x="2403"/>
        <item sd="0" m="1" x="6690"/>
        <item sd="0" m="1" x="1735"/>
        <item sd="0" m="1" x="2473"/>
        <item sd="0" m="1" x="3336"/>
        <item sd="0" m="1" x="4285"/>
        <item sd="0" m="1" x="7652"/>
        <item sd="0" m="1" x="3417"/>
        <item sd="0" m="1" x="4362"/>
        <item sd="0" m="1" x="5300"/>
        <item sd="0" m="1" x="333"/>
        <item sd="0" m="1" x="573"/>
        <item sd="0" m="1" x="972"/>
        <item sd="0" m="1" x="1485"/>
        <item sd="0" m="1" x="4959"/>
        <item sd="0" m="1" x="5823"/>
        <item sd="0" m="1" x="6535"/>
        <item sd="0" m="1" x="1026"/>
        <item sd="0" m="1" x="1556"/>
        <item sd="0" m="1" x="2270"/>
        <item sd="0" m="1" x="3112"/>
        <item sd="0" m="1" x="6597"/>
        <item sd="0" m="1" x="7143"/>
        <item sd="0" m="1" x="7560"/>
        <item sd="0" m="1" x="2345"/>
        <item sd="0" m="1" x="3180"/>
        <item sd="0" m="1" x="4129"/>
        <item sd="0" m="1" x="5075"/>
        <item sd="0" m="1" x="299"/>
        <item sd="0" m="1" x="485"/>
        <item sd="0" m="1" x="3742"/>
        <item sd="0" m="1" x="4702"/>
        <item sd="0" m="1" x="5603"/>
        <item sd="0" m="1" x="6349"/>
        <item sd="0" m="1" x="914"/>
        <item sd="0" m="1" x="1382"/>
        <item sd="0" m="1" x="5652"/>
        <item sd="0" m="1" x="6414"/>
        <item sd="0" m="1" x="7004"/>
        <item sd="0" m="1" x="7448"/>
        <item sd="0" m="1" x="2141"/>
        <item sd="0" m="1" x="2942"/>
        <item sd="0" m="1" x="242"/>
        <item sd="0" m="1" x="2608"/>
        <item sd="0" m="1" x="3497"/>
        <item sd="0" m="1" x="4448"/>
        <item sd="0" m="1" x="5364"/>
        <item sd="0" m="1" x="778"/>
        <item sd="0" m="1" x="4512"/>
        <item sd="0" m="1" x="5440"/>
        <item sd="0" m="1" x="6228"/>
        <item sd="0" m="1" x="1935"/>
        <item sd="0" m="1" x="93"/>
        <item sd="0" m="1" x="6658"/>
        <item sd="0" m="1" x="936"/>
        <item sd="0" m="1" x="1436"/>
        <item sd="0" m="1" x="2098"/>
        <item sd="0" m="1" x="5694"/>
        <item sd="0" m="1" x="6448"/>
        <item sd="0" m="1" x="7040"/>
        <item sd="0" m="1" x="7483"/>
        <item sd="0" m="1" x="2166"/>
        <item sd="0" m="1" x="2989"/>
        <item sd="0" m="1" x="3889"/>
        <item sd="0" m="1" x="7080"/>
        <item sd="0" m="1" x="7535"/>
        <item sd="0" m="1" x="7841"/>
        <item sd="0" m="1" x="7983"/>
        <item sd="0" m="1" x="3965"/>
        <item sd="0" m="1" x="4911"/>
        <item sd="0" m="1" x="5767"/>
        <item sd="0" m="1" x="824"/>
        <item sd="0" m="1" x="4555"/>
        <item sd="0" m="1" x="5469"/>
        <item sd="0" m="1" x="6285"/>
        <item sd="0" m="1" x="6893"/>
        <item sd="0" m="1" x="1983"/>
        <item sd="0" m="1" x="6316"/>
        <item sd="0" m="1" x="6949"/>
        <item sd="0" m="1" x="7432"/>
        <item sd="0" m="1" x="7762"/>
        <item sd="0" m="1" x="3702"/>
        <item sd="0" m="1" x="3306"/>
        <item sd="0" m="1" x="4265"/>
        <item sd="0" m="1" x="5226"/>
        <item sd="0" m="1" x="5270"/>
        <item sd="0" m="1" x="6114"/>
        <item sd="0" m="1" x="6788"/>
        <item sd="0" m="1" x="1523"/>
        <item sd="0" m="1" x="2237"/>
        <item sd="0" m="1" x="3095"/>
        <item sd="0" m="1" x="4034"/>
        <item sd="0" m="1" x="3152"/>
        <item sd="0" m="1" x="4096"/>
        <item sd="0" m="1" x="5058"/>
        <item sd="0" m="1" x="5918"/>
        <item sd="0" m="1" x="5098"/>
        <item sd="0" m="1" x="5947"/>
        <item sd="0" m="1" x="889"/>
        <item sd="0" m="1" x="1355"/>
        <item sd="0" m="1" x="2035"/>
        <item sd="0" m="1" x="2838"/>
        <item sd="0" m="1" x="6391"/>
        <item sd="0" m="1" x="6975"/>
        <item sd="0" m="1" x="2099"/>
        <item sd="0" m="1" x="2898"/>
        <item sd="0" m="1" x="3826"/>
        <item sd="0" m="1" x="4786"/>
        <item sd="0" m="1" x="7484"/>
        <item sd="0" m="1" x="7794"/>
        <item sd="0" m="1" x="3890"/>
        <item sd="0" m="1" x="4848"/>
        <item sd="0" m="1" x="321"/>
        <item sd="0" m="1" x="2195"/>
        <item sd="0" m="1" x="3039"/>
        <item sd="0" m="1" x="3986"/>
        <item sd="0" m="1" x="4932"/>
        <item sd="0" m="1" x="998"/>
        <item sd="0" m="1" x="4035"/>
        <item sd="0" m="1" x="4995"/>
        <item sd="0" m="1" x="5872"/>
        <item sd="0" m="1" x="6561"/>
        <item sd="0" m="1" x="2315"/>
        <item sd="0" m="1" x="2142"/>
        <item sd="0" m="1" x="2943"/>
        <item sd="0" m="1" x="3856"/>
        <item sd="0" m="1" x="4809"/>
        <item sd="0" m="1" x="7514"/>
        <item sd="0" m="1" x="7812"/>
        <item sd="0" m="1" x="3920"/>
        <item sd="0" m="1" x="4875"/>
        <item sd="0" m="1" x="5754"/>
        <item sd="0" m="1" x="6481"/>
        <item sd="0" m="1" x="148"/>
        <item sd="0" m="1" x="5812"/>
        <item sd="0" m="1" x="6529"/>
        <item sd="0" m="1" x="7090"/>
        <item sd="0" m="1" x="1309"/>
        <item sd="0" m="1" x="1936"/>
        <item sd="0" m="1" x="2716"/>
        <item sd="0" m="1" x="6922"/>
        <item sd="0" m="1" x="7396"/>
        <item sd="0" m="1" x="7740"/>
        <item sd="0" m="1" x="2785"/>
        <item sd="0" m="1" x="3667"/>
        <item sd="0" m="1" x="4631"/>
        <item sd="0" m="1" x="7781"/>
        <item sd="0" m="1" x="7969"/>
        <item sd="0" m="1" x="134"/>
        <item sd="0" m="1" x="4696"/>
        <item sd="0" m="1" x="5589"/>
        <item sd="0" m="1" x="6335"/>
        <item sd="0" m="1" x="1167"/>
        <item sd="0" m="1" x="1736"/>
        <item sd="0" m="1" x="6088"/>
        <item sd="0" m="1" x="6752"/>
        <item sd="0" m="1" x="7274"/>
        <item sd="0" m="1" x="2564"/>
        <item sd="0" m="1" x="3418"/>
        <item sd="0" m="1" x="7319"/>
        <item sd="0" m="1" x="7708"/>
        <item sd="0" m="1" x="7925"/>
        <item sd="0" m="1" x="4434"/>
        <item sd="0" m="1" x="5350"/>
        <item sd="0" m="1" x="1027"/>
        <item sd="0" m="1" x="4062"/>
        <item sd="0" m="1" x="5018"/>
        <item sd="0" m="1" x="5892"/>
        <item sd="0" m="1" x="6598"/>
        <item sd="0" m="1" x="2346"/>
        <item sd="0" m="1" x="5933"/>
        <item sd="0" m="1" x="6651"/>
        <item sd="0" m="1" x="7195"/>
        <item sd="0" m="1" x="7603"/>
        <item sd="0" m="1" x="4173"/>
        <item sd="0" m="1" x="685"/>
        <item sd="0" m="1" x="1095"/>
        <item sd="0" m="1" x="1663"/>
        <item sd="0" m="1" x="2404"/>
        <item sd="0" m="1" x="6691"/>
        <item sd="0" m="1" x="7206"/>
        <item sd="0" m="1" x="1737"/>
        <item sd="0" m="1" x="2474"/>
        <item sd="0" m="1" x="3337"/>
        <item sd="0" m="1" x="4286"/>
        <item sd="0" m="1" x="7653"/>
        <item sd="0" m="1" x="7894"/>
        <item sd="0" m="1" x="3419"/>
        <item sd="0" m="1" x="4363"/>
        <item sd="0" m="1" x="5301"/>
        <item sd="0" m="1" x="6118"/>
        <item sd="0" m="1" x="574"/>
        <item sd="0" m="1" x="973"/>
        <item sd="0" m="1" x="1486"/>
        <item sd="0" m="1" x="4960"/>
        <item sd="0" m="1" x="5824"/>
        <item sd="0" m="1" x="6536"/>
        <item sd="0" m="1" x="7093"/>
        <item sd="0" m="1" x="1557"/>
        <item sd="0" m="1" x="2271"/>
        <item sd="0" m="1" x="3113"/>
        <item sd="0" m="1" x="6599"/>
        <item sd="0" m="1" x="7144"/>
        <item sd="0" m="1" x="7561"/>
        <item sd="0" m="1" x="7848"/>
        <item sd="0" m="1" x="3181"/>
        <item sd="0" m="1" x="4130"/>
        <item sd="0" m="1" x="5076"/>
        <item sd="0" m="1" x="486"/>
        <item sd="0" m="1" x="3743"/>
        <item sd="0" m="1" x="4703"/>
        <item sd="0" m="1" x="5604"/>
        <item sd="0" m="1" x="6350"/>
        <item sd="0" m="1" x="1383"/>
        <item sd="0" m="1" x="5653"/>
        <item sd="0" m="1" x="6415"/>
        <item sd="0" m="1" x="7005"/>
        <item sd="0" m="1" x="7449"/>
        <item sd="0" m="1" x="2944"/>
        <item sd="0" m="1" x="2609"/>
        <item sd="0" m="1" x="3498"/>
        <item sd="0" m="1" x="4449"/>
        <item sd="0" m="1" x="5365"/>
        <item sd="0" m="1" x="4513"/>
        <item sd="0" m="1" x="5441"/>
        <item sd="0" m="1" x="6229"/>
        <item sd="0" m="1" x="2538"/>
        <item sd="0" m="1" x="3374"/>
        <item sd="0" m="1" x="4332"/>
        <item sd="0" m="1" x="7686"/>
        <item sd="0" m="1" x="7897"/>
        <item sd="0" m="1" x="4392"/>
        <item sd="0" m="1" x="5320"/>
        <item sd="0" m="1" x="6137"/>
        <item sd="0" m="1" x="119"/>
        <item sd="0" m="1" x="157"/>
        <item sd="0" m="1" x="6194"/>
        <item sd="0" m="1" x="6827"/>
        <item sd="0" m="1" x="7324"/>
        <item sd="0" m="1" x="726"/>
        <item sd="0" m="1" x="1168"/>
        <item sd="0" m="1" x="1738"/>
        <item sd="0" m="1" x="6089"/>
        <item sd="0" m="1" x="6753"/>
        <item sd="0" m="1" x="7275"/>
        <item sd="0" m="1" x="1791"/>
        <item sd="0" m="1" x="2565"/>
        <item sd="0" m="1" x="3420"/>
        <item sd="0" m="1" x="7320"/>
        <item sd="0" m="1" x="7709"/>
        <item sd="0" m="1" x="7926"/>
        <item sd="0" m="1" x="3490"/>
        <item sd="0" m="1" x="4435"/>
        <item sd="0" m="1" x="5351"/>
        <item sd="0" m="1" x="625"/>
        <item sd="0" m="1" x="1028"/>
        <item sd="0" m="1" x="4063"/>
        <item sd="0" m="1" x="5019"/>
        <item sd="0" m="1" x="5893"/>
        <item sd="0" m="1" x="6600"/>
        <item sd="0" m="1" x="1628"/>
        <item sd="0" m="1" x="2347"/>
        <item sd="0" m="1" x="5934"/>
        <item sd="0" m="1" x="6652"/>
        <item sd="0" m="1" x="7196"/>
        <item sd="0" m="1" x="7604"/>
        <item sd="0" m="1" x="3236"/>
        <item sd="0" m="1" x="4174"/>
        <item sd="0" m="1" x="2860"/>
        <item sd="0" m="1" x="3784"/>
        <item sd="0" m="1" x="4759"/>
        <item sd="0" m="1" x="5654"/>
        <item sd="0" m="1" x="4810"/>
        <item sd="0" m="1" x="5707"/>
        <item sd="0" m="1" x="6470"/>
        <item sd="0" m="1" x="7057"/>
        <item sd="0" m="1" x="1856"/>
        <item sd="0" m="1" x="2649"/>
        <item sd="0" m="1" x="3546"/>
        <item sd="0" m="1" x="3603"/>
        <item sd="0" m="1" x="4571"/>
        <item sd="0" m="1" x="5489"/>
        <item sd="0" m="1" x="5529"/>
        <item sd="0" m="1" x="686"/>
        <item sd="0" m="1" x="1096"/>
        <item sd="0" m="1" x="1664"/>
        <item sd="0" m="1" x="2405"/>
        <item sd="0" m="1" x="6692"/>
        <item sd="0" m="1" x="1739"/>
        <item sd="0" m="1" x="2475"/>
        <item sd="0" m="1" x="3338"/>
        <item sd="0" m="1" x="4287"/>
        <item sd="0" m="1" x="7654"/>
        <item sd="0" m="1" x="3421"/>
        <item sd="0" m="1" x="4364"/>
        <item sd="0" m="1" x="5302"/>
        <item sd="0" m="1" x="243"/>
        <item sd="0" m="1" x="2610"/>
        <item sd="0" m="1" x="3499"/>
        <item sd="0" m="1" x="4450"/>
        <item sd="0" m="1" x="5366"/>
        <item sd="0" m="1" x="779"/>
        <item sd="0" m="1" x="4514"/>
        <item sd="0" m="1" x="5442"/>
        <item sd="0" m="1" x="6230"/>
        <item sd="0" m="1" x="1937"/>
        <item sd="0" m="1" x="2539"/>
        <item sd="0" m="1" x="3375"/>
        <item sd="0" m="1" x="4333"/>
        <item sd="0" m="1" x="7687"/>
        <item sd="0" m="1" x="4393"/>
        <item sd="0" m="1" x="5321"/>
        <item sd="0" m="1" x="6138"/>
        <item sd="0" m="1" x="120"/>
        <item sd="0" m="1" x="6195"/>
        <item sd="0" m="1" x="6828"/>
        <item sd="0" m="1" x="1058"/>
        <item sd="0" m="1" x="1605"/>
        <item sd="0" m="1" x="2316"/>
        <item sd="0" m="1" x="3153"/>
        <item sd="0" m="1" x="7177"/>
        <item sd="0" m="1" x="7578"/>
        <item sd="0" m="1" x="2377"/>
        <item sd="0" m="1" x="3214"/>
        <item sd="0" m="1" x="4155"/>
        <item sd="0" m="1" x="5099"/>
        <item sd="0" m="1" x="7890"/>
        <item sd="0" m="1" x="94"/>
        <item sd="0" m="1" x="4223"/>
        <item sd="0" m="1" x="5160"/>
        <item sd="0" m="1" x="5991"/>
        <item sd="0" m="1" x="6659"/>
        <item sd="0" m="1" x="937"/>
        <item sd="0" m="1" x="1437"/>
        <item sd="0" m="1" x="2100"/>
        <item sd="0" m="1" x="5695"/>
        <item sd="0" m="1" x="6449"/>
        <item sd="0" m="1" x="7041"/>
        <item sd="0" m="1" x="7485"/>
        <item sd="0" m="1" x="2167"/>
        <item sd="0" m="1" x="2990"/>
        <item sd="0" m="1" x="3891"/>
        <item sd="0" m="1" x="7081"/>
        <item sd="0" m="1" x="7536"/>
        <item sd="0" m="1" x="7842"/>
        <item sd="0" m="1" x="7984"/>
        <item sd="0" m="1" x="3966"/>
        <item sd="0" m="1" x="4912"/>
        <item sd="0" m="1" x="5768"/>
        <item sd="0" m="1" x="825"/>
        <item sd="0" m="1" x="4556"/>
        <item sd="0" m="1" x="5470"/>
        <item sd="0" m="1" x="6286"/>
        <item sd="0" m="1" x="6894"/>
        <item sd="0" m="1" x="1984"/>
        <item sd="0" m="1" x="6317"/>
        <item sd="0" m="1" x="6950"/>
        <item sd="0" m="1" x="7433"/>
        <item sd="0" m="1" x="7763"/>
        <item sd="0" m="1" x="3703"/>
        <item sd="0" m="1" x="890"/>
        <item sd="0" m="1" x="1356"/>
        <item sd="0" m="1" x="2036"/>
        <item sd="0" m="1" x="2839"/>
        <item sd="0" m="1" x="6392"/>
        <item sd="0" m="1" x="6976"/>
        <item sd="0" m="1" x="2101"/>
        <item sd="0" m="1" x="2899"/>
        <item sd="0" m="1" x="3827"/>
        <item sd="0" m="1" x="4787"/>
        <item sd="0" m="1" x="7486"/>
        <item sd="0" m="1" x="7795"/>
        <item sd="0" m="1" x="3892"/>
        <item sd="0" m="1" x="4849"/>
        <item sd="0" m="1" x="5733"/>
        <item sd="0" m="1" x="432"/>
        <item sd="0" m="1" x="760"/>
        <item sd="0" m="1" x="1219"/>
        <item sd="0" m="1" x="5417"/>
        <item sd="0" m="1" x="6204"/>
        <item sd="0" m="1" x="6842"/>
        <item sd="0" m="1" x="1282"/>
        <item sd="0" m="1" x="1901"/>
        <item sd="0" m="1" x="2685"/>
        <item sd="0" m="1" x="6895"/>
        <item sd="0" m="1" x="7371"/>
        <item sd="0" m="1" x="7729"/>
        <item sd="0" m="1" x="2758"/>
        <item sd="0" m="1" x="3648"/>
        <item sd="0" m="1" x="4607"/>
        <item sd="0" m="1" x="385"/>
        <item sd="0" m="1" x="661"/>
        <item sd="0" m="1" x="4226"/>
        <item sd="0" m="1" x="5166"/>
        <item sd="0" m="1" x="6010"/>
        <item sd="0" m="1" x="1147"/>
        <item sd="0" m="1" x="1688"/>
        <item sd="0" m="1" x="6065"/>
        <item sd="0" m="1" x="6734"/>
        <item sd="0" m="1" x="7239"/>
        <item sd="0" m="1" x="2540"/>
        <item sd="0" m="1" x="3376"/>
        <item sd="0" m="1" x="322"/>
        <item sd="0" m="1" x="2196"/>
        <item sd="0" m="1" x="3040"/>
        <item sd="0" m="1" x="3987"/>
        <item sd="0" m="1" x="4933"/>
        <item sd="0" m="1" x="999"/>
        <item sd="0" m="1" x="4036"/>
        <item sd="0" m="1" x="4996"/>
        <item sd="0" m="1" x="5873"/>
        <item sd="0" m="1" x="6562"/>
        <item sd="0" m="1" x="2317"/>
        <item sd="0" m="1" x="2143"/>
        <item sd="0" m="1" x="2945"/>
        <item sd="0" m="1" x="3857"/>
        <item sd="0" m="1" x="4811"/>
        <item sd="0" m="1" x="7515"/>
        <item sd="0" m="1" x="7813"/>
        <item sd="0" m="1" x="3921"/>
        <item sd="0" m="1" x="4876"/>
        <item sd="0" m="1" x="5755"/>
        <item sd="0" m="1" x="6482"/>
        <item sd="0" m="1" x="149"/>
        <item sd="0" m="1" x="5813"/>
        <item sd="0" m="1" x="6530"/>
        <item sd="0" m="1" x="7091"/>
        <item sd="0" m="1" x="1029"/>
        <item sd="0" m="1" x="4064"/>
        <item sd="0" m="1" x="5020"/>
        <item sd="0" m="1" x="5894"/>
        <item sd="0" m="1" x="6601"/>
        <item sd="0" m="1" x="2348"/>
        <item sd="0" m="1" x="5935"/>
        <item sd="0" m="1" x="6653"/>
        <item sd="0" m="1" x="7197"/>
        <item sd="0" m="1" x="7605"/>
        <item sd="0" m="1" x="4175"/>
        <item sd="0" m="1" x="2861"/>
        <item sd="0" m="1" x="3785"/>
        <item sd="0" m="1" x="4760"/>
        <item sd="0" m="1" x="5655"/>
        <item sd="0" m="1" x="4812"/>
        <item sd="0" m="1" x="5708"/>
        <item sd="0" m="1" x="6471"/>
        <item sd="0" m="1" x="7058"/>
        <item sd="0" m="1" x="6483"/>
        <item sd="0" m="1" x="1857"/>
        <item sd="0" m="1" x="2650"/>
        <item sd="0" m="1" x="3547"/>
        <item sd="0" m="1" x="7335"/>
        <item sd="0" m="1" x="3604"/>
        <item sd="0" m="1" x="4572"/>
        <item sd="0" m="1" x="5490"/>
        <item sd="0" m="1" x="7940"/>
        <item sd="0" m="1" x="5530"/>
        <item sd="0" m="1" x="6319"/>
        <item sd="0" m="1" x="687"/>
        <item sd="0" m="1" x="1097"/>
        <item sd="0" m="1" x="1665"/>
        <item sd="0" m="1" x="2406"/>
        <item sd="0" m="1" x="6693"/>
        <item sd="0" m="1" x="7207"/>
        <item sd="0" m="1" x="1740"/>
        <item sd="0" m="1" x="2476"/>
        <item sd="0" m="1" x="3339"/>
        <item sd="0" m="1" x="4288"/>
        <item sd="0" m="1" x="7655"/>
        <item sd="0" m="1" x="7895"/>
        <item sd="0" m="1" x="3422"/>
        <item sd="0" m="1" x="4365"/>
        <item sd="0" m="1" x="5303"/>
        <item sd="0" m="1" x="6119"/>
        <item sd="0" m="1" x="575"/>
        <item sd="0" m="1" x="974"/>
        <item sd="0" m="1" x="1487"/>
        <item sd="0" m="1" x="4961"/>
        <item sd="0" m="1" x="5825"/>
        <item sd="0" m="1" x="6537"/>
        <item sd="0" m="1" x="7094"/>
        <item sd="0" m="1" x="1558"/>
        <item sd="0" m="1" x="2272"/>
        <item sd="0" m="1" x="3114"/>
        <item sd="0" m="1" x="6602"/>
        <item sd="0" m="1" x="7145"/>
        <item sd="0" m="1" x="7562"/>
        <item sd="0" m="1" x="7849"/>
        <item sd="0" m="1" x="3182"/>
        <item sd="0" m="1" x="4131"/>
        <item sd="0" m="1" x="5077"/>
        <item sd="0" m="1" x="2541"/>
        <item sd="0" m="1" x="3377"/>
        <item sd="0" m="1" x="4334"/>
        <item sd="0" m="1" x="7688"/>
        <item sd="0" m="1" x="7898"/>
        <item sd="0" m="1" x="4394"/>
        <item sd="0" m="1" x="5322"/>
        <item sd="0" m="1" x="6139"/>
        <item sd="0" m="1" x="121"/>
        <item sd="0" m="1" x="158"/>
        <item sd="0" m="1" x="6196"/>
        <item sd="0" m="1" x="6829"/>
        <item sd="0" m="1" x="7325"/>
        <item sd="0" m="1" x="1310"/>
        <item sd="0" m="1" x="1938"/>
        <item sd="0" m="1" x="2717"/>
        <item sd="0" m="1" x="6923"/>
        <item sd="0" m="1" x="7397"/>
        <item sd="0" m="1" x="2786"/>
        <item sd="0" m="1" x="3668"/>
        <item sd="0" m="1" x="4632"/>
        <item sd="0" m="1" x="7782"/>
        <item sd="0" m="1" x="7970"/>
        <item sd="0" m="1" x="4697"/>
        <item sd="0" m="1" x="5590"/>
        <item sd="0" m="1" x="6336"/>
        <item sd="0" m="1" x="727"/>
        <item sd="0" m="1" x="1169"/>
        <item sd="0" m="1" x="1741"/>
        <item sd="0" m="1" x="6090"/>
        <item sd="0" m="1" x="6754"/>
        <item sd="0" m="1" x="7276"/>
        <item sd="0" m="1" x="1792"/>
        <item sd="0" m="1" x="2566"/>
        <item sd="0" m="1" x="3423"/>
        <item sd="0" m="1" x="7321"/>
        <item sd="0" m="1" x="7710"/>
        <item sd="0" m="1" x="7927"/>
        <item sd="0" m="1" x="3491"/>
        <item sd="0" m="1" x="4436"/>
        <item sd="0" m="1" x="5352"/>
        <item sd="0" m="1" x="626"/>
        <item sd="0" m="1" x="1030"/>
        <item sd="0" m="1" x="4065"/>
        <item sd="0" m="1" x="5021"/>
        <item sd="0" m="1" x="5895"/>
        <item sd="0" m="1" x="6603"/>
        <item sd="0" m="1" x="1629"/>
        <item sd="0" m="1" x="2349"/>
        <item sd="0" m="1" x="5936"/>
        <item sd="0" m="1" x="6654"/>
        <item sd="0" m="1" x="7198"/>
        <item sd="0" m="1" x="7606"/>
        <item sd="0" m="1" x="3237"/>
        <item sd="0" m="1" x="4176"/>
        <item sd="0" m="1" x="2862"/>
        <item sd="0" m="1" x="3786"/>
        <item sd="0" m="1" x="4761"/>
        <item sd="0" m="1" x="5656"/>
        <item sd="0" m="1" x="4813"/>
        <item sd="0" m="1" x="5709"/>
        <item sd="0" m="1" x="6472"/>
        <item sd="0" m="1" x="7059"/>
        <item sd="0" m="1" x="334"/>
        <item sd="0" m="1" x="576"/>
        <item sd="0" m="1" x="975"/>
        <item sd="0" m="1" x="1488"/>
        <item sd="0" m="1" x="4962"/>
        <item sd="0" m="1" x="5826"/>
        <item sd="0" m="1" x="6538"/>
        <item sd="0" m="1" x="1031"/>
        <item sd="0" m="1" x="1559"/>
        <item sd="0" m="1" x="2273"/>
        <item sd="0" m="1" x="3115"/>
        <item sd="0" m="1" x="6604"/>
        <item sd="0" m="1" x="7146"/>
        <item sd="0" m="1" x="7563"/>
        <item sd="0" m="1" x="2350"/>
        <item sd="0" m="1" x="3183"/>
        <item sd="0" m="1" x="4132"/>
        <item sd="0" m="1" x="5078"/>
        <item sd="0" m="1" x="300"/>
        <item sd="0" m="1" x="487"/>
        <item sd="0" m="1" x="3744"/>
        <item sd="0" m="1" x="4704"/>
        <item sd="0" m="1" x="5605"/>
        <item sd="0" m="1" x="6351"/>
        <item sd="0" m="1" x="915"/>
        <item sd="0" m="1" x="1384"/>
        <item sd="0" m="1" x="5657"/>
        <item sd="0" m="1" x="6416"/>
        <item sd="0" m="1" x="7006"/>
        <item sd="0" m="1" x="7450"/>
        <item sd="0" m="1" x="2144"/>
        <item sd="0" m="1" x="2946"/>
        <item sd="0" m="1" x="244"/>
        <item sd="0" m="1" x="2611"/>
        <item sd="0" m="1" x="3500"/>
        <item sd="0" m="1" x="4451"/>
        <item sd="0" m="1" x="5367"/>
        <item sd="0" m="1" x="780"/>
        <item sd="0" m="1" x="4515"/>
        <item sd="0" m="1" x="5443"/>
        <item sd="0" m="1" x="6231"/>
        <item sd="0" m="1" x="1939"/>
        <item sd="0" m="1" x="2542"/>
        <item sd="0" m="1" x="3378"/>
        <item sd="0" m="1" x="4335"/>
        <item sd="0" m="1" x="7689"/>
        <item sd="0" m="1" x="4395"/>
        <item sd="0" m="1" x="5323"/>
        <item sd="0" m="1" x="6140"/>
        <item sd="0" m="1" x="122"/>
        <item sd="0" m="1" x="6197"/>
        <item sd="0" m="1" x="6830"/>
        <item sd="0" m="1" x="1059"/>
        <item sd="0" m="1" x="1606"/>
        <item sd="0" m="1" x="2318"/>
        <item sd="0" m="1" x="3154"/>
        <item sd="0" m="1" x="7178"/>
        <item sd="0" m="1" x="7579"/>
        <item sd="0" m="1" x="2378"/>
        <item sd="0" m="1" x="3215"/>
        <item sd="0" m="1" x="4156"/>
        <item sd="0" m="1" x="5100"/>
        <item sd="0" m="1" x="7891"/>
        <item sd="0" m="1" x="95"/>
        <item sd="0" m="1" x="4224"/>
        <item sd="0" m="1" x="5161"/>
        <item sd="0" m="1" x="5992"/>
        <item sd="0" m="1" x="6660"/>
        <item sd="0" m="1" x="3307"/>
        <item sd="0" m="1" x="4266"/>
        <item sd="0" m="1" x="5227"/>
        <item sd="0" m="1" x="5271"/>
        <item sd="0" m="1" x="6115"/>
        <item sd="0" m="1" x="6789"/>
        <item sd="0" m="1" x="1524"/>
        <item sd="0" m="1" x="2238"/>
        <item sd="0" m="1" x="3096"/>
        <item sd="0" m="1" x="4037"/>
        <item sd="0" m="1" x="3155"/>
        <item sd="0" m="1" x="4097"/>
        <item sd="0" m="1" x="5059"/>
        <item sd="0" m="1" x="5919"/>
        <item sd="0" m="1" x="5101"/>
        <item sd="0" m="1" x="5948"/>
        <item sd="0" m="1" x="891"/>
        <item sd="0" m="1" x="1357"/>
        <item sd="0" m="1" x="2037"/>
        <item sd="0" m="1" x="2840"/>
        <item sd="0" m="1" x="6393"/>
        <item sd="0" m="1" x="6977"/>
        <item sd="0" m="1" x="2102"/>
        <item sd="0" m="1" x="2900"/>
        <item sd="0" m="1" x="3828"/>
        <item sd="0" m="1" x="4788"/>
        <item sd="0" m="1" x="7487"/>
        <item sd="0" m="1" x="7796"/>
        <item sd="0" m="1" x="3893"/>
        <item sd="0" m="1" x="4850"/>
        <item sd="0" m="1" x="5734"/>
        <item sd="0" m="1" x="433"/>
        <item sd="0" m="1" x="761"/>
        <item sd="0" m="1" x="1220"/>
        <item sd="0" m="1" x="5418"/>
        <item sd="0" m="1" x="6205"/>
        <item sd="0" m="1" x="6843"/>
        <item sd="0" m="1" x="1283"/>
        <item sd="0" m="1" x="1902"/>
        <item sd="0" m="1" x="2686"/>
        <item sd="0" m="1" x="6896"/>
        <item sd="0" m="1" x="7372"/>
        <item sd="0" m="1" x="7730"/>
        <item sd="0" m="1" x="2759"/>
        <item sd="0" m="1" x="3649"/>
        <item sd="0" m="1" x="4608"/>
        <item sd="0" m="1" x="386"/>
        <item sd="0" m="1" x="662"/>
        <item sd="0" m="1" x="4227"/>
        <item sd="0" m="1" x="5167"/>
        <item sd="0" m="1" x="6011"/>
        <item sd="0" m="1" x="1148"/>
        <item sd="0" m="1" x="1689"/>
        <item sd="0" m="1" x="6066"/>
        <item sd="0" m="1" x="6735"/>
        <item sd="0" m="1" x="7240"/>
        <item sd="0" m="1" x="2543"/>
        <item sd="0" m="1" x="3379"/>
        <item sd="0" m="1" x="150"/>
        <item sd="0" m="1" x="1311"/>
        <item sd="0" m="1" x="1940"/>
        <item sd="0" m="1" x="2718"/>
        <item sd="0" m="1" x="6924"/>
        <item sd="0" m="1" x="7398"/>
        <item sd="0" m="1" x="7741"/>
        <item sd="0" m="1" x="2787"/>
        <item sd="0" m="1" x="3669"/>
        <item sd="0" m="1" x="4633"/>
        <item sd="0" m="1" x="7783"/>
        <item sd="0" m="1" x="7971"/>
        <item sd="0" m="1" x="135"/>
        <item sd="0" m="1" x="4698"/>
        <item sd="0" m="1" x="5591"/>
        <item sd="0" m="1" x="6337"/>
        <item sd="0" m="1" x="1170"/>
        <item sd="0" m="1" x="1742"/>
        <item sd="0" m="1" x="6091"/>
        <item sd="0" m="1" x="6755"/>
        <item sd="0" m="1" x="7277"/>
        <item sd="0" m="1" x="2567"/>
        <item sd="0" m="1" x="3424"/>
        <item sd="0" m="1" x="7322"/>
        <item sd="0" m="1" x="7711"/>
        <item sd="0" m="1" x="7928"/>
        <item sd="0" m="1" x="4437"/>
        <item sd="0" m="1" x="5353"/>
        <item sd="0" m="1" x="1032"/>
        <item sd="0" m="1" x="4066"/>
        <item sd="0" m="1" x="5022"/>
        <item sd="0" m="1" x="5896"/>
        <item sd="0" m="1" x="6605"/>
        <item sd="0" m="1" x="2351"/>
        <item sd="0" m="1" x="5937"/>
        <item sd="0" m="1" x="6655"/>
        <item sd="0" m="1" x="7199"/>
        <item sd="0" m="1" x="7607"/>
        <item sd="0" m="1" x="4177"/>
        <item sd="0" m="1" x="2863"/>
        <item sd="0" m="1" x="3787"/>
        <item sd="0" m="1" x="4762"/>
        <item sd="0" m="1" x="5658"/>
        <item sd="0" m="1" x="4814"/>
        <item sd="0" m="1" x="5710"/>
        <item sd="0" m="1" x="6473"/>
        <item sd="0" m="1" x="7060"/>
        <item sd="0" m="1" x="6484"/>
        <item sd="0" m="1" x="1858"/>
        <item sd="0" m="1" x="2651"/>
        <item sd="0" m="1" x="3548"/>
        <item sd="0" m="1" x="7336"/>
        <item sd="0" m="1" x="3605"/>
        <item sd="0" m="1" x="4573"/>
        <item sd="0" m="1" x="5491"/>
        <item sd="0" m="1" x="7941"/>
        <item sd="0" m="1" x="5531"/>
        <item sd="0" m="1" x="6320"/>
        <item sd="0" m="1" x="488"/>
        <item sd="0" m="1" x="3745"/>
        <item sd="0" m="1" x="4705"/>
        <item sd="0" m="1" x="5606"/>
        <item sd="0" m="1" x="6352"/>
        <item sd="0" m="1" x="1385"/>
        <item sd="0" m="1" x="5659"/>
        <item sd="0" m="1" x="6417"/>
        <item sd="0" m="1" x="7007"/>
        <item sd="0" m="1" x="7451"/>
        <item sd="0" m="1" x="2947"/>
        <item sd="0" m="1" x="2612"/>
        <item sd="0" m="1" x="3501"/>
        <item sd="0" m="1" x="4452"/>
        <item sd="0" m="1" x="5368"/>
        <item sd="0" m="1" x="4516"/>
        <item sd="0" m="1" x="5444"/>
        <item sd="0" m="1" x="6232"/>
        <item sd="0" m="1" x="387"/>
        <item sd="0" m="1" x="663"/>
        <item sd="0" m="1" x="151"/>
        <item sd="0" m="1" x="4178"/>
        <item sd="0" m="1" x="2864"/>
        <item sd="0" m="1" x="3788"/>
        <item sd="0" m="1" x="4763"/>
        <item sd="0" m="1" x="5660"/>
        <item sd="0" m="1" x="4815"/>
        <item sd="0" m="1" x="5711"/>
        <item sd="0" m="1" x="6474"/>
        <item sd="0" m="1" x="7061"/>
        <item sd="0" m="1" x="6485"/>
        <item sd="0" m="1" x="123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72"/>
        <item sd="0" m="1" x="1779"/>
        <item sd="0" m="1" x="2544"/>
        <item sd="0" m="1" x="3380"/>
        <item sd="0" m="1" x="4336"/>
        <item sd="0" m="1" x="7690"/>
        <item sd="0" m="1" x="7899"/>
        <item sd="0" m="1" x="4396"/>
        <item sd="0" m="1" x="5324"/>
        <item sd="0" m="1" x="6141"/>
        <item sd="0" m="1" x="123"/>
        <item sd="0" m="1" x="159"/>
        <item sd="0" m="1" x="6198"/>
        <item sd="0" m="1" x="6831"/>
        <item sd="0" m="1" x="7326"/>
        <item sd="0" m="1" x="1607"/>
        <item sd="0" m="1" x="96"/>
        <item sd="0" m="1" x="155"/>
        <item sd="0" m="1" x="728"/>
        <item sd="0" m="1" x="627"/>
        <item sd="0" m="1" x="688"/>
        <item sd="0" m="1" x="335"/>
        <item sd="0" m="1" x="577"/>
        <item sd="0" m="1" x="301"/>
        <item sd="0" m="1" x="489"/>
        <item sd="0" m="1" x="245"/>
        <item sd="0" m="1" x="781"/>
        <item sd="0" m="1" x="124"/>
        <item sd="0" m="1" x="826"/>
        <item sd="0" m="1" x="892"/>
        <item sd="0" m="1" x="434"/>
        <item sd="0" m="1" x="762"/>
        <item sd="0" m="1" x="152"/>
        <item sd="0" m="1" x="136"/>
        <item sd="0" m="1" x="578"/>
        <item sd="0" m="1" x="490"/>
        <item sd="0" m="1" x="125"/>
        <item sd="0" m="1" x="160"/>
        <item sd="0" m="1" x="153"/>
        <item sd="0" m="1" x="169"/>
        <item sd="0" m="1" x="835"/>
        <item sd="0" m="1" x="137"/>
        <item sd="0" m="1" x="116"/>
        <item sd="0" x="69"/>
        <item sd="0" x="70"/>
        <item sd="0" x="71"/>
        <item sd="0" m="1" x="836"/>
        <item sd="0" m="1" x="1312"/>
        <item sd="0" m="1" x="398"/>
        <item sd="0" m="1" x="73"/>
      </items>
    </pivotField>
    <pivotField showAll="0">
      <items count="11">
        <item x="0"/>
        <item x="1"/>
        <item x="2"/>
        <item x="3"/>
        <item m="1" x="9"/>
        <item m="1" x="4"/>
        <item m="1" x="5"/>
        <item m="1" x="6"/>
        <item m="1" x="7"/>
        <item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9"/>
    <field x="8"/>
  </rowFields>
  <rowItems count="73">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93"/>
    </i>
    <i>
      <x v="7994"/>
    </i>
    <i>
      <x v="7995"/>
    </i>
    <i t="grand">
      <x/>
    </i>
  </rowItems>
  <colFields count="1">
    <field x="-2"/>
  </colFields>
  <colItems count="3">
    <i>
      <x/>
    </i>
    <i i="1">
      <x v="1"/>
    </i>
    <i i="2">
      <x v="2"/>
    </i>
  </colItems>
  <dataFields count="3">
    <dataField name="Average of ACTUALBASE" fld="17" subtotal="average" baseField="8" baseItem="4000" numFmtId="164"/>
    <dataField name="Average of PREDICTEDBASE" fld="18" subtotal="average" baseField="8" baseItem="4000" numFmtId="164"/>
    <dataField name="Average of ERRORBASE" fld="19"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2"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11" fieldListSortAscending="1">
  <location ref="A2:D4" firstHeaderRow="0" firstDataRow="1" firstDataCol="1"/>
  <pivotFields count="11">
    <pivotField showAll="0">
      <items count="239">
        <item m="1" x="233"/>
        <item m="1" x="183"/>
        <item m="1" x="166"/>
        <item m="1" x="199"/>
        <item m="1" x="76"/>
        <item m="1" x="28"/>
        <item m="1" x="72"/>
        <item m="1" x="33"/>
        <item m="1" x="30"/>
        <item m="1" x="86"/>
        <item m="1" x="205"/>
        <item m="1" x="8"/>
        <item m="1" x="59"/>
        <item m="1" x="236"/>
        <item m="1" x="185"/>
        <item m="1" x="127"/>
        <item m="1" x="56"/>
        <item x="0"/>
        <item m="1" x="18"/>
        <item m="1" x="156"/>
        <item m="1" x="231"/>
        <item m="1" x="57"/>
        <item m="1" x="139"/>
        <item m="1" x="223"/>
        <item m="1" x="71"/>
        <item m="1" x="169"/>
        <item m="1" x="11"/>
        <item m="1" x="98"/>
        <item m="1" x="190"/>
        <item m="1" x="36"/>
        <item m="1" x="150"/>
        <item m="1" x="140"/>
        <item m="1" x="96"/>
        <item m="1" x="216"/>
        <item m="1" x="200"/>
        <item m="1" x="196"/>
        <item m="1" x="191"/>
        <item m="1" x="177"/>
        <item m="1" x="171"/>
        <item m="1" x="118"/>
        <item m="1" x="88"/>
        <item m="1" x="206"/>
        <item m="1" x="234"/>
        <item m="1" x="213"/>
        <item m="1" x="79"/>
        <item m="1" x="73"/>
        <item m="1" x="167"/>
        <item m="1" x="15"/>
        <item m="1" x="65"/>
        <item m="1" x="51"/>
        <item m="1" x="25"/>
        <item m="1" x="134"/>
        <item m="1" x="203"/>
        <item m="1" x="125"/>
        <item m="1" x="46"/>
        <item m="1" x="219"/>
        <item m="1" x="147"/>
        <item m="1" x="60"/>
        <item m="1" x="117"/>
        <item m="1" x="83"/>
        <item m="1" x="121"/>
        <item m="1" x="159"/>
        <item m="1" x="204"/>
        <item m="1" x="17"/>
        <item m="1" x="68"/>
        <item m="1" x="42"/>
        <item m="1" x="207"/>
        <item m="1" x="193"/>
        <item m="1" x="93"/>
        <item m="1" x="220"/>
        <item m="1" x="62"/>
        <item m="1" x="173"/>
        <item m="1" x="151"/>
        <item m="1" x="115"/>
        <item m="1" x="178"/>
        <item m="1" x="107"/>
        <item m="1" x="101"/>
        <item m="1" x="74"/>
        <item m="1" x="70"/>
        <item m="1" x="175"/>
        <item m="1" x="91"/>
        <item m="1" x="162"/>
        <item m="1" x="157"/>
        <item m="1" x="55"/>
        <item m="1" x="26"/>
        <item m="1" x="84"/>
        <item m="1" x="122"/>
        <item m="1" x="228"/>
        <item m="1" x="22"/>
        <item m="1" x="153"/>
        <item m="1" x="81"/>
        <item m="1" x="6"/>
        <item m="1" x="181"/>
        <item m="1" x="163"/>
        <item m="1" x="2"/>
        <item m="1" x="232"/>
        <item m="1" x="154"/>
        <item m="1" x="141"/>
        <item m="1" x="152"/>
        <item m="1" x="116"/>
        <item m="1" x="52"/>
        <item m="1" x="229"/>
        <item m="1" x="9"/>
        <item m="1" x="187"/>
        <item m="1" x="119"/>
        <item m="1" x="182"/>
        <item m="1" x="31"/>
        <item m="1" x="145"/>
        <item m="1" x="130"/>
        <item m="1" x="66"/>
        <item m="1" x="225"/>
        <item m="1" x="40"/>
        <item m="1" x="97"/>
        <item m="1" x="7"/>
        <item m="1" x="113"/>
        <item m="1" x="53"/>
        <item m="1" x="164"/>
        <item m="1" x="90"/>
        <item m="1" x="201"/>
        <item m="1" x="14"/>
        <item m="1" x="128"/>
        <item m="1" x="102"/>
        <item m="1" x="61"/>
        <item m="1" x="214"/>
        <item m="1" x="189"/>
        <item m="1" x="34"/>
        <item m="1" x="77"/>
        <item m="1" x="37"/>
        <item m="1" x="85"/>
        <item m="1" x="80"/>
        <item m="1" x="21"/>
        <item m="1" x="19"/>
        <item m="1" x="160"/>
        <item m="1" x="221"/>
        <item m="1" x="186"/>
        <item m="1" x="109"/>
        <item m="1" x="172"/>
        <item m="1" x="194"/>
        <item m="1" x="10"/>
        <item m="1" x="184"/>
        <item m="1" x="110"/>
        <item m="1" x="78"/>
        <item m="1" x="129"/>
        <item m="1" x="32"/>
        <item m="1" x="114"/>
        <item m="1" x="202"/>
        <item m="1" x="41"/>
        <item m="1" x="123"/>
        <item m="1" x="211"/>
        <item m="1" x="43"/>
        <item m="1" x="133"/>
        <item m="1" x="218"/>
        <item m="1" x="63"/>
        <item m="1" x="158"/>
        <item m="1" x="4"/>
        <item m="1" x="94"/>
        <item m="1" x="188"/>
        <item m="1" x="155"/>
        <item m="1" x="180"/>
        <item m="1" x="108"/>
        <item m="1" x="142"/>
        <item m="1" x="222"/>
        <item m="1" x="1"/>
        <item m="1" x="137"/>
        <item m="1" x="104"/>
        <item m="1" x="192"/>
        <item m="1" x="161"/>
        <item m="1" x="16"/>
        <item m="1" x="3"/>
        <item m="1" x="23"/>
        <item m="1" x="179"/>
        <item m="1" x="148"/>
        <item m="1" x="131"/>
        <item m="1" x="215"/>
        <item m="1" x="75"/>
        <item m="1" x="20"/>
        <item m="1" x="226"/>
        <item m="1" x="135"/>
        <item m="1" x="35"/>
        <item m="1" x="235"/>
        <item m="1" x="27"/>
        <item m="1" x="89"/>
        <item m="1" x="210"/>
        <item m="1" x="58"/>
        <item m="1" x="106"/>
        <item m="1" x="100"/>
        <item m="1" x="67"/>
        <item m="1" x="5"/>
        <item m="1" x="95"/>
        <item m="1" x="29"/>
        <item m="1" x="69"/>
        <item m="1" x="87"/>
        <item m="1" x="48"/>
        <item m="1" x="174"/>
        <item m="1" x="217"/>
        <item m="1" x="112"/>
        <item m="1" x="224"/>
        <item m="1" x="38"/>
        <item m="1" x="197"/>
        <item m="1" x="39"/>
        <item m="1" x="126"/>
        <item m="1" x="149"/>
        <item m="1" x="105"/>
        <item m="1" x="143"/>
        <item m="1" x="44"/>
        <item m="1" x="136"/>
        <item m="1" x="165"/>
        <item m="1" x="111"/>
        <item m="1" x="208"/>
        <item m="1" x="49"/>
        <item m="1" x="227"/>
        <item m="1" x="82"/>
        <item m="1" x="176"/>
        <item m="1" x="170"/>
        <item m="1" x="12"/>
        <item m="1" x="92"/>
        <item m="1" x="146"/>
        <item m="1" x="237"/>
        <item m="1" x="47"/>
        <item m="1" x="138"/>
        <item m="1" x="144"/>
        <item m="1" x="24"/>
        <item m="1" x="198"/>
        <item m="1" x="132"/>
        <item m="1" x="195"/>
        <item m="1" x="99"/>
        <item m="1" x="124"/>
        <item m="1" x="50"/>
        <item m="1" x="103"/>
        <item m="1" x="230"/>
        <item m="1" x="168"/>
        <item m="1" x="54"/>
        <item m="1" x="209"/>
        <item m="1" x="13"/>
        <item m="1" x="120"/>
        <item m="1" x="45"/>
        <item m="1" x="212"/>
        <item m="1" x="64"/>
        <item t="default"/>
      </items>
    </pivotField>
    <pivotField showAll="0" defaultSubtotal="0">
      <items count="244">
        <item m="1" x="95"/>
        <item m="1" x="198"/>
        <item m="1" x="86"/>
        <item m="1" x="169"/>
        <item m="1" x="45"/>
        <item m="1" x="23"/>
        <item m="1" x="28"/>
        <item m="1" x="199"/>
        <item m="1" x="204"/>
        <item m="1" x="17"/>
        <item m="1" x="89"/>
        <item m="1" x="99"/>
        <item m="1" x="135"/>
        <item m="1" x="193"/>
        <item m="1" x="79"/>
        <item m="1" x="59"/>
        <item m="1" x="12"/>
        <item m="1" x="146"/>
        <item m="1" x="50"/>
        <item m="1" x="77"/>
        <item m="1" x="58"/>
        <item m="1" x="13"/>
        <item m="1" x="120"/>
        <item m="1" x="143"/>
        <item m="1" x="134"/>
        <item m="1" x="105"/>
        <item m="1" x="97"/>
        <item m="1" x="127"/>
        <item m="1" x="70"/>
        <item m="1" x="111"/>
        <item m="1" x="83"/>
        <item m="1" x="157"/>
        <item m="1" x="196"/>
        <item m="1" x="71"/>
        <item m="1" x="21"/>
        <item m="1" x="147"/>
        <item m="1" x="180"/>
        <item m="1" x="22"/>
        <item m="1" x="160"/>
        <item m="1" x="60"/>
        <item m="1" x="170"/>
        <item m="1" x="29"/>
        <item m="1" x="94"/>
        <item m="1" x="113"/>
        <item m="1" x="30"/>
        <item m="1" x="24"/>
        <item m="1" x="230"/>
        <item m="1" x="231"/>
        <item m="1" x="192"/>
        <item m="1" x="177"/>
        <item m="1" x="200"/>
        <item m="1" x="208"/>
        <item m="1" x="82"/>
        <item m="1" x="241"/>
        <item m="1" x="66"/>
        <item m="1" x="109"/>
        <item m="1" x="171"/>
        <item m="1" x="18"/>
        <item m="1" x="179"/>
        <item m="1" x="150"/>
        <item m="1" x="235"/>
        <item m="1" x="117"/>
        <item m="1" x="158"/>
        <item m="1" x="121"/>
        <item m="1" x="213"/>
        <item m="1" x="34"/>
        <item m="1" x="137"/>
        <item m="1" x="123"/>
        <item m="1" x="96"/>
        <item m="1" x="151"/>
        <item m="1" x="103"/>
        <item m="1" x="125"/>
        <item m="1" x="11"/>
        <item m="1" x="115"/>
        <item m="1" x="100"/>
        <item m="1" x="214"/>
        <item m="1" x="49"/>
        <item m="1" x="55"/>
        <item m="1" x="212"/>
        <item m="1" x="80"/>
        <item m="1" x="73"/>
        <item m="1" x="4"/>
        <item m="1" x="56"/>
        <item m="1" x="9"/>
        <item m="1" x="239"/>
        <item m="1" x="219"/>
        <item m="1" x="128"/>
        <item m="1" x="43"/>
        <item m="1" x="184"/>
        <item m="1" x="19"/>
        <item m="1" x="15"/>
        <item m="1" x="144"/>
        <item m="1" x="33"/>
        <item m="1" x="174"/>
        <item m="1" x="237"/>
        <item m="1" x="167"/>
        <item m="1" x="206"/>
        <item m="1" x="218"/>
        <item m="1" x="67"/>
        <item m="1" x="176"/>
        <item m="1" x="222"/>
        <item m="1" x="136"/>
        <item m="1" x="87"/>
        <item m="1" x="14"/>
        <item m="1" x="155"/>
        <item m="1" x="153"/>
        <item m="1" x="57"/>
        <item m="1" x="242"/>
        <item m="1" x="216"/>
        <item m="1" x="226"/>
        <item m="1" x="104"/>
        <item m="1" x="40"/>
        <item m="1" x="74"/>
        <item m="1" x="152"/>
        <item m="1" x="220"/>
        <item m="1" x="8"/>
        <item m="1" x="53"/>
        <item m="1" x="227"/>
        <item m="1" x="25"/>
        <item m="1" x="203"/>
        <item m="1" x="138"/>
        <item m="1" x="148"/>
        <item m="1" x="240"/>
        <item m="1" x="124"/>
        <item m="1" x="229"/>
        <item m="1" x="149"/>
        <item m="1" x="76"/>
        <item m="1" x="7"/>
        <item m="1" x="236"/>
        <item m="1" x="139"/>
        <item m="1" x="215"/>
        <item m="1" x="91"/>
        <item m="1" x="106"/>
        <item m="1" x="84"/>
        <item m="1" x="36"/>
        <item m="1" x="31"/>
        <item m="1" x="232"/>
        <item m="1" x="101"/>
        <item m="1" x="133"/>
        <item m="1" x="41"/>
        <item m="1" x="159"/>
        <item m="1" x="201"/>
        <item m="1" x="185"/>
        <item m="1" x="92"/>
        <item m="1" x="194"/>
        <item m="1" x="234"/>
        <item m="1" x="165"/>
        <item x="0"/>
        <item m="1" x="75"/>
        <item m="1" x="225"/>
        <item m="1" x="112"/>
        <item m="1" x="210"/>
        <item m="1" x="90"/>
        <item m="1" x="48"/>
        <item m="1" x="205"/>
        <item m="1" x="10"/>
        <item m="1" x="233"/>
        <item m="1" x="238"/>
        <item m="1" x="37"/>
        <item m="1" x="26"/>
        <item m="1" x="32"/>
        <item m="1" x="129"/>
        <item m="1" x="35"/>
        <item m="1" x="119"/>
        <item m="1" x="162"/>
        <item m="1" x="156"/>
        <item m="1" x="195"/>
        <item m="1" x="61"/>
        <item m="1" x="126"/>
        <item m="1" x="16"/>
        <item m="1" x="2"/>
        <item m="1" x="27"/>
        <item m="1" x="51"/>
        <item m="1" x="223"/>
        <item m="1" x="47"/>
        <item m="1" x="163"/>
        <item m="1" x="164"/>
        <item m="1" x="107"/>
        <item m="1" x="183"/>
        <item m="1" x="116"/>
        <item m="1" x="178"/>
        <item m="1" x="3"/>
        <item m="1" x="140"/>
        <item m="1" x="132"/>
        <item m="1" x="186"/>
        <item m="1" x="173"/>
        <item m="1" x="85"/>
        <item m="1" x="182"/>
        <item m="1" x="42"/>
        <item m="1" x="228"/>
        <item m="1" x="52"/>
        <item m="1" x="108"/>
        <item m="1" x="188"/>
        <item m="1" x="78"/>
        <item m="1" x="168"/>
        <item m="1" x="69"/>
        <item m="1" x="190"/>
        <item m="1" x="197"/>
        <item m="1" x="46"/>
        <item m="1" x="62"/>
        <item m="1" x="20"/>
        <item m="1" x="93"/>
        <item m="1" x="64"/>
        <item m="1" x="114"/>
        <item m="1" x="217"/>
        <item m="1" x="72"/>
        <item m="1" x="191"/>
        <item m="1" x="187"/>
        <item m="1" x="65"/>
        <item m="1" x="44"/>
        <item m="1" x="154"/>
        <item m="1" x="6"/>
        <item m="1" x="131"/>
        <item m="1" x="224"/>
        <item m="1" x="221"/>
        <item m="1" x="189"/>
        <item m="1" x="145"/>
        <item m="1" x="207"/>
        <item m="1" x="243"/>
        <item m="1" x="5"/>
        <item m="1" x="39"/>
        <item m="1" x="1"/>
        <item m="1" x="211"/>
        <item m="1" x="63"/>
        <item m="1" x="38"/>
        <item m="1" x="166"/>
        <item m="1" x="141"/>
        <item m="1" x="175"/>
        <item m="1" x="81"/>
        <item m="1" x="54"/>
        <item m="1" x="142"/>
        <item m="1" x="181"/>
        <item m="1" x="88"/>
        <item m="1" x="202"/>
        <item m="1" x="161"/>
        <item m="1" x="98"/>
        <item m="1" x="172"/>
        <item m="1" x="102"/>
        <item m="1" x="130"/>
        <item m="1" x="110"/>
        <item m="1" x="68"/>
        <item m="1" x="118"/>
        <item m="1" x="122"/>
        <item m="1" x="209"/>
      </items>
    </pivotField>
    <pivotField showAll="0"/>
    <pivotField showAll="0" defaultSubtotal="0">
      <items count="48">
        <item m="1" x="12"/>
        <item m="1" x="36"/>
        <item m="1" x="15"/>
        <item m="1" x="37"/>
        <item m="1" x="33"/>
        <item m="1" x="38"/>
        <item m="1" x="16"/>
        <item m="1" x="35"/>
        <item m="1" x="3"/>
        <item m="1" x="42"/>
        <item m="1" x="32"/>
        <item m="1" x="13"/>
        <item m="1" x="2"/>
        <item m="1" x="10"/>
        <item m="1" x="34"/>
        <item m="1" x="43"/>
        <item m="1" x="8"/>
        <item m="1" x="44"/>
        <item m="1" x="17"/>
        <item m="1" x="40"/>
        <item m="1" x="22"/>
        <item m="1" x="24"/>
        <item m="1" x="6"/>
        <item m="1" x="41"/>
        <item m="1" x="27"/>
        <item m="1" x="28"/>
        <item m="1" x="46"/>
        <item m="1" x="31"/>
        <item m="1" x="26"/>
        <item m="1" x="7"/>
        <item m="1" x="14"/>
        <item m="1" x="23"/>
        <item m="1" x="19"/>
        <item m="1" x="29"/>
        <item m="1" x="1"/>
        <item m="1" x="39"/>
        <item m="1" x="25"/>
        <item m="1" x="20"/>
        <item m="1" x="47"/>
        <item m="1" x="30"/>
        <item m="1" x="11"/>
        <item m="1" x="45"/>
        <item m="1" x="18"/>
        <item m="1" x="4"/>
        <item m="1" x="21"/>
        <item m="1" x="9"/>
        <item x="0"/>
        <item m="1" x="5"/>
      </items>
    </pivotField>
    <pivotField axis="axisRow" numFmtId="22" showAll="0" sortType="ascending" defaultSubtotal="0">
      <items count="1866">
        <item m="1" x="747"/>
        <item m="1" x="1051"/>
        <item m="1" x="1053"/>
        <item m="1" x="1055"/>
        <item m="1" x="1056"/>
        <item m="1" x="1058"/>
        <item m="1" x="1059"/>
        <item m="1" x="1061"/>
        <item m="1" x="1063"/>
        <item m="1" x="1065"/>
        <item m="1" x="1067"/>
        <item m="1" x="1070"/>
        <item m="1" x="1072"/>
        <item m="1" x="1074"/>
        <item m="1" x="1076"/>
        <item m="1" x="1078"/>
        <item m="1" x="1080"/>
        <item m="1" x="1082"/>
        <item m="1" x="1084"/>
        <item m="1" x="1086"/>
        <item m="1" x="130"/>
        <item m="1" x="132"/>
        <item m="1" x="134"/>
        <item m="1" x="137"/>
        <item m="1" x="138"/>
        <item m="1" x="141"/>
        <item m="1" x="143"/>
        <item m="1" x="145"/>
        <item m="1" x="147"/>
        <item m="1" x="149"/>
        <item m="1" x="152"/>
        <item m="1" x="154"/>
        <item m="1" x="156"/>
        <item m="1" x="158"/>
        <item m="1" x="160"/>
        <item m="1" x="161"/>
        <item m="1" x="165"/>
        <item m="1" x="1090"/>
        <item m="1" x="1091"/>
        <item m="1" x="1093"/>
        <item m="1" x="1096"/>
        <item m="1" x="1101"/>
        <item m="1" x="1105"/>
        <item m="1" x="1108"/>
        <item m="1" x="1112"/>
        <item m="1" x="1116"/>
        <item m="1" x="1120"/>
        <item m="1" x="1123"/>
        <item m="1" x="1127"/>
        <item m="1" x="1131"/>
        <item m="1" x="1135"/>
        <item m="1" x="1139"/>
        <item m="1" x="1143"/>
        <item m="1" x="1147"/>
        <item m="1" x="1154"/>
        <item m="1" x="1157"/>
        <item m="1" x="1160"/>
        <item m="1" x="167"/>
        <item m="1" x="169"/>
        <item m="1" x="170"/>
        <item m="1" x="173"/>
        <item m="1" x="175"/>
        <item m="1" x="177"/>
        <item m="1" x="180"/>
        <item m="1" x="183"/>
        <item m="1" x="186"/>
        <item m="1" x="190"/>
        <item m="1" x="195"/>
        <item m="1" x="198"/>
        <item m="1" x="202"/>
        <item m="1" x="205"/>
        <item m="1" x="208"/>
        <item m="1" x="210"/>
        <item m="1" x="214"/>
        <item m="1" x="218"/>
        <item m="1" x="222"/>
        <item m="1" x="227"/>
        <item m="1" x="1168"/>
        <item m="1" x="1169"/>
        <item m="1" x="1170"/>
        <item m="1" x="1173"/>
        <item m="1" x="1174"/>
        <item m="1" x="1177"/>
        <item m="1" x="1178"/>
        <item m="1" x="1180"/>
        <item m="1" x="1181"/>
        <item m="1" x="1182"/>
        <item m="1" x="1184"/>
        <item m="1" x="1186"/>
        <item m="1" x="1188"/>
        <item m="1" x="1190"/>
        <item m="1" x="1192"/>
        <item m="1" x="1193"/>
        <item m="1" x="246"/>
        <item m="1" x="252"/>
        <item m="1" x="256"/>
        <item m="1" x="259"/>
        <item m="1" x="262"/>
        <item m="1" x="264"/>
        <item m="1" x="266"/>
        <item m="1" x="268"/>
        <item m="1" x="270"/>
        <item m="1" x="272"/>
        <item m="1" x="274"/>
        <item m="1" x="278"/>
        <item m="1" x="1221"/>
        <item m="1" x="1225"/>
        <item m="1" x="1233"/>
        <item m="1" x="1240"/>
        <item m="1" x="1245"/>
        <item m="1" x="1252"/>
        <item m="1" x="1255"/>
        <item m="1" x="1259"/>
        <item m="1" x="1262"/>
        <item m="1" x="1511"/>
        <item m="1" x="576"/>
        <item m="1" x="578"/>
        <item m="1" x="580"/>
        <item m="1" x="582"/>
        <item m="1" x="585"/>
        <item m="1" x="588"/>
        <item m="1" x="591"/>
        <item m="1" x="593"/>
        <item m="1" x="595"/>
        <item m="1" x="598"/>
        <item m="1" x="601"/>
        <item m="1" x="604"/>
        <item m="1" x="608"/>
        <item m="1" x="612"/>
        <item m="1" x="616"/>
        <item m="1" x="620"/>
        <item m="1" x="623"/>
        <item m="1" x="627"/>
        <item m="1" x="631"/>
        <item m="1" x="635"/>
        <item m="1" x="639"/>
        <item m="1" x="643"/>
        <item m="1" x="647"/>
        <item m="1" x="651"/>
        <item m="1" x="1590"/>
        <item m="1" x="1592"/>
        <item m="1" x="1595"/>
        <item m="1" x="1597"/>
        <item m="1" x="1600"/>
        <item m="1" x="1602"/>
        <item m="1" x="1604"/>
        <item m="1" x="1606"/>
        <item m="1" x="1608"/>
        <item m="1" x="1611"/>
        <item m="1" x="1614"/>
        <item m="1" x="1617"/>
        <item m="1" x="1621"/>
        <item m="1" x="1625"/>
        <item m="1" x="1629"/>
        <item m="1" x="1633"/>
        <item m="1" x="1637"/>
        <item m="1" x="1641"/>
        <item m="1" x="1644"/>
        <item m="1" x="1648"/>
        <item m="1" x="1652"/>
        <item m="1" x="1656"/>
        <item m="1" x="1660"/>
        <item m="1" x="1665"/>
        <item m="1" x="669"/>
        <item m="1" x="673"/>
        <item m="1" x="676"/>
        <item m="1" x="679"/>
        <item m="1" x="682"/>
        <item m="1" x="684"/>
        <item m="1" x="686"/>
        <item m="1" x="689"/>
        <item m="1" x="692"/>
        <item m="1" x="696"/>
        <item m="1" x="699"/>
        <item m="1" x="703"/>
        <item m="1" x="707"/>
        <item m="1" x="711"/>
        <item m="1" x="716"/>
        <item m="1" x="721"/>
        <item m="1" x="724"/>
        <item m="1" x="729"/>
        <item m="1" x="733"/>
        <item m="1" x="738"/>
        <item m="1" x="742"/>
        <item m="1" x="748"/>
        <item m="1" x="752"/>
        <item m="1" x="756"/>
        <item m="1" x="1684"/>
        <item m="1" x="1686"/>
        <item m="1" x="1689"/>
        <item m="1" x="1691"/>
        <item m="1" x="1694"/>
        <item m="1" x="1696"/>
        <item m="1" x="1698"/>
        <item m="1" x="1700"/>
        <item m="1" x="1703"/>
        <item m="1" x="1706"/>
        <item m="1" x="1708"/>
        <item m="1" x="1710"/>
        <item m="1" x="1713"/>
        <item m="1" x="1715"/>
        <item m="1" x="1719"/>
        <item m="1" x="1722"/>
        <item m="1" x="1725"/>
        <item m="1" x="1728"/>
        <item m="1" x="1731"/>
        <item m="1" x="1733"/>
        <item m="1" x="1736"/>
        <item m="1" x="1739"/>
        <item m="1" x="1743"/>
        <item m="1" x="775"/>
        <item m="1" x="777"/>
        <item m="1" x="778"/>
        <item m="1" x="779"/>
        <item m="1" x="781"/>
        <item m="1" x="782"/>
        <item m="1" x="787"/>
        <item m="1" x="790"/>
        <item m="1" x="791"/>
        <item m="1" x="793"/>
        <item m="1" x="795"/>
        <item m="1" x="796"/>
        <item m="1" x="798"/>
        <item m="1" x="800"/>
        <item m="1" x="804"/>
        <item m="1" x="1787"/>
        <item m="1" x="1788"/>
        <item m="1" x="1790"/>
        <item m="1" x="1792"/>
        <item m="1" x="1802"/>
        <item m="1" x="1804"/>
        <item m="1" x="1806"/>
        <item m="1" x="1808"/>
        <item m="1" x="1811"/>
        <item m="1" x="1813"/>
        <item m="1" x="1816"/>
        <item m="1" x="1097"/>
        <item m="1" x="1099"/>
        <item m="1" x="1102"/>
        <item m="1" x="1109"/>
        <item m="1" x="1113"/>
        <item m="1" x="1117"/>
        <item m="1" x="1124"/>
        <item m="1" x="1128"/>
        <item m="1" x="1132"/>
        <item m="1" x="1136"/>
        <item m="1" x="1140"/>
        <item m="1" x="1144"/>
        <item m="1" x="1148"/>
        <item m="1" x="1151"/>
        <item m="1" x="1161"/>
        <item m="1" x="184"/>
        <item m="1" x="187"/>
        <item m="1" x="192"/>
        <item m="1" x="199"/>
        <item m="1" x="203"/>
        <item m="1" x="211"/>
        <item m="1" x="215"/>
        <item m="1" x="219"/>
        <item m="1" x="228"/>
        <item m="1" x="232"/>
        <item m="1" x="1172"/>
        <item m="1" x="1175"/>
        <item m="1" x="1176"/>
        <item m="1" x="1179"/>
        <item m="1" x="1183"/>
        <item m="1" x="1185"/>
        <item m="1" x="1187"/>
        <item m="1" x="1189"/>
        <item m="1" x="1191"/>
        <item m="1" x="1194"/>
        <item m="1" x="236"/>
        <item m="1" x="237"/>
        <item m="1" x="238"/>
        <item m="1" x="239"/>
        <item m="1" x="240"/>
        <item m="1" x="241"/>
        <item m="1" x="242"/>
        <item m="1" x="243"/>
        <item m="1" x="244"/>
        <item m="1" x="1222"/>
        <item m="1" x="1226"/>
        <item m="1" x="1228"/>
        <item m="1" x="1230"/>
        <item m="1" x="1235"/>
        <item m="1" x="1242"/>
        <item m="1" x="1246"/>
        <item m="1" x="1249"/>
        <item m="1" x="1253"/>
        <item m="1" x="1256"/>
        <item m="1" x="1260"/>
        <item m="1" x="1263"/>
        <item m="1" x="290"/>
        <item m="1" x="295"/>
        <item m="1" x="304"/>
        <item m="1" x="309"/>
        <item m="1" x="313"/>
        <item m="1" x="315"/>
        <item m="1" x="317"/>
        <item m="1" x="319"/>
        <item m="1" x="322"/>
        <item m="1" x="324"/>
        <item m="1" x="1280"/>
        <item m="1" x="1282"/>
        <item m="1" x="1285"/>
        <item m="1" x="1291"/>
        <item m="1" x="1296"/>
        <item m="1" x="1298"/>
        <item m="1" x="1300"/>
        <item m="1" x="1302"/>
        <item m="1" x="1305"/>
        <item m="1" x="1308"/>
        <item m="1" x="1310"/>
        <item m="1" x="1312"/>
        <item m="1" x="1314"/>
        <item m="1" x="1316"/>
        <item m="1" x="1318"/>
        <item m="1" x="1320"/>
        <item m="1" x="333"/>
        <item m="1" x="334"/>
        <item m="1" x="335"/>
        <item m="1" x="336"/>
        <item m="1" x="337"/>
        <item m="1" x="338"/>
        <item m="1" x="339"/>
        <item m="1" x="340"/>
        <item m="1" x="341"/>
        <item m="1" x="342"/>
        <item m="1" x="343"/>
        <item m="1" x="344"/>
        <item m="1" x="1324"/>
        <item m="1" x="1325"/>
        <item m="1" x="1326"/>
        <item m="1" x="1327"/>
        <item m="1" x="1328"/>
        <item m="1" x="1330"/>
        <item m="1" x="1332"/>
        <item m="1" x="1334"/>
        <item m="1" x="1336"/>
        <item m="1" x="1338"/>
        <item m="1" x="1340"/>
        <item m="1" x="1342"/>
        <item m="1" x="1344"/>
        <item m="1" x="394"/>
        <item m="1" x="397"/>
        <item m="1" x="400"/>
        <item m="1" x="407"/>
        <item m="1" x="410"/>
        <item m="1" x="413"/>
        <item m="1" x="416"/>
        <item m="1" x="419"/>
        <item m="1" x="424"/>
        <item m="1" x="435"/>
        <item m="1" x="438"/>
        <item m="1" x="441"/>
        <item m="1" x="1405"/>
        <item m="1" x="1410"/>
        <item m="1" x="1416"/>
        <item m="1" x="1420"/>
        <item m="1" x="1423"/>
        <item m="1" x="1427"/>
        <item m="1" x="1431"/>
        <item m="1" x="1435"/>
        <item m="1" x="1439"/>
        <item m="1" x="1444"/>
        <item m="1" x="1451"/>
        <item m="1" x="1457"/>
        <item m="1" x="454"/>
        <item m="1" x="456"/>
        <item m="1" x="468"/>
        <item m="1" x="470"/>
        <item m="1" x="472"/>
        <item m="1" x="474"/>
        <item m="1" x="477"/>
        <item m="1" x="479"/>
        <item m="1" x="482"/>
        <item m="1" x="491"/>
        <item m="1" x="494"/>
        <item m="1" x="499"/>
        <item m="1" x="504"/>
        <item m="1" x="509"/>
        <item m="1" x="1478"/>
        <item m="1" x="1480"/>
        <item m="1" x="1481"/>
        <item m="1" x="1483"/>
        <item m="1" x="1484"/>
        <item m="1" x="1488"/>
        <item m="1" x="1491"/>
        <item m="1" x="1492"/>
        <item m="1" x="1495"/>
        <item m="1" x="1497"/>
        <item m="1" x="1499"/>
        <item m="1" x="1503"/>
        <item m="1" x="1505"/>
        <item m="1" x="1506"/>
        <item m="1" x="1512"/>
        <item m="1" x="1515"/>
        <item m="1" x="515"/>
        <item m="1" x="516"/>
        <item m="1" x="517"/>
        <item m="1" x="524"/>
        <item m="1" x="530"/>
        <item m="1" x="533"/>
        <item m="1" x="536"/>
        <item m="1" x="539"/>
        <item m="1" x="542"/>
        <item m="1" x="545"/>
        <item m="1" x="548"/>
        <item m="1" x="551"/>
        <item m="1" x="554"/>
        <item m="1" x="557"/>
        <item m="1" x="564"/>
        <item m="1" x="1288"/>
        <item m="1" x="1292"/>
        <item m="1" x="1303"/>
        <item m="1" x="1306"/>
        <item m="1" x="1329"/>
        <item m="1" x="1331"/>
        <item m="1" x="1333"/>
        <item m="1" x="1335"/>
        <item m="1" x="1337"/>
        <item m="1" x="1339"/>
        <item m="1" x="1341"/>
        <item m="1" x="1343"/>
        <item m="1" x="1345"/>
        <item m="1" x="1346"/>
        <item m="1" x="1347"/>
        <item m="1" x="1348"/>
        <item m="1" x="1349"/>
        <item m="1" x="351"/>
        <item m="1" x="355"/>
        <item m="1" x="358"/>
        <item m="1" x="360"/>
        <item m="1" x="362"/>
        <item m="1" x="364"/>
        <item m="1" x="366"/>
        <item m="1" x="368"/>
        <item m="1" x="370"/>
        <item m="1" x="372"/>
        <item m="1" x="374"/>
        <item m="1" x="376"/>
        <item m="1" x="378"/>
        <item m="1" x="380"/>
        <item m="1" x="382"/>
        <item m="1" x="384"/>
        <item m="1" x="386"/>
        <item m="1" x="388"/>
        <item m="1" x="390"/>
        <item m="1" x="391"/>
        <item m="1" x="1355"/>
        <item m="1" x="1407"/>
        <item m="1" x="1413"/>
        <item m="1" x="1417"/>
        <item m="1" x="1424"/>
        <item m="1" x="1428"/>
        <item m="1" x="1432"/>
        <item m="1" x="1436"/>
        <item m="1" x="1440"/>
        <item m="1" x="1445"/>
        <item m="1" x="1454"/>
        <item m="1" x="1458"/>
        <item m="1" x="1461"/>
        <item m="1" x="1466"/>
        <item m="1" x="1470"/>
        <item m="1" x="465"/>
        <item m="1" x="475"/>
        <item m="1" x="480"/>
        <item m="1" x="485"/>
        <item m="1" x="488"/>
        <item m="1" x="495"/>
        <item m="1" x="500"/>
        <item m="1" x="505"/>
        <item m="1" x="510"/>
        <item m="1" x="512"/>
        <item m="1" x="514"/>
        <item m="1" x="1482"/>
        <item m="1" x="1485"/>
        <item m="1" x="1493"/>
        <item m="1" x="1496"/>
        <item m="1" x="1500"/>
        <item m="1" x="1504"/>
        <item m="1" x="1507"/>
        <item m="1" x="1509"/>
        <item m="1" x="1513"/>
        <item m="1" x="1516"/>
        <item m="1" x="1517"/>
        <item m="1" x="1519"/>
        <item m="1" x="1521"/>
        <item m="1" x="518"/>
        <item m="1" x="519"/>
        <item m="1" x="520"/>
        <item m="1" x="521"/>
        <item m="1" x="522"/>
        <item m="1" x="525"/>
        <item m="1" x="528"/>
        <item m="1" x="531"/>
        <item m="1" x="534"/>
        <item m="1" x="537"/>
        <item m="1" x="540"/>
        <item m="1" x="543"/>
        <item m="1" x="546"/>
        <item m="1" x="549"/>
        <item m="1" x="552"/>
        <item m="1" x="555"/>
        <item m="1" x="558"/>
        <item m="1" x="560"/>
        <item m="1" x="562"/>
        <item m="1" x="565"/>
        <item m="1" x="567"/>
        <item m="1" x="569"/>
        <item m="1" x="571"/>
        <item m="1" x="1531"/>
        <item m="1" x="1535"/>
        <item m="1" x="1539"/>
        <item m="1" x="1546"/>
        <item m="1" x="1553"/>
        <item m="1" x="1558"/>
        <item m="1" x="1561"/>
        <item m="1" x="1564"/>
        <item m="1" x="1567"/>
        <item m="1" x="1570"/>
        <item m="1" x="1573"/>
        <item m="1" x="1576"/>
        <item m="1" x="1581"/>
        <item m="1" x="1583"/>
        <item m="1" x="1585"/>
        <item m="1" x="586"/>
        <item m="1" x="589"/>
        <item m="1" x="687"/>
        <item m="1" x="690"/>
        <item m="1" x="693"/>
        <item m="1" x="712"/>
        <item m="1" x="717"/>
        <item m="1" x="725"/>
        <item m="1" x="734"/>
        <item m="1" x="743"/>
        <item m="1" x="753"/>
        <item m="1" x="760"/>
        <item m="1" x="763"/>
        <item m="1" x="767"/>
        <item m="1" x="1701"/>
        <item m="1" x="1716"/>
        <item m="1" x="1720"/>
        <item m="1" x="1723"/>
        <item m="1" x="1726"/>
        <item m="1" x="1729"/>
        <item m="1" x="1737"/>
        <item m="1" x="1740"/>
        <item m="1" x="1745"/>
        <item m="1" x="1749"/>
        <item m="1" x="1752"/>
        <item m="1" x="1754"/>
        <item m="1" x="780"/>
        <item m="1" x="783"/>
        <item m="1" x="788"/>
        <item m="1" x="792"/>
        <item m="1" x="794"/>
        <item m="1" x="797"/>
        <item m="1" x="801"/>
        <item m="1" x="802"/>
        <item m="1" x="809"/>
        <item m="1" x="811"/>
        <item m="1" x="1761"/>
        <item m="1" x="1359"/>
        <item m="1" x="1361"/>
        <item m="1" x="1363"/>
        <item m="1" x="1365"/>
        <item m="1" x="1367"/>
        <item m="1" x="1369"/>
        <item m="1" x="1371"/>
        <item m="1" x="1373"/>
        <item m="1" x="1375"/>
        <item m="1" x="1377"/>
        <item m="1" x="1379"/>
        <item m="1" x="1381"/>
        <item m="1" x="1383"/>
        <item m="1" x="1385"/>
        <item m="1" x="1387"/>
        <item m="1" x="1389"/>
        <item m="1" x="1391"/>
        <item m="1" x="1393"/>
        <item m="1" x="1394"/>
        <item m="1" x="1395"/>
        <item m="1" x="1396"/>
        <item m="1" x="1397"/>
        <item m="1" x="1398"/>
        <item m="1" x="1399"/>
        <item m="1" x="403"/>
        <item m="1" x="405"/>
        <item m="1" x="408"/>
        <item m="1" x="411"/>
        <item m="1" x="414"/>
        <item m="1" x="417"/>
        <item m="1" x="420"/>
        <item m="1" x="422"/>
        <item m="1" x="425"/>
        <item m="1" x="427"/>
        <item m="1" x="429"/>
        <item m="1" x="431"/>
        <item m="1" x="433"/>
        <item m="1" x="436"/>
        <item m="1" x="439"/>
        <item m="1" x="442"/>
        <item m="1" x="444"/>
        <item m="1" x="446"/>
        <item m="1" x="447"/>
        <item m="1" x="448"/>
        <item m="1" x="449"/>
        <item m="1" x="450"/>
        <item m="1" x="451"/>
        <item m="1" x="452"/>
        <item m="1" x="1411"/>
        <item m="1" x="1414"/>
        <item m="1" x="1418"/>
        <item m="1" x="1421"/>
        <item m="1" x="1425"/>
        <item m="1" x="1429"/>
        <item m="1" x="1433"/>
        <item m="1" x="1437"/>
        <item m="1" x="1441"/>
        <item m="1" x="1446"/>
        <item m="1" x="1449"/>
        <item m="1" x="1452"/>
        <item m="1" x="1455"/>
        <item m="1" x="1459"/>
        <item m="1" x="1462"/>
        <item m="1" x="1464"/>
        <item m="1" x="1467"/>
        <item m="1" x="1469"/>
        <item m="1" x="1471"/>
        <item m="1" x="1472"/>
        <item m="1" x="1473"/>
        <item m="1" x="1474"/>
        <item m="1" x="1475"/>
        <item m="1" x="1476"/>
        <item m="1" x="523"/>
        <item m="1" x="526"/>
        <item m="1" x="529"/>
        <item m="1" x="532"/>
        <item m="1" x="535"/>
        <item m="1" x="538"/>
        <item m="1" x="541"/>
        <item m="1" x="544"/>
        <item m="1" x="547"/>
        <item m="1" x="550"/>
        <item m="1" x="553"/>
        <item m="1" x="556"/>
        <item m="1" x="559"/>
        <item m="1" x="561"/>
        <item m="1" x="563"/>
        <item m="1" x="566"/>
        <item m="1" x="568"/>
        <item m="1" x="570"/>
        <item m="1" x="572"/>
        <item m="1" x="573"/>
        <item m="1" x="574"/>
        <item m="1" x="575"/>
        <item m="1" x="577"/>
        <item m="1" x="1537"/>
        <item m="1" x="1540"/>
        <item m="1" x="1542"/>
        <item m="1" x="1544"/>
        <item m="1" x="1547"/>
        <item m="1" x="1549"/>
        <item m="1" x="1551"/>
        <item m="1" x="1554"/>
        <item m="1" x="1556"/>
        <item m="1" x="1559"/>
        <item m="1" x="1562"/>
        <item m="1" x="1565"/>
        <item m="1" x="1568"/>
        <item m="1" x="1571"/>
        <item m="1" x="1574"/>
        <item m="1" x="1577"/>
        <item m="1" x="1579"/>
        <item m="1" x="1582"/>
        <item m="1" x="1584"/>
        <item m="1" x="1586"/>
        <item m="1" x="1587"/>
        <item m="1" x="1588"/>
        <item m="1" x="1589"/>
        <item m="1" x="1591"/>
        <item m="1" x="596"/>
        <item m="1" x="599"/>
        <item m="1" x="602"/>
        <item m="1" x="605"/>
        <item m="1" x="609"/>
        <item m="1" x="613"/>
        <item m="1" x="617"/>
        <item m="1" x="621"/>
        <item m="1" x="624"/>
        <item m="1" x="628"/>
        <item m="1" x="632"/>
        <item m="1" x="636"/>
        <item m="1" x="640"/>
        <item m="1" x="644"/>
        <item m="1" x="648"/>
        <item m="1" x="652"/>
        <item m="1" x="654"/>
        <item m="1" x="657"/>
        <item m="1" x="659"/>
        <item m="1" x="661"/>
        <item m="1" x="663"/>
        <item m="1" x="665"/>
        <item m="1" x="667"/>
        <item m="1" x="670"/>
        <item m="1" x="1609"/>
        <item m="1" x="1612"/>
        <item m="1" x="1615"/>
        <item m="1" x="1618"/>
        <item m="1" x="1622"/>
        <item m="1" x="1626"/>
        <item m="1" x="1630"/>
        <item m="1" x="1634"/>
        <item m="1" x="1638"/>
        <item m="1" x="1642"/>
        <item m="1" x="1645"/>
        <item m="1" x="1649"/>
        <item m="1" x="1653"/>
        <item m="1" x="1657"/>
        <item m="1" x="1661"/>
        <item m="1" x="1666"/>
        <item m="1" x="1669"/>
        <item m="1" x="1672"/>
        <item m="1" x="1674"/>
        <item m="1" x="1676"/>
        <item m="1" x="1678"/>
        <item m="1" x="1680"/>
        <item m="1" x="1682"/>
        <item m="1" x="1685"/>
        <item m="1" x="694"/>
        <item m="1" x="697"/>
        <item m="1" x="700"/>
        <item m="1" x="704"/>
        <item m="1" x="708"/>
        <item m="1" x="713"/>
        <item m="1" x="718"/>
        <item m="1" x="722"/>
        <item m="1" x="726"/>
        <item m="1" x="730"/>
        <item m="1" x="735"/>
        <item m="1" x="739"/>
        <item m="1" x="744"/>
        <item m="1" x="749"/>
        <item m="1" x="754"/>
        <item m="1" x="757"/>
        <item m="1" x="761"/>
        <item m="1" x="764"/>
        <item m="1" x="765"/>
        <item m="1" x="768"/>
        <item m="1" x="770"/>
        <item m="1" x="771"/>
        <item m="1" x="773"/>
        <item m="1" x="774"/>
        <item m="1" x="1704"/>
        <item m="1" x="1762"/>
        <item m="1" x="1763"/>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829"/>
        <item m="1" x="832"/>
        <item m="1" x="835"/>
        <item m="1" x="838"/>
        <item m="1" x="841"/>
        <item m="1" x="844"/>
        <item m="1" x="847"/>
        <item m="1" x="850"/>
        <item m="1" x="853"/>
        <item m="1" x="856"/>
        <item m="1" x="859"/>
        <item m="1" x="862"/>
        <item m="1" x="865"/>
        <item m="1" x="868"/>
        <item m="1" x="871"/>
        <item m="1" x="874"/>
        <item m="1" x="877"/>
        <item m="1" x="878"/>
        <item m="1" x="879"/>
        <item m="1" x="880"/>
        <item m="1" x="881"/>
        <item m="1" x="882"/>
        <item m="1" x="883"/>
        <item m="1" x="884"/>
        <item m="1" x="1791"/>
        <item m="1" x="1793"/>
        <item m="1" x="1794"/>
        <item m="1" x="1795"/>
        <item m="1" x="1797"/>
        <item m="1" x="1799"/>
        <item m="1" x="1800"/>
        <item m="1" x="1801"/>
        <item m="1" x="1803"/>
        <item m="1" x="1805"/>
        <item m="1" x="1807"/>
        <item m="1" x="1809"/>
        <item m="1" x="1812"/>
        <item m="1" x="1814"/>
        <item m="1" x="1817"/>
        <item m="1" x="1818"/>
        <item m="1" x="1820"/>
        <item m="1" x="1822"/>
        <item m="1" x="1823"/>
        <item m="1" x="1825"/>
        <item m="1" x="1827"/>
        <item m="1" x="1829"/>
        <item m="1" x="1831"/>
        <item m="1" x="886"/>
        <item m="1" x="887"/>
        <item m="1" x="888"/>
        <item m="1" x="889"/>
        <item m="1" x="891"/>
        <item m="1" x="893"/>
        <item m="1" x="894"/>
        <item m="1" x="895"/>
        <item m="1" x="897"/>
        <item m="1" x="898"/>
        <item m="1" x="899"/>
        <item m="1" x="901"/>
        <item m="1" x="903"/>
        <item m="1" x="905"/>
        <item m="1" x="906"/>
        <item m="1" x="908"/>
        <item m="1" x="910"/>
        <item m="1" x="912"/>
        <item m="1" x="914"/>
        <item m="1" x="916"/>
        <item m="1" x="918"/>
        <item m="1" x="920"/>
        <item m="1" x="922"/>
        <item m="1" x="1833"/>
        <item m="1" x="1834"/>
        <item m="1" x="1835"/>
        <item m="1" x="1837"/>
        <item m="1" x="1838"/>
        <item m="1" x="1839"/>
        <item m="1" x="1840"/>
        <item m="1" x="1841"/>
        <item m="1" x="1842"/>
        <item m="1" x="1844"/>
        <item m="1" x="1846"/>
        <item m="1" x="1848"/>
        <item m="1" x="1849"/>
        <item m="1" x="1851"/>
        <item m="1" x="1853"/>
        <item m="1" x="1855"/>
        <item m="1" x="1857"/>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13"/>
        <item m="1" x="14"/>
        <item m="1" x="15"/>
        <item m="1" x="16"/>
        <item m="1" x="17"/>
        <item m="1" x="18"/>
        <item m="1" x="19"/>
        <item m="1" x="20"/>
        <item m="1" x="21"/>
        <item m="1" x="22"/>
        <item m="1" x="23"/>
        <item m="1" x="24"/>
        <item m="1" x="25"/>
        <item m="1" x="26"/>
        <item m="1" x="27"/>
        <item m="1" x="28"/>
        <item m="1" x="29"/>
        <item m="1" x="30"/>
        <item m="1" x="31"/>
        <item m="1" x="32"/>
        <item m="1" x="33"/>
        <item m="1" x="34"/>
        <item m="1" x="965"/>
        <item m="1" x="966"/>
        <item m="1" x="967"/>
        <item m="1" x="968"/>
        <item m="1" x="970"/>
        <item m="1" x="972"/>
        <item m="1" x="973"/>
        <item m="1" x="974"/>
        <item m="1" x="976"/>
        <item m="1" x="977"/>
        <item m="1" x="978"/>
        <item m="1" x="980"/>
        <item m="1" x="981"/>
        <item m="1" x="984"/>
        <item m="1" x="986"/>
        <item m="1" x="988"/>
        <item m="1" x="990"/>
        <item m="1" x="992"/>
        <item m="1" x="994"/>
        <item m="1" x="996"/>
        <item m="1" x="998"/>
        <item m="1" x="1000"/>
        <item m="1" x="1001"/>
        <item m="1" x="35"/>
        <item m="1" x="36"/>
        <item m="1" x="37"/>
        <item m="1" x="38"/>
        <item m="1" x="40"/>
        <item m="1" x="41"/>
        <item m="1" x="43"/>
        <item m="1" x="44"/>
        <item m="1" x="46"/>
        <item m="1" x="47"/>
        <item m="1" x="48"/>
        <item m="1" x="50"/>
        <item m="1" x="51"/>
        <item m="1" x="52"/>
        <item m="1" x="53"/>
        <item m="1" x="55"/>
        <item m="1" x="56"/>
        <item m="1" x="57"/>
        <item m="1" x="59"/>
        <item m="1" x="61"/>
        <item m="1" x="63"/>
        <item m="1" x="65"/>
        <item m="1" x="67"/>
        <item m="1" x="69"/>
        <item m="1" x="1003"/>
        <item m="1" x="1004"/>
        <item m="1" x="1006"/>
        <item m="1" x="1008"/>
        <item m="1" x="1009"/>
        <item m="1" x="1010"/>
        <item m="1" x="1011"/>
        <item m="1" x="1012"/>
        <item m="1" x="1013"/>
        <item m="1" x="1014"/>
        <item m="1" x="1015"/>
        <item m="1" x="1016"/>
        <item m="1" x="1017"/>
        <item m="1" x="1018"/>
        <item m="1" x="71"/>
        <item m="1" x="73"/>
        <item m="1" x="74"/>
        <item m="1" x="75"/>
        <item m="1" x="76"/>
        <item m="1" x="77"/>
        <item m="1" x="78"/>
        <item m="1" x="79"/>
        <item m="1" x="80"/>
        <item m="1" x="81"/>
        <item m="1" x="82"/>
        <item m="1" x="83"/>
        <item m="1" x="84"/>
        <item m="1" x="85"/>
        <item m="1" x="1020"/>
        <item m="1" x="1021"/>
        <item m="1" x="1022"/>
        <item m="1" x="1023"/>
        <item m="1" x="1024"/>
        <item m="1" x="1025"/>
        <item m="1" x="1026"/>
        <item m="1" x="1027"/>
        <item m="1" x="1028"/>
        <item m="1" x="1029"/>
        <item m="1" x="1030"/>
        <item m="1" x="1031"/>
        <item m="1" x="1032"/>
        <item m="1" x="1033"/>
        <item m="1" x="1034"/>
        <item m="1" x="86"/>
        <item m="1" x="87"/>
        <item m="1" x="88"/>
        <item m="1" x="89"/>
        <item m="1" x="90"/>
        <item m="1" x="91"/>
        <item m="1" x="92"/>
        <item m="1" x="93"/>
        <item m="1" x="94"/>
        <item m="1" x="95"/>
        <item m="1" x="96"/>
        <item m="1" x="97"/>
        <item m="1" x="98"/>
        <item m="1" x="99"/>
        <item m="1" x="100"/>
        <item m="1" x="101"/>
        <item m="1" x="102"/>
        <item m="1" x="103"/>
        <item m="1" x="1035"/>
        <item m="1" x="1036"/>
        <item m="1" x="1038"/>
        <item m="1" x="1039"/>
        <item m="1" x="1040"/>
        <item m="1" x="1041"/>
        <item m="1" x="1042"/>
        <item m="1" x="1043"/>
        <item m="1" x="1044"/>
        <item m="1" x="1045"/>
        <item m="1" x="1046"/>
        <item m="1" x="1047"/>
        <item m="1" x="1048"/>
        <item m="1" x="1049"/>
        <item m="1" x="1486"/>
        <item m="1" x="1487"/>
        <item m="1" x="1489"/>
        <item m="1" x="1490"/>
        <item m="1" x="1494"/>
        <item m="1" x="1501"/>
        <item m="1" x="1508"/>
        <item m="1" x="1510"/>
        <item m="1" x="1514"/>
        <item m="1" x="1518"/>
        <item m="1" x="1520"/>
        <item m="1" x="1522"/>
        <item m="1" x="1523"/>
        <item m="1" x="1524"/>
        <item m="1" x="1525"/>
        <item m="1" x="1526"/>
        <item m="1" x="1528"/>
        <item m="1" x="527"/>
        <item m="1" x="606"/>
        <item m="1" x="610"/>
        <item m="1" x="614"/>
        <item m="1" x="618"/>
        <item m="1" x="625"/>
        <item m="1" x="629"/>
        <item m="1" x="633"/>
        <item m="1" x="637"/>
        <item m="1" x="641"/>
        <item m="1" x="645"/>
        <item m="1" x="649"/>
        <item m="1" x="655"/>
        <item m="1" x="658"/>
        <item m="1" x="660"/>
        <item m="1" x="662"/>
        <item m="1" x="664"/>
        <item m="1" x="666"/>
        <item m="1" x="668"/>
        <item m="1" x="671"/>
        <item m="1" x="674"/>
        <item m="1" x="677"/>
        <item m="1" x="1619"/>
        <item m="1" x="1623"/>
        <item m="1" x="1627"/>
        <item m="1" x="1631"/>
        <item m="1" x="1635"/>
        <item m="1" x="1639"/>
        <item m="1" x="1646"/>
        <item m="1" x="1650"/>
        <item m="1" x="1654"/>
        <item m="1" x="1658"/>
        <item m="1" x="1662"/>
        <item m="1" x="1667"/>
        <item m="1" x="1670"/>
        <item m="1" x="1673"/>
        <item m="1" x="1675"/>
        <item m="1" x="1677"/>
        <item m="1" x="1679"/>
        <item m="1" x="1681"/>
        <item m="1" x="1683"/>
        <item m="1" x="1687"/>
        <item m="1" x="701"/>
        <item m="1" x="705"/>
        <item m="1" x="709"/>
        <item m="1" x="714"/>
        <item m="1" x="719"/>
        <item m="1" x="727"/>
        <item m="1" x="731"/>
        <item m="1" x="736"/>
        <item m="1" x="740"/>
        <item m="1" x="745"/>
        <item m="1" x="750"/>
        <item m="1" x="758"/>
        <item m="1" x="762"/>
        <item m="1" x="766"/>
        <item m="1" x="769"/>
        <item m="1" x="772"/>
        <item m="1" x="1711"/>
        <item m="1" x="1717"/>
        <item m="1" x="1734"/>
        <item m="1" x="1741"/>
        <item m="1" x="1746"/>
        <item m="1" x="1747"/>
        <item m="1" x="1750"/>
        <item m="1" x="1753"/>
        <item m="1" x="1755"/>
        <item m="1" x="1756"/>
        <item m="1" x="1757"/>
        <item m="1" x="1758"/>
        <item m="1" x="1759"/>
        <item m="1" x="1760"/>
        <item m="1" x="784"/>
        <item m="1" x="785"/>
        <item m="1" x="786"/>
        <item m="1" x="789"/>
        <item m="1" x="799"/>
        <item m="1" x="803"/>
        <item m="1" x="805"/>
        <item m="1" x="806"/>
        <item m="1" x="807"/>
        <item m="1" x="808"/>
        <item m="1" x="810"/>
        <item m="1" x="812"/>
        <item m="1" x="813"/>
        <item m="1" x="814"/>
        <item m="1" x="815"/>
        <item m="1" x="1764"/>
        <item m="1" x="1796"/>
        <item m="1" x="1798"/>
        <item m="1" x="1810"/>
        <item m="1" x="1815"/>
        <item m="1" x="1824"/>
        <item m="1" x="1826"/>
        <item m="1" x="1828"/>
        <item m="1" x="1830"/>
        <item m="1" x="1832"/>
        <item m="1" x="890"/>
        <item m="1" x="892"/>
        <item m="1" x="896"/>
        <item m="1" x="900"/>
        <item m="1" x="902"/>
        <item m="1" x="904"/>
        <item m="1" x="907"/>
        <item m="1" x="909"/>
        <item m="1" x="911"/>
        <item m="1" x="913"/>
        <item m="1" x="915"/>
        <item m="1" x="917"/>
        <item m="1" x="919"/>
        <item m="1" x="921"/>
        <item m="1" x="923"/>
        <item m="1" x="1836"/>
        <item m="1" x="1843"/>
        <item m="1" x="1845"/>
        <item m="1" x="1847"/>
        <item m="1" x="1850"/>
        <item m="1" x="1852"/>
        <item m="1" x="1854"/>
        <item m="1" x="1856"/>
        <item m="1" x="1858"/>
        <item m="1" x="1859"/>
        <item m="1" x="1860"/>
        <item m="1" x="924"/>
        <item m="1" x="925"/>
        <item m="1" x="926"/>
        <item m="1" x="927"/>
        <item m="1" x="928"/>
        <item m="1" x="929"/>
        <item m="1" x="930"/>
        <item m="1" x="931"/>
        <item m="1" x="932"/>
        <item m="1" x="933"/>
        <item m="1" x="934"/>
        <item m="1" x="935"/>
        <item m="1" x="936"/>
        <item m="1" x="937"/>
        <item m="1" x="938"/>
        <item m="1" x="939"/>
        <item m="1" x="940"/>
        <item m="1" x="941"/>
        <item m="1" x="1861"/>
        <item m="1" x="1862"/>
        <item m="1" x="1863"/>
        <item m="1" x="1864"/>
        <item m="1" x="1865"/>
        <item m="1" x="2"/>
        <item m="1" x="3"/>
        <item m="1" x="4"/>
        <item m="1" x="5"/>
        <item m="1" x="6"/>
        <item m="1" x="7"/>
        <item m="1" x="8"/>
        <item m="1" x="9"/>
        <item m="1" x="10"/>
        <item m="1" x="11"/>
        <item m="1" x="12"/>
        <item m="1" x="969"/>
        <item m="1" x="971"/>
        <item m="1" x="975"/>
        <item m="1" x="979"/>
        <item m="1" x="982"/>
        <item m="1" x="983"/>
        <item m="1" x="985"/>
        <item m="1" x="987"/>
        <item m="1" x="989"/>
        <item m="1" x="991"/>
        <item m="1" x="993"/>
        <item m="1" x="995"/>
        <item m="1" x="997"/>
        <item m="1" x="999"/>
        <item m="1" x="1002"/>
        <item m="1" x="39"/>
        <item m="1" x="42"/>
        <item m="1" x="45"/>
        <item m="1" x="49"/>
        <item m="1" x="54"/>
        <item m="1" x="58"/>
        <item m="1" x="60"/>
        <item m="1" x="62"/>
        <item m="1" x="64"/>
        <item m="1" x="66"/>
        <item m="1" x="68"/>
        <item m="1" x="70"/>
        <item m="1" x="1005"/>
        <item m="1" x="1007"/>
        <item m="1" x="72"/>
        <item m="1" x="1019"/>
        <item m="1" x="1037"/>
        <item m="1" x="104"/>
        <item m="1" x="1593"/>
        <item m="1" x="1663"/>
        <item m="1" x="672"/>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050"/>
        <item m="1" x="1052"/>
        <item m="1" x="1054"/>
        <item m="1" x="1057"/>
        <item m="1" x="1060"/>
        <item m="1" x="1062"/>
        <item m="1" x="1064"/>
        <item m="1" x="1066"/>
        <item m="1" x="1068"/>
        <item m="1" x="1069"/>
        <item m="1" x="1071"/>
        <item m="1" x="1073"/>
        <item m="1" x="1075"/>
        <item m="1" x="1077"/>
        <item m="1" x="1079"/>
        <item m="1" x="1081"/>
        <item m="1" x="1083"/>
        <item m="1" x="1085"/>
        <item m="1" x="1087"/>
        <item m="1" x="1088"/>
        <item m="1" x="1089"/>
        <item m="1" x="131"/>
        <item m="1" x="133"/>
        <item m="1" x="135"/>
        <item m="1" x="136"/>
        <item m="1" x="139"/>
        <item m="1" x="140"/>
        <item m="1" x="142"/>
        <item m="1" x="144"/>
        <item m="1" x="146"/>
        <item m="1" x="148"/>
        <item m="1" x="150"/>
        <item m="1" x="151"/>
        <item m="1" x="153"/>
        <item m="1" x="155"/>
        <item m="1" x="157"/>
        <item m="1" x="159"/>
        <item m="1" x="162"/>
        <item m="1" x="163"/>
        <item m="1" x="164"/>
        <item m="1" x="166"/>
        <item m="1" x="1092"/>
        <item m="1" x="1094"/>
        <item m="1" x="1103"/>
        <item m="1" x="1110"/>
        <item m="1" x="1114"/>
        <item m="1" x="1118"/>
        <item m="1" x="1121"/>
        <item m="1" x="1125"/>
        <item m="1" x="1129"/>
        <item m="1" x="1133"/>
        <item m="1" x="1137"/>
        <item m="1" x="1141"/>
        <item m="1" x="1145"/>
        <item m="1" x="1149"/>
        <item m="1" x="1152"/>
        <item m="1" x="1155"/>
        <item m="1" x="1158"/>
        <item m="1" x="1162"/>
        <item m="1" x="1164"/>
        <item m="1" x="168"/>
        <item m="1" x="171"/>
        <item m="1" x="178"/>
        <item m="1" x="181"/>
        <item m="1" x="188"/>
        <item m="1" x="193"/>
        <item m="1" x="196"/>
        <item m="1" x="200"/>
        <item m="1" x="206"/>
        <item m="1" x="212"/>
        <item m="1" x="216"/>
        <item m="1" x="220"/>
        <item m="1" x="223"/>
        <item m="1" x="225"/>
        <item m="1" x="229"/>
        <item m="1" x="233"/>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245"/>
        <item m="1" x="247"/>
        <item m="1" x="248"/>
        <item m="1" x="250"/>
        <item m="1" x="251"/>
        <item m="1" x="253"/>
        <item m="1" x="254"/>
        <item m="1" x="257"/>
        <item m="1" x="260"/>
        <item m="1" x="263"/>
        <item m="1" x="265"/>
        <item m="1" x="267"/>
        <item m="1" x="269"/>
        <item m="1" x="271"/>
        <item m="1" x="273"/>
        <item m="1" x="275"/>
        <item m="1" x="276"/>
        <item m="1" x="277"/>
        <item m="1" x="279"/>
        <item m="1" x="280"/>
        <item m="1" x="281"/>
        <item m="1" x="282"/>
        <item m="1" x="283"/>
        <item m="1" x="284"/>
        <item m="1" x="1219"/>
        <item m="1" x="1220"/>
        <item m="1" x="1223"/>
        <item m="1" x="1227"/>
        <item m="1" x="1229"/>
        <item m="1" x="1231"/>
        <item m="1" x="1234"/>
        <item m="1" x="1236"/>
        <item m="1" x="1238"/>
        <item m="1" x="1241"/>
        <item m="1" x="1243"/>
        <item m="1" x="1247"/>
        <item m="1" x="1250"/>
        <item m="1" x="1254"/>
        <item m="1" x="1257"/>
        <item m="1" x="1261"/>
        <item m="1" x="1264"/>
        <item m="1" x="1266"/>
        <item m="1" x="1267"/>
        <item m="1" x="1268"/>
        <item m="1" x="1269"/>
        <item m="1" x="1270"/>
        <item m="1" x="1271"/>
        <item m="1" x="1272"/>
        <item m="1" x="288"/>
        <item m="1" x="289"/>
        <item m="1" x="291"/>
        <item m="1" x="293"/>
        <item m="1" x="294"/>
        <item m="1" x="296"/>
        <item m="1" x="298"/>
        <item m="1" x="300"/>
        <item m="1" x="301"/>
        <item m="1" x="302"/>
        <item m="1" x="303"/>
        <item m="1" x="305"/>
        <item m="1" x="306"/>
        <item m="1" x="307"/>
        <item m="1" x="308"/>
        <item m="1" x="310"/>
        <item m="1" x="311"/>
        <item m="1" x="312"/>
        <item m="1" x="314"/>
        <item m="1" x="316"/>
        <item m="1" x="318"/>
        <item m="1" x="320"/>
        <item m="1" x="323"/>
        <item m="1" x="325"/>
        <item m="1" x="1275"/>
        <item m="1" x="1276"/>
        <item m="1" x="1277"/>
        <item m="1" x="1279"/>
        <item m="1" x="1281"/>
        <item m="1" x="1283"/>
        <item m="1" x="1286"/>
        <item m="1" x="1289"/>
        <item m="1" x="1293"/>
        <item m="1" x="1294"/>
        <item m="1" x="1295"/>
        <item m="1" x="1297"/>
        <item m="1" x="1299"/>
        <item m="1" x="1301"/>
        <item m="1" x="1304"/>
        <item m="1" x="1307"/>
        <item m="1" x="1309"/>
        <item m="1" x="1311"/>
        <item m="1" x="1313"/>
        <item m="1" x="1315"/>
        <item m="1" x="1317"/>
        <item m="1" x="1319"/>
        <item m="1" x="1321"/>
        <item m="1" x="1322"/>
        <item m="1" x="348"/>
        <item m="1" x="349"/>
        <item m="1" x="350"/>
        <item m="1" x="352"/>
        <item m="1" x="353"/>
        <item m="1" x="354"/>
        <item m="1" x="356"/>
        <item m="1" x="357"/>
        <item m="1" x="359"/>
        <item m="1" x="361"/>
        <item m="1" x="363"/>
        <item m="1" x="365"/>
        <item m="1" x="367"/>
        <item m="1" x="369"/>
        <item m="1" x="371"/>
        <item m="1" x="373"/>
        <item m="1" x="375"/>
        <item m="1" x="377"/>
        <item m="1" x="379"/>
        <item m="1" x="381"/>
        <item m="1" x="383"/>
        <item m="1" x="385"/>
        <item m="1" x="387"/>
        <item m="1" x="389"/>
        <item m="1" x="1350"/>
        <item m="1" x="1351"/>
        <item m="1" x="1352"/>
        <item m="1" x="1354"/>
        <item m="1" x="1356"/>
        <item m="1" x="1357"/>
        <item m="1" x="1358"/>
        <item m="1" x="1360"/>
        <item m="1" x="1362"/>
        <item m="1" x="1364"/>
        <item m="1" x="1366"/>
        <item m="1" x="1368"/>
        <item m="1" x="1370"/>
        <item m="1" x="1372"/>
        <item m="1" x="1374"/>
        <item m="1" x="1376"/>
        <item m="1" x="1378"/>
        <item m="1" x="1380"/>
        <item m="1" x="1382"/>
        <item m="1" x="1384"/>
        <item m="1" x="1386"/>
        <item m="1" x="1388"/>
        <item m="1" x="1390"/>
        <item m="1" x="1392"/>
        <item m="1" x="392"/>
        <item m="1" x="393"/>
        <item m="1" x="395"/>
        <item m="1" x="398"/>
        <item m="1" x="399"/>
        <item m="1" x="401"/>
        <item m="1" x="402"/>
        <item m="1" x="404"/>
        <item m="1" x="406"/>
        <item m="1" x="409"/>
        <item m="1" x="412"/>
        <item m="1" x="415"/>
        <item m="1" x="418"/>
        <item m="1" x="421"/>
        <item m="1" x="423"/>
        <item m="1" x="426"/>
        <item m="1" x="428"/>
        <item m="1" x="430"/>
        <item m="1" x="432"/>
        <item m="1" x="434"/>
        <item m="1" x="437"/>
        <item m="1" x="440"/>
        <item m="1" x="443"/>
        <item m="1" x="445"/>
        <item m="1" x="1400"/>
        <item m="1" x="1401"/>
        <item m="1" x="1402"/>
        <item m="1" x="1404"/>
        <item m="1" x="1406"/>
        <item m="1" x="1408"/>
        <item m="1" x="1409"/>
        <item m="1" x="1412"/>
        <item m="1" x="1415"/>
        <item m="1" x="1419"/>
        <item m="1" x="1422"/>
        <item m="1" x="1426"/>
        <item m="1" x="1430"/>
        <item m="1" x="1434"/>
        <item m="1" x="1438"/>
        <item m="1" x="1442"/>
        <item m="1" x="1447"/>
        <item m="1" x="1450"/>
        <item m="1" x="1453"/>
        <item m="1" x="1456"/>
        <item m="1" x="1460"/>
        <item m="1" x="1463"/>
        <item m="1" x="1465"/>
        <item m="1" x="1468"/>
        <item m="1" x="453"/>
        <item m="1" x="455"/>
        <item m="1" x="457"/>
        <item m="1" x="459"/>
        <item m="1" x="460"/>
        <item m="1" x="461"/>
        <item m="1" x="462"/>
        <item m="1" x="463"/>
        <item m="1" x="464"/>
        <item m="1" x="466"/>
        <item m="1" x="467"/>
        <item m="1" x="469"/>
        <item m="1" x="471"/>
        <item m="1" x="473"/>
        <item m="1" x="476"/>
        <item m="1" x="478"/>
        <item m="1" x="481"/>
        <item m="1" x="483"/>
        <item m="1" x="486"/>
        <item m="1" x="489"/>
        <item m="1" x="492"/>
        <item m="1" x="496"/>
        <item m="1" x="501"/>
        <item m="1" x="506"/>
        <item m="1" x="1477"/>
        <item m="1" x="1527"/>
        <item m="1" x="1529"/>
        <item m="1" x="1530"/>
        <item m="1" x="1532"/>
        <item m="1" x="1533"/>
        <item m="1" x="1534"/>
        <item m="1" x="1536"/>
        <item m="1" x="1538"/>
        <item m="1" x="1541"/>
        <item m="1" x="1543"/>
        <item m="1" x="1545"/>
        <item m="1" x="1548"/>
        <item m="1" x="1550"/>
        <item m="1" x="1552"/>
        <item m="1" x="1555"/>
        <item m="1" x="1557"/>
        <item m="1" x="1560"/>
        <item m="1" x="1563"/>
        <item m="1" x="1566"/>
        <item m="1" x="1569"/>
        <item m="1" x="1572"/>
        <item m="1" x="1575"/>
        <item m="1" x="1578"/>
        <item m="1" x="1580"/>
        <item m="1" x="579"/>
        <item m="1" x="581"/>
        <item m="1" x="583"/>
        <item m="1" x="587"/>
        <item m="1" x="590"/>
        <item m="1" x="592"/>
        <item m="1" x="594"/>
        <item m="1" x="597"/>
        <item m="1" x="600"/>
        <item m="1" x="603"/>
        <item m="1" x="607"/>
        <item m="1" x="611"/>
        <item m="1" x="615"/>
        <item m="1" x="619"/>
        <item m="1" x="622"/>
        <item m="1" x="626"/>
        <item m="1" x="630"/>
        <item m="1" x="634"/>
        <item m="1" x="638"/>
        <item m="1" x="642"/>
        <item m="1" x="646"/>
        <item m="1" x="650"/>
        <item m="1" x="653"/>
        <item m="1" x="656"/>
        <item m="1" x="1594"/>
        <item m="1" x="1596"/>
        <item m="1" x="1598"/>
        <item m="1" x="1601"/>
        <item m="1" x="1603"/>
        <item m="1" x="1605"/>
        <item m="1" x="1607"/>
        <item m="1" x="1610"/>
        <item m="1" x="1613"/>
        <item m="1" x="1616"/>
        <item m="1" x="1620"/>
        <item m="1" x="1624"/>
        <item m="1" x="1628"/>
        <item m="1" x="1632"/>
        <item m="1" x="1636"/>
        <item m="1" x="1640"/>
        <item m="1" x="1643"/>
        <item m="1" x="1647"/>
        <item m="1" x="1651"/>
        <item m="1" x="1655"/>
        <item m="1" x="1659"/>
        <item m="1" x="1664"/>
        <item m="1" x="1668"/>
        <item m="1" x="1671"/>
        <item m="1" x="675"/>
        <item m="1" x="678"/>
        <item m="1" x="680"/>
        <item m="1" x="683"/>
        <item m="1" x="685"/>
        <item m="1" x="688"/>
        <item m="1" x="691"/>
        <item m="1" x="695"/>
        <item m="1" x="698"/>
        <item m="1" x="702"/>
        <item m="1" x="706"/>
        <item m="1" x="710"/>
        <item m="1" x="715"/>
        <item m="1" x="720"/>
        <item m="1" x="723"/>
        <item m="1" x="728"/>
        <item m="1" x="732"/>
        <item m="1" x="737"/>
        <item m="1" x="741"/>
        <item m="1" x="746"/>
        <item m="1" x="751"/>
        <item m="1" x="755"/>
        <item m="1" x="759"/>
        <item m="1" x="1688"/>
        <item m="1" x="1690"/>
        <item m="1" x="1692"/>
        <item m="1" x="1695"/>
        <item m="1" x="1697"/>
        <item m="1" x="1699"/>
        <item m="1" x="1702"/>
        <item m="1" x="1705"/>
        <item m="1" x="1707"/>
        <item m="1" x="1709"/>
        <item m="1" x="1712"/>
        <item m="1" x="1714"/>
        <item m="1" x="1718"/>
        <item m="1" x="1721"/>
        <item m="1" x="1724"/>
        <item m="1" x="1727"/>
        <item m="1" x="1730"/>
        <item m="1" x="1732"/>
        <item m="1" x="1735"/>
        <item m="1" x="1738"/>
        <item m="1" x="1742"/>
        <item m="1" x="1744"/>
        <item x="0"/>
        <item x="1"/>
        <item m="1" x="816"/>
        <item m="1" x="817"/>
        <item m="1" x="819"/>
        <item m="1" x="821"/>
        <item m="1" x="823"/>
        <item m="1" x="825"/>
        <item m="1" x="827"/>
        <item m="1" x="830"/>
        <item m="1" x="833"/>
        <item m="1" x="836"/>
        <item m="1" x="839"/>
        <item m="1" x="842"/>
        <item m="1" x="845"/>
        <item m="1" x="848"/>
        <item m="1" x="851"/>
        <item m="1" x="854"/>
        <item m="1" x="857"/>
        <item m="1" x="860"/>
        <item m="1" x="863"/>
        <item m="1" x="866"/>
        <item m="1" x="869"/>
        <item m="1" x="872"/>
        <item m="1" x="875"/>
        <item m="1" x="1786"/>
        <item m="1" x="1819"/>
        <item m="1" x="1821"/>
        <item m="1" x="1095"/>
        <item m="1" x="1098"/>
        <item m="1" x="1100"/>
        <item m="1" x="1104"/>
        <item m="1" x="1106"/>
        <item m="1" x="1107"/>
        <item m="1" x="1111"/>
        <item m="1" x="1115"/>
        <item m="1" x="1119"/>
        <item m="1" x="1122"/>
        <item m="1" x="1126"/>
        <item m="1" x="1130"/>
        <item m="1" x="1134"/>
        <item m="1" x="1138"/>
        <item m="1" x="1142"/>
        <item m="1" x="1146"/>
        <item m="1" x="1150"/>
        <item m="1" x="1153"/>
        <item m="1" x="1156"/>
        <item m="1" x="1159"/>
        <item m="1" x="1163"/>
        <item m="1" x="1165"/>
        <item m="1" x="1166"/>
        <item m="1" x="1167"/>
        <item m="1" x="172"/>
        <item m="1" x="174"/>
        <item m="1" x="176"/>
        <item m="1" x="179"/>
        <item m="1" x="182"/>
        <item m="1" x="185"/>
        <item m="1" x="189"/>
        <item m="1" x="191"/>
        <item m="1" x="194"/>
        <item m="1" x="197"/>
        <item m="1" x="201"/>
        <item m="1" x="204"/>
        <item m="1" x="207"/>
        <item m="1" x="209"/>
        <item m="1" x="213"/>
        <item m="1" x="217"/>
        <item m="1" x="221"/>
        <item m="1" x="224"/>
        <item m="1" x="226"/>
        <item m="1" x="230"/>
        <item m="1" x="231"/>
        <item m="1" x="234"/>
        <item m="1" x="235"/>
        <item m="1" x="1171"/>
        <item m="1" x="249"/>
        <item m="1" x="1224"/>
        <item m="1" x="292"/>
        <item m="1" x="1278"/>
        <item m="1" x="332"/>
        <item m="1" x="1353"/>
        <item m="1" x="396"/>
        <item m="1" x="1403"/>
        <item m="1" x="458"/>
        <item m="1" x="1479"/>
        <item m="1" x="584"/>
        <item m="1" x="1599"/>
        <item m="1" x="681"/>
        <item m="1" x="1693"/>
        <item m="1" x="776"/>
        <item m="1" x="1789"/>
        <item m="1" x="885"/>
        <item m="1" x="105"/>
        <item m="1" x="1748"/>
        <item m="1" x="1751"/>
        <item m="1" x="818"/>
        <item m="1" x="820"/>
        <item m="1" x="822"/>
        <item m="1" x="824"/>
        <item m="1" x="826"/>
        <item m="1" x="828"/>
        <item m="1" x="831"/>
        <item m="1" x="834"/>
        <item m="1" x="837"/>
        <item m="1" x="840"/>
        <item m="1" x="843"/>
        <item m="1" x="846"/>
        <item m="1" x="849"/>
        <item m="1" x="852"/>
        <item m="1" x="855"/>
        <item m="1" x="858"/>
        <item m="1" x="861"/>
        <item m="1" x="864"/>
        <item m="1" x="867"/>
        <item m="1" x="870"/>
        <item m="1" x="873"/>
        <item m="1" x="876"/>
        <item m="1" x="255"/>
        <item m="1" x="258"/>
        <item m="1" x="261"/>
        <item m="1" x="285"/>
        <item m="1" x="286"/>
        <item m="1" x="287"/>
        <item m="1" x="1232"/>
        <item m="1" x="1237"/>
        <item m="1" x="1239"/>
        <item m="1" x="1244"/>
        <item m="1" x="1248"/>
        <item m="1" x="1251"/>
        <item m="1" x="1258"/>
        <item m="1" x="1265"/>
        <item m="1" x="1273"/>
        <item m="1" x="1274"/>
        <item m="1" x="297"/>
        <item m="1" x="299"/>
        <item m="1" x="321"/>
        <item m="1" x="326"/>
        <item m="1" x="327"/>
        <item m="1" x="328"/>
        <item m="1" x="329"/>
        <item m="1" x="330"/>
        <item m="1" x="331"/>
        <item m="1" x="1284"/>
        <item m="1" x="1287"/>
        <item m="1" x="1290"/>
        <item m="1" x="1323"/>
        <item m="1" x="345"/>
        <item m="1" x="346"/>
        <item m="1" x="347"/>
        <item m="1" x="1443"/>
        <item m="1" x="1448"/>
        <item m="1" x="497"/>
        <item m="1" x="502"/>
        <item m="1" x="507"/>
        <item m="1" x="511"/>
        <item m="1" x="513"/>
        <item m="1" x="1498"/>
        <item m="1" x="1502"/>
        <item m="1" x="484"/>
        <item m="1" x="487"/>
        <item m="1" x="490"/>
        <item m="1" x="493"/>
        <item m="1" x="498"/>
        <item m="1" x="503"/>
        <item m="1" x="508"/>
      </items>
    </pivotField>
    <pivotField dataField="1" showAll="0"/>
    <pivotField showAll="0"/>
    <pivotField dataField="1" showAll="0" defaultSubtotal="0"/>
    <pivotField showAll="0" defaultSubtotal="0"/>
    <pivotField dragToRow="0" dragToCol="0" dragToPage="0" showAll="0" defaultSubtotal="0"/>
    <pivotField dataField="1" dragToRow="0" dragToCol="0" dragToPage="0" showAll="0" defaultSubtotal="0"/>
  </pivotFields>
  <rowFields count="1">
    <field x="4"/>
  </rowFields>
  <rowItems count="2">
    <i>
      <x v="1700"/>
    </i>
    <i>
      <x v="1701"/>
    </i>
  </rowItems>
  <colFields count="1">
    <field x="-2"/>
  </colFields>
  <colItems count="3">
    <i>
      <x/>
    </i>
    <i i="1">
      <x v="1"/>
    </i>
    <i i="2">
      <x v="2"/>
    </i>
  </colItems>
  <dataFields count="3">
    <dataField name="Average of LASTBARH" fld="5" subtotal="average" baseField="4" baseItem="1712" numFmtId="164"/>
    <dataField name="Average of FORECASTH_PREV" fld="7" subtotal="average" baseField="4" baseItem="1708" numFmtId="164"/>
    <dataField name="Average of errH" fld="10" subtotal="average" baseField="4" baseItem="1711"/>
  </dataFields>
  <formats count="5">
    <format dxfId="38">
      <pivotArea dataOnly="0" fieldPosition="0">
        <references count="1">
          <reference field="4" count="1">
            <x v="1609"/>
          </reference>
        </references>
      </pivotArea>
    </format>
    <format dxfId="37">
      <pivotArea dataOnly="0" fieldPosition="0">
        <references count="1">
          <reference field="4" count="1">
            <x v="1310"/>
          </reference>
        </references>
      </pivotArea>
    </format>
    <format dxfId="36">
      <pivotArea collapsedLevelsAreSubtotals="1" fieldPosition="0">
        <references count="2">
          <reference field="4294967294" count="1" selected="0">
            <x v="2"/>
          </reference>
          <reference field="4" count="0"/>
        </references>
      </pivotArea>
    </format>
    <format dxfId="35">
      <pivotArea outline="0" fieldPosition="0">
        <references count="1">
          <reference field="4294967294" count="1">
            <x v="1"/>
          </reference>
        </references>
      </pivotArea>
    </format>
    <format dxfId="34">
      <pivotArea outline="0" fieldPosition="0">
        <references count="1">
          <reference field="4294967294" count="1">
            <x v="0"/>
          </reference>
        </references>
      </pivotArea>
    </format>
  </formats>
  <chartFormats count="3">
    <chartFormat chart="0" format="26" series="1">
      <pivotArea type="data" outline="0" fieldPosition="0">
        <references count="1">
          <reference field="4294967294" count="1" selected="0">
            <x v="0"/>
          </reference>
        </references>
      </pivotArea>
    </chartFormat>
    <chartFormat chart="0" format="27" series="1">
      <pivotArea type="data" outline="0" fieldPosition="0">
        <references count="1">
          <reference field="4294967294" count="1" selected="0">
            <x v="1"/>
          </reference>
        </references>
      </pivotArea>
    </chartFormat>
    <chartFormat chart="0" format="2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7" firstHeaderRow="1" firstDataRow="2" firstDataCol="1"/>
  <pivotFields count="20">
    <pivotField compact="0" outline="0" showAll="0">
      <items count="320">
        <item m="1" x="310"/>
        <item m="1" x="276"/>
        <item m="1" x="132"/>
        <item m="1" x="31"/>
        <item m="1" x="108"/>
        <item m="1" x="283"/>
        <item m="1" x="311"/>
        <item m="1" x="12"/>
        <item m="1" x="272"/>
        <item m="1" x="80"/>
        <item m="1" x="225"/>
        <item m="1" x="137"/>
        <item m="1" x="56"/>
        <item m="1" x="75"/>
        <item m="1" x="177"/>
        <item m="1" x="306"/>
        <item m="1" x="119"/>
        <item m="1" x="18"/>
        <item m="1" x="235"/>
        <item x="0"/>
        <item m="1" x="109"/>
        <item m="1" x="169"/>
        <item m="1" x="226"/>
        <item m="1" x="143"/>
        <item m="1" x="77"/>
        <item m="1" x="86"/>
        <item m="1" x="238"/>
        <item m="1" x="277"/>
        <item m="1" x="150"/>
        <item m="1" x="194"/>
        <item m="1" x="120"/>
        <item m="1" x="236"/>
        <item m="1" x="7"/>
        <item m="1" x="58"/>
        <item m="1" x="87"/>
        <item m="1" x="267"/>
        <item m="1" x="312"/>
        <item m="1" x="95"/>
        <item m="1" x="13"/>
        <item m="1" x="303"/>
        <item m="1" x="88"/>
        <item m="1" x="144"/>
        <item m="1" x="101"/>
        <item m="1" x="157"/>
        <item m="1" x="165"/>
        <item m="1" x="70"/>
        <item m="1" x="121"/>
        <item m="1" x="38"/>
        <item m="1" x="261"/>
        <item m="1" x="170"/>
        <item m="1" x="54"/>
        <item m="1" x="59"/>
        <item m="1" x="243"/>
        <item m="1" x="171"/>
        <item m="1" x="110"/>
        <item m="1" x="212"/>
        <item m="1" x="313"/>
        <item m="1" x="244"/>
        <item m="1" x="172"/>
        <item m="1" x="284"/>
        <item m="1" x="214"/>
        <item m="1" x="133"/>
        <item m="1" x="76"/>
        <item m="1" x="19"/>
        <item m="1" x="35"/>
        <item m="1" x="215"/>
        <item m="1" x="158"/>
        <item m="1" x="184"/>
        <item m="1" x="81"/>
        <item m="1" x="102"/>
        <item m="1" x="307"/>
        <item m="1" x="159"/>
        <item m="1" x="245"/>
        <item m="1" x="248"/>
        <item m="1" x="188"/>
        <item m="1" x="268"/>
        <item m="1" x="138"/>
        <item m="1" x="160"/>
        <item m="1" x="151"/>
        <item m="1" x="51"/>
        <item m="1" x="314"/>
        <item m="1" x="117"/>
        <item m="1" x="249"/>
        <item m="1" x="189"/>
        <item m="1" x="304"/>
        <item m="1" x="14"/>
        <item m="1" x="213"/>
        <item m="1" x="9"/>
        <item m="1" x="178"/>
        <item m="1" x="315"/>
        <item m="1" x="32"/>
        <item m="1" x="152"/>
        <item m="1" x="195"/>
        <item m="1" x="10"/>
        <item m="1" x="290"/>
        <item m="1" x="145"/>
        <item m="1" x="255"/>
        <item m="1" x="122"/>
        <item m="1" x="251"/>
        <item m="1" x="239"/>
        <item m="1" x="258"/>
        <item m="1" x="36"/>
        <item m="1" x="161"/>
        <item m="1" x="227"/>
        <item m="1" x="118"/>
        <item m="1" x="259"/>
        <item m="1" x="237"/>
        <item m="1" x="71"/>
        <item m="1" x="273"/>
        <item m="1" x="293"/>
        <item m="1" x="39"/>
        <item m="1" x="200"/>
        <item m="1" x="218"/>
        <item m="1" x="231"/>
        <item m="1" x="262"/>
        <item m="1" x="285"/>
        <item m="1" x="53"/>
        <item m="1" x="269"/>
        <item m="1" x="179"/>
        <item m="1" x="316"/>
        <item m="1" x="219"/>
        <item m="1" x="278"/>
        <item m="1" x="89"/>
        <item m="1" x="60"/>
        <item m="1" x="123"/>
        <item m="1" x="33"/>
        <item m="1" x="256"/>
        <item m="1" x="180"/>
        <item m="1" x="263"/>
        <item m="1" x="173"/>
        <item m="1" x="72"/>
        <item m="1" x="250"/>
        <item m="1" x="126"/>
        <item m="1" x="61"/>
        <item m="1" x="162"/>
        <item m="1" x="206"/>
        <item m="1" x="252"/>
        <item m="1" x="127"/>
        <item m="1" x="114"/>
        <item m="1" x="294"/>
        <item m="1" x="317"/>
        <item m="1" x="1"/>
        <item m="1" x="286"/>
        <item m="1" x="111"/>
        <item m="1" x="318"/>
        <item m="1" x="220"/>
        <item m="1" x="228"/>
        <item m="1" x="232"/>
        <item m="1" x="298"/>
        <item m="1" x="45"/>
        <item m="1" x="264"/>
        <item m="1" x="223"/>
        <item m="1" x="82"/>
        <item m="1" x="128"/>
        <item m="1" x="240"/>
        <item m="1" x="196"/>
        <item m="1" x="62"/>
        <item m="1" x="216"/>
        <item m="1" x="15"/>
        <item m="1" x="103"/>
        <item m="1" x="153"/>
        <item m="1" x="134"/>
        <item m="1" x="83"/>
        <item m="1" x="24"/>
        <item m="1" x="154"/>
        <item m="1" x="197"/>
        <item m="1" x="104"/>
        <item m="1" x="265"/>
        <item m="1" x="146"/>
        <item m="1" x="129"/>
        <item m="1" x="155"/>
        <item m="1" x="96"/>
        <item m="1" x="246"/>
        <item m="1" x="163"/>
        <item m="1" x="78"/>
        <item m="1" x="46"/>
        <item m="1" x="105"/>
        <item m="1" x="2"/>
        <item m="1" x="55"/>
        <item m="1" x="37"/>
        <item m="1" x="11"/>
        <item m="1" x="221"/>
        <item m="1" x="279"/>
        <item m="1" x="40"/>
        <item m="1" x="207"/>
        <item m="1" x="147"/>
        <item m="1" x="84"/>
        <item m="1" x="49"/>
        <item m="1" x="112"/>
        <item m="1" x="25"/>
        <item m="1" x="63"/>
        <item m="1" x="217"/>
        <item m="1" x="274"/>
        <item m="1" x="97"/>
        <item m="1" x="47"/>
        <item m="1" x="106"/>
        <item m="1" x="208"/>
        <item m="1" x="20"/>
        <item m="1" x="224"/>
        <item m="1" x="287"/>
        <item m="1" x="190"/>
        <item m="1" x="3"/>
        <item m="1" x="253"/>
        <item m="1" x="73"/>
        <item m="1" x="65"/>
        <item m="1" x="29"/>
        <item m="1" x="21"/>
        <item m="1" x="174"/>
        <item m="1" x="130"/>
        <item m="1" x="131"/>
        <item m="1" x="64"/>
        <item m="1" x="135"/>
        <item m="1" x="27"/>
        <item m="1" x="295"/>
        <item m="1" x="299"/>
        <item m="1" x="185"/>
        <item m="1" x="22"/>
        <item m="1" x="34"/>
        <item m="1" x="48"/>
        <item m="1" x="241"/>
        <item m="1" x="90"/>
        <item m="1" x="41"/>
        <item m="1" x="181"/>
        <item m="1" x="247"/>
        <item m="1" x="201"/>
        <item m="1" x="66"/>
        <item m="1" x="300"/>
        <item m="1" x="4"/>
        <item m="1" x="191"/>
        <item m="1" x="91"/>
        <item m="1" x="296"/>
        <item m="1" x="202"/>
        <item m="1" x="16"/>
        <item m="1" x="280"/>
        <item m="1" x="30"/>
        <item m="1" x="79"/>
        <item m="1" x="166"/>
        <item m="1" x="124"/>
        <item m="1" x="209"/>
        <item m="1" x="266"/>
        <item m="1" x="175"/>
        <item m="1" x="192"/>
        <item m="1" x="92"/>
        <item m="1" x="254"/>
        <item m="1" x="198"/>
        <item m="1" x="28"/>
        <item m="1" x="98"/>
        <item m="1" x="26"/>
        <item m="1" x="74"/>
        <item m="1" x="291"/>
        <item m="1" x="93"/>
        <item m="1" x="113"/>
        <item m="1" x="275"/>
        <item m="1" x="42"/>
        <item m="1" x="182"/>
        <item m="1" x="203"/>
        <item m="1" x="67"/>
        <item m="1" x="222"/>
        <item m="1" x="210"/>
        <item m="1" x="156"/>
        <item m="1" x="94"/>
        <item m="1" x="115"/>
        <item m="1" x="136"/>
        <item m="1" x="164"/>
        <item m="1" x="43"/>
        <item m="1" x="99"/>
        <item m="1" x="139"/>
        <item m="1" x="281"/>
        <item m="1" x="167"/>
        <item m="1" x="148"/>
        <item m="1" x="8"/>
        <item m="1" x="57"/>
        <item m="1" x="242"/>
        <item m="1" x="308"/>
        <item m="1" x="116"/>
        <item m="1" x="199"/>
        <item m="1" x="229"/>
        <item m="1" x="44"/>
        <item m="1" x="140"/>
        <item m="1" x="282"/>
        <item m="1" x="168"/>
        <item m="1" x="233"/>
        <item m="1" x="186"/>
        <item m="1" x="125"/>
        <item m="1" x="211"/>
        <item m="1" x="50"/>
        <item m="1" x="193"/>
        <item m="1" x="204"/>
        <item m="1" x="141"/>
        <item m="1" x="301"/>
        <item m="1" x="288"/>
        <item m="1" x="205"/>
        <item m="1" x="17"/>
        <item m="1" x="234"/>
        <item m="1" x="302"/>
        <item m="1" x="100"/>
        <item m="1" x="5"/>
        <item m="1" x="305"/>
        <item m="1" x="52"/>
        <item m="1" x="230"/>
        <item m="1" x="107"/>
        <item m="1" x="23"/>
        <item m="1" x="176"/>
        <item m="1" x="270"/>
        <item m="1" x="257"/>
        <item m="1" x="292"/>
        <item m="1" x="6"/>
        <item m="1" x="289"/>
        <item m="1" x="85"/>
        <item m="1" x="260"/>
        <item m="1" x="68"/>
        <item m="1" x="69"/>
        <item m="1" x="149"/>
        <item m="1" x="309"/>
        <item m="1" x="297"/>
        <item m="1" x="183"/>
        <item m="1" x="142"/>
        <item m="1" x="187"/>
        <item m="1" x="271"/>
        <item t="default"/>
      </items>
    </pivotField>
    <pivotField compact="0" outline="0" showAll="0">
      <items count="679">
        <item m="1" x="490"/>
        <item m="1" x="62"/>
        <item m="1" x="205"/>
        <item m="1" x="45"/>
        <item m="1" x="540"/>
        <item m="1" x="505"/>
        <item m="1" x="67"/>
        <item m="1" x="378"/>
        <item m="1" x="268"/>
        <item m="1" x="527"/>
        <item m="1" x="359"/>
        <item m="1" x="230"/>
        <item m="1" x="400"/>
        <item m="1" x="573"/>
        <item x="1"/>
        <item m="1" x="421"/>
        <item m="1" x="74"/>
        <item m="1" x="272"/>
        <item m="1" x="291"/>
        <item m="1" x="552"/>
        <item m="1" x="213"/>
        <item m="1" x="652"/>
        <item m="1" x="109"/>
        <item m="1" x="243"/>
        <item m="1" x="617"/>
        <item m="1" x="128"/>
        <item m="1" x="487"/>
        <item m="1" x="631"/>
        <item m="1" x="30"/>
        <item m="1" x="179"/>
        <item m="1" x="224"/>
        <item m="1" x="501"/>
        <item m="1" x="661"/>
        <item m="1" x="375"/>
        <item m="1" x="460"/>
        <item m="1" x="626"/>
        <item m="1" x="648"/>
        <item m="1" x="176"/>
        <item m="1" x="517"/>
        <item m="1" x="545"/>
        <item m="1" x="100"/>
        <item m="1" x="175"/>
        <item m="1" x="189"/>
        <item m="1" x="240"/>
        <item m="1" x="281"/>
        <item m="1" x="290"/>
        <item m="1" x="500"/>
        <item m="1" x="579"/>
        <item m="1" x="667"/>
        <item m="1" x="10"/>
        <item m="1" x="53"/>
        <item m="1" x="135"/>
        <item m="1" x="206"/>
        <item m="1" x="232"/>
        <item m="1" x="288"/>
        <item m="1" x="444"/>
        <item m="1" x="529"/>
        <item m="1" x="79"/>
        <item m="1" x="147"/>
        <item m="1" x="219"/>
        <item m="1" x="279"/>
        <item m="1" x="458"/>
        <item m="1" x="480"/>
        <item m="1" x="565"/>
        <item m="1" x="643"/>
        <item m="1" x="27"/>
        <item m="1" x="50"/>
        <item m="1" x="172"/>
        <item m="1" x="186"/>
        <item m="1" x="217"/>
        <item m="1" x="564"/>
        <item m="1" x="575"/>
        <item m="1" x="64"/>
        <item m="1" x="89"/>
        <item m="1" x="185"/>
        <item m="1" x="215"/>
        <item m="1" x="542"/>
        <item m="1" x="622"/>
        <item m="1" x="658"/>
        <item m="1" x="144"/>
        <item m="1" x="156"/>
        <item m="1" x="171"/>
        <item m="1" x="246"/>
        <item m="1" x="385"/>
        <item m="1" x="476"/>
        <item m="1" x="524"/>
        <item m="1" x="634"/>
        <item m="1" x="133"/>
        <item m="1" x="275"/>
        <item m="1" x="312"/>
        <item m="1" x="358"/>
        <item m="1" x="507"/>
        <item m="1" x="553"/>
        <item m="1" x="574"/>
        <item m="1" x="597"/>
        <item m="1" x="77"/>
        <item m="1" x="132"/>
        <item m="1" x="324"/>
        <item m="1" x="333"/>
        <item m="1" x="399"/>
        <item m="1" x="76"/>
        <item m="1" x="408"/>
        <item m="1" x="98"/>
        <item m="1" x="441"/>
        <item m="1" x="117"/>
        <item m="1" x="273"/>
        <item m="1" x="323"/>
        <item m="1" x="347"/>
        <item m="1" x="370"/>
        <item m="1" x="383"/>
        <item m="1" x="112"/>
        <item m="1" x="440"/>
        <item m="1" x="229"/>
        <item m="1" x="606"/>
        <item m="1" x="654"/>
        <item m="1" x="665"/>
        <item m="1" x="24"/>
        <item m="1" x="369"/>
        <item m="1" x="75"/>
        <item m="1" x="406"/>
        <item m="1" x="131"/>
        <item m="1" x="492"/>
        <item m="1" x="538"/>
        <item m="1" x="285"/>
        <item m="1" x="59"/>
        <item m="1" x="405"/>
        <item m="1" x="439"/>
        <item m="1" x="537"/>
        <item m="1" x="194"/>
        <item m="1" x="202"/>
        <item x="0"/>
        <item m="1" x="58"/>
        <item m="1" x="96"/>
        <item m="1" x="111"/>
        <item m="1" x="182"/>
        <item m="1" x="673"/>
        <item m="1" x="7"/>
        <item m="1" x="337"/>
        <item m="1" x="21"/>
        <item m="1" x="438"/>
        <item m="1" x="130"/>
        <item m="1" x="504"/>
        <item m="1" x="562"/>
        <item m="1" x="227"/>
        <item m="1" x="585"/>
        <item m="1" x="238"/>
        <item m="1" x="309"/>
        <item m="1" x="6"/>
        <item m="1" x="86"/>
        <item m="1" x="95"/>
        <item m="1" x="464"/>
        <item m="1" x="244"/>
        <item m="1" x="271"/>
        <item m="1" x="640"/>
        <item m="1" x="298"/>
        <item m="1" x="336"/>
        <item m="1" x="32"/>
        <item m="1" x="437"/>
        <item m="1" x="143"/>
        <item m="1" x="153"/>
        <item m="1" x="503"/>
        <item m="1" x="160"/>
        <item m="1" x="549"/>
        <item m="1" x="211"/>
        <item m="1" x="571"/>
        <item m="1" x="595"/>
        <item m="1" x="257"/>
        <item m="1" x="650"/>
        <item m="1" x="354"/>
        <item m="1" x="42"/>
        <item m="1" x="85"/>
        <item m="1" x="412"/>
        <item m="1" x="436"/>
        <item m="1" x="450"/>
        <item m="1" x="512"/>
        <item m="1" x="548"/>
        <item m="1" x="639"/>
        <item m="1" x="345"/>
        <item m="1" x="57"/>
        <item m="1" x="84"/>
        <item m="1" x="426"/>
        <item m="1" x="488"/>
        <item m="1" x="199"/>
        <item m="1" x="236"/>
        <item m="1" x="255"/>
        <item m="1" x="632"/>
        <item m="1" x="662"/>
        <item m="1" x="319"/>
        <item m="1" x="4"/>
        <item m="1" x="13"/>
        <item m="1" x="379"/>
        <item m="1" x="404"/>
        <item m="1" x="411"/>
        <item m="1" x="449"/>
        <item m="1" x="462"/>
        <item m="1" x="471"/>
        <item m="1" x="180"/>
        <item m="1" x="547"/>
        <item m="1" x="558"/>
        <item m="1" x="253"/>
        <item m="1" x="392"/>
        <item m="1" x="425"/>
        <item m="1" x="150"/>
        <item m="1" x="191"/>
        <item m="1" x="210"/>
        <item m="1" x="241"/>
        <item m="1" x="307"/>
        <item m="1" x="670"/>
        <item m="1" x="83"/>
        <item m="1" x="419"/>
        <item m="1" x="149"/>
        <item m="1" x="519"/>
        <item m="1" x="178"/>
        <item m="1" x="556"/>
        <item m="1" x="209"/>
        <item m="1" x="222"/>
        <item m="1" x="628"/>
        <item m="1" x="18"/>
        <item m="1" x="391"/>
        <item m="1" x="166"/>
        <item m="1" x="197"/>
        <item m="1" x="207"/>
        <item m="1" x="582"/>
        <item m="1" x="283"/>
        <item m="1" x="295"/>
        <item m="1" x="28"/>
        <item m="1" x="390"/>
        <item m="1" x="82"/>
        <item m="1" x="409"/>
        <item m="1" x="448"/>
        <item m="1" x="119"/>
        <item m="1" x="532"/>
        <item m="1" x="581"/>
        <item m="1" x="592"/>
        <item m="1" x="282"/>
        <item m="1" x="17"/>
        <item m="1" x="363"/>
        <item m="1" x="81"/>
        <item m="1" x="434"/>
        <item m="1" x="483"/>
        <item m="1" x="190"/>
        <item m="1" x="580"/>
        <item m="1" x="305"/>
        <item m="1" x="351"/>
        <item m="1" x="563"/>
        <item m="1" x="389"/>
        <item m="1" x="403"/>
        <item m="1" x="587"/>
        <item m="1" x="608"/>
        <item m="1" x="259"/>
        <item m="1" x="274"/>
        <item m="1" x="446"/>
        <item m="1" x="656"/>
        <item m="1" x="300"/>
        <item m="1" x="311"/>
        <item m="1" x="148"/>
        <item m="1" x="8"/>
        <item m="1" x="338"/>
        <item m="1" x="357"/>
        <item m="1" x="544"/>
        <item m="1" x="555"/>
        <item m="1" x="68"/>
        <item m="1" x="398"/>
        <item m="1" x="105"/>
        <item m="1" x="267"/>
        <item m="1" x="646"/>
        <item m="1" x="468"/>
        <item m="1" x="668"/>
        <item m="1" x="317"/>
        <item m="1" x="183"/>
        <item m="1" x="54"/>
        <item m="1" x="572"/>
        <item m="1" x="402"/>
        <item m="1" x="607"/>
        <item m="1" x="286"/>
        <item m="1" x="445"/>
        <item m="1" x="655"/>
        <item m="1" x="137"/>
        <item m="1" x="346"/>
        <item m="1" x="188"/>
        <item m="1" x="356"/>
        <item m="1" x="44"/>
        <item m="1" x="397"/>
        <item m="1" x="233"/>
        <item m="1" x="407"/>
        <item m="1" x="251"/>
        <item m="1" x="420"/>
        <item m="1" x="613"/>
        <item m="1" x="645"/>
        <item m="1" x="467"/>
        <item m="1" x="660"/>
        <item m="1" x="506"/>
        <item m="1" x="362"/>
        <item m="1" x="203"/>
        <item m="1" x="374"/>
        <item m="1" x="214"/>
        <item m="1" x="92"/>
        <item m="1" x="605"/>
        <item m="1" x="620"/>
        <item m="1" x="124"/>
        <item m="1" x="136"/>
        <item m="1" x="482"/>
        <item m="1" x="23"/>
        <item m="1" x="382"/>
        <item m="1" x="567"/>
        <item m="1" x="221"/>
        <item m="1" x="413"/>
        <item m="1" x="250"/>
        <item m="1" x="637"/>
        <item m="1" x="289"/>
        <item m="1" x="644"/>
        <item m="1" x="659"/>
        <item m="1" x="330"/>
        <item m="1" x="16"/>
        <item m="1" x="361"/>
        <item m="1" x="228"/>
        <item m="1" x="586"/>
        <item m="1" x="80"/>
        <item m="1" x="596"/>
        <item m="1" x="418"/>
        <item m="1" x="284"/>
        <item m="1" x="118"/>
        <item m="1" x="322"/>
        <item m="1" x="499"/>
        <item m="1" x="174"/>
        <item m="1" x="530"/>
        <item m="1" x="35"/>
        <item m="1" x="43"/>
        <item m="1" x="566"/>
        <item m="1" x="591"/>
        <item m="1" x="97"/>
        <item m="1" x="249"/>
        <item m="1" x="266"/>
        <item m="1" x="636"/>
        <item m="1" x="453"/>
        <item m="1" x="466"/>
        <item m="1" x="473"/>
        <item m="1" x="522"/>
        <item m="1" x="39"/>
        <item m="1" x="193"/>
        <item m="1" x="360"/>
        <item m="1" x="52"/>
        <item m="1" x="373"/>
        <item m="1" x="401"/>
        <item m="1" x="604"/>
        <item m="1" x="258"/>
        <item m="1" x="424"/>
        <item m="1" x="619"/>
        <item m="1" x="433"/>
        <item m="1" x="633"/>
        <item m="1" x="116"/>
        <item m="1" x="470"/>
        <item m="1" x="310"/>
        <item m="1" x="674"/>
        <item m="1" x="321"/>
        <item m="1" x="158"/>
        <item m="1" x="14"/>
        <item m="1" x="165"/>
        <item m="1" x="22"/>
        <item m="1" x="173"/>
        <item m="1" x="187"/>
        <item m="1" x="220"/>
        <item m="1" x="396"/>
        <item m="1" x="578"/>
        <item m="1" x="239"/>
        <item m="1" x="625"/>
        <item m="1" x="110"/>
        <item m="1" x="280"/>
        <item m="1" x="294"/>
        <item m="1" x="465"/>
        <item m="1" x="304"/>
        <item m="1" x="472"/>
        <item m="1" x="677"/>
        <item m="1" x="329"/>
        <item m="1" x="342"/>
        <item m="1" x="38"/>
        <item m="1" x="66"/>
        <item m="1" x="91"/>
        <item m="1" x="603"/>
        <item m="1" x="653"/>
        <item m="1" x="469"/>
        <item m="1" x="664"/>
        <item m="1" x="481"/>
        <item m="1" x="146"/>
        <item m="1" x="498"/>
        <item m="1" x="34"/>
        <item m="1" x="395"/>
        <item m="1" x="73"/>
        <item m="1" x="590"/>
        <item m="1" x="612"/>
        <item m="1" x="104"/>
        <item m="1" x="265"/>
        <item m="1" x="429"/>
        <item m="1" x="287"/>
        <item m="1" x="129"/>
        <item m="1" x="303"/>
        <item m="1" x="491"/>
        <item m="1" x="154"/>
        <item m="1" x="328"/>
        <item m="1" x="513"/>
        <item m="1" x="170"/>
        <item m="1" x="521"/>
        <item m="1" x="551"/>
        <item m="1" x="51"/>
        <item m="1" x="201"/>
        <item m="1" x="561"/>
        <item m="1" x="65"/>
        <item m="1" x="388"/>
        <item m="1" x="226"/>
        <item m="1" x="245"/>
        <item m="1" x="417"/>
        <item m="1" x="602"/>
        <item m="1" x="618"/>
        <item m="1" x="299"/>
        <item m="1" x="145"/>
        <item m="1" x="497"/>
        <item m="1" x="332"/>
        <item m="1" x="516"/>
        <item m="1" x="20"/>
        <item m="1" x="528"/>
        <item m="1" x="33"/>
        <item m="1" x="355"/>
        <item m="1" x="554"/>
        <item m="1" x="218"/>
        <item m="1" x="394"/>
        <item m="1" x="577"/>
        <item m="1" x="611"/>
        <item m="1" x="103"/>
        <item m="1" x="264"/>
        <item m="1" x="428"/>
        <item m="1" x="624"/>
        <item m="1" x="108"/>
        <item m="1" x="452"/>
        <item m="1" x="121"/>
        <item m="1" x="302"/>
        <item m="1" x="316"/>
        <item m="1" x="676"/>
        <item m="1" x="161"/>
        <item m="1" x="169"/>
        <item m="1" x="192"/>
        <item m="1" x="550"/>
        <item m="1" x="49"/>
        <item m="1" x="212"/>
        <item m="1" x="237"/>
        <item m="1" x="90"/>
        <item m="1" x="242"/>
        <item m="1" x="416"/>
        <item m="1" x="601"/>
        <item m="1" x="443"/>
        <item m="1" x="651"/>
        <item m="1" x="479"/>
        <item m="1" x="5"/>
        <item m="1" x="157"/>
        <item m="1" x="31"/>
        <item m="1" x="196"/>
        <item m="1" x="368"/>
        <item m="1" x="381"/>
        <item m="1" x="576"/>
        <item m="1" x="231"/>
        <item m="1" x="589"/>
        <item m="1" x="248"/>
        <item m="1" x="427"/>
        <item m="1" x="278"/>
        <item m="1" x="451"/>
        <item m="1" x="293"/>
        <item m="1" x="463"/>
        <item m="1" x="142"/>
        <item m="1" x="334"/>
        <item m="1" x="168"/>
        <item m="1" x="341"/>
        <item m="1" x="520"/>
        <item m="1" x="350"/>
        <item m="1" x="37"/>
        <item m="1" x="560"/>
        <item m="1" x="387"/>
        <item m="1" x="570"/>
        <item m="1" x="70"/>
        <item m="1" x="225"/>
        <item m="1" x="99"/>
        <item m="1" x="270"/>
        <item m="1" x="115"/>
        <item m="1" x="442"/>
        <item m="1" x="457"/>
        <item m="1" x="297"/>
        <item m="1" x="663"/>
        <item m="1" x="134"/>
        <item m="1" x="308"/>
        <item m="1" x="478"/>
        <item m="1" x="164"/>
        <item m="1" x="543"/>
        <item m="1" x="41"/>
        <item m="1" x="367"/>
        <item m="1" x="216"/>
        <item m="1" x="393"/>
        <item m="1" x="72"/>
        <item m="1" x="599"/>
        <item m="1" x="102"/>
        <item m="1" x="263"/>
        <item m="1" x="435"/>
        <item m="1" x="642"/>
        <item m="1" x="292"/>
        <item m="1" x="127"/>
        <item m="1" x="489"/>
        <item m="1" x="675"/>
        <item m="1" x="167"/>
        <item m="1" x="349"/>
        <item m="1" x="200"/>
        <item m="1" x="63"/>
        <item m="1" x="584"/>
        <item m="1" x="415"/>
        <item m="1" x="256"/>
        <item m="1" x="423"/>
        <item m="1" x="114"/>
        <item m="1" x="456"/>
        <item m="1" x="649"/>
        <item m="1" x="477"/>
        <item m="1" x="672"/>
        <item m="1" x="320"/>
        <item m="1" x="496"/>
        <item m="1" x="510"/>
        <item m="1" x="344"/>
        <item m="1" x="526"/>
        <item m="1" x="184"/>
        <item m="1" x="380"/>
        <item m="1" x="94"/>
        <item m="1" x="247"/>
        <item m="1" x="610"/>
        <item m="1" x="623"/>
        <item m="1" x="107"/>
        <item m="1" x="277"/>
        <item m="1" x="141"/>
        <item m="1" x="315"/>
        <item m="1" x="486"/>
        <item m="1" x="152"/>
        <item m="1" x="502"/>
        <item m="1" x="9"/>
        <item m="1" x="181"/>
        <item m="1" x="536"/>
        <item m="1" x="36"/>
        <item m="1" x="48"/>
        <item m="1" x="198"/>
        <item m="1" x="372"/>
        <item m="1" x="559"/>
        <item m="1" x="569"/>
        <item m="1" x="594"/>
        <item m="1" x="600"/>
        <item m="1" x="254"/>
        <item m="1" x="616"/>
        <item m="1" x="638"/>
        <item m="1" x="455"/>
        <item m="1" x="123"/>
        <item m="1" x="495"/>
        <item m="1" x="509"/>
        <item m="1" x="12"/>
        <item m="1" x="163"/>
        <item m="1" x="525"/>
        <item m="1" x="29"/>
        <item m="1" x="353"/>
        <item m="1" x="366"/>
        <item m="1" x="56"/>
        <item m="1" x="93"/>
        <item m="1" x="262"/>
        <item m="1" x="641"/>
        <item m="1" x="461"/>
        <item m="1" x="140"/>
        <item m="1" x="314"/>
        <item m="1" x="151"/>
        <item m="1" x="159"/>
        <item m="1" x="511"/>
        <item m="1" x="535"/>
        <item m="1" x="546"/>
        <item m="1" x="47"/>
        <item m="1" x="371"/>
        <item m="1" x="557"/>
        <item m="1" x="61"/>
        <item m="1" x="386"/>
        <item m="1" x="568"/>
        <item m="1" x="583"/>
        <item m="1" x="235"/>
        <item m="1" x="88"/>
        <item m="1" x="615"/>
        <item m="1" x="106"/>
        <item m="1" x="269"/>
        <item m="1" x="432"/>
        <item m="1" x="630"/>
        <item m="1" x="122"/>
        <item m="1" x="296"/>
        <item m="1" x="671"/>
        <item m="1" x="318"/>
        <item m="1" x="494"/>
        <item m="1" x="3"/>
        <item m="1" x="162"/>
        <item m="1" x="19"/>
        <item m="1" x="204"/>
        <item m="1" x="377"/>
        <item m="1" x="71"/>
        <item m="1" x="410"/>
        <item m="1" x="621"/>
        <item m="1" x="635"/>
        <item m="1" x="120"/>
        <item m="1" x="327"/>
        <item m="1" x="340"/>
        <item m="1" x="26"/>
        <item m="1" x="348"/>
        <item m="1" x="534"/>
        <item m="1" x="46"/>
        <item m="1" x="223"/>
        <item m="1" x="87"/>
        <item m="1" x="414"/>
        <item m="1" x="252"/>
        <item m="1" x="614"/>
        <item m="1" x="629"/>
        <item m="1" x="454"/>
        <item m="1" x="508"/>
        <item m="1" x="541"/>
        <item m="1" x="40"/>
        <item m="1" x="55"/>
        <item m="1" x="376"/>
        <item m="1" x="609"/>
        <item m="1" x="101"/>
        <item m="1" x="261"/>
        <item m="1" x="276"/>
        <item m="1" x="126"/>
        <item m="1" x="666"/>
        <item m="1" x="139"/>
        <item m="1" x="313"/>
        <item m="1" x="485"/>
        <item m="1" x="326"/>
        <item m="1" x="15"/>
        <item m="1" x="518"/>
        <item m="1" x="208"/>
        <item m="1" x="69"/>
        <item m="1" x="78"/>
        <item m="1" x="593"/>
        <item m="1" x="431"/>
        <item m="1" x="627"/>
        <item m="1" x="306"/>
        <item m="1" x="475"/>
        <item m="1" x="155"/>
        <item m="1" x="335"/>
        <item m="1" x="515"/>
        <item m="1" x="343"/>
        <item m="1" x="365"/>
        <item m="1" x="598"/>
        <item m="1" x="260"/>
        <item m="1" x="301"/>
        <item m="1" x="484"/>
        <item m="1" x="325"/>
        <item m="1" x="339"/>
        <item m="1" x="25"/>
        <item m="1" x="177"/>
        <item m="1" x="533"/>
        <item m="1" x="60"/>
        <item m="1" x="384"/>
        <item m="1" x="234"/>
        <item m="1" x="669"/>
        <item m="1" x="2"/>
        <item m="1" x="331"/>
        <item m="1" x="11"/>
        <item m="1" x="514"/>
        <item m="1" x="523"/>
        <item m="1" x="352"/>
        <item m="1" x="539"/>
        <item m="1" x="195"/>
        <item m="1" x="364"/>
        <item m="1" x="588"/>
        <item m="1" x="447"/>
        <item m="1" x="459"/>
        <item m="1" x="657"/>
        <item m="1" x="125"/>
        <item m="1" x="138"/>
        <item m="1" x="531"/>
        <item m="1" x="422"/>
        <item m="1" x="430"/>
        <item m="1" x="113"/>
        <item m="1" x="647"/>
        <item m="1" x="474"/>
        <item m="1" x="493"/>
        <item t="default"/>
      </items>
    </pivotField>
    <pivotField compact="0" outline="0" showAll="0" defaultSubtotal="0"/>
    <pivotField compact="0" outline="0" showAll="0">
      <items count="139">
        <item m="1" x="1"/>
        <item m="1" x="132"/>
        <item m="1" x="120"/>
        <item m="1" x="8"/>
        <item m="1" x="133"/>
        <item m="1" x="4"/>
        <item m="1" x="32"/>
        <item m="1" x="100"/>
        <item m="1" x="55"/>
        <item m="1" x="22"/>
        <item m="1" x="130"/>
        <item m="1" x="46"/>
        <item m="1" x="6"/>
        <item m="1" x="101"/>
        <item m="1" x="58"/>
        <item m="1" x="63"/>
        <item m="1" x="24"/>
        <item m="1" x="134"/>
        <item m="1" x="5"/>
        <item m="1" x="128"/>
        <item m="1" x="59"/>
        <item m="1" x="66"/>
        <item m="1" x="71"/>
        <item m="1" x="47"/>
        <item m="1" x="10"/>
        <item m="1" x="114"/>
        <item m="1" x="106"/>
        <item m="1" x="74"/>
        <item m="1" x="135"/>
        <item m="1" x="75"/>
        <item m="1" x="123"/>
        <item m="1" x="95"/>
        <item m="1" x="83"/>
        <item m="1" x="108"/>
        <item m="1" x="85"/>
        <item m="1" x="56"/>
        <item m="1" x="67"/>
        <item m="1" x="64"/>
        <item m="1" x="20"/>
        <item m="1" x="44"/>
        <item m="1" x="129"/>
        <item m="1" x="136"/>
        <item m="1" x="88"/>
        <item m="1" x="111"/>
        <item m="1" x="110"/>
        <item m="1" x="9"/>
        <item m="1" x="68"/>
        <item m="1" x="45"/>
        <item m="1" x="104"/>
        <item m="1" x="28"/>
        <item m="1" x="119"/>
        <item m="1" x="11"/>
        <item m="1" x="90"/>
        <item m="1" x="102"/>
        <item m="1" x="115"/>
        <item m="1" x="124"/>
        <item m="1" x="98"/>
        <item m="1" x="25"/>
        <item m="1" x="80"/>
        <item m="1" x="76"/>
        <item m="1" x="29"/>
        <item m="1" x="109"/>
        <item m="1" x="26"/>
        <item m="1" x="69"/>
        <item m="1" x="49"/>
        <item m="1" x="42"/>
        <item m="1" x="137"/>
        <item m="1" x="2"/>
        <item m="1" x="103"/>
        <item m="1" x="14"/>
        <item m="1" x="116"/>
        <item m="1" x="50"/>
        <item m="1" x="96"/>
        <item m="1" x="65"/>
        <item m="1" x="52"/>
        <item m="1" x="33"/>
        <item m="1" x="38"/>
        <item m="1" x="117"/>
        <item m="1" x="60"/>
        <item m="1" x="36"/>
        <item m="1" x="15"/>
        <item m="1" x="39"/>
        <item m="1" x="3"/>
        <item m="1" x="92"/>
        <item m="1" x="61"/>
        <item m="1" x="18"/>
        <item m="1" x="41"/>
        <item m="1" x="27"/>
        <item m="1" x="97"/>
        <item m="1" x="16"/>
        <item m="1" x="93"/>
        <item m="1" x="30"/>
        <item m="1" x="126"/>
        <item m="1" x="77"/>
        <item m="1" x="51"/>
        <item m="1" x="53"/>
        <item m="1" x="125"/>
        <item m="1" x="84"/>
        <item m="1" x="17"/>
        <item m="1" x="105"/>
        <item m="1" x="34"/>
        <item m="1" x="12"/>
        <item m="1" x="107"/>
        <item m="1" x="91"/>
        <item m="1" x="127"/>
        <item m="1" x="86"/>
        <item m="1" x="121"/>
        <item m="1" x="7"/>
        <item m="1" x="31"/>
        <item m="1" x="72"/>
        <item m="1" x="48"/>
        <item m="1" x="94"/>
        <item m="1" x="118"/>
        <item m="1" x="78"/>
        <item m="1" x="87"/>
        <item m="1" x="35"/>
        <item m="1" x="81"/>
        <item m="1" x="99"/>
        <item m="1" x="54"/>
        <item m="1" x="70"/>
        <item m="1" x="13"/>
        <item m="1" x="37"/>
        <item m="1" x="122"/>
        <item m="1" x="23"/>
        <item m="1" x="131"/>
        <item m="1" x="43"/>
        <item m="1" x="89"/>
        <item m="1" x="57"/>
        <item m="1" x="73"/>
        <item x="0"/>
        <item m="1" x="19"/>
        <item m="1" x="21"/>
        <item m="1" x="40"/>
        <item m="1" x="79"/>
        <item m="1" x="112"/>
        <item m="1" x="113"/>
        <item m="1" x="62"/>
        <item m="1" x="82"/>
        <item t="default"/>
      </items>
    </pivotField>
    <pivotField compact="0" outline="0" showAll="0"/>
    <pivotField compact="0" outline="0" showAll="0" defaultSubtotal="0">
      <items count="6">
        <item x="0"/>
        <item m="1" x="3"/>
        <item m="1" x="2"/>
        <item m="1" x="4"/>
        <item m="1" x="5"/>
        <item m="1" x="1"/>
      </items>
    </pivotField>
    <pivotField compact="0" outline="0" showAll="0" defaultSubtotal="0">
      <items count="2">
        <item x="0"/>
        <item m="1" x="1"/>
      </items>
    </pivotField>
    <pivotField axis="axisRow" compact="0" outline="0" showAll="0" sortType="descending">
      <items count="543">
        <item m="1" x="166"/>
        <item m="1" x="149"/>
        <item m="1" x="139"/>
        <item m="1" x="147"/>
        <item m="1" x="138"/>
        <item m="1" x="156"/>
        <item m="1" x="172"/>
        <item m="1" x="196"/>
        <item m="1" x="137"/>
        <item m="1" x="145"/>
        <item m="1" x="154"/>
        <item m="1" x="181"/>
        <item m="1" x="195"/>
        <item m="1" x="135"/>
        <item m="1" x="171"/>
        <item m="1" x="194"/>
        <item m="1" x="180"/>
        <item m="1" x="193"/>
        <item m="1" x="144"/>
        <item m="1" x="151"/>
        <item m="1" x="179"/>
        <item m="1" x="337"/>
        <item m="1" x="347"/>
        <item m="1" x="368"/>
        <item x="0"/>
        <item m="1" x="359"/>
        <item m="1" x="331"/>
        <item m="1" x="306"/>
        <item m="1" x="305"/>
        <item m="1" x="317"/>
        <item m="1" x="357"/>
        <item m="1" x="292"/>
        <item m="1" x="356"/>
        <item m="1" x="365"/>
        <item m="1" x="316"/>
        <item m="1" x="355"/>
        <item m="1" x="282"/>
        <item m="1" x="354"/>
        <item m="1" x="315"/>
        <item m="1" x="327"/>
        <item m="1" x="302"/>
        <item m="1" x="351"/>
        <item m="1" x="301"/>
        <item m="1" x="326"/>
        <item m="1" x="300"/>
        <item m="1" x="325"/>
        <item x="1"/>
        <item m="1" x="336"/>
        <item m="1" x="313"/>
        <item m="1" x="349"/>
        <item m="1" x="9"/>
        <item m="1" x="470"/>
        <item m="1" x="100"/>
        <item m="1" x="398"/>
        <item m="1" x="484"/>
        <item m="1" x="403"/>
        <item m="1" x="102"/>
        <item m="1" x="116"/>
        <item m="1" x="429"/>
        <item m="1" x="383"/>
        <item m="1" x="283"/>
        <item m="1" x="182"/>
        <item m="1" x="524"/>
        <item m="1" x="19"/>
        <item m="1" x="473"/>
        <item m="1" x="167"/>
        <item m="1" x="490"/>
        <item m="1" x="108"/>
        <item m="1" x="3"/>
        <item m="1" x="175"/>
        <item m="1" x="503"/>
        <item m="1" x="258"/>
        <item m="1" x="277"/>
        <item m="1" x="511"/>
        <item m="1" x="39"/>
        <item m="1" x="80"/>
        <item m="1" x="229"/>
        <item m="1" x="71"/>
        <item m="1" x="333"/>
        <item m="1" x="362"/>
        <item m="1" x="29"/>
        <item m="1" x="465"/>
        <item m="1" x="164"/>
        <item m="1" x="308"/>
        <item m="1" x="438"/>
        <item m="1" x="479"/>
        <item m="1" x="482"/>
        <item m="1" x="263"/>
        <item m="1" x="136"/>
        <item m="1" x="257"/>
        <item m="1" x="213"/>
        <item m="1" x="510"/>
        <item m="1" x="389"/>
        <item m="1" x="466"/>
        <item m="1" x="14"/>
        <item m="1" x="207"/>
        <item m="1" x="534"/>
        <item m="1" x="78"/>
        <item m="1" x="448"/>
        <item m="1" x="428"/>
        <item m="1" x="538"/>
        <item m="1" x="481"/>
        <item m="1" x="132"/>
        <item m="1" x="21"/>
        <item m="1" x="5"/>
        <item m="1" x="32"/>
        <item m="1" x="269"/>
        <item m="1" x="536"/>
        <item m="1" x="125"/>
        <item m="1" x="211"/>
        <item m="1" x="426"/>
        <item m="1" x="469"/>
        <item m="1" x="97"/>
        <item m="1" x="414"/>
        <item m="1" x="161"/>
        <item m="1" x="373"/>
        <item m="1" x="219"/>
        <item m="1" x="529"/>
        <item m="1" x="523"/>
        <item m="1" x="124"/>
        <item m="1" x="85"/>
        <item m="1" x="459"/>
        <item m="1" x="183"/>
        <item m="1" x="7"/>
        <item m="1" x="332"/>
        <item m="1" x="236"/>
        <item m="1" x="27"/>
        <item m="1" x="411"/>
        <item m="1" x="405"/>
        <item m="1" x="94"/>
        <item m="1" x="416"/>
        <item m="1" x="123"/>
        <item m="1" x="114"/>
        <item m="1" x="468"/>
        <item m="1" x="531"/>
        <item m="1" x="187"/>
        <item m="1" x="157"/>
        <item m="1" x="299"/>
        <item m="1" x="319"/>
        <item m="1" x="44"/>
        <item m="1" x="397"/>
        <item m="1" x="445"/>
        <item m="1" x="48"/>
        <item m="1" x="537"/>
        <item m="1" x="210"/>
        <item m="1" x="451"/>
        <item m="1" x="37"/>
        <item m="1" x="6"/>
        <item m="1" x="322"/>
        <item m="1" x="53"/>
        <item m="1" x="26"/>
        <item m="1" x="371"/>
        <item m="1" x="291"/>
        <item m="1" x="285"/>
        <item m="1" x="535"/>
        <item m="1" x="198"/>
        <item m="1" x="533"/>
        <item m="1" x="508"/>
        <item m="1" x="220"/>
        <item m="1" x="233"/>
        <item m="1" x="246"/>
        <item m="1" x="231"/>
        <item m="1" x="526"/>
        <item m="1" x="87"/>
        <item m="1" x="105"/>
        <item m="1" x="346"/>
        <item m="1" x="530"/>
        <item m="1" x="168"/>
        <item m="1" x="457"/>
        <item m="1" x="242"/>
        <item m="1" x="413"/>
        <item m="1" x="390"/>
        <item m="1" x="33"/>
        <item m="1" x="259"/>
        <item m="1" x="131"/>
        <item m="1" x="320"/>
        <item m="1" x="217"/>
        <item m="1" x="146"/>
        <item m="1" x="462"/>
        <item m="1" x="358"/>
        <item m="1" x="353"/>
        <item m="1" x="407"/>
        <item m="1" x="492"/>
        <item m="1" x="153"/>
        <item m="1" x="401"/>
        <item m="1" x="363"/>
        <item m="1" x="385"/>
        <item m="1" x="56"/>
        <item m="1" x="212"/>
        <item m="1" x="43"/>
        <item m="1" x="232"/>
        <item m="1" x="216"/>
        <item m="1" x="148"/>
        <item m="1" x="406"/>
        <item m="1" x="334"/>
        <item m="1" x="128"/>
        <item m="1" x="250"/>
        <item m="1" x="449"/>
        <item m="1" x="396"/>
        <item m="1" x="66"/>
        <item m="1" x="458"/>
        <item m="1" x="366"/>
        <item m="1" x="321"/>
        <item m="1" x="379"/>
        <item m="1" x="360"/>
        <item m="1" x="17"/>
        <item m="1" x="441"/>
        <item m="1" x="375"/>
        <item m="1" x="361"/>
        <item m="1" x="288"/>
        <item m="1" x="252"/>
        <item m="1" x="215"/>
        <item m="1" x="120"/>
        <item m="1" x="455"/>
        <item m="1" x="266"/>
        <item m="1" x="174"/>
        <item m="1" x="513"/>
        <item m="1" x="30"/>
        <item m="1" x="399"/>
        <item m="1" x="472"/>
        <item m="1" x="498"/>
        <item m="1" x="520"/>
        <item m="1" x="192"/>
        <item m="1" x="376"/>
        <item m="1" x="480"/>
        <item m="1" x="197"/>
        <item m="1" x="521"/>
        <item m="1" x="255"/>
        <item m="1" x="35"/>
        <item m="1" x="91"/>
        <item m="1" x="311"/>
        <item m="1" x="275"/>
        <item m="1" x="436"/>
        <item m="1" x="34"/>
        <item m="1" x="47"/>
        <item m="1" x="370"/>
        <item m="1" x="386"/>
        <item m="1" x="435"/>
        <item m="1" x="340"/>
        <item m="1" x="446"/>
        <item m="1" x="452"/>
        <item m="1" x="434"/>
        <item m="1" x="23"/>
        <item m="1" x="122"/>
        <item m="1" x="402"/>
        <item m="1" x="82"/>
        <item m="1" x="279"/>
        <item m="1" x="73"/>
        <item m="1" x="439"/>
        <item m="1" x="227"/>
        <item m="1" x="238"/>
        <item m="1" x="62"/>
        <item m="1" x="380"/>
        <item m="1" x="245"/>
        <item m="1" x="516"/>
        <item m="1" x="93"/>
        <item m="1" x="150"/>
        <item m="1" x="294"/>
        <item m="1" x="515"/>
        <item m="1" x="104"/>
        <item m="1" x="507"/>
        <item m="1" x="418"/>
        <item m="1" x="16"/>
        <item m="1" x="141"/>
        <item m="1" x="509"/>
        <item m="1" x="117"/>
        <item m="1" x="290"/>
        <item m="1" x="25"/>
        <item m="1" x="395"/>
        <item m="1" x="499"/>
        <item m="1" x="502"/>
        <item m="1" x="130"/>
        <item m="1" x="304"/>
        <item m="1" x="400"/>
        <item m="1" x="377"/>
        <item m="1" x="244"/>
        <item m="1" x="528"/>
        <item m="1" x="256"/>
        <item m="1" x="489"/>
        <item m="1" x="103"/>
        <item m="1" x="307"/>
        <item m="1" x="437"/>
        <item m="1" x="500"/>
        <item m="1" x="79"/>
        <item m="1" x="13"/>
        <item m="1" x="209"/>
        <item m="1" x="113"/>
        <item m="1" x="431"/>
        <item m="1" x="28"/>
        <item m="1" x="421"/>
        <item m="1" x="99"/>
        <item m="1" x="453"/>
        <item m="1" x="115"/>
        <item m="1" x="495"/>
        <item m="1" x="504"/>
        <item m="1" x="89"/>
        <item m="1" x="239"/>
        <item m="1" x="72"/>
        <item m="1" x="45"/>
        <item m="1" x="286"/>
        <item m="1" x="352"/>
        <item m="1" x="339"/>
        <item m="1" x="474"/>
        <item m="1" x="15"/>
        <item m="1" x="519"/>
        <item m="1" x="226"/>
        <item m="1" x="90"/>
        <item m="1" x="57"/>
        <item m="1" x="518"/>
        <item m="1" x="214"/>
        <item m="1" x="342"/>
        <item m="1" x="83"/>
        <item m="1" x="323"/>
        <item m="1" x="314"/>
        <item m="1" x="67"/>
        <item m="1" x="374"/>
        <item m="1" x="11"/>
        <item m="1" x="170"/>
        <item m="1" x="384"/>
        <item m="1" x="51"/>
        <item m="1" x="514"/>
        <item m="1" x="506"/>
        <item m="1" x="8"/>
        <item m="1" x="185"/>
        <item m="1" x="75"/>
        <item m="1" x="461"/>
        <item m="1" x="287"/>
        <item m="1" x="61"/>
        <item m="1" x="77"/>
        <item m="1" x="525"/>
        <item m="1" x="329"/>
        <item m="1" x="454"/>
        <item m="1" x="203"/>
        <item m="1" x="165"/>
        <item m="1" x="450"/>
        <item m="1" x="173"/>
        <item m="1" x="133"/>
        <item m="1" x="12"/>
        <item m="1" x="155"/>
        <item m="1" x="381"/>
        <item m="1" x="22"/>
        <item m="1" x="106"/>
        <item m="1" x="408"/>
        <item m="1" x="281"/>
        <item m="1" x="298"/>
        <item m="1" x="36"/>
        <item m="1" x="201"/>
        <item m="1" x="158"/>
        <item m="1" x="328"/>
        <item m="1" x="68"/>
        <item m="1" x="475"/>
        <item m="1" x="420"/>
        <item m="1" x="444"/>
        <item m="1" x="118"/>
        <item m="1" x="121"/>
        <item m="1" x="394"/>
        <item m="1" x="112"/>
        <item m="1" x="49"/>
        <item m="1" x="261"/>
        <item m="1" x="417"/>
        <item m="1" x="247"/>
        <item m="1" x="264"/>
        <item m="1" x="487"/>
        <item m="1" x="388"/>
        <item m="1" x="84"/>
        <item m="1" x="54"/>
        <item m="1" x="330"/>
        <item m="1" x="218"/>
        <item m="1" x="95"/>
        <item m="1" x="387"/>
        <item m="1" x="378"/>
        <item m="1" x="382"/>
        <item m="1" x="2"/>
        <item m="1" x="430"/>
        <item m="1" x="70"/>
        <item m="1" x="241"/>
        <item m="1" x="497"/>
        <item m="1" x="425"/>
        <item m="1" x="422"/>
        <item m="1" x="335"/>
        <item m="1" x="58"/>
        <item m="1" x="443"/>
        <item m="1" x="184"/>
        <item m="1" x="20"/>
        <item m="1" x="393"/>
        <item m="1" x="169"/>
        <item m="1" x="293"/>
        <item m="1" x="477"/>
        <item m="1" x="467"/>
        <item m="1" x="343"/>
        <item m="1" x="268"/>
        <item m="1" x="206"/>
        <item m="1" x="59"/>
        <item m="1" x="364"/>
        <item m="1" x="41"/>
        <item m="1" x="412"/>
        <item m="1" x="205"/>
        <item m="1" x="42"/>
        <item m="1" x="372"/>
        <item m="1" x="310"/>
        <item m="1" x="249"/>
        <item m="1" x="188"/>
        <item m="1" x="50"/>
        <item m="1" x="4"/>
        <item m="1" x="177"/>
        <item m="1" x="24"/>
        <item m="1" x="369"/>
        <item m="1" x="74"/>
        <item m="1" x="522"/>
        <item m="1" x="409"/>
        <item m="1" x="46"/>
        <item m="1" x="532"/>
        <item m="1" x="18"/>
        <item m="1" x="69"/>
        <item m="1" x="86"/>
        <item m="1" x="392"/>
        <item m="1" x="345"/>
        <item m="1" x="191"/>
        <item m="1" x="491"/>
        <item m="1" x="471"/>
        <item m="1" x="31"/>
        <item m="1" x="324"/>
        <item m="1" x="341"/>
        <item m="1" x="350"/>
        <item m="1" x="204"/>
        <item m="1" x="262"/>
        <item m="1" x="254"/>
        <item m="1" x="240"/>
        <item m="1" x="501"/>
        <item m="1" x="40"/>
        <item m="1" x="493"/>
        <item m="1" x="303"/>
        <item m="1" x="415"/>
        <item m="1" x="427"/>
        <item m="1" x="367"/>
        <item m="1" x="237"/>
        <item m="1" x="200"/>
        <item m="1" x="129"/>
        <item m="1" x="38"/>
        <item m="1" x="270"/>
        <item m="1" x="517"/>
        <item m="1" x="541"/>
        <item m="1" x="267"/>
        <item m="1" x="176"/>
        <item m="1" x="189"/>
        <item m="1" x="488"/>
        <item m="1" x="423"/>
        <item m="1" x="60"/>
        <item m="1" x="126"/>
        <item m="1" x="111"/>
        <item m="1" x="512"/>
        <item m="1" x="248"/>
        <item m="1" x="225"/>
        <item m="1" x="447"/>
        <item m="1" x="456"/>
        <item m="1" x="119"/>
        <item m="1" x="142"/>
        <item m="1" x="273"/>
        <item m="1" x="107"/>
        <item m="1" x="297"/>
        <item m="1" x="162"/>
        <item m="1" x="433"/>
        <item m="1" x="234"/>
        <item m="1" x="464"/>
        <item m="1" x="65"/>
        <item m="1" x="272"/>
        <item m="1" x="496"/>
        <item m="1" x="163"/>
        <item m="1" x="391"/>
        <item m="1" x="539"/>
        <item m="1" x="52"/>
        <item m="1" x="222"/>
        <item m="1" x="318"/>
        <item m="1" x="221"/>
        <item m="1" x="134"/>
        <item m="1" x="440"/>
        <item m="1" x="460"/>
        <item m="1" x="478"/>
        <item m="1" x="289"/>
        <item m="1" x="235"/>
        <item m="1" x="81"/>
        <item m="1" x="230"/>
        <item m="1" x="295"/>
        <item m="1" x="404"/>
        <item m="1" x="486"/>
        <item m="1" x="338"/>
        <item m="1" x="442"/>
        <item m="1" x="271"/>
        <item m="1" x="110"/>
        <item m="1" x="276"/>
        <item m="1" x="127"/>
        <item m="1" x="278"/>
        <item m="1" x="202"/>
        <item m="1" x="463"/>
        <item m="1" x="265"/>
        <item m="1" x="280"/>
        <item m="1" x="186"/>
        <item m="1" x="296"/>
        <item m="1" x="312"/>
        <item m="1" x="251"/>
        <item m="1" x="88"/>
        <item m="1" x="527"/>
        <item m="1" x="253"/>
        <item m="1" x="190"/>
        <item m="1" x="223"/>
        <item m="1" x="101"/>
        <item m="1" x="96"/>
        <item m="1" x="199"/>
        <item m="1" x="344"/>
        <item m="1" x="243"/>
        <item m="1" x="152"/>
        <item m="1" x="274"/>
        <item m="1" x="10"/>
        <item m="1" x="494"/>
        <item m="1" x="432"/>
        <item m="1" x="160"/>
        <item m="1" x="64"/>
        <item m="1" x="476"/>
        <item m="1" x="505"/>
        <item m="1" x="92"/>
        <item m="1" x="485"/>
        <item m="1" x="284"/>
        <item m="1" x="76"/>
        <item m="1" x="410"/>
        <item m="1" x="55"/>
        <item m="1" x="208"/>
        <item m="1" x="140"/>
        <item m="1" x="419"/>
        <item m="1" x="224"/>
        <item m="1" x="260"/>
        <item m="1" x="178"/>
        <item m="1" x="159"/>
        <item m="1" x="143"/>
        <item m="1" x="98"/>
        <item m="1" x="109"/>
        <item m="1" x="348"/>
        <item m="1" x="424"/>
        <item m="1" x="309"/>
        <item m="1" x="483"/>
        <item m="1" x="540"/>
        <item m="1" x="228"/>
        <item m="1" x="63"/>
        <item t="default"/>
      </items>
    </pivotField>
    <pivotField compact="0" outline="0" showAll="0" sortType="ascending"/>
    <pivotField compact="0" outline="0" showAll="0" sortType="ascending"/>
    <pivotField compact="0" outline="0" showAll="0">
      <items count="11">
        <item x="0"/>
        <item x="1"/>
        <item x="2"/>
        <item x="3"/>
        <item m="1" x="9"/>
        <item m="1" x="4"/>
        <item m="1" x="5"/>
        <item m="1" x="6"/>
        <item m="1" x="7"/>
        <item m="1" x="8"/>
        <item t="default"/>
      </items>
    </pivotField>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3">
    <i>
      <x v="24"/>
    </i>
    <i>
      <x v="46"/>
    </i>
    <i t="grand">
      <x/>
    </i>
  </rowItems>
  <colFields count="1">
    <field x="-2"/>
  </colFields>
  <colItems count="2">
    <i>
      <x/>
    </i>
    <i i="1">
      <x v="1"/>
    </i>
  </colItems>
  <dataFields count="2">
    <dataField name="Average of ERRORTRS" fld="13" subtotal="average" baseField="6" baseItem="94"/>
    <dataField name="Average of ERRORTR" fld="16"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E28" firstHeaderRow="2" firstDataRow="2" firstDataCol="4"/>
  <pivotFields count="14">
    <pivotField axis="axisRow" dataField="1" compact="0" outline="0" showAll="0">
      <items count="26">
        <item x="3"/>
        <item x="18"/>
        <item x="22"/>
        <item x="0"/>
        <item x="6"/>
        <item x="24"/>
        <item x="16"/>
        <item x="9"/>
        <item x="12"/>
        <item x="21"/>
        <item x="15"/>
        <item x="23"/>
        <item x="7"/>
        <item x="19"/>
        <item x="1"/>
        <item x="2"/>
        <item x="10"/>
        <item x="17"/>
        <item x="8"/>
        <item x="20"/>
        <item x="11"/>
        <item x="13"/>
        <item x="5"/>
        <item x="4"/>
        <item x="14"/>
        <item t="default"/>
      </items>
    </pivotField>
    <pivotField compact="0" outline="0" showAll="0"/>
    <pivotField axis="axisRow" compact="0" outline="0" showAll="0" defaultSubtotal="0">
      <items count="3">
        <item x="2"/>
        <item x="0"/>
        <item x="1"/>
      </items>
    </pivotField>
    <pivotField axis="axisRow" compact="0" outline="0" showAll="0" defaultSubtotal="0">
      <items count="4">
        <item x="3"/>
        <item x="1"/>
        <item x="0"/>
        <item x="2"/>
      </items>
    </pivotField>
    <pivotField compact="0" outline="0" showAll="0"/>
    <pivotField axis="axisRow" compact="0" outline="0" showAll="0" defaultSubtotal="0">
      <items count="4">
        <item x="0"/>
        <item x="3"/>
        <item x="2"/>
        <item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2"/>
    <field x="3"/>
    <field x="5"/>
    <field x="0"/>
  </rowFields>
  <rowItems count="26">
    <i>
      <x/>
      <x v="1"/>
      <x v="2"/>
      <x v="7"/>
    </i>
    <i r="3">
      <x v="16"/>
    </i>
    <i r="1">
      <x v="3"/>
      <x/>
      <x v="17"/>
    </i>
    <i r="2">
      <x v="1"/>
      <x v="20"/>
    </i>
    <i r="2">
      <x v="2"/>
      <x v="6"/>
    </i>
    <i r="3">
      <x v="10"/>
    </i>
    <i r="3">
      <x v="13"/>
    </i>
    <i>
      <x v="1"/>
      <x/>
      <x v="2"/>
      <x v="11"/>
    </i>
    <i r="1">
      <x v="1"/>
      <x v="2"/>
      <x/>
    </i>
    <i r="3">
      <x v="4"/>
    </i>
    <i r="3">
      <x v="9"/>
    </i>
    <i r="3">
      <x v="12"/>
    </i>
    <i r="3">
      <x v="18"/>
    </i>
    <i r="3">
      <x v="22"/>
    </i>
    <i r="3">
      <x v="23"/>
    </i>
    <i r="2">
      <x v="3"/>
      <x v="1"/>
    </i>
    <i r="3">
      <x v="14"/>
    </i>
    <i r="1">
      <x v="2"/>
      <x/>
      <x v="3"/>
    </i>
    <i r="3">
      <x v="21"/>
    </i>
    <i r="2">
      <x v="2"/>
      <x v="5"/>
    </i>
    <i r="3">
      <x v="8"/>
    </i>
    <i>
      <x v="2"/>
      <x v="1"/>
      <x v="2"/>
      <x v="19"/>
    </i>
    <i r="3">
      <x v="24"/>
    </i>
    <i r="1">
      <x v="3"/>
      <x v="2"/>
      <x v="2"/>
    </i>
    <i r="3">
      <x v="15"/>
    </i>
    <i t="grand">
      <x/>
    </i>
  </rowItems>
  <colItems count="1">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33">
      <pivotArea dataOnly="0" labelOnly="1" fieldPosition="0">
        <references count="1">
          <reference field="9" count="0"/>
        </references>
      </pivotArea>
    </format>
    <format dxfId="32">
      <pivotArea dataOnly="0" labelOnly="1" grandCol="1" outline="0" fieldPosition="0"/>
    </format>
    <format dxfId="31">
      <pivotArea collapsedLevelsAreSubtotals="1" fieldPosition="0">
        <references count="3">
          <reference field="4294967294" count="1" selected="0">
            <x v="0"/>
          </reference>
          <reference field="4" count="1">
            <x v="46"/>
          </reference>
          <reference field="9" count="0" selected="0"/>
        </references>
      </pivotArea>
    </format>
    <format dxfId="30">
      <pivotArea collapsedLevelsAreSubtotals="1" fieldPosition="0">
        <references count="3">
          <reference field="4294967294" count="1" selected="0">
            <x v="0"/>
          </reference>
          <reference field="4" count="1">
            <x v="48"/>
          </reference>
          <reference field="9" count="0" selected="0"/>
        </references>
      </pivotArea>
    </format>
    <format dxfId="29">
      <pivotArea collapsedLevelsAreSubtotals="1" fieldPosition="0">
        <references count="3">
          <reference field="4294967294" count="1" selected="0">
            <x v="0"/>
          </reference>
          <reference field="4" count="1">
            <x v="49"/>
          </reference>
          <reference field="9" count="0" selected="0"/>
        </references>
      </pivotArea>
    </format>
    <format dxfId="28">
      <pivotArea collapsedLevelsAreSubtotals="1" fieldPosition="0">
        <references count="3">
          <reference field="4294967294" count="1" selected="0">
            <x v="0"/>
          </reference>
          <reference field="4" count="1">
            <x v="131"/>
          </reference>
          <reference field="9" count="0" selected="0"/>
        </references>
      </pivotArea>
    </format>
    <format dxfId="27">
      <pivotArea collapsedLevelsAreSubtotals="1" fieldPosition="0">
        <references count="3">
          <reference field="4294967294" count="1" selected="0">
            <x v="0"/>
          </reference>
          <reference field="4" count="1">
            <x v="133"/>
          </reference>
          <reference field="9" count="0" selected="0"/>
        </references>
      </pivotArea>
    </format>
    <format dxfId="26">
      <pivotArea collapsedLevelsAreSubtotals="1" fieldPosition="0">
        <references count="3">
          <reference field="4294967294" count="1" selected="0">
            <x v="0"/>
          </reference>
          <reference field="4" count="1">
            <x v="137"/>
          </reference>
          <reference field="9" count="0" selected="0"/>
        </references>
      </pivotArea>
    </format>
    <format dxfId="25">
      <pivotArea collapsedLevelsAreSubtotals="1" fieldPosition="0">
        <references count="3">
          <reference field="4294967294" count="1" selected="0">
            <x v="0"/>
          </reference>
          <reference field="4" count="1">
            <x v="159"/>
          </reference>
          <reference field="9" count="0" selected="0"/>
        </references>
      </pivotArea>
    </format>
    <format dxfId="24">
      <pivotArea collapsedLevelsAreSubtotals="1" fieldPosition="0">
        <references count="3">
          <reference field="4294967294" count="1" selected="0">
            <x v="0"/>
          </reference>
          <reference field="4" count="1">
            <x v="162"/>
          </reference>
          <reference field="9" count="0" selected="0"/>
        </references>
      </pivotArea>
    </format>
    <format dxfId="23">
      <pivotArea collapsedLevelsAreSubtotals="1" fieldPosition="0">
        <references count="3">
          <reference field="4294967294" count="1" selected="0">
            <x v="0"/>
          </reference>
          <reference field="4" count="1">
            <x v="167"/>
          </reference>
          <reference field="9" count="0" selected="0"/>
        </references>
      </pivotArea>
    </format>
    <format dxfId="22">
      <pivotArea collapsedLevelsAreSubtotals="1" fieldPosition="0">
        <references count="3">
          <reference field="4294967294" count="1" selected="0">
            <x v="0"/>
          </reference>
          <reference field="4" count="1">
            <x v="171"/>
          </reference>
          <reference field="9" count="0" selected="0"/>
        </references>
      </pivotArea>
    </format>
    <format dxfId="21">
      <pivotArea collapsedLevelsAreSubtotals="1" fieldPosition="0">
        <references count="3">
          <reference field="4294967294" count="1" selected="0">
            <x v="0"/>
          </reference>
          <reference field="4" count="1">
            <x v="174"/>
          </reference>
          <reference field="9" count="0" selected="0"/>
        </references>
      </pivotArea>
    </format>
    <format dxfId="20">
      <pivotArea collapsedLevelsAreSubtotals="1" fieldPosition="0">
        <references count="3">
          <reference field="4294967294" count="1" selected="0">
            <x v="0"/>
          </reference>
          <reference field="4" count="1">
            <x v="178"/>
          </reference>
          <reference field="9" count="0" selected="0"/>
        </references>
      </pivotArea>
    </format>
    <format dxfId="19">
      <pivotArea collapsedLevelsAreSubtotals="1" fieldPosition="0">
        <references count="3">
          <reference field="4294967294" count="1" selected="0">
            <x v="0"/>
          </reference>
          <reference field="4" count="1">
            <x v="197"/>
          </reference>
          <reference field="9" count="0" selected="0"/>
        </references>
      </pivotArea>
    </format>
    <format dxfId="18">
      <pivotArea collapsedLevelsAreSubtotals="1" fieldPosition="0">
        <references count="3">
          <reference field="4294967294" count="1" selected="0">
            <x v="0"/>
          </reference>
          <reference field="4" count="1">
            <x v="199"/>
          </reference>
          <reference field="9" count="0" selected="0"/>
        </references>
      </pivotArea>
    </format>
    <format dxfId="17">
      <pivotArea collapsedLevelsAreSubtotals="1" fieldPosition="0">
        <references count="3">
          <reference field="4294967294" count="1" selected="0">
            <x v="0"/>
          </reference>
          <reference field="4" count="1">
            <x v="203"/>
          </reference>
          <reference field="9" count="0" selected="0"/>
        </references>
      </pivotArea>
    </format>
    <format dxfId="16">
      <pivotArea collapsedLevelsAreSubtotals="1" fieldPosition="0">
        <references count="3">
          <reference field="4294967294" count="1" selected="0">
            <x v="0"/>
          </reference>
          <reference field="4" count="1">
            <x v="212"/>
          </reference>
          <reference field="9" count="0" selected="0"/>
        </references>
      </pivotArea>
    </format>
    <format dxfId="15">
      <pivotArea collapsedLevelsAreSubtotals="1" fieldPosition="0">
        <references count="3">
          <reference field="4294967294" count="1" selected="0">
            <x v="0"/>
          </reference>
          <reference field="4" count="1">
            <x v="218"/>
          </reference>
          <reference field="9" count="0" selected="0"/>
        </references>
      </pivotArea>
    </format>
    <format dxfId="14">
      <pivotArea collapsedLevelsAreSubtotals="1" fieldPosition="0">
        <references count="3">
          <reference field="4294967294" count="1" selected="0">
            <x v="0"/>
          </reference>
          <reference field="4" count="1">
            <x v="224"/>
          </reference>
          <reference field="9" count="0" selected="0"/>
        </references>
      </pivotArea>
    </format>
    <format dxfId="13">
      <pivotArea dataOnly="0" labelOnly="1" fieldPosition="0">
        <references count="1">
          <reference field="4" count="0"/>
        </references>
      </pivotArea>
    </format>
    <format dxfId="12">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614">
        <i x="0"/>
        <i x="1"/>
        <i x="2"/>
        <i x="3"/>
        <i x="4"/>
        <i x="5"/>
        <i x="6"/>
        <i x="7"/>
        <i x="8"/>
        <i x="9"/>
        <i x="10"/>
        <i x="11"/>
        <i x="12"/>
        <i x="13"/>
        <i x="14"/>
        <i x="15"/>
        <i x="16"/>
        <i x="17"/>
        <i x="18"/>
        <i x="19"/>
        <i x="20"/>
        <i x="21"/>
        <i x="22"/>
        <i x="23"/>
        <i x="24"/>
        <i x="25"/>
        <i x="26"/>
        <i x="27"/>
        <i x="28" s="1"/>
        <i x="29"/>
        <i x="324" nd="1"/>
        <i x="208" nd="1"/>
        <i x="403" nd="1"/>
        <i x="77" nd="1"/>
        <i x="209" nd="1"/>
        <i x="599" nd="1"/>
        <i x="541" nd="1"/>
        <i x="532" nd="1"/>
        <i x="162" nd="1"/>
        <i x="149" nd="1"/>
        <i x="193" nd="1"/>
        <i x="303" nd="1"/>
        <i x="344" nd="1"/>
        <i x="444" nd="1"/>
        <i x="183" nd="1"/>
        <i x="435" nd="1"/>
        <i x="236" nd="1"/>
        <i x="405" nd="1"/>
        <i x="393" nd="1"/>
        <i x="492" nd="1"/>
        <i x="156" nd="1"/>
        <i x="75" nd="1"/>
        <i x="123" nd="1"/>
        <i x="422" nd="1"/>
        <i x="556" nd="1"/>
        <i x="48" nd="1"/>
        <i x="200" nd="1"/>
        <i x="309" nd="1"/>
        <i x="381" nd="1"/>
        <i x="95" nd="1"/>
        <i x="431" nd="1"/>
        <i x="120" nd="1"/>
        <i x="166" nd="1"/>
        <i x="186" nd="1"/>
        <i x="210" nd="1"/>
        <i x="410" nd="1"/>
        <i x="490" nd="1"/>
        <i x="524" nd="1"/>
        <i x="43" nd="1"/>
        <i x="255" nd="1"/>
        <i x="398" nd="1"/>
        <i x="533" nd="1"/>
        <i x="56" nd="1"/>
        <i x="228" nd="1"/>
        <i x="295" nd="1"/>
        <i x="195" nd="1"/>
        <i x="218" nd="1"/>
        <i x="270" nd="1"/>
        <i x="380" nd="1"/>
        <i x="464" nd="1"/>
        <i x="596" nd="1"/>
        <i x="407" nd="1"/>
        <i x="474" nd="1"/>
        <i x="520" nd="1"/>
        <i x="37" nd="1"/>
        <i x="102" nd="1"/>
        <i x="126" nd="1"/>
        <i x="267" nd="1"/>
        <i x="426" nd="1"/>
        <i x="480" nd="1"/>
        <i x="553" nd="1"/>
        <i x="608" nd="1"/>
        <i x="35" nd="1"/>
        <i x="62" nd="1"/>
        <i x="115" nd="1"/>
        <i x="334" nd="1"/>
        <i x="385" nd="1"/>
        <i x="518" nd="1"/>
        <i x="60" nd="1"/>
        <i x="82" nd="1"/>
        <i x="135" nd="1"/>
        <i x="159" nd="1"/>
        <i x="223" nd="1"/>
        <i x="237" nd="1"/>
        <i x="355" nd="1"/>
        <i x="361" nd="1"/>
        <i x="433" nd="1"/>
        <i x="473" nd="1"/>
        <i x="551" nd="1"/>
        <i x="81" nd="1"/>
        <i x="584" nd="1"/>
        <i x="179" nd="1"/>
        <i x="477" nd="1"/>
        <i x="486" nd="1"/>
        <i x="517" nd="1"/>
        <i x="538" nd="1"/>
        <i x="70" nd="1"/>
        <i x="215" nd="1"/>
        <i x="376" nd="1"/>
        <i x="406" nd="1"/>
        <i x="417" nd="1"/>
        <i x="442" nd="1"/>
        <i x="470" nd="1"/>
        <i x="506" nd="1"/>
        <i x="550" nd="1"/>
        <i x="558" nd="1"/>
        <i x="170" nd="1"/>
        <i x="214" nd="1"/>
        <i x="259" nd="1"/>
        <i x="280" nd="1"/>
        <i x="310" nd="1"/>
        <i x="448" nd="1"/>
        <i x="549" nd="1"/>
        <i x="587" nd="1"/>
        <i x="80" nd="1"/>
        <i x="114" nd="1"/>
        <i x="134" nd="1"/>
        <i x="264" nd="1"/>
        <i x="288" nd="1"/>
        <i x="340" nd="1"/>
        <i x="375" nd="1"/>
        <i x="461" nd="1"/>
        <i x="594" nd="1"/>
        <i x="613" nd="1"/>
        <i x="33" nd="1"/>
        <i x="98" nd="1"/>
        <i x="133" nd="1"/>
        <i x="145" nd="1"/>
        <i x="168" nd="1"/>
        <i x="191" nd="1"/>
        <i x="252" nd="1"/>
        <i x="287" nd="1"/>
        <i x="322" nd="1"/>
        <i x="331" nd="1"/>
        <i x="367" nd="1"/>
        <i x="423" nd="1"/>
        <i x="491" nd="1"/>
        <i x="387" nd="1"/>
        <i x="51" nd="1"/>
        <i x="69" nd="1"/>
        <i x="76" nd="1"/>
        <i x="177" nd="1"/>
        <i x="221" nd="1"/>
        <i x="274" nd="1"/>
        <i x="298" nd="1"/>
        <i x="59" nd="1"/>
        <i x="392" nd="1"/>
        <i x="113" nd="1"/>
        <i x="432" nd="1"/>
        <i x="441" nd="1"/>
        <i x="144" nd="1"/>
        <i x="234" nd="1"/>
        <i x="548" nd="1"/>
        <i x="603" nd="1"/>
        <i x="50" nd="1"/>
        <i x="112" nd="1"/>
        <i x="188" nd="1"/>
        <i x="201" nd="1"/>
        <i x="49" nd="1"/>
        <i x="374" nd="1"/>
        <i x="58" nd="1"/>
        <i x="143" nd="1"/>
        <i x="459" nd="1"/>
        <i x="243" nd="1"/>
        <i x="284" nd="1"/>
        <i x="297" nd="1"/>
        <i x="601" nd="1"/>
        <i x="611" nd="1"/>
        <i x="68" nd="1"/>
        <i x="74" nd="1"/>
        <i x="96" nd="1"/>
        <i x="121" nd="1"/>
        <i x="39" nd="1"/>
        <i x="131" nd="1"/>
        <i x="483" nd="1"/>
        <i x="219" nd="1"/>
        <i x="503" nd="1"/>
        <i x="262" nd="1"/>
        <i x="574" nd="1"/>
        <i x="307" nd="1"/>
        <i x="581" nd="1"/>
        <i x="415" nd="1"/>
        <i x="130" nd="1"/>
        <i x="153" nd="1"/>
        <i x="456" nd="1"/>
        <i x="211" nd="1"/>
        <i x="250" nd="1"/>
        <i x="547" nd="1"/>
        <i x="306" nd="1"/>
        <i x="78" nd="1"/>
        <i x="328" nd="1"/>
        <i x="600" nd="1"/>
        <i x="350" nd="1"/>
        <i x="46" nd="1"/>
        <i x="372" nd="1"/>
        <i x="108" nd="1"/>
        <i x="513" nd="1"/>
        <i x="273" nd="1"/>
        <i x="327" nd="1"/>
        <i x="365" nd="1"/>
        <i x="371" nd="1"/>
        <i x="409" nd="1"/>
        <i x="93" nd="1"/>
        <i x="421" nd="1"/>
        <i x="64" nd="1"/>
        <i x="152" nd="1"/>
        <i x="175" nd="1"/>
        <i x="476" nd="1"/>
        <i x="198" nd="1"/>
        <i x="489" nd="1"/>
        <i x="497" nd="1"/>
        <i x="242" nd="1"/>
        <i x="256" nd="1"/>
        <i x="261" nd="1"/>
        <i x="282" nd="1"/>
        <i x="566" nd="1"/>
        <i x="571" nd="1"/>
        <i x="348" nd="1"/>
        <i x="57" nd="1"/>
        <i x="390" nd="1"/>
        <i x="399" nd="1"/>
        <i x="86" nd="1"/>
        <i x="106" nd="1"/>
        <i x="151" nd="1"/>
        <i x="229" nd="1"/>
        <i x="555" nd="1"/>
        <i x="296" nd="1"/>
        <i x="347" nd="1"/>
        <i x="364" nd="1"/>
        <i x="42" nd="1"/>
        <i x="370" nd="1"/>
        <i x="408" nd="1"/>
        <i x="164" nd="1"/>
        <i x="466" nd="1"/>
        <i x="496" nd="1"/>
        <i x="137" nd="1"/>
        <i x="241" nd="1"/>
        <i x="523" nd="1"/>
        <i x="281" nd="1"/>
        <i x="580" nd="1"/>
        <i x="326" nd="1"/>
        <i x="592" nd="1"/>
        <i x="292" nd="1"/>
        <i x="66" nd="1"/>
        <i x="397" nd="1"/>
        <i x="119" nd="1"/>
        <i x="34" nd="1"/>
        <i x="129" nd="1"/>
        <i x="446" nd="1"/>
        <i x="488" nd="1"/>
        <i x="207" nd="1"/>
        <i x="495" nd="1"/>
        <i x="502" nd="1"/>
        <i x="463" nd="1"/>
        <i x="271" nd="1"/>
        <i x="305" nd="1"/>
        <i x="579" nd="1"/>
        <i x="316" nd="1"/>
        <i x="527" nd="1"/>
        <i x="337" nd="1"/>
        <i x="41" nd="1"/>
        <i x="389" nd="1"/>
        <i x="105" nd="1"/>
        <i x="117" nd="1"/>
        <i x="141" nd="1"/>
        <i x="163" nd="1"/>
        <i x="465" nd="1"/>
        <i x="475" nd="1"/>
        <i x="196" nd="1"/>
        <i x="136" nd="1"/>
        <i x="227" nd="1"/>
        <i x="542" nd="1"/>
        <i x="260" nd="1"/>
        <i x="560" nd="1"/>
        <i x="293" nd="1"/>
        <i x="591" nd="1"/>
        <i x="336" nd="1"/>
        <i x="346" nd="1"/>
        <i x="40" nd="1"/>
        <i x="72" nd="1"/>
        <i x="91" nd="1"/>
        <i x="437" nd="1"/>
        <i x="194" nd="1"/>
        <i x="206" nd="1"/>
        <i x="226" nd="1"/>
        <i x="248" nd="1"/>
        <i x="570" nd="1"/>
        <i x="325" nd="1"/>
        <i x="597" nd="1"/>
        <i x="345" nd="1"/>
        <i x="65" nd="1"/>
        <i x="388" nd="1"/>
        <i x="90" nd="1"/>
        <i x="104" nd="1"/>
        <i x="420" nd="1"/>
        <i x="116" nd="1"/>
        <i x="53" nd="1"/>
        <i x="140" nd="1"/>
        <i x="455" nd="1"/>
        <i x="184" nd="1"/>
        <i x="522" nd="1"/>
        <i x="247" nd="1"/>
        <i x="540" nd="1"/>
        <i x="216" nd="1"/>
        <i x="507" nd="1"/>
        <i x="590" nd="1"/>
        <i x="335" nd="1"/>
        <i x="358" nd="1"/>
        <i x="31" nd="1"/>
        <i x="38" nd="1"/>
        <i x="369" nd="1"/>
        <i x="84" nd="1"/>
        <i x="89" nd="1"/>
        <i x="103" nd="1"/>
        <i x="419" nd="1"/>
        <i x="428" nd="1"/>
        <i x="128" nd="1"/>
        <i x="172" nd="1"/>
        <i x="481" nd="1"/>
        <i x="511" nd="1"/>
        <i x="240" nd="1"/>
        <i x="521" nd="1"/>
        <i x="531" nd="1"/>
        <i x="539" nd="1"/>
        <i x="269" nd="1"/>
        <i x="277" nd="1"/>
        <i x="315" nd="1"/>
        <i x="609" nd="1"/>
        <i x="275" nd="1"/>
        <i x="396" nd="1"/>
        <i x="127" nd="1"/>
        <i x="445" nd="1"/>
        <i x="161" nd="1"/>
        <i x="217" nd="1"/>
        <i x="225" nd="1"/>
        <i x="239" nd="1"/>
        <i x="246" nd="1"/>
        <i x="530" nd="1"/>
        <i x="268" nd="1"/>
        <i x="554" nd="1"/>
        <i x="569" nd="1"/>
        <i x="578" nd="1"/>
        <i x="357" nd="1"/>
        <i x="386" nd="1"/>
        <i x="427" nd="1"/>
        <i x="139" nd="1"/>
        <i x="150" nd="1"/>
        <i x="510" nd="1"/>
        <i x="146" nd="1"/>
        <i x="519" nd="1"/>
        <i x="245" nd="1"/>
        <i x="529" nd="1"/>
        <i x="545" nd="1"/>
        <i x="266" nd="1"/>
        <i x="411" nd="1"/>
        <i x="568" nd="1"/>
        <i x="304" nd="1"/>
        <i x="577" nd="1"/>
        <i x="167" nd="1"/>
        <i x="468" nd="1"/>
        <i x="176" nd="1"/>
        <i x="213" nd="1"/>
        <i x="363" nd="1"/>
        <i x="498" nd="1"/>
        <i x="36" nd="1"/>
        <i x="505" nd="1"/>
        <i x="63" nd="1"/>
        <i x="525" nd="1"/>
        <i x="251" nd="1"/>
        <i x="537" nd="1"/>
        <i x="258" nd="1"/>
        <i x="263" nd="1"/>
        <i x="557" nd="1"/>
        <i x="425" nd="1"/>
        <i x="286" nd="1"/>
        <i x="138" nd="1"/>
        <i x="454" nd="1"/>
        <i x="321" nd="1"/>
        <i x="586" nd="1"/>
        <i x="330" nd="1"/>
        <i x="339" nd="1"/>
        <i x="604" nd="1"/>
        <i x="352" nd="1"/>
        <i x="359" nd="1"/>
        <i x="366" nd="1"/>
        <i x="501" nd="1"/>
        <i x="509" nd="1"/>
        <i x="528" nd="1"/>
        <i x="253" nd="1"/>
        <i x="402" nd="1"/>
        <i x="122" nd="1"/>
        <i x="132" nd="1"/>
        <i x="314" nd="1"/>
        <i x="460" nd="1"/>
        <i x="189" nd="1"/>
        <i x="202" nd="1"/>
        <i x="30" nd="1"/>
        <i x="212" nd="1"/>
        <i x="379" nd="1"/>
        <i x="605" nd="1"/>
        <i x="61" nd="1"/>
        <i x="536" nd="1"/>
        <i x="83" nd="1"/>
        <i x="88" nd="1"/>
        <i x="101" nd="1"/>
        <i x="424" nd="1"/>
        <i x="567" nd="1"/>
        <i x="576" nd="1"/>
        <i x="148" nd="1"/>
        <i x="338" nd="1"/>
        <i x="479" nd="1"/>
        <i x="192" nd="1"/>
        <i x="452" nd="1"/>
        <i x="224" nd="1"/>
        <i x="238" nd="1"/>
        <i x="383" nd="1"/>
        <i x="44" nd="1"/>
        <i x="412" nd="1"/>
        <i x="544" nd="1"/>
        <i x="265" nd="1"/>
        <i x="111" nd="1"/>
        <i x="291" nd="1"/>
        <i x="440" nd="1"/>
        <i x="302" nd="1"/>
        <i x="155" nd="1"/>
        <i x="589" nd="1"/>
        <i x="343" nd="1"/>
        <i x="362" nd="1"/>
        <i x="220" nd="1"/>
        <i x="55" nd="1"/>
        <i x="233" nd="1"/>
        <i x="515" nd="1"/>
        <i x="100" nd="1"/>
        <i x="285" nd="1"/>
        <i x="436" nd="1"/>
        <i x="575" nd="1"/>
        <i x="160" nd="1"/>
        <i x="329" nd="1"/>
        <i x="182" nd="1"/>
        <i x="478" nd="1"/>
        <i x="602" nd="1"/>
        <i x="351" nd="1"/>
        <i x="612" nd="1"/>
        <i x="205" nd="1"/>
        <i x="47" nd="1"/>
        <i x="373" nd="1"/>
        <i x="382" nd="1"/>
        <i x="97" nd="1"/>
        <i x="110" nd="1"/>
        <i x="276" nd="1"/>
        <i x="559" nd="1"/>
        <i x="290" nd="1"/>
        <i x="301" nd="1"/>
        <i x="154" nd="1"/>
        <i x="313" nd="1"/>
        <i x="458" nd="1"/>
        <i x="333" nd="1"/>
        <i x="342" nd="1"/>
        <i x="484" nd="1"/>
        <i x="356" nd="1"/>
        <i x="504" nd="1"/>
        <i x="54" nd="1"/>
        <i x="232" nd="1"/>
        <i x="378" nd="1"/>
        <i x="543" nd="1"/>
        <i x="87" nd="1"/>
        <i x="418" nd="1"/>
        <i x="562" nd="1"/>
        <i x="125" nd="1"/>
        <i x="283" nd="1"/>
        <i x="434" nd="1"/>
        <i x="308" nd="1"/>
        <i x="582" nd="1"/>
        <i x="320" nd="1"/>
        <i x="181" nd="1"/>
        <i x="487" nd="1"/>
        <i x="494" nd="1"/>
        <i x="32" nd="1"/>
        <i x="500" nd="1"/>
        <i x="508" nd="1"/>
        <i x="67" nd="1"/>
        <i x="401" nd="1"/>
        <i x="94" nd="1"/>
        <i x="416" nd="1"/>
        <i x="552" nd="1"/>
        <i x="109" nd="1"/>
        <i x="430" nd="1"/>
        <i x="289" nd="1"/>
        <i x="312" nd="1"/>
        <i x="457" nd="1"/>
        <i x="588" nd="1"/>
        <i x="187" nd="1"/>
        <i x="447" nd="1"/>
        <i x="607" nd="1"/>
        <i x="199" nd="1"/>
        <i x="514" nd="1"/>
        <i x="257" nd="1"/>
        <i x="279" nd="1"/>
        <i x="443" nd="1"/>
        <i x="453" nd="1"/>
        <i x="319" nd="1"/>
        <i x="585" nd="1"/>
        <i x="171" nd="1"/>
        <i x="472" nd="1"/>
        <i x="180" nd="1"/>
        <i x="222" nd="1"/>
        <i x="429" nd="1"/>
        <i x="439" nd="1"/>
        <i x="165" nd="1"/>
        <i x="606" nd="1"/>
        <i x="231" nd="1"/>
        <i x="377" nd="1"/>
        <i x="384" nd="1"/>
        <i x="71" nd="1"/>
        <i x="395" nd="1"/>
        <i x="535" nd="1"/>
        <i x="546" nd="1"/>
        <i x="573" nd="1"/>
        <i x="593" nd="1"/>
        <i x="349" nd="1"/>
        <i x="169" nd="1"/>
        <i x="45" nd="1"/>
        <i x="73" nd="1"/>
        <i x="414" nd="1"/>
        <i x="107" nd="1"/>
        <i x="354" nd="1"/>
        <i x="52" nd="1"/>
        <i x="512" nd="1"/>
        <i x="272" nd="1"/>
        <i x="572" nd="1"/>
        <i x="318" nd="1"/>
        <i x="471" nd="1"/>
        <i x="204" nd="1"/>
        <i x="244" nd="1"/>
        <i x="391" nd="1"/>
        <i x="526" nd="1"/>
        <i x="400" nd="1"/>
        <i x="438" nd="1"/>
        <i x="311" nd="1"/>
        <i x="323" nd="1"/>
        <i x="467" nd="1"/>
        <i x="595" nd="1"/>
        <i x="185" nd="1"/>
        <i x="341" nd="1"/>
        <i x="230" nd="1"/>
        <i x="534" nd="1"/>
        <i x="561" nd="1"/>
        <i x="450" nd="1"/>
        <i x="158" nd="1"/>
        <i x="178" nd="1"/>
        <i x="485" nd="1"/>
        <i x="85" nd="1"/>
        <i x="174" nd="1"/>
        <i x="449" nd="1"/>
        <i x="610" nd="1"/>
        <i x="516" nd="1"/>
        <i x="92" nd="1"/>
        <i x="300" nd="1"/>
        <i x="173" nd="1"/>
        <i x="482" nd="1"/>
        <i x="249" nd="1"/>
        <i x="565" nd="1"/>
        <i x="294" nd="1"/>
        <i x="317" nd="1"/>
        <i x="469" nd="1"/>
        <i x="598" nd="1"/>
        <i x="203" nd="1"/>
        <i x="118" nd="1"/>
        <i x="142" nd="1"/>
        <i x="197" nd="1"/>
        <i x="394" nd="1"/>
        <i x="564" nd="1"/>
        <i x="157" nd="1"/>
        <i x="413" nd="1"/>
        <i x="299" nd="1"/>
        <i x="332" nd="1"/>
        <i x="368" nd="1"/>
        <i x="404" nd="1"/>
        <i x="278" nd="1"/>
        <i x="124" nd="1"/>
        <i x="462" nd="1"/>
        <i x="493" nd="1"/>
        <i x="499" nd="1"/>
        <i x="79" nd="1"/>
        <i x="99" nd="1"/>
        <i x="235" nd="1"/>
        <i x="563" nd="1"/>
        <i x="254" nd="1"/>
        <i x="190" nd="1"/>
        <i x="583" nd="1"/>
        <i x="360" nd="1"/>
        <i x="353" nd="1"/>
        <i x="147" nd="1"/>
        <i x="45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46">
        <i x="8" s="1"/>
        <i x="28" s="1" nd="1"/>
        <i x="18" s="1" nd="1"/>
        <i x="29" s="1" nd="1"/>
        <i x="43" s="1" nd="1"/>
        <i x="13" s="1" nd="1"/>
        <i x="20" s="1" nd="1"/>
        <i x="23" s="1" nd="1"/>
        <i x="30" s="1" nd="1"/>
        <i x="33" s="1" nd="1"/>
        <i x="35" s="1" nd="1"/>
        <i x="39" s="1" nd="1"/>
        <i x="44" s="1" nd="1"/>
        <i x="16" s="1" nd="1"/>
        <i x="3" s="1" nd="1"/>
        <i x="25" s="1" nd="1"/>
        <i x="27" s="1" nd="1"/>
        <i x="1" s="1" nd="1"/>
        <i x="42" s="1" nd="1"/>
        <i x="45" s="1" nd="1"/>
        <i x="4" s="1" nd="1"/>
        <i x="21" s="1" nd="1"/>
        <i x="37" s="1" nd="1"/>
        <i x="6" s="1" nd="1"/>
        <i x="40" s="1" nd="1"/>
        <i x="15" s="1" nd="1"/>
        <i x="2" s="1" nd="1"/>
        <i x="5" s="1" nd="1"/>
        <i x="7" s="1" nd="1"/>
        <i x="9" s="1" nd="1"/>
        <i x="0" s="1" nd="1"/>
        <i x="38" s="1" nd="1"/>
        <i x="31" s="1" nd="1"/>
        <i x="22" s="1" nd="1"/>
        <i x="14" s="1" nd="1"/>
        <i x="41" s="1" nd="1"/>
        <i x="32" s="1" nd="1"/>
        <i x="10" s="1" nd="1"/>
        <i x="24" s="1" nd="1"/>
        <i x="17" s="1" nd="1"/>
        <i x="11" s="1" nd="1"/>
        <i x="34" s="1" nd="1"/>
        <i x="26" s="1" nd="1"/>
        <i x="19" s="1" nd="1"/>
        <i x="12" s="1" nd="1"/>
        <i x="3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238">
        <i x="0" s="1"/>
        <i x="233" s="1" nd="1"/>
        <i x="183" s="1" nd="1"/>
        <i x="166" s="1" nd="1"/>
        <i x="199" s="1" nd="1"/>
        <i x="76" s="1" nd="1"/>
        <i x="28" s="1" nd="1"/>
        <i x="72" s="1" nd="1"/>
        <i x="33" s="1" nd="1"/>
        <i x="30" s="1" nd="1"/>
        <i x="86" s="1" nd="1"/>
        <i x="205" s="1" nd="1"/>
        <i x="8" s="1" nd="1"/>
        <i x="59" s="1" nd="1"/>
        <i x="236" s="1" nd="1"/>
        <i x="185" s="1" nd="1"/>
        <i x="127" s="1" nd="1"/>
        <i x="56" s="1" nd="1"/>
        <i x="18" s="1" nd="1"/>
        <i x="156" s="1" nd="1"/>
        <i x="231" s="1" nd="1"/>
        <i x="57" s="1" nd="1"/>
        <i x="139" s="1" nd="1"/>
        <i x="223" s="1" nd="1"/>
        <i x="71" s="1" nd="1"/>
        <i x="169" s="1" nd="1"/>
        <i x="11" s="1" nd="1"/>
        <i x="98" s="1" nd="1"/>
        <i x="190" s="1" nd="1"/>
        <i x="36" s="1" nd="1"/>
        <i x="150" s="1" nd="1"/>
        <i x="140" s="1" nd="1"/>
        <i x="96" s="1" nd="1"/>
        <i x="216" s="1" nd="1"/>
        <i x="200" s="1" nd="1"/>
        <i x="196" s="1" nd="1"/>
        <i x="191" s="1" nd="1"/>
        <i x="177" s="1" nd="1"/>
        <i x="171" s="1" nd="1"/>
        <i x="118" s="1" nd="1"/>
        <i x="88" s="1" nd="1"/>
        <i x="206" s="1" nd="1"/>
        <i x="234" s="1" nd="1"/>
        <i x="213" s="1" nd="1"/>
        <i x="79" s="1" nd="1"/>
        <i x="73" s="1" nd="1"/>
        <i x="167" s="1" nd="1"/>
        <i x="15" s="1" nd="1"/>
        <i x="65" s="1" nd="1"/>
        <i x="51" s="1" nd="1"/>
        <i x="25" s="1" nd="1"/>
        <i x="134" s="1" nd="1"/>
        <i x="203" s="1" nd="1"/>
        <i x="125" s="1" nd="1"/>
        <i x="46" s="1" nd="1"/>
        <i x="219" s="1" nd="1"/>
        <i x="147" s="1" nd="1"/>
        <i x="60" s="1" nd="1"/>
        <i x="117" s="1" nd="1"/>
        <i x="83" s="1" nd="1"/>
        <i x="121" s="1" nd="1"/>
        <i x="159" s="1" nd="1"/>
        <i x="204" s="1" nd="1"/>
        <i x="17" s="1" nd="1"/>
        <i x="68" s="1" nd="1"/>
        <i x="42" s="1" nd="1"/>
        <i x="207" s="1" nd="1"/>
        <i x="193" s="1" nd="1"/>
        <i x="93" s="1" nd="1"/>
        <i x="220" s="1" nd="1"/>
        <i x="62" s="1" nd="1"/>
        <i x="173" s="1" nd="1"/>
        <i x="151" s="1" nd="1"/>
        <i x="115" s="1" nd="1"/>
        <i x="178" s="1" nd="1"/>
        <i x="107" s="1" nd="1"/>
        <i x="101" s="1" nd="1"/>
        <i x="74" s="1" nd="1"/>
        <i x="70" s="1" nd="1"/>
        <i x="175" s="1" nd="1"/>
        <i x="91" s="1" nd="1"/>
        <i x="162" s="1" nd="1"/>
        <i x="157" s="1" nd="1"/>
        <i x="55" s="1" nd="1"/>
        <i x="26" s="1" nd="1"/>
        <i x="84" s="1" nd="1"/>
        <i x="122" s="1" nd="1"/>
        <i x="228" s="1" nd="1"/>
        <i x="22" s="1" nd="1"/>
        <i x="153" s="1" nd="1"/>
        <i x="81" s="1" nd="1"/>
        <i x="6" s="1" nd="1"/>
        <i x="181" s="1" nd="1"/>
        <i x="163" s="1" nd="1"/>
        <i x="2" s="1" nd="1"/>
        <i x="232" s="1" nd="1"/>
        <i x="154" s="1" nd="1"/>
        <i x="141" s="1" nd="1"/>
        <i x="152" s="1" nd="1"/>
        <i x="116" s="1" nd="1"/>
        <i x="52" s="1" nd="1"/>
        <i x="229" s="1" nd="1"/>
        <i x="9" s="1" nd="1"/>
        <i x="187" s="1" nd="1"/>
        <i x="119" s="1" nd="1"/>
        <i x="182" s="1" nd="1"/>
        <i x="31" s="1" nd="1"/>
        <i x="145" s="1" nd="1"/>
        <i x="130" s="1" nd="1"/>
        <i x="66" s="1" nd="1"/>
        <i x="225" s="1" nd="1"/>
        <i x="40" s="1" nd="1"/>
        <i x="97" s="1" nd="1"/>
        <i x="7" s="1" nd="1"/>
        <i x="113" s="1" nd="1"/>
        <i x="53" s="1" nd="1"/>
        <i x="164" s="1" nd="1"/>
        <i x="90" s="1" nd="1"/>
        <i x="201" s="1" nd="1"/>
        <i x="14" s="1" nd="1"/>
        <i x="128" s="1" nd="1"/>
        <i x="102" s="1" nd="1"/>
        <i x="61" s="1" nd="1"/>
        <i x="214" s="1" nd="1"/>
        <i x="189" s="1" nd="1"/>
        <i x="34" s="1" nd="1"/>
        <i x="77" s="1" nd="1"/>
        <i x="37" s="1" nd="1"/>
        <i x="85" s="1" nd="1"/>
        <i x="80" s="1" nd="1"/>
        <i x="21" s="1" nd="1"/>
        <i x="19" s="1" nd="1"/>
        <i x="160" s="1" nd="1"/>
        <i x="221" s="1" nd="1"/>
        <i x="186" s="1" nd="1"/>
        <i x="109" s="1" nd="1"/>
        <i x="172" s="1" nd="1"/>
        <i x="194" s="1" nd="1"/>
        <i x="10" s="1" nd="1"/>
        <i x="184" s="1" nd="1"/>
        <i x="110" s="1" nd="1"/>
        <i x="78" s="1" nd="1"/>
        <i x="129" s="1" nd="1"/>
        <i x="32" s="1" nd="1"/>
        <i x="114" s="1" nd="1"/>
        <i x="202" s="1" nd="1"/>
        <i x="41" s="1" nd="1"/>
        <i x="123" s="1" nd="1"/>
        <i x="211" s="1" nd="1"/>
        <i x="43" s="1" nd="1"/>
        <i x="133" s="1" nd="1"/>
        <i x="218" s="1" nd="1"/>
        <i x="63" s="1" nd="1"/>
        <i x="158" s="1" nd="1"/>
        <i x="4" s="1" nd="1"/>
        <i x="94" s="1" nd="1"/>
        <i x="188" s="1" nd="1"/>
        <i x="155" s="1" nd="1"/>
        <i x="180" s="1" nd="1"/>
        <i x="108" s="1" nd="1"/>
        <i x="142" s="1" nd="1"/>
        <i x="222" s="1" nd="1"/>
        <i x="1" s="1" nd="1"/>
        <i x="137" s="1" nd="1"/>
        <i x="104" s="1" nd="1"/>
        <i x="192" s="1" nd="1"/>
        <i x="161" s="1" nd="1"/>
        <i x="16" s="1" nd="1"/>
        <i x="3" s="1" nd="1"/>
        <i x="23" s="1" nd="1"/>
        <i x="179" s="1" nd="1"/>
        <i x="148" s="1" nd="1"/>
        <i x="131" s="1" nd="1"/>
        <i x="215" s="1" nd="1"/>
        <i x="75" s="1" nd="1"/>
        <i x="20" s="1" nd="1"/>
        <i x="226" s="1" nd="1"/>
        <i x="135" s="1" nd="1"/>
        <i x="35" s="1" nd="1"/>
        <i x="235" s="1" nd="1"/>
        <i x="27" s="1" nd="1"/>
        <i x="89" s="1" nd="1"/>
        <i x="210" s="1" nd="1"/>
        <i x="58" s="1" nd="1"/>
        <i x="106" s="1" nd="1"/>
        <i x="100" s="1" nd="1"/>
        <i x="67" s="1" nd="1"/>
        <i x="5" s="1" nd="1"/>
        <i x="95" s="1" nd="1"/>
        <i x="29" s="1" nd="1"/>
        <i x="69" s="1" nd="1"/>
        <i x="87" s="1" nd="1"/>
        <i x="48" s="1" nd="1"/>
        <i x="174" s="1" nd="1"/>
        <i x="217" s="1" nd="1"/>
        <i x="112" s="1" nd="1"/>
        <i x="224" s="1" nd="1"/>
        <i x="38" s="1" nd="1"/>
        <i x="197" s="1" nd="1"/>
        <i x="39" s="1" nd="1"/>
        <i x="126" s="1" nd="1"/>
        <i x="149" s="1" nd="1"/>
        <i x="105" s="1" nd="1"/>
        <i x="143" s="1" nd="1"/>
        <i x="44" s="1" nd="1"/>
        <i x="136" s="1" nd="1"/>
        <i x="165" s="1" nd="1"/>
        <i x="111" s="1" nd="1"/>
        <i x="208" s="1" nd="1"/>
        <i x="49" s="1" nd="1"/>
        <i x="227" s="1" nd="1"/>
        <i x="82" s="1" nd="1"/>
        <i x="176" s="1" nd="1"/>
        <i x="170" s="1" nd="1"/>
        <i x="12" s="1" nd="1"/>
        <i x="92" s="1" nd="1"/>
        <i x="146" s="1" nd="1"/>
        <i x="237" s="1" nd="1"/>
        <i x="47" s="1" nd="1"/>
        <i x="138" s="1" nd="1"/>
        <i x="144" s="1" nd="1"/>
        <i x="24" s="1" nd="1"/>
        <i x="198" s="1" nd="1"/>
        <i x="132" s="1" nd="1"/>
        <i x="195" s="1" nd="1"/>
        <i x="99" s="1" nd="1"/>
        <i x="124" s="1" nd="1"/>
        <i x="50" s="1" nd="1"/>
        <i x="103" s="1" nd="1"/>
        <i x="230" s="1" nd="1"/>
        <i x="168" s="1" nd="1"/>
        <i x="54" s="1" nd="1"/>
        <i x="209" s="1" nd="1"/>
        <i x="13" s="1" nd="1"/>
        <i x="120" s="1" nd="1"/>
        <i x="45" s="1" nd="1"/>
        <i x="212" s="1" nd="1"/>
        <i x="64"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48">
        <i x="0" s="1"/>
        <i x="12" s="1" nd="1"/>
        <i x="36" s="1" nd="1"/>
        <i x="15" s="1" nd="1"/>
        <i x="37" s="1" nd="1"/>
        <i x="33" s="1" nd="1"/>
        <i x="38" s="1" nd="1"/>
        <i x="16" s="1" nd="1"/>
        <i x="35" s="1" nd="1"/>
        <i x="3" s="1" nd="1"/>
        <i x="42" s="1" nd="1"/>
        <i x="32" s="1" nd="1"/>
        <i x="13" s="1" nd="1"/>
        <i x="2" s="1" nd="1"/>
        <i x="10" s="1" nd="1"/>
        <i x="34" s="1" nd="1"/>
        <i x="43" s="1" nd="1"/>
        <i x="8" s="1" nd="1"/>
        <i x="44" s="1" nd="1"/>
        <i x="17" s="1" nd="1"/>
        <i x="40" s="1" nd="1"/>
        <i x="22" s="1" nd="1"/>
        <i x="24" s="1" nd="1"/>
        <i x="6" s="1" nd="1"/>
        <i x="41" s="1" nd="1"/>
        <i x="27" s="1" nd="1"/>
        <i x="28" s="1" nd="1"/>
        <i x="46" s="1" nd="1"/>
        <i x="31" s="1" nd="1"/>
        <i x="26" s="1" nd="1"/>
        <i x="7" s="1" nd="1"/>
        <i x="14" s="1" nd="1"/>
        <i x="23" s="1" nd="1"/>
        <i x="19" s="1" nd="1"/>
        <i x="29" s="1" nd="1"/>
        <i x="1" s="1" nd="1"/>
        <i x="39" s="1" nd="1"/>
        <i x="25" s="1" nd="1"/>
        <i x="20" s="1" nd="1"/>
        <i x="47" s="1" nd="1"/>
        <i x="30" s="1" nd="1"/>
        <i x="11" s="1" nd="1"/>
        <i x="45" s="1" nd="1"/>
        <i x="18" s="1" nd="1"/>
        <i x="4" s="1" nd="1"/>
        <i x="21" s="1" nd="1"/>
        <i x="9" s="1" nd="1"/>
        <i x="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244">
        <i x="0" s="1"/>
        <i x="95" s="1" nd="1"/>
        <i x="198" s="1" nd="1"/>
        <i x="86" s="1" nd="1"/>
        <i x="169" s="1" nd="1"/>
        <i x="45" s="1" nd="1"/>
        <i x="23" s="1" nd="1"/>
        <i x="28" s="1" nd="1"/>
        <i x="199" s="1" nd="1"/>
        <i x="204" s="1" nd="1"/>
        <i x="17" s="1" nd="1"/>
        <i x="89" s="1" nd="1"/>
        <i x="99" s="1" nd="1"/>
        <i x="135" s="1" nd="1"/>
        <i x="193" s="1" nd="1"/>
        <i x="79" s="1" nd="1"/>
        <i x="59" s="1" nd="1"/>
        <i x="12" s="1" nd="1"/>
        <i x="146" s="1" nd="1"/>
        <i x="50" s="1" nd="1"/>
        <i x="77" s="1" nd="1"/>
        <i x="58" s="1" nd="1"/>
        <i x="13" s="1" nd="1"/>
        <i x="120" s="1" nd="1"/>
        <i x="143" s="1" nd="1"/>
        <i x="134" s="1" nd="1"/>
        <i x="105" s="1" nd="1"/>
        <i x="97" s="1" nd="1"/>
        <i x="127" s="1" nd="1"/>
        <i x="70" s="1" nd="1"/>
        <i x="111" s="1" nd="1"/>
        <i x="83" s="1" nd="1"/>
        <i x="157" s="1" nd="1"/>
        <i x="196" s="1" nd="1"/>
        <i x="71" s="1" nd="1"/>
        <i x="21" s="1" nd="1"/>
        <i x="147" s="1" nd="1"/>
        <i x="180" s="1" nd="1"/>
        <i x="22" s="1" nd="1"/>
        <i x="160" s="1" nd="1"/>
        <i x="60" s="1" nd="1"/>
        <i x="170" s="1" nd="1"/>
        <i x="29" s="1" nd="1"/>
        <i x="94" s="1" nd="1"/>
        <i x="113" s="1" nd="1"/>
        <i x="30" s="1" nd="1"/>
        <i x="24" s="1" nd="1"/>
        <i x="230" s="1" nd="1"/>
        <i x="231" s="1" nd="1"/>
        <i x="192" s="1" nd="1"/>
        <i x="177" s="1" nd="1"/>
        <i x="200" s="1" nd="1"/>
        <i x="208" s="1" nd="1"/>
        <i x="82" s="1" nd="1"/>
        <i x="241" s="1" nd="1"/>
        <i x="66" s="1" nd="1"/>
        <i x="109" s="1" nd="1"/>
        <i x="171" s="1" nd="1"/>
        <i x="18" s="1" nd="1"/>
        <i x="179" s="1" nd="1"/>
        <i x="150" s="1" nd="1"/>
        <i x="235" s="1" nd="1"/>
        <i x="117" s="1" nd="1"/>
        <i x="158" s="1" nd="1"/>
        <i x="121" s="1" nd="1"/>
        <i x="213" s="1" nd="1"/>
        <i x="34" s="1" nd="1"/>
        <i x="137" s="1" nd="1"/>
        <i x="123" s="1" nd="1"/>
        <i x="96" s="1" nd="1"/>
        <i x="151" s="1" nd="1"/>
        <i x="103" s="1" nd="1"/>
        <i x="125" s="1" nd="1"/>
        <i x="11" s="1" nd="1"/>
        <i x="115" s="1" nd="1"/>
        <i x="100" s="1" nd="1"/>
        <i x="214" s="1" nd="1"/>
        <i x="49" s="1" nd="1"/>
        <i x="55" s="1" nd="1"/>
        <i x="212" s="1" nd="1"/>
        <i x="80" s="1" nd="1"/>
        <i x="73" s="1" nd="1"/>
        <i x="4" s="1" nd="1"/>
        <i x="56" s="1" nd="1"/>
        <i x="9" s="1" nd="1"/>
        <i x="239" s="1" nd="1"/>
        <i x="219" s="1" nd="1"/>
        <i x="128" s="1" nd="1"/>
        <i x="43" s="1" nd="1"/>
        <i x="184" s="1" nd="1"/>
        <i x="19" s="1" nd="1"/>
        <i x="15" s="1" nd="1"/>
        <i x="144" s="1" nd="1"/>
        <i x="33" s="1" nd="1"/>
        <i x="174" s="1" nd="1"/>
        <i x="237" s="1" nd="1"/>
        <i x="167" s="1" nd="1"/>
        <i x="206" s="1" nd="1"/>
        <i x="218" s="1" nd="1"/>
        <i x="67" s="1" nd="1"/>
        <i x="176" s="1" nd="1"/>
        <i x="222" s="1" nd="1"/>
        <i x="136" s="1" nd="1"/>
        <i x="87" s="1" nd="1"/>
        <i x="14" s="1" nd="1"/>
        <i x="155" s="1" nd="1"/>
        <i x="153" s="1" nd="1"/>
        <i x="57" s="1" nd="1"/>
        <i x="242" s="1" nd="1"/>
        <i x="216" s="1" nd="1"/>
        <i x="226" s="1" nd="1"/>
        <i x="104" s="1" nd="1"/>
        <i x="40" s="1" nd="1"/>
        <i x="74" s="1" nd="1"/>
        <i x="152" s="1" nd="1"/>
        <i x="220" s="1" nd="1"/>
        <i x="8" s="1" nd="1"/>
        <i x="53" s="1" nd="1"/>
        <i x="227" s="1" nd="1"/>
        <i x="25" s="1" nd="1"/>
        <i x="203" s="1" nd="1"/>
        <i x="138" s="1" nd="1"/>
        <i x="148" s="1" nd="1"/>
        <i x="240" s="1" nd="1"/>
        <i x="124" s="1" nd="1"/>
        <i x="229" s="1" nd="1"/>
        <i x="149" s="1" nd="1"/>
        <i x="76" s="1" nd="1"/>
        <i x="7" s="1" nd="1"/>
        <i x="236" s="1" nd="1"/>
        <i x="139" s="1" nd="1"/>
        <i x="215" s="1" nd="1"/>
        <i x="91" s="1" nd="1"/>
        <i x="106" s="1" nd="1"/>
        <i x="84" s="1" nd="1"/>
        <i x="36" s="1" nd="1"/>
        <i x="31" s="1" nd="1"/>
        <i x="232" s="1" nd="1"/>
        <i x="101" s="1" nd="1"/>
        <i x="133" s="1" nd="1"/>
        <i x="41" s="1" nd="1"/>
        <i x="159" s="1" nd="1"/>
        <i x="201" s="1" nd="1"/>
        <i x="185" s="1" nd="1"/>
        <i x="92" s="1" nd="1"/>
        <i x="194" s="1" nd="1"/>
        <i x="234" s="1" nd="1"/>
        <i x="165" s="1" nd="1"/>
        <i x="75" s="1" nd="1"/>
        <i x="225" s="1" nd="1"/>
        <i x="112" s="1" nd="1"/>
        <i x="210" s="1" nd="1"/>
        <i x="90" s="1" nd="1"/>
        <i x="48" s="1" nd="1"/>
        <i x="205" s="1" nd="1"/>
        <i x="10" s="1" nd="1"/>
        <i x="233" s="1" nd="1"/>
        <i x="238" s="1" nd="1"/>
        <i x="37" s="1" nd="1"/>
        <i x="26" s="1" nd="1"/>
        <i x="32" s="1" nd="1"/>
        <i x="129" s="1" nd="1"/>
        <i x="35" s="1" nd="1"/>
        <i x="119" s="1" nd="1"/>
        <i x="162" s="1" nd="1"/>
        <i x="156" s="1" nd="1"/>
        <i x="195" s="1" nd="1"/>
        <i x="61" s="1" nd="1"/>
        <i x="126" s="1" nd="1"/>
        <i x="16" s="1" nd="1"/>
        <i x="2" s="1" nd="1"/>
        <i x="27" s="1" nd="1"/>
        <i x="51" s="1" nd="1"/>
        <i x="223" s="1" nd="1"/>
        <i x="47" s="1" nd="1"/>
        <i x="163" s="1" nd="1"/>
        <i x="164" s="1" nd="1"/>
        <i x="107" s="1" nd="1"/>
        <i x="183" s="1" nd="1"/>
        <i x="116" s="1" nd="1"/>
        <i x="178" s="1" nd="1"/>
        <i x="3" s="1" nd="1"/>
        <i x="140" s="1" nd="1"/>
        <i x="132" s="1" nd="1"/>
        <i x="186" s="1" nd="1"/>
        <i x="173" s="1" nd="1"/>
        <i x="85" s="1" nd="1"/>
        <i x="182" s="1" nd="1"/>
        <i x="42" s="1" nd="1"/>
        <i x="228" s="1" nd="1"/>
        <i x="52" s="1" nd="1"/>
        <i x="108" s="1" nd="1"/>
        <i x="188" s="1" nd="1"/>
        <i x="78" s="1" nd="1"/>
        <i x="168" s="1" nd="1"/>
        <i x="69" s="1" nd="1"/>
        <i x="190" s="1" nd="1"/>
        <i x="197" s="1" nd="1"/>
        <i x="46" s="1" nd="1"/>
        <i x="62" s="1" nd="1"/>
        <i x="20" s="1" nd="1"/>
        <i x="93" s="1" nd="1"/>
        <i x="64" s="1" nd="1"/>
        <i x="114" s="1" nd="1"/>
        <i x="217" s="1" nd="1"/>
        <i x="72" s="1" nd="1"/>
        <i x="191" s="1" nd="1"/>
        <i x="187" s="1" nd="1"/>
        <i x="65" s="1" nd="1"/>
        <i x="44" s="1" nd="1"/>
        <i x="154" s="1" nd="1"/>
        <i x="6" s="1" nd="1"/>
        <i x="131" s="1" nd="1"/>
        <i x="224" s="1" nd="1"/>
        <i x="221" s="1" nd="1"/>
        <i x="189" s="1" nd="1"/>
        <i x="145" s="1" nd="1"/>
        <i x="207" s="1" nd="1"/>
        <i x="243" s="1" nd="1"/>
        <i x="5" s="1" nd="1"/>
        <i x="39" s="1" nd="1"/>
        <i x="1" s="1" nd="1"/>
        <i x="211" s="1" nd="1"/>
        <i x="63" s="1" nd="1"/>
        <i x="38" s="1" nd="1"/>
        <i x="166" s="1" nd="1"/>
        <i x="141" s="1" nd="1"/>
        <i x="175" s="1" nd="1"/>
        <i x="81" s="1" nd="1"/>
        <i x="54" s="1" nd="1"/>
        <i x="142" s="1" nd="1"/>
        <i x="181" s="1" nd="1"/>
        <i x="88" s="1" nd="1"/>
        <i x="202" s="1" nd="1"/>
        <i x="161" s="1" nd="1"/>
        <i x="98" s="1" nd="1"/>
        <i x="172" s="1" nd="1"/>
        <i x="102" s="1" nd="1"/>
        <i x="130" s="1" nd="1"/>
        <i x="110" s="1" nd="1"/>
        <i x="68" s="1" nd="1"/>
        <i x="118" s="1" nd="1"/>
        <i x="122" s="1" nd="1"/>
        <i x="209"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319">
        <i x="0" s="1"/>
        <i x="310" s="1" nd="1"/>
        <i x="276" s="1" nd="1"/>
        <i x="132" s="1" nd="1"/>
        <i x="31" s="1" nd="1"/>
        <i x="108" s="1" nd="1"/>
        <i x="283" s="1" nd="1"/>
        <i x="311" s="1" nd="1"/>
        <i x="12" s="1" nd="1"/>
        <i x="272" s="1" nd="1"/>
        <i x="80" s="1" nd="1"/>
        <i x="225" s="1" nd="1"/>
        <i x="137" s="1" nd="1"/>
        <i x="56" s="1" nd="1"/>
        <i x="75" s="1" nd="1"/>
        <i x="177" s="1" nd="1"/>
        <i x="306" s="1" nd="1"/>
        <i x="119" s="1" nd="1"/>
        <i x="18" s="1" nd="1"/>
        <i x="235" s="1" nd="1"/>
        <i x="109" s="1" nd="1"/>
        <i x="169" s="1" nd="1"/>
        <i x="226" s="1" nd="1"/>
        <i x="143" s="1" nd="1"/>
        <i x="77" s="1" nd="1"/>
        <i x="86" s="1" nd="1"/>
        <i x="238" s="1" nd="1"/>
        <i x="277" s="1" nd="1"/>
        <i x="150" s="1" nd="1"/>
        <i x="194" s="1" nd="1"/>
        <i x="120" s="1" nd="1"/>
        <i x="236" s="1" nd="1"/>
        <i x="7" s="1" nd="1"/>
        <i x="58" s="1" nd="1"/>
        <i x="87" s="1" nd="1"/>
        <i x="267" s="1" nd="1"/>
        <i x="312" s="1" nd="1"/>
        <i x="95" s="1" nd="1"/>
        <i x="13" s="1" nd="1"/>
        <i x="303" s="1" nd="1"/>
        <i x="88" s="1" nd="1"/>
        <i x="144" s="1" nd="1"/>
        <i x="101" s="1" nd="1"/>
        <i x="157" s="1" nd="1"/>
        <i x="165" s="1" nd="1"/>
        <i x="70" s="1" nd="1"/>
        <i x="121" s="1" nd="1"/>
        <i x="38" s="1" nd="1"/>
        <i x="261" s="1" nd="1"/>
        <i x="170" s="1" nd="1"/>
        <i x="54" s="1" nd="1"/>
        <i x="59" s="1" nd="1"/>
        <i x="243" s="1" nd="1"/>
        <i x="171" s="1" nd="1"/>
        <i x="110" s="1" nd="1"/>
        <i x="212" s="1" nd="1"/>
        <i x="313" s="1" nd="1"/>
        <i x="244" s="1" nd="1"/>
        <i x="172" s="1" nd="1"/>
        <i x="284" s="1" nd="1"/>
        <i x="214" s="1" nd="1"/>
        <i x="133" s="1" nd="1"/>
        <i x="76" s="1" nd="1"/>
        <i x="19" s="1" nd="1"/>
        <i x="35" s="1" nd="1"/>
        <i x="215" s="1" nd="1"/>
        <i x="158" s="1" nd="1"/>
        <i x="184" s="1" nd="1"/>
        <i x="81" s="1" nd="1"/>
        <i x="102" s="1" nd="1"/>
        <i x="307" s="1" nd="1"/>
        <i x="159" s="1" nd="1"/>
        <i x="245" s="1" nd="1"/>
        <i x="248" s="1" nd="1"/>
        <i x="188" s="1" nd="1"/>
        <i x="268" s="1" nd="1"/>
        <i x="138" s="1" nd="1"/>
        <i x="160" s="1" nd="1"/>
        <i x="151" s="1" nd="1"/>
        <i x="51" s="1" nd="1"/>
        <i x="314" s="1" nd="1"/>
        <i x="117" s="1" nd="1"/>
        <i x="249" s="1" nd="1"/>
        <i x="189" s="1" nd="1"/>
        <i x="304" s="1" nd="1"/>
        <i x="14" s="1" nd="1"/>
        <i x="213" s="1" nd="1"/>
        <i x="9" s="1" nd="1"/>
        <i x="178" s="1" nd="1"/>
        <i x="315" s="1" nd="1"/>
        <i x="32" s="1" nd="1"/>
        <i x="152" s="1" nd="1"/>
        <i x="195" s="1" nd="1"/>
        <i x="10" s="1" nd="1"/>
        <i x="290" s="1" nd="1"/>
        <i x="145" s="1" nd="1"/>
        <i x="255" s="1" nd="1"/>
        <i x="122" s="1" nd="1"/>
        <i x="251" s="1" nd="1"/>
        <i x="239" s="1" nd="1"/>
        <i x="258" s="1" nd="1"/>
        <i x="36" s="1" nd="1"/>
        <i x="161" s="1" nd="1"/>
        <i x="227" s="1" nd="1"/>
        <i x="118" s="1" nd="1"/>
        <i x="259" s="1" nd="1"/>
        <i x="237" s="1" nd="1"/>
        <i x="71" s="1" nd="1"/>
        <i x="273" s="1" nd="1"/>
        <i x="293" s="1" nd="1"/>
        <i x="39" s="1" nd="1"/>
        <i x="200" s="1" nd="1"/>
        <i x="218" s="1" nd="1"/>
        <i x="231" s="1" nd="1"/>
        <i x="262" s="1" nd="1"/>
        <i x="285" s="1" nd="1"/>
        <i x="53" s="1" nd="1"/>
        <i x="269" s="1" nd="1"/>
        <i x="179" s="1" nd="1"/>
        <i x="316" s="1" nd="1"/>
        <i x="219" s="1" nd="1"/>
        <i x="278" s="1" nd="1"/>
        <i x="89" s="1" nd="1"/>
        <i x="60" s="1" nd="1"/>
        <i x="123" s="1" nd="1"/>
        <i x="33" s="1" nd="1"/>
        <i x="256" s="1" nd="1"/>
        <i x="180" s="1" nd="1"/>
        <i x="263" s="1" nd="1"/>
        <i x="173" s="1" nd="1"/>
        <i x="72" s="1" nd="1"/>
        <i x="250" s="1" nd="1"/>
        <i x="126" s="1" nd="1"/>
        <i x="61" s="1" nd="1"/>
        <i x="162" s="1" nd="1"/>
        <i x="206" s="1" nd="1"/>
        <i x="252" s="1" nd="1"/>
        <i x="127" s="1" nd="1"/>
        <i x="114" s="1" nd="1"/>
        <i x="294" s="1" nd="1"/>
        <i x="317" s="1" nd="1"/>
        <i x="1" s="1" nd="1"/>
        <i x="286" s="1" nd="1"/>
        <i x="111" s="1" nd="1"/>
        <i x="318" s="1" nd="1"/>
        <i x="220" s="1" nd="1"/>
        <i x="228" s="1" nd="1"/>
        <i x="232" s="1" nd="1"/>
        <i x="298" s="1" nd="1"/>
        <i x="45" s="1" nd="1"/>
        <i x="264" s="1" nd="1"/>
        <i x="223" s="1" nd="1"/>
        <i x="82" s="1" nd="1"/>
        <i x="128" s="1" nd="1"/>
        <i x="240" s="1" nd="1"/>
        <i x="196" s="1" nd="1"/>
        <i x="62" s="1" nd="1"/>
        <i x="216" s="1" nd="1"/>
        <i x="15" s="1" nd="1"/>
        <i x="103" s="1" nd="1"/>
        <i x="153" s="1" nd="1"/>
        <i x="134" s="1" nd="1"/>
        <i x="83" s="1" nd="1"/>
        <i x="24" s="1" nd="1"/>
        <i x="154" s="1" nd="1"/>
        <i x="197" s="1" nd="1"/>
        <i x="104" s="1" nd="1"/>
        <i x="265" s="1" nd="1"/>
        <i x="146" s="1" nd="1"/>
        <i x="129" s="1" nd="1"/>
        <i x="155" s="1" nd="1"/>
        <i x="96" s="1" nd="1"/>
        <i x="246" s="1" nd="1"/>
        <i x="163" s="1" nd="1"/>
        <i x="78" s="1" nd="1"/>
        <i x="46" s="1" nd="1"/>
        <i x="105" s="1" nd="1"/>
        <i x="2" s="1" nd="1"/>
        <i x="55" s="1" nd="1"/>
        <i x="37" s="1" nd="1"/>
        <i x="11" s="1" nd="1"/>
        <i x="221" s="1" nd="1"/>
        <i x="279" s="1" nd="1"/>
        <i x="40" s="1" nd="1"/>
        <i x="207" s="1" nd="1"/>
        <i x="147" s="1" nd="1"/>
        <i x="84" s="1" nd="1"/>
        <i x="49" s="1" nd="1"/>
        <i x="112" s="1" nd="1"/>
        <i x="25" s="1" nd="1"/>
        <i x="63" s="1" nd="1"/>
        <i x="217" s="1" nd="1"/>
        <i x="274" s="1" nd="1"/>
        <i x="97" s="1" nd="1"/>
        <i x="47" s="1" nd="1"/>
        <i x="106" s="1" nd="1"/>
        <i x="208" s="1" nd="1"/>
        <i x="20" s="1" nd="1"/>
        <i x="224" s="1" nd="1"/>
        <i x="287" s="1" nd="1"/>
        <i x="190" s="1" nd="1"/>
        <i x="3" s="1" nd="1"/>
        <i x="253" s="1" nd="1"/>
        <i x="73" s="1" nd="1"/>
        <i x="65" s="1" nd="1"/>
        <i x="29" s="1" nd="1"/>
        <i x="21" s="1" nd="1"/>
        <i x="174" s="1" nd="1"/>
        <i x="130" s="1" nd="1"/>
        <i x="131" s="1" nd="1"/>
        <i x="64" s="1" nd="1"/>
        <i x="135" s="1" nd="1"/>
        <i x="27" s="1" nd="1"/>
        <i x="295" s="1" nd="1"/>
        <i x="299" s="1" nd="1"/>
        <i x="185" s="1" nd="1"/>
        <i x="22" s="1" nd="1"/>
        <i x="34" s="1" nd="1"/>
        <i x="48" s="1" nd="1"/>
        <i x="241" s="1" nd="1"/>
        <i x="90" s="1" nd="1"/>
        <i x="41" s="1" nd="1"/>
        <i x="181" s="1" nd="1"/>
        <i x="247" s="1" nd="1"/>
        <i x="201" s="1" nd="1"/>
        <i x="66" s="1" nd="1"/>
        <i x="300" s="1" nd="1"/>
        <i x="4" s="1" nd="1"/>
        <i x="191" s="1" nd="1"/>
        <i x="91" s="1" nd="1"/>
        <i x="296" s="1" nd="1"/>
        <i x="202" s="1" nd="1"/>
        <i x="16" s="1" nd="1"/>
        <i x="280" s="1" nd="1"/>
        <i x="30" s="1" nd="1"/>
        <i x="79" s="1" nd="1"/>
        <i x="166" s="1" nd="1"/>
        <i x="124" s="1" nd="1"/>
        <i x="209" s="1" nd="1"/>
        <i x="266" s="1" nd="1"/>
        <i x="175" s="1" nd="1"/>
        <i x="192" s="1" nd="1"/>
        <i x="92" s="1" nd="1"/>
        <i x="254" s="1" nd="1"/>
        <i x="198" s="1" nd="1"/>
        <i x="28" s="1" nd="1"/>
        <i x="98" s="1" nd="1"/>
        <i x="26" s="1" nd="1"/>
        <i x="74" s="1" nd="1"/>
        <i x="291" s="1" nd="1"/>
        <i x="93" s="1" nd="1"/>
        <i x="113" s="1" nd="1"/>
        <i x="275" s="1" nd="1"/>
        <i x="42" s="1" nd="1"/>
        <i x="182" s="1" nd="1"/>
        <i x="203" s="1" nd="1"/>
        <i x="67" s="1" nd="1"/>
        <i x="222" s="1" nd="1"/>
        <i x="210" s="1" nd="1"/>
        <i x="156" s="1" nd="1"/>
        <i x="94" s="1" nd="1"/>
        <i x="115" s="1" nd="1"/>
        <i x="136" s="1" nd="1"/>
        <i x="164" s="1" nd="1"/>
        <i x="43" s="1" nd="1"/>
        <i x="99" s="1" nd="1"/>
        <i x="139" s="1" nd="1"/>
        <i x="281" s="1" nd="1"/>
        <i x="167" s="1" nd="1"/>
        <i x="148" s="1" nd="1"/>
        <i x="8" s="1" nd="1"/>
        <i x="57" s="1" nd="1"/>
        <i x="242" s="1" nd="1"/>
        <i x="308" s="1" nd="1"/>
        <i x="116" s="1" nd="1"/>
        <i x="199" s="1" nd="1"/>
        <i x="229" s="1" nd="1"/>
        <i x="44" s="1" nd="1"/>
        <i x="140" s="1" nd="1"/>
        <i x="282" s="1" nd="1"/>
        <i x="168" s="1" nd="1"/>
        <i x="233" s="1" nd="1"/>
        <i x="186" s="1" nd="1"/>
        <i x="125" s="1" nd="1"/>
        <i x="211" s="1" nd="1"/>
        <i x="50" s="1" nd="1"/>
        <i x="193" s="1" nd="1"/>
        <i x="204" s="1" nd="1"/>
        <i x="141" s="1" nd="1"/>
        <i x="301" s="1" nd="1"/>
        <i x="288" s="1" nd="1"/>
        <i x="205" s="1" nd="1"/>
        <i x="17" s="1" nd="1"/>
        <i x="234" s="1" nd="1"/>
        <i x="302" s="1" nd="1"/>
        <i x="100" s="1" nd="1"/>
        <i x="5" s="1" nd="1"/>
        <i x="305" s="1" nd="1"/>
        <i x="52" s="1" nd="1"/>
        <i x="230" s="1" nd="1"/>
        <i x="107" s="1" nd="1"/>
        <i x="23" s="1" nd="1"/>
        <i x="176" s="1" nd="1"/>
        <i x="270" s="1" nd="1"/>
        <i x="257" s="1" nd="1"/>
        <i x="292" s="1" nd="1"/>
        <i x="6" s="1" nd="1"/>
        <i x="289" s="1" nd="1"/>
        <i x="85" s="1" nd="1"/>
        <i x="260" s="1" nd="1"/>
        <i x="68" s="1" nd="1"/>
        <i x="69" s="1" nd="1"/>
        <i x="149" s="1" nd="1"/>
        <i x="309" s="1" nd="1"/>
        <i x="297" s="1" nd="1"/>
        <i x="183" s="1" nd="1"/>
        <i x="142" s="1" nd="1"/>
        <i x="187" s="1" nd="1"/>
        <i x="27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1" s="1"/>
        <i x="2" s="1"/>
        <i x="3" s="1"/>
        <i x="9" s="1" nd="1"/>
        <i x="4" s="1" nd="1"/>
        <i x="5" s="1" nd="1"/>
        <i x="6" s="1" nd="1"/>
        <i x="7" s="1" nd="1"/>
        <i x="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542">
        <i x="1" s="1"/>
        <i x="0" s="1"/>
        <i x="63" s="1" nd="1"/>
        <i x="228" s="1" nd="1"/>
        <i x="540" s="1" nd="1"/>
        <i x="483" s="1" nd="1"/>
        <i x="309" s="1" nd="1"/>
        <i x="424" s="1" nd="1"/>
        <i x="348" s="1" nd="1"/>
        <i x="109" s="1" nd="1"/>
        <i x="98" s="1" nd="1"/>
        <i x="143" s="1" nd="1"/>
        <i x="159" s="1" nd="1"/>
        <i x="178" s="1" nd="1"/>
        <i x="260" s="1" nd="1"/>
        <i x="224" s="1" nd="1"/>
        <i x="419" s="1" nd="1"/>
        <i x="140" s="1" nd="1"/>
        <i x="208" s="1" nd="1"/>
        <i x="55" s="1" nd="1"/>
        <i x="410" s="1" nd="1"/>
        <i x="76" s="1" nd="1"/>
        <i x="284" s="1" nd="1"/>
        <i x="485" s="1" nd="1"/>
        <i x="92" s="1" nd="1"/>
        <i x="505" s="1" nd="1"/>
        <i x="476" s="1" nd="1"/>
        <i x="64" s="1" nd="1"/>
        <i x="160" s="1" nd="1"/>
        <i x="432" s="1" nd="1"/>
        <i x="494" s="1" nd="1"/>
        <i x="10" s="1" nd="1"/>
        <i x="274" s="1" nd="1"/>
        <i x="152" s="1" nd="1"/>
        <i x="243" s="1" nd="1"/>
        <i x="344" s="1" nd="1"/>
        <i x="199" s="1" nd="1"/>
        <i x="96" s="1" nd="1"/>
        <i x="101" s="1" nd="1"/>
        <i x="223" s="1" nd="1"/>
        <i x="190" s="1" nd="1"/>
        <i x="253" s="1" nd="1"/>
        <i x="527" s="1" nd="1"/>
        <i x="88" s="1" nd="1"/>
        <i x="251" s="1" nd="1"/>
        <i x="312" s="1" nd="1"/>
        <i x="296" s="1" nd="1"/>
        <i x="186" s="1" nd="1"/>
        <i x="280" s="1" nd="1"/>
        <i x="265" s="1" nd="1"/>
        <i x="463" s="1" nd="1"/>
        <i x="202" s="1" nd="1"/>
        <i x="278" s="1" nd="1"/>
        <i x="127" s="1" nd="1"/>
        <i x="276" s="1" nd="1"/>
        <i x="110" s="1" nd="1"/>
        <i x="271" s="1" nd="1"/>
        <i x="442" s="1" nd="1"/>
        <i x="338" s="1" nd="1"/>
        <i x="486" s="1" nd="1"/>
        <i x="404" s="1" nd="1"/>
        <i x="295" s="1" nd="1"/>
        <i x="230" s="1" nd="1"/>
        <i x="81" s="1" nd="1"/>
        <i x="235" s="1" nd="1"/>
        <i x="289" s="1" nd="1"/>
        <i x="478" s="1" nd="1"/>
        <i x="460" s="1" nd="1"/>
        <i x="440" s="1" nd="1"/>
        <i x="134" s="1" nd="1"/>
        <i x="221" s="1" nd="1"/>
        <i x="318" s="1" nd="1"/>
        <i x="222" s="1" nd="1"/>
        <i x="52" s="1" nd="1"/>
        <i x="539" s="1" nd="1"/>
        <i x="391" s="1" nd="1"/>
        <i x="163" s="1" nd="1"/>
        <i x="496" s="1" nd="1"/>
        <i x="272" s="1" nd="1"/>
        <i x="65" s="1" nd="1"/>
        <i x="464" s="1" nd="1"/>
        <i x="234" s="1" nd="1"/>
        <i x="433" s="1" nd="1"/>
        <i x="162" s="1" nd="1"/>
        <i x="297" s="1" nd="1"/>
        <i x="107" s="1" nd="1"/>
        <i x="273" s="1" nd="1"/>
        <i x="142" s="1" nd="1"/>
        <i x="119" s="1" nd="1"/>
        <i x="456" s="1" nd="1"/>
        <i x="447" s="1" nd="1"/>
        <i x="225" s="1" nd="1"/>
        <i x="248" s="1" nd="1"/>
        <i x="512" s="1" nd="1"/>
        <i x="111" s="1" nd="1"/>
        <i x="126" s="1" nd="1"/>
        <i x="60" s="1" nd="1"/>
        <i x="423" s="1" nd="1"/>
        <i x="488" s="1" nd="1"/>
        <i x="189" s="1" nd="1"/>
        <i x="176" s="1" nd="1"/>
        <i x="267" s="1" nd="1"/>
        <i x="541" s="1" nd="1"/>
        <i x="517" s="1" nd="1"/>
        <i x="270" s="1" nd="1"/>
        <i x="38" s="1" nd="1"/>
        <i x="129" s="1" nd="1"/>
        <i x="200" s="1" nd="1"/>
        <i x="237" s="1" nd="1"/>
        <i x="367" s="1" nd="1"/>
        <i x="427" s="1" nd="1"/>
        <i x="415" s="1" nd="1"/>
        <i x="303" s="1" nd="1"/>
        <i x="493" s="1" nd="1"/>
        <i x="40" s="1" nd="1"/>
        <i x="501" s="1" nd="1"/>
        <i x="240" s="1" nd="1"/>
        <i x="254" s="1" nd="1"/>
        <i x="262" s="1" nd="1"/>
        <i x="204" s="1" nd="1"/>
        <i x="350" s="1" nd="1"/>
        <i x="341" s="1" nd="1"/>
        <i x="324" s="1" nd="1"/>
        <i x="31" s="1" nd="1"/>
        <i x="471" s="1" nd="1"/>
        <i x="491" s="1" nd="1"/>
        <i x="191" s="1" nd="1"/>
        <i x="345" s="1" nd="1"/>
        <i x="392" s="1" nd="1"/>
        <i x="86" s="1" nd="1"/>
        <i x="69" s="1" nd="1"/>
        <i x="18" s="1" nd="1"/>
        <i x="532" s="1" nd="1"/>
        <i x="46" s="1" nd="1"/>
        <i x="409" s="1" nd="1"/>
        <i x="522" s="1" nd="1"/>
        <i x="74" s="1" nd="1"/>
        <i x="369" s="1" nd="1"/>
        <i x="24" s="1" nd="1"/>
        <i x="177" s="1" nd="1"/>
        <i x="4" s="1" nd="1"/>
        <i x="50" s="1" nd="1"/>
        <i x="188" s="1" nd="1"/>
        <i x="249" s="1" nd="1"/>
        <i x="310" s="1" nd="1"/>
        <i x="372" s="1" nd="1"/>
        <i x="42" s="1" nd="1"/>
        <i x="205" s="1" nd="1"/>
        <i x="412" s="1" nd="1"/>
        <i x="41" s="1" nd="1"/>
        <i x="364" s="1" nd="1"/>
        <i x="59" s="1" nd="1"/>
        <i x="206" s="1" nd="1"/>
        <i x="268" s="1" nd="1"/>
        <i x="343" s="1" nd="1"/>
        <i x="467" s="1" nd="1"/>
        <i x="477" s="1" nd="1"/>
        <i x="293" s="1" nd="1"/>
        <i x="169" s="1" nd="1"/>
        <i x="393" s="1" nd="1"/>
        <i x="20" s="1" nd="1"/>
        <i x="184" s="1" nd="1"/>
        <i x="443" s="1" nd="1"/>
        <i x="58" s="1" nd="1"/>
        <i x="335" s="1" nd="1"/>
        <i x="422" s="1" nd="1"/>
        <i x="425" s="1" nd="1"/>
        <i x="497" s="1" nd="1"/>
        <i x="241" s="1" nd="1"/>
        <i x="70" s="1" nd="1"/>
        <i x="430" s="1" nd="1"/>
        <i x="2" s="1" nd="1"/>
        <i x="382" s="1" nd="1"/>
        <i x="378" s="1" nd="1"/>
        <i x="387" s="1" nd="1"/>
        <i x="95" s="1" nd="1"/>
        <i x="218" s="1" nd="1"/>
        <i x="330" s="1" nd="1"/>
        <i x="54" s="1" nd="1"/>
        <i x="84" s="1" nd="1"/>
        <i x="388" s="1" nd="1"/>
        <i x="487" s="1" nd="1"/>
        <i x="264" s="1" nd="1"/>
        <i x="247" s="1" nd="1"/>
        <i x="417" s="1" nd="1"/>
        <i x="261" s="1" nd="1"/>
        <i x="49" s="1" nd="1"/>
        <i x="112" s="1" nd="1"/>
        <i x="394" s="1" nd="1"/>
        <i x="121" s="1" nd="1"/>
        <i x="118" s="1" nd="1"/>
        <i x="444" s="1" nd="1"/>
        <i x="420" s="1" nd="1"/>
        <i x="475" s="1" nd="1"/>
        <i x="68" s="1" nd="1"/>
        <i x="328" s="1" nd="1"/>
        <i x="158" s="1" nd="1"/>
        <i x="201" s="1" nd="1"/>
        <i x="36" s="1" nd="1"/>
        <i x="298" s="1" nd="1"/>
        <i x="281" s="1" nd="1"/>
        <i x="408" s="1" nd="1"/>
        <i x="106" s="1" nd="1"/>
        <i x="22" s="1" nd="1"/>
        <i x="381" s="1" nd="1"/>
        <i x="155" s="1" nd="1"/>
        <i x="12" s="1" nd="1"/>
        <i x="133" s="1" nd="1"/>
        <i x="173" s="1" nd="1"/>
        <i x="450" s="1" nd="1"/>
        <i x="165" s="1" nd="1"/>
        <i x="203" s="1" nd="1"/>
        <i x="454" s="1" nd="1"/>
        <i x="329" s="1" nd="1"/>
        <i x="525" s="1" nd="1"/>
        <i x="77" s="1" nd="1"/>
        <i x="61" s="1" nd="1"/>
        <i x="287" s="1" nd="1"/>
        <i x="461" s="1" nd="1"/>
        <i x="75" s="1" nd="1"/>
        <i x="185" s="1" nd="1"/>
        <i x="8" s="1" nd="1"/>
        <i x="506" s="1" nd="1"/>
        <i x="514" s="1" nd="1"/>
        <i x="51" s="1" nd="1"/>
        <i x="384" s="1" nd="1"/>
        <i x="170" s="1" nd="1"/>
        <i x="11" s="1" nd="1"/>
        <i x="374" s="1" nd="1"/>
        <i x="67" s="1" nd="1"/>
        <i x="314" s="1" nd="1"/>
        <i x="323" s="1" nd="1"/>
        <i x="83" s="1" nd="1"/>
        <i x="342" s="1" nd="1"/>
        <i x="214" s="1" nd="1"/>
        <i x="518" s="1" nd="1"/>
        <i x="57" s="1" nd="1"/>
        <i x="90" s="1" nd="1"/>
        <i x="226" s="1" nd="1"/>
        <i x="519" s="1" nd="1"/>
        <i x="15" s="1" nd="1"/>
        <i x="474" s="1" nd="1"/>
        <i x="339" s="1" nd="1"/>
        <i x="352" s="1" nd="1"/>
        <i x="286" s="1" nd="1"/>
        <i x="45" s="1" nd="1"/>
        <i x="72" s="1" nd="1"/>
        <i x="239" s="1" nd="1"/>
        <i x="89" s="1" nd="1"/>
        <i x="504" s="1" nd="1"/>
        <i x="495" s="1" nd="1"/>
        <i x="115" s="1" nd="1"/>
        <i x="453" s="1" nd="1"/>
        <i x="99" s="1" nd="1"/>
        <i x="421" s="1" nd="1"/>
        <i x="28" s="1" nd="1"/>
        <i x="431" s="1" nd="1"/>
        <i x="113" s="1" nd="1"/>
        <i x="209" s="1" nd="1"/>
        <i x="13" s="1" nd="1"/>
        <i x="79" s="1" nd="1"/>
        <i x="500" s="1" nd="1"/>
        <i x="437" s="1" nd="1"/>
        <i x="307" s="1" nd="1"/>
        <i x="103" s="1" nd="1"/>
        <i x="489" s="1" nd="1"/>
        <i x="256" s="1" nd="1"/>
        <i x="528" s="1" nd="1"/>
        <i x="244" s="1" nd="1"/>
        <i x="377" s="1" nd="1"/>
        <i x="400" s="1" nd="1"/>
        <i x="304" s="1" nd="1"/>
        <i x="130" s="1" nd="1"/>
        <i x="502" s="1" nd="1"/>
        <i x="499" s="1" nd="1"/>
        <i x="395" s="1" nd="1"/>
        <i x="25" s="1" nd="1"/>
        <i x="290" s="1" nd="1"/>
        <i x="117" s="1" nd="1"/>
        <i x="509" s="1" nd="1"/>
        <i x="141" s="1" nd="1"/>
        <i x="16" s="1" nd="1"/>
        <i x="418" s="1" nd="1"/>
        <i x="507" s="1" nd="1"/>
        <i x="104" s="1" nd="1"/>
        <i x="515" s="1" nd="1"/>
        <i x="294" s="1" nd="1"/>
        <i x="150" s="1" nd="1"/>
        <i x="93" s="1" nd="1"/>
        <i x="516" s="1" nd="1"/>
        <i x="245" s="1" nd="1"/>
        <i x="380" s="1" nd="1"/>
        <i x="62" s="1" nd="1"/>
        <i x="238" s="1" nd="1"/>
        <i x="227" s="1" nd="1"/>
        <i x="439" s="1" nd="1"/>
        <i x="73" s="1" nd="1"/>
        <i x="279" s="1" nd="1"/>
        <i x="82" s="1" nd="1"/>
        <i x="402" s="1" nd="1"/>
        <i x="122" s="1" nd="1"/>
        <i x="23" s="1" nd="1"/>
        <i x="434" s="1" nd="1"/>
        <i x="452" s="1" nd="1"/>
        <i x="446" s="1" nd="1"/>
        <i x="340" s="1" nd="1"/>
        <i x="435" s="1" nd="1"/>
        <i x="386" s="1" nd="1"/>
        <i x="370" s="1" nd="1"/>
        <i x="47" s="1" nd="1"/>
        <i x="34" s="1" nd="1"/>
        <i x="436" s="1" nd="1"/>
        <i x="275" s="1" nd="1"/>
        <i x="311" s="1" nd="1"/>
        <i x="91" s="1" nd="1"/>
        <i x="35" s="1" nd="1"/>
        <i x="255" s="1" nd="1"/>
        <i x="521" s="1" nd="1"/>
        <i x="197" s="1" nd="1"/>
        <i x="480" s="1" nd="1"/>
        <i x="376" s="1" nd="1"/>
        <i x="192" s="1" nd="1"/>
        <i x="520" s="1" nd="1"/>
        <i x="498" s="1" nd="1"/>
        <i x="472" s="1" nd="1"/>
        <i x="399" s="1" nd="1"/>
        <i x="30" s="1" nd="1"/>
        <i x="513" s="1" nd="1"/>
        <i x="174" s="1" nd="1"/>
        <i x="266" s="1" nd="1"/>
        <i x="455" s="1" nd="1"/>
        <i x="120" s="1" nd="1"/>
        <i x="215" s="1" nd="1"/>
        <i x="252" s="1" nd="1"/>
        <i x="288" s="1" nd="1"/>
        <i x="361" s="1" nd="1"/>
        <i x="375" s="1" nd="1"/>
        <i x="441" s="1" nd="1"/>
        <i x="17" s="1" nd="1"/>
        <i x="360" s="1" nd="1"/>
        <i x="379" s="1" nd="1"/>
        <i x="321" s="1" nd="1"/>
        <i x="366" s="1" nd="1"/>
        <i x="458" s="1" nd="1"/>
        <i x="66" s="1" nd="1"/>
        <i x="396" s="1" nd="1"/>
        <i x="449" s="1" nd="1"/>
        <i x="250" s="1" nd="1"/>
        <i x="128" s="1" nd="1"/>
        <i x="334" s="1" nd="1"/>
        <i x="406" s="1" nd="1"/>
        <i x="148" s="1" nd="1"/>
        <i x="216" s="1" nd="1"/>
        <i x="232" s="1" nd="1"/>
        <i x="43" s="1" nd="1"/>
        <i x="212" s="1" nd="1"/>
        <i x="56" s="1" nd="1"/>
        <i x="385" s="1" nd="1"/>
        <i x="363" s="1" nd="1"/>
        <i x="401" s="1" nd="1"/>
        <i x="153" s="1" nd="1"/>
        <i x="492" s="1" nd="1"/>
        <i x="407" s="1" nd="1"/>
        <i x="353" s="1" nd="1"/>
        <i x="358" s="1" nd="1"/>
        <i x="462" s="1" nd="1"/>
        <i x="146" s="1" nd="1"/>
        <i x="217" s="1" nd="1"/>
        <i x="320" s="1" nd="1"/>
        <i x="131" s="1" nd="1"/>
        <i x="259" s="1" nd="1"/>
        <i x="33" s="1" nd="1"/>
        <i x="390" s="1" nd="1"/>
        <i x="413" s="1" nd="1"/>
        <i x="242" s="1" nd="1"/>
        <i x="457" s="1" nd="1"/>
        <i x="168" s="1" nd="1"/>
        <i x="530" s="1" nd="1"/>
        <i x="346" s="1" nd="1"/>
        <i x="105" s="1" nd="1"/>
        <i x="87" s="1" nd="1"/>
        <i x="526" s="1" nd="1"/>
        <i x="231" s="1" nd="1"/>
        <i x="246" s="1" nd="1"/>
        <i x="233" s="1" nd="1"/>
        <i x="220" s="1" nd="1"/>
        <i x="508" s="1" nd="1"/>
        <i x="533" s="1" nd="1"/>
        <i x="198" s="1" nd="1"/>
        <i x="535" s="1" nd="1"/>
        <i x="285" s="1" nd="1"/>
        <i x="291" s="1" nd="1"/>
        <i x="371" s="1" nd="1"/>
        <i x="26" s="1" nd="1"/>
        <i x="53" s="1" nd="1"/>
        <i x="322" s="1" nd="1"/>
        <i x="6" s="1" nd="1"/>
        <i x="37" s="1" nd="1"/>
        <i x="451" s="1" nd="1"/>
        <i x="210" s="1" nd="1"/>
        <i x="537" s="1" nd="1"/>
        <i x="48" s="1" nd="1"/>
        <i x="445" s="1" nd="1"/>
        <i x="397" s="1" nd="1"/>
        <i x="44" s="1" nd="1"/>
        <i x="319" s="1" nd="1"/>
        <i x="299" s="1" nd="1"/>
        <i x="157" s="1" nd="1"/>
        <i x="187" s="1" nd="1"/>
        <i x="531" s="1" nd="1"/>
        <i x="468" s="1" nd="1"/>
        <i x="114" s="1" nd="1"/>
        <i x="123" s="1" nd="1"/>
        <i x="416" s="1" nd="1"/>
        <i x="94" s="1" nd="1"/>
        <i x="405" s="1" nd="1"/>
        <i x="411" s="1" nd="1"/>
        <i x="27" s="1" nd="1"/>
        <i x="236" s="1" nd="1"/>
        <i x="332" s="1" nd="1"/>
        <i x="7" s="1" nd="1"/>
        <i x="183" s="1" nd="1"/>
        <i x="459" s="1" nd="1"/>
        <i x="85" s="1" nd="1"/>
        <i x="124" s="1" nd="1"/>
        <i x="523" s="1" nd="1"/>
        <i x="529" s="1" nd="1"/>
        <i x="219" s="1" nd="1"/>
        <i x="373" s="1" nd="1"/>
        <i x="161" s="1" nd="1"/>
        <i x="414" s="1" nd="1"/>
        <i x="97" s="1" nd="1"/>
        <i x="469" s="1" nd="1"/>
        <i x="426" s="1" nd="1"/>
        <i x="211" s="1" nd="1"/>
        <i x="125" s="1" nd="1"/>
        <i x="536" s="1" nd="1"/>
        <i x="269" s="1" nd="1"/>
        <i x="32" s="1" nd="1"/>
        <i x="5" s="1" nd="1"/>
        <i x="21" s="1" nd="1"/>
        <i x="132" s="1" nd="1"/>
        <i x="481" s="1" nd="1"/>
        <i x="538" s="1" nd="1"/>
        <i x="428" s="1" nd="1"/>
        <i x="448" s="1" nd="1"/>
        <i x="78" s="1" nd="1"/>
        <i x="534" s="1" nd="1"/>
        <i x="207" s="1" nd="1"/>
        <i x="14" s="1" nd="1"/>
        <i x="466" s="1" nd="1"/>
        <i x="389" s="1" nd="1"/>
        <i x="510" s="1" nd="1"/>
        <i x="213" s="1" nd="1"/>
        <i x="257" s="1" nd="1"/>
        <i x="136" s="1" nd="1"/>
        <i x="263" s="1" nd="1"/>
        <i x="482" s="1" nd="1"/>
        <i x="479" s="1" nd="1"/>
        <i x="438" s="1" nd="1"/>
        <i x="308" s="1" nd="1"/>
        <i x="164" s="1" nd="1"/>
        <i x="465" s="1" nd="1"/>
        <i x="29" s="1" nd="1"/>
        <i x="362" s="1" nd="1"/>
        <i x="333" s="1" nd="1"/>
        <i x="71" s="1" nd="1"/>
        <i x="229" s="1" nd="1"/>
        <i x="80" s="1" nd="1"/>
        <i x="39" s="1" nd="1"/>
        <i x="511" s="1" nd="1"/>
        <i x="277" s="1" nd="1"/>
        <i x="258" s="1" nd="1"/>
        <i x="503" s="1" nd="1"/>
        <i x="175" s="1" nd="1"/>
        <i x="3" s="1" nd="1"/>
        <i x="108" s="1" nd="1"/>
        <i x="490" s="1" nd="1"/>
        <i x="167" s="1" nd="1"/>
        <i x="473" s="1" nd="1"/>
        <i x="19" s="1" nd="1"/>
        <i x="524" s="1" nd="1"/>
        <i x="182" s="1" nd="1"/>
        <i x="283" s="1" nd="1"/>
        <i x="383" s="1" nd="1"/>
        <i x="429" s="1" nd="1"/>
        <i x="116" s="1" nd="1"/>
        <i x="102" s="1" nd="1"/>
        <i x="403" s="1" nd="1"/>
        <i x="484" s="1" nd="1"/>
        <i x="398" s="1" nd="1"/>
        <i x="100" s="1" nd="1"/>
        <i x="470" s="1" nd="1"/>
        <i x="9" s="1" nd="1"/>
        <i x="349" s="1" nd="1"/>
        <i x="313" s="1" nd="1"/>
        <i x="336" s="1" nd="1"/>
        <i x="325" s="1" nd="1"/>
        <i x="300" s="1" nd="1"/>
        <i x="326" s="1" nd="1"/>
        <i x="301" s="1" nd="1"/>
        <i x="351" s="1" nd="1"/>
        <i x="302" s="1" nd="1"/>
        <i x="327" s="1" nd="1"/>
        <i x="315" s="1" nd="1"/>
        <i x="354" s="1" nd="1"/>
        <i x="282" s="1" nd="1"/>
        <i x="355" s="1" nd="1"/>
        <i x="316" s="1" nd="1"/>
        <i x="365" s="1" nd="1"/>
        <i x="356" s="1" nd="1"/>
        <i x="292" s="1" nd="1"/>
        <i x="357" s="1" nd="1"/>
        <i x="317" s="1" nd="1"/>
        <i x="305" s="1" nd="1"/>
        <i x="306" s="1" nd="1"/>
        <i x="331" s="1" nd="1"/>
        <i x="359" s="1" nd="1"/>
        <i x="368" s="1" nd="1"/>
        <i x="347" s="1" nd="1"/>
        <i x="337" s="1" nd="1"/>
        <i x="179" s="1" nd="1"/>
        <i x="151" s="1" nd="1"/>
        <i x="144" s="1" nd="1"/>
        <i x="193" s="1" nd="1"/>
        <i x="180" s="1" nd="1"/>
        <i x="194" s="1" nd="1"/>
        <i x="171" s="1" nd="1"/>
        <i x="135" s="1" nd="1"/>
        <i x="195" s="1" nd="1"/>
        <i x="181" s="1" nd="1"/>
        <i x="154" s="1" nd="1"/>
        <i x="145" s="1" nd="1"/>
        <i x="137" s="1" nd="1"/>
        <i x="196" s="1" nd="1"/>
        <i x="172" s="1" nd="1"/>
        <i x="156" s="1" nd="1"/>
        <i x="138" s="1" nd="1"/>
        <i x="147" s="1" nd="1"/>
        <i x="139" s="1" nd="1"/>
        <i x="149" s="1" nd="1"/>
        <i x="166"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678">
        <i x="1" s="1"/>
        <i x="0" s="1"/>
        <i x="490" s="1" nd="1"/>
        <i x="62" s="1" nd="1"/>
        <i x="205" s="1" nd="1"/>
        <i x="45" s="1" nd="1"/>
        <i x="540" s="1" nd="1"/>
        <i x="505" s="1" nd="1"/>
        <i x="67" s="1" nd="1"/>
        <i x="378" s="1" nd="1"/>
        <i x="268" s="1" nd="1"/>
        <i x="527" s="1" nd="1"/>
        <i x="359" s="1" nd="1"/>
        <i x="230" s="1" nd="1"/>
        <i x="400" s="1" nd="1"/>
        <i x="573" s="1" nd="1"/>
        <i x="421" s="1" nd="1"/>
        <i x="74" s="1" nd="1"/>
        <i x="272" s="1" nd="1"/>
        <i x="291" s="1" nd="1"/>
        <i x="552" s="1" nd="1"/>
        <i x="213" s="1" nd="1"/>
        <i x="652" s="1" nd="1"/>
        <i x="109" s="1" nd="1"/>
        <i x="243" s="1" nd="1"/>
        <i x="617" s="1" nd="1"/>
        <i x="128" s="1" nd="1"/>
        <i x="487" s="1" nd="1"/>
        <i x="631" s="1" nd="1"/>
        <i x="30" s="1" nd="1"/>
        <i x="179" s="1" nd="1"/>
        <i x="224" s="1" nd="1"/>
        <i x="501" s="1" nd="1"/>
        <i x="661" s="1" nd="1"/>
        <i x="375" s="1" nd="1"/>
        <i x="460" s="1" nd="1"/>
        <i x="626" s="1" nd="1"/>
        <i x="648" s="1" nd="1"/>
        <i x="176" s="1" nd="1"/>
        <i x="517" s="1" nd="1"/>
        <i x="545" s="1" nd="1"/>
        <i x="100" s="1" nd="1"/>
        <i x="175" s="1" nd="1"/>
        <i x="189" s="1" nd="1"/>
        <i x="240" s="1" nd="1"/>
        <i x="281" s="1" nd="1"/>
        <i x="290" s="1" nd="1"/>
        <i x="500" s="1" nd="1"/>
        <i x="579" s="1" nd="1"/>
        <i x="667" s="1" nd="1"/>
        <i x="10" s="1" nd="1"/>
        <i x="53" s="1" nd="1"/>
        <i x="135" s="1" nd="1"/>
        <i x="206" s="1" nd="1"/>
        <i x="232" s="1" nd="1"/>
        <i x="288" s="1" nd="1"/>
        <i x="444" s="1" nd="1"/>
        <i x="529" s="1" nd="1"/>
        <i x="79" s="1" nd="1"/>
        <i x="147" s="1" nd="1"/>
        <i x="219" s="1" nd="1"/>
        <i x="279" s="1" nd="1"/>
        <i x="458" s="1" nd="1"/>
        <i x="480" s="1" nd="1"/>
        <i x="565" s="1" nd="1"/>
        <i x="643" s="1" nd="1"/>
        <i x="27" s="1" nd="1"/>
        <i x="50" s="1" nd="1"/>
        <i x="172" s="1" nd="1"/>
        <i x="186" s="1" nd="1"/>
        <i x="217" s="1" nd="1"/>
        <i x="564" s="1" nd="1"/>
        <i x="575" s="1" nd="1"/>
        <i x="64" s="1" nd="1"/>
        <i x="89" s="1" nd="1"/>
        <i x="185" s="1" nd="1"/>
        <i x="215" s="1" nd="1"/>
        <i x="542" s="1" nd="1"/>
        <i x="622" s="1" nd="1"/>
        <i x="658" s="1" nd="1"/>
        <i x="144" s="1" nd="1"/>
        <i x="156" s="1" nd="1"/>
        <i x="171" s="1" nd="1"/>
        <i x="246" s="1" nd="1"/>
        <i x="385" s="1" nd="1"/>
        <i x="476" s="1" nd="1"/>
        <i x="524" s="1" nd="1"/>
        <i x="634" s="1" nd="1"/>
        <i x="133" s="1" nd="1"/>
        <i x="275" s="1" nd="1"/>
        <i x="312" s="1" nd="1"/>
        <i x="358" s="1" nd="1"/>
        <i x="507" s="1" nd="1"/>
        <i x="553" s="1" nd="1"/>
        <i x="574" s="1" nd="1"/>
        <i x="597" s="1" nd="1"/>
        <i x="77" s="1" nd="1"/>
        <i x="132" s="1" nd="1"/>
        <i x="324" s="1" nd="1"/>
        <i x="333" s="1" nd="1"/>
        <i x="399" s="1" nd="1"/>
        <i x="76" s="1" nd="1"/>
        <i x="408" s="1" nd="1"/>
        <i x="98" s="1" nd="1"/>
        <i x="441" s="1" nd="1"/>
        <i x="117" s="1" nd="1"/>
        <i x="273" s="1" nd="1"/>
        <i x="323" s="1" nd="1"/>
        <i x="347" s="1" nd="1"/>
        <i x="370" s="1" nd="1"/>
        <i x="383" s="1" nd="1"/>
        <i x="112" s="1" nd="1"/>
        <i x="440" s="1" nd="1"/>
        <i x="229" s="1" nd="1"/>
        <i x="606" s="1" nd="1"/>
        <i x="654" s="1" nd="1"/>
        <i x="665" s="1" nd="1"/>
        <i x="24" s="1" nd="1"/>
        <i x="369" s="1" nd="1"/>
        <i x="75" s="1" nd="1"/>
        <i x="406" s="1" nd="1"/>
        <i x="131" s="1" nd="1"/>
        <i x="492" s="1" nd="1"/>
        <i x="538" s="1" nd="1"/>
        <i x="285" s="1" nd="1"/>
        <i x="59" s="1" nd="1"/>
        <i x="405" s="1" nd="1"/>
        <i x="439" s="1" nd="1"/>
        <i x="537" s="1" nd="1"/>
        <i x="194" s="1" nd="1"/>
        <i x="202" s="1" nd="1"/>
        <i x="58" s="1" nd="1"/>
        <i x="96" s="1" nd="1"/>
        <i x="111" s="1" nd="1"/>
        <i x="182" s="1" nd="1"/>
        <i x="673" s="1" nd="1"/>
        <i x="7" s="1" nd="1"/>
        <i x="337" s="1" nd="1"/>
        <i x="21" s="1" nd="1"/>
        <i x="438" s="1" nd="1"/>
        <i x="130" s="1" nd="1"/>
        <i x="504" s="1" nd="1"/>
        <i x="562" s="1" nd="1"/>
        <i x="227" s="1" nd="1"/>
        <i x="585" s="1" nd="1"/>
        <i x="238" s="1" nd="1"/>
        <i x="309" s="1" nd="1"/>
        <i x="6" s="1" nd="1"/>
        <i x="86" s="1" nd="1"/>
        <i x="95" s="1" nd="1"/>
        <i x="464" s="1" nd="1"/>
        <i x="244" s="1" nd="1"/>
        <i x="271" s="1" nd="1"/>
        <i x="640" s="1" nd="1"/>
        <i x="298" s="1" nd="1"/>
        <i x="336" s="1" nd="1"/>
        <i x="32" s="1" nd="1"/>
        <i x="437" s="1" nd="1"/>
        <i x="143" s="1" nd="1"/>
        <i x="153" s="1" nd="1"/>
        <i x="503" s="1" nd="1"/>
        <i x="160" s="1" nd="1"/>
        <i x="549" s="1" nd="1"/>
        <i x="211" s="1" nd="1"/>
        <i x="571" s="1" nd="1"/>
        <i x="595" s="1" nd="1"/>
        <i x="257" s="1" nd="1"/>
        <i x="650" s="1" nd="1"/>
        <i x="354" s="1" nd="1"/>
        <i x="42" s="1" nd="1"/>
        <i x="85" s="1" nd="1"/>
        <i x="412" s="1" nd="1"/>
        <i x="436" s="1" nd="1"/>
        <i x="450" s="1" nd="1"/>
        <i x="512" s="1" nd="1"/>
        <i x="548" s="1" nd="1"/>
        <i x="639" s="1" nd="1"/>
        <i x="345" s="1" nd="1"/>
        <i x="57" s="1" nd="1"/>
        <i x="84" s="1" nd="1"/>
        <i x="426" s="1" nd="1"/>
        <i x="488" s="1" nd="1"/>
        <i x="199" s="1" nd="1"/>
        <i x="236" s="1" nd="1"/>
        <i x="255" s="1" nd="1"/>
        <i x="632" s="1" nd="1"/>
        <i x="662" s="1" nd="1"/>
        <i x="319" s="1" nd="1"/>
        <i x="4" s="1" nd="1"/>
        <i x="13" s="1" nd="1"/>
        <i x="379" s="1" nd="1"/>
        <i x="404" s="1" nd="1"/>
        <i x="411" s="1" nd="1"/>
        <i x="449" s="1" nd="1"/>
        <i x="462" s="1" nd="1"/>
        <i x="471" s="1" nd="1"/>
        <i x="180" s="1" nd="1"/>
        <i x="547" s="1" nd="1"/>
        <i x="558" s="1" nd="1"/>
        <i x="253" s="1" nd="1"/>
        <i x="392" s="1" nd="1"/>
        <i x="425" s="1" nd="1"/>
        <i x="150" s="1" nd="1"/>
        <i x="191" s="1" nd="1"/>
        <i x="210" s="1" nd="1"/>
        <i x="241" s="1" nd="1"/>
        <i x="307" s="1" nd="1"/>
        <i x="670" s="1" nd="1"/>
        <i x="83" s="1" nd="1"/>
        <i x="419" s="1" nd="1"/>
        <i x="149" s="1" nd="1"/>
        <i x="519" s="1" nd="1"/>
        <i x="178" s="1" nd="1"/>
        <i x="556" s="1" nd="1"/>
        <i x="209" s="1" nd="1"/>
        <i x="222" s="1" nd="1"/>
        <i x="628" s="1" nd="1"/>
        <i x="18" s="1" nd="1"/>
        <i x="391" s="1" nd="1"/>
        <i x="166" s="1" nd="1"/>
        <i x="197" s="1" nd="1"/>
        <i x="207" s="1" nd="1"/>
        <i x="582" s="1" nd="1"/>
        <i x="283" s="1" nd="1"/>
        <i x="295" s="1" nd="1"/>
        <i x="28" s="1" nd="1"/>
        <i x="390" s="1" nd="1"/>
        <i x="82" s="1" nd="1"/>
        <i x="409" s="1" nd="1"/>
        <i x="448" s="1" nd="1"/>
        <i x="119" s="1" nd="1"/>
        <i x="532" s="1" nd="1"/>
        <i x="581" s="1" nd="1"/>
        <i x="592" s="1" nd="1"/>
        <i x="282" s="1" nd="1"/>
        <i x="17" s="1" nd="1"/>
        <i x="363" s="1" nd="1"/>
        <i x="81" s="1" nd="1"/>
        <i x="434" s="1" nd="1"/>
        <i x="483" s="1" nd="1"/>
        <i x="190" s="1" nd="1"/>
        <i x="580" s="1" nd="1"/>
        <i x="305" s="1" nd="1"/>
        <i x="351" s="1" nd="1"/>
        <i x="563" s="1" nd="1"/>
        <i x="389" s="1" nd="1"/>
        <i x="403" s="1" nd="1"/>
        <i x="587" s="1" nd="1"/>
        <i x="608" s="1" nd="1"/>
        <i x="259" s="1" nd="1"/>
        <i x="274" s="1" nd="1"/>
        <i x="446" s="1" nd="1"/>
        <i x="656" s="1" nd="1"/>
        <i x="300" s="1" nd="1"/>
        <i x="311" s="1" nd="1"/>
        <i x="148" s="1" nd="1"/>
        <i x="8" s="1" nd="1"/>
        <i x="338" s="1" nd="1"/>
        <i x="357" s="1" nd="1"/>
        <i x="544" s="1" nd="1"/>
        <i x="555" s="1" nd="1"/>
        <i x="68" s="1" nd="1"/>
        <i x="398" s="1" nd="1"/>
        <i x="105" s="1" nd="1"/>
        <i x="267" s="1" nd="1"/>
        <i x="646" s="1" nd="1"/>
        <i x="468" s="1" nd="1"/>
        <i x="668" s="1" nd="1"/>
        <i x="317" s="1" nd="1"/>
        <i x="183" s="1" nd="1"/>
        <i x="54" s="1" nd="1"/>
        <i x="572" s="1" nd="1"/>
        <i x="402" s="1" nd="1"/>
        <i x="607" s="1" nd="1"/>
        <i x="286" s="1" nd="1"/>
        <i x="445" s="1" nd="1"/>
        <i x="655" s="1" nd="1"/>
        <i x="137" s="1" nd="1"/>
        <i x="346" s="1" nd="1"/>
        <i x="188" s="1" nd="1"/>
        <i x="356" s="1" nd="1"/>
        <i x="44" s="1" nd="1"/>
        <i x="397" s="1" nd="1"/>
        <i x="233" s="1" nd="1"/>
        <i x="407" s="1" nd="1"/>
        <i x="251" s="1" nd="1"/>
        <i x="420" s="1" nd="1"/>
        <i x="613" s="1" nd="1"/>
        <i x="645" s="1" nd="1"/>
        <i x="467" s="1" nd="1"/>
        <i x="660" s="1" nd="1"/>
        <i x="506" s="1" nd="1"/>
        <i x="362" s="1" nd="1"/>
        <i x="203" s="1" nd="1"/>
        <i x="374" s="1" nd="1"/>
        <i x="214" s="1" nd="1"/>
        <i x="92" s="1" nd="1"/>
        <i x="605" s="1" nd="1"/>
        <i x="620" s="1" nd="1"/>
        <i x="124" s="1" nd="1"/>
        <i x="136" s="1" nd="1"/>
        <i x="482" s="1" nd="1"/>
        <i x="23" s="1" nd="1"/>
        <i x="382" s="1" nd="1"/>
        <i x="567" s="1" nd="1"/>
        <i x="221" s="1" nd="1"/>
        <i x="413" s="1" nd="1"/>
        <i x="250" s="1" nd="1"/>
        <i x="637" s="1" nd="1"/>
        <i x="289" s="1" nd="1"/>
        <i x="644" s="1" nd="1"/>
        <i x="659" s="1" nd="1"/>
        <i x="330" s="1" nd="1"/>
        <i x="16" s="1" nd="1"/>
        <i x="361" s="1" nd="1"/>
        <i x="228" s="1" nd="1"/>
        <i x="586" s="1" nd="1"/>
        <i x="80" s="1" nd="1"/>
        <i x="596" s="1" nd="1"/>
        <i x="418" s="1" nd="1"/>
        <i x="284" s="1" nd="1"/>
        <i x="118" s="1" nd="1"/>
        <i x="322" s="1" nd="1"/>
        <i x="499" s="1" nd="1"/>
        <i x="174" s="1" nd="1"/>
        <i x="530" s="1" nd="1"/>
        <i x="35" s="1" nd="1"/>
        <i x="43" s="1" nd="1"/>
        <i x="566" s="1" nd="1"/>
        <i x="591" s="1" nd="1"/>
        <i x="97" s="1" nd="1"/>
        <i x="249" s="1" nd="1"/>
        <i x="266" s="1" nd="1"/>
        <i x="636" s="1" nd="1"/>
        <i x="453" s="1" nd="1"/>
        <i x="466" s="1" nd="1"/>
        <i x="473" s="1" nd="1"/>
        <i x="522" s="1" nd="1"/>
        <i x="39" s="1" nd="1"/>
        <i x="193" s="1" nd="1"/>
        <i x="360" s="1" nd="1"/>
        <i x="52" s="1" nd="1"/>
        <i x="373" s="1" nd="1"/>
        <i x="401" s="1" nd="1"/>
        <i x="604" s="1" nd="1"/>
        <i x="258" s="1" nd="1"/>
        <i x="424" s="1" nd="1"/>
        <i x="619" s="1" nd="1"/>
        <i x="433" s="1" nd="1"/>
        <i x="633" s="1" nd="1"/>
        <i x="116" s="1" nd="1"/>
        <i x="470" s="1" nd="1"/>
        <i x="310" s="1" nd="1"/>
        <i x="674" s="1" nd="1"/>
        <i x="321" s="1" nd="1"/>
        <i x="158" s="1" nd="1"/>
        <i x="14" s="1" nd="1"/>
        <i x="165" s="1" nd="1"/>
        <i x="22" s="1" nd="1"/>
        <i x="173" s="1" nd="1"/>
        <i x="187" s="1" nd="1"/>
        <i x="220" s="1" nd="1"/>
        <i x="396" s="1" nd="1"/>
        <i x="578" s="1" nd="1"/>
        <i x="239" s="1" nd="1"/>
        <i x="625" s="1" nd="1"/>
        <i x="110" s="1" nd="1"/>
        <i x="280" s="1" nd="1"/>
        <i x="294" s="1" nd="1"/>
        <i x="465" s="1" nd="1"/>
        <i x="304" s="1" nd="1"/>
        <i x="472" s="1" nd="1"/>
        <i x="677" s="1" nd="1"/>
        <i x="329" s="1" nd="1"/>
        <i x="342" s="1" nd="1"/>
        <i x="38" s="1" nd="1"/>
        <i x="66" s="1" nd="1"/>
        <i x="91" s="1" nd="1"/>
        <i x="603" s="1" nd="1"/>
        <i x="653" s="1" nd="1"/>
        <i x="469" s="1" nd="1"/>
        <i x="664" s="1" nd="1"/>
        <i x="481" s="1" nd="1"/>
        <i x="146" s="1" nd="1"/>
        <i x="498" s="1" nd="1"/>
        <i x="34" s="1" nd="1"/>
        <i x="395" s="1" nd="1"/>
        <i x="73" s="1" nd="1"/>
        <i x="590" s="1" nd="1"/>
        <i x="612" s="1" nd="1"/>
        <i x="104" s="1" nd="1"/>
        <i x="265" s="1" nd="1"/>
        <i x="429" s="1" nd="1"/>
        <i x="287" s="1" nd="1"/>
        <i x="129" s="1" nd="1"/>
        <i x="303" s="1" nd="1"/>
        <i x="491" s="1" nd="1"/>
        <i x="154" s="1" nd="1"/>
        <i x="328" s="1" nd="1"/>
        <i x="513" s="1" nd="1"/>
        <i x="170" s="1" nd="1"/>
        <i x="521" s="1" nd="1"/>
        <i x="551" s="1" nd="1"/>
        <i x="51" s="1" nd="1"/>
        <i x="201" s="1" nd="1"/>
        <i x="561" s="1" nd="1"/>
        <i x="65" s="1" nd="1"/>
        <i x="388" s="1" nd="1"/>
        <i x="226" s="1" nd="1"/>
        <i x="245" s="1" nd="1"/>
        <i x="417" s="1" nd="1"/>
        <i x="602" s="1" nd="1"/>
        <i x="618" s="1" nd="1"/>
        <i x="299" s="1" nd="1"/>
        <i x="145" s="1" nd="1"/>
        <i x="497" s="1" nd="1"/>
        <i x="332" s="1" nd="1"/>
        <i x="516" s="1" nd="1"/>
        <i x="20" s="1" nd="1"/>
        <i x="528" s="1" nd="1"/>
        <i x="33" s="1" nd="1"/>
        <i x="355" s="1" nd="1"/>
        <i x="554" s="1" nd="1"/>
        <i x="218" s="1" nd="1"/>
        <i x="394" s="1" nd="1"/>
        <i x="577" s="1" nd="1"/>
        <i x="611" s="1" nd="1"/>
        <i x="103" s="1" nd="1"/>
        <i x="264" s="1" nd="1"/>
        <i x="428" s="1" nd="1"/>
        <i x="624" s="1" nd="1"/>
        <i x="108" s="1" nd="1"/>
        <i x="452" s="1" nd="1"/>
        <i x="121" s="1" nd="1"/>
        <i x="302" s="1" nd="1"/>
        <i x="316" s="1" nd="1"/>
        <i x="676" s="1" nd="1"/>
        <i x="161" s="1" nd="1"/>
        <i x="169" s="1" nd="1"/>
        <i x="192" s="1" nd="1"/>
        <i x="550" s="1" nd="1"/>
        <i x="49" s="1" nd="1"/>
        <i x="212" s="1" nd="1"/>
        <i x="237" s="1" nd="1"/>
        <i x="90" s="1" nd="1"/>
        <i x="242" s="1" nd="1"/>
        <i x="416" s="1" nd="1"/>
        <i x="601" s="1" nd="1"/>
        <i x="443" s="1" nd="1"/>
        <i x="651" s="1" nd="1"/>
        <i x="479" s="1" nd="1"/>
        <i x="5" s="1" nd="1"/>
        <i x="157" s="1" nd="1"/>
        <i x="31" s="1" nd="1"/>
        <i x="196" s="1" nd="1"/>
        <i x="368" s="1" nd="1"/>
        <i x="381" s="1" nd="1"/>
        <i x="576" s="1" nd="1"/>
        <i x="231" s="1" nd="1"/>
        <i x="589" s="1" nd="1"/>
        <i x="248" s="1" nd="1"/>
        <i x="427" s="1" nd="1"/>
        <i x="278" s="1" nd="1"/>
        <i x="451" s="1" nd="1"/>
        <i x="293" s="1" nd="1"/>
        <i x="463" s="1" nd="1"/>
        <i x="142" s="1" nd="1"/>
        <i x="334" s="1" nd="1"/>
        <i x="168" s="1" nd="1"/>
        <i x="341" s="1" nd="1"/>
        <i x="520" s="1" nd="1"/>
        <i x="350" s="1" nd="1"/>
        <i x="37" s="1" nd="1"/>
        <i x="560" s="1" nd="1"/>
        <i x="387" s="1" nd="1"/>
        <i x="570" s="1" nd="1"/>
        <i x="70" s="1" nd="1"/>
        <i x="225" s="1" nd="1"/>
        <i x="99" s="1" nd="1"/>
        <i x="270" s="1" nd="1"/>
        <i x="115" s="1" nd="1"/>
        <i x="442" s="1" nd="1"/>
        <i x="457" s="1" nd="1"/>
        <i x="297" s="1" nd="1"/>
        <i x="663" s="1" nd="1"/>
        <i x="134" s="1" nd="1"/>
        <i x="308" s="1" nd="1"/>
        <i x="478" s="1" nd="1"/>
        <i x="164" s="1" nd="1"/>
        <i x="543" s="1" nd="1"/>
        <i x="41" s="1" nd="1"/>
        <i x="367" s="1" nd="1"/>
        <i x="216" s="1" nd="1"/>
        <i x="393" s="1" nd="1"/>
        <i x="72" s="1" nd="1"/>
        <i x="599" s="1" nd="1"/>
        <i x="102" s="1" nd="1"/>
        <i x="263" s="1" nd="1"/>
        <i x="435" s="1" nd="1"/>
        <i x="642" s="1" nd="1"/>
        <i x="292" s="1" nd="1"/>
        <i x="127" s="1" nd="1"/>
        <i x="489" s="1" nd="1"/>
        <i x="675" s="1" nd="1"/>
        <i x="167" s="1" nd="1"/>
        <i x="349" s="1" nd="1"/>
        <i x="200" s="1" nd="1"/>
        <i x="63" s="1" nd="1"/>
        <i x="584" s="1" nd="1"/>
        <i x="415" s="1" nd="1"/>
        <i x="256" s="1" nd="1"/>
        <i x="423" s="1" nd="1"/>
        <i x="114" s="1" nd="1"/>
        <i x="456" s="1" nd="1"/>
        <i x="649" s="1" nd="1"/>
        <i x="477" s="1" nd="1"/>
        <i x="672" s="1" nd="1"/>
        <i x="320" s="1" nd="1"/>
        <i x="496" s="1" nd="1"/>
        <i x="510" s="1" nd="1"/>
        <i x="344" s="1" nd="1"/>
        <i x="526" s="1" nd="1"/>
        <i x="184" s="1" nd="1"/>
        <i x="380" s="1" nd="1"/>
        <i x="94" s="1" nd="1"/>
        <i x="247" s="1" nd="1"/>
        <i x="610" s="1" nd="1"/>
        <i x="623" s="1" nd="1"/>
        <i x="107" s="1" nd="1"/>
        <i x="277" s="1" nd="1"/>
        <i x="141" s="1" nd="1"/>
        <i x="315" s="1" nd="1"/>
        <i x="486" s="1" nd="1"/>
        <i x="152" s="1" nd="1"/>
        <i x="502" s="1" nd="1"/>
        <i x="9" s="1" nd="1"/>
        <i x="181" s="1" nd="1"/>
        <i x="536" s="1" nd="1"/>
        <i x="36" s="1" nd="1"/>
        <i x="48" s="1" nd="1"/>
        <i x="198" s="1" nd="1"/>
        <i x="372" s="1" nd="1"/>
        <i x="559" s="1" nd="1"/>
        <i x="569" s="1" nd="1"/>
        <i x="594" s="1" nd="1"/>
        <i x="600" s="1" nd="1"/>
        <i x="254" s="1" nd="1"/>
        <i x="616" s="1" nd="1"/>
        <i x="638" s="1" nd="1"/>
        <i x="455" s="1" nd="1"/>
        <i x="123" s="1" nd="1"/>
        <i x="495" s="1" nd="1"/>
        <i x="509" s="1" nd="1"/>
        <i x="12" s="1" nd="1"/>
        <i x="163" s="1" nd="1"/>
        <i x="525" s="1" nd="1"/>
        <i x="29" s="1" nd="1"/>
        <i x="353" s="1" nd="1"/>
        <i x="366" s="1" nd="1"/>
        <i x="56" s="1" nd="1"/>
        <i x="93" s="1" nd="1"/>
        <i x="262" s="1" nd="1"/>
        <i x="641" s="1" nd="1"/>
        <i x="461" s="1" nd="1"/>
        <i x="140" s="1" nd="1"/>
        <i x="314" s="1" nd="1"/>
        <i x="151" s="1" nd="1"/>
        <i x="159" s="1" nd="1"/>
        <i x="511" s="1" nd="1"/>
        <i x="535" s="1" nd="1"/>
        <i x="546" s="1" nd="1"/>
        <i x="47" s="1" nd="1"/>
        <i x="371" s="1" nd="1"/>
        <i x="557" s="1" nd="1"/>
        <i x="61" s="1" nd="1"/>
        <i x="386" s="1" nd="1"/>
        <i x="568" s="1" nd="1"/>
        <i x="583" s="1" nd="1"/>
        <i x="235" s="1" nd="1"/>
        <i x="88" s="1" nd="1"/>
        <i x="615" s="1" nd="1"/>
        <i x="106" s="1" nd="1"/>
        <i x="269" s="1" nd="1"/>
        <i x="432" s="1" nd="1"/>
        <i x="630" s="1" nd="1"/>
        <i x="122" s="1" nd="1"/>
        <i x="296" s="1" nd="1"/>
        <i x="671" s="1" nd="1"/>
        <i x="318" s="1" nd="1"/>
        <i x="494" s="1" nd="1"/>
        <i x="3" s="1" nd="1"/>
        <i x="162" s="1" nd="1"/>
        <i x="19" s="1" nd="1"/>
        <i x="204" s="1" nd="1"/>
        <i x="377" s="1" nd="1"/>
        <i x="71" s="1" nd="1"/>
        <i x="410" s="1" nd="1"/>
        <i x="621" s="1" nd="1"/>
        <i x="635" s="1" nd="1"/>
        <i x="120" s="1" nd="1"/>
        <i x="327" s="1" nd="1"/>
        <i x="340" s="1" nd="1"/>
        <i x="26" s="1" nd="1"/>
        <i x="348" s="1" nd="1"/>
        <i x="534" s="1" nd="1"/>
        <i x="46" s="1" nd="1"/>
        <i x="223" s="1" nd="1"/>
        <i x="87" s="1" nd="1"/>
        <i x="414" s="1" nd="1"/>
        <i x="252" s="1" nd="1"/>
        <i x="614" s="1" nd="1"/>
        <i x="629" s="1" nd="1"/>
        <i x="454" s="1" nd="1"/>
        <i x="508" s="1" nd="1"/>
        <i x="541" s="1" nd="1"/>
        <i x="40" s="1" nd="1"/>
        <i x="55" s="1" nd="1"/>
        <i x="376" s="1" nd="1"/>
        <i x="609" s="1" nd="1"/>
        <i x="101" s="1" nd="1"/>
        <i x="261" s="1" nd="1"/>
        <i x="276" s="1" nd="1"/>
        <i x="126" s="1" nd="1"/>
        <i x="666" s="1" nd="1"/>
        <i x="139" s="1" nd="1"/>
        <i x="313" s="1" nd="1"/>
        <i x="485" s="1" nd="1"/>
        <i x="326" s="1" nd="1"/>
        <i x="15" s="1" nd="1"/>
        <i x="518" s="1" nd="1"/>
        <i x="208" s="1" nd="1"/>
        <i x="69" s="1" nd="1"/>
        <i x="78" s="1" nd="1"/>
        <i x="593" s="1" nd="1"/>
        <i x="431" s="1" nd="1"/>
        <i x="627" s="1" nd="1"/>
        <i x="306" s="1" nd="1"/>
        <i x="475" s="1" nd="1"/>
        <i x="155" s="1" nd="1"/>
        <i x="335" s="1" nd="1"/>
        <i x="515" s="1" nd="1"/>
        <i x="343" s="1" nd="1"/>
        <i x="365" s="1" nd="1"/>
        <i x="598" s="1" nd="1"/>
        <i x="260" s="1" nd="1"/>
        <i x="301" s="1" nd="1"/>
        <i x="484" s="1" nd="1"/>
        <i x="325" s="1" nd="1"/>
        <i x="339" s="1" nd="1"/>
        <i x="25" s="1" nd="1"/>
        <i x="177" s="1" nd="1"/>
        <i x="533" s="1" nd="1"/>
        <i x="60" s="1" nd="1"/>
        <i x="384" s="1" nd="1"/>
        <i x="234" s="1" nd="1"/>
        <i x="669" s="1" nd="1"/>
        <i x="2" s="1" nd="1"/>
        <i x="331" s="1" nd="1"/>
        <i x="11" s="1" nd="1"/>
        <i x="514" s="1" nd="1"/>
        <i x="523" s="1" nd="1"/>
        <i x="352" s="1" nd="1"/>
        <i x="539" s="1" nd="1"/>
        <i x="195" s="1" nd="1"/>
        <i x="364" s="1" nd="1"/>
        <i x="588" s="1" nd="1"/>
        <i x="447" s="1" nd="1"/>
        <i x="459" s="1" nd="1"/>
        <i x="657" s="1" nd="1"/>
        <i x="125" s="1" nd="1"/>
        <i x="138" s="1" nd="1"/>
        <i x="531" s="1" nd="1"/>
        <i x="422" s="1" nd="1"/>
        <i x="430" s="1" nd="1"/>
        <i x="113" s="1" nd="1"/>
        <i x="647" s="1" nd="1"/>
        <i x="474" s="1" nd="1"/>
        <i x="493"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138">
        <i x="0" s="1"/>
        <i x="1" s="1" nd="1"/>
        <i x="132" s="1" nd="1"/>
        <i x="120" s="1" nd="1"/>
        <i x="8" s="1" nd="1"/>
        <i x="133" s="1" nd="1"/>
        <i x="4" s="1" nd="1"/>
        <i x="32" s="1" nd="1"/>
        <i x="100" s="1" nd="1"/>
        <i x="55" s="1" nd="1"/>
        <i x="22" s="1" nd="1"/>
        <i x="130" s="1" nd="1"/>
        <i x="46" s="1" nd="1"/>
        <i x="6" s="1" nd="1"/>
        <i x="101" s="1" nd="1"/>
        <i x="58" s="1" nd="1"/>
        <i x="63" s="1" nd="1"/>
        <i x="24" s="1" nd="1"/>
        <i x="134" s="1" nd="1"/>
        <i x="5" s="1" nd="1"/>
        <i x="128" s="1" nd="1"/>
        <i x="59" s="1" nd="1"/>
        <i x="66" s="1" nd="1"/>
        <i x="71" s="1" nd="1"/>
        <i x="47" s="1" nd="1"/>
        <i x="10" s="1" nd="1"/>
        <i x="114" s="1" nd="1"/>
        <i x="106" s="1" nd="1"/>
        <i x="74" s="1" nd="1"/>
        <i x="135" s="1" nd="1"/>
        <i x="75" s="1" nd="1"/>
        <i x="123" s="1" nd="1"/>
        <i x="95" s="1" nd="1"/>
        <i x="83" s="1" nd="1"/>
        <i x="108" s="1" nd="1"/>
        <i x="85" s="1" nd="1"/>
        <i x="56" s="1" nd="1"/>
        <i x="67" s="1" nd="1"/>
        <i x="64" s="1" nd="1"/>
        <i x="20" s="1" nd="1"/>
        <i x="44" s="1" nd="1"/>
        <i x="129" s="1" nd="1"/>
        <i x="136" s="1" nd="1"/>
        <i x="88" s="1" nd="1"/>
        <i x="111" s="1" nd="1"/>
        <i x="110" s="1" nd="1"/>
        <i x="9" s="1" nd="1"/>
        <i x="68" s="1" nd="1"/>
        <i x="45" s="1" nd="1"/>
        <i x="104" s="1" nd="1"/>
        <i x="28" s="1" nd="1"/>
        <i x="119" s="1" nd="1"/>
        <i x="11" s="1" nd="1"/>
        <i x="90" s="1" nd="1"/>
        <i x="102" s="1" nd="1"/>
        <i x="115" s="1" nd="1"/>
        <i x="124" s="1" nd="1"/>
        <i x="98" s="1" nd="1"/>
        <i x="25" s="1" nd="1"/>
        <i x="80" s="1" nd="1"/>
        <i x="76" s="1" nd="1"/>
        <i x="29" s="1" nd="1"/>
        <i x="109" s="1" nd="1"/>
        <i x="26" s="1" nd="1"/>
        <i x="69" s="1" nd="1"/>
        <i x="49" s="1" nd="1"/>
        <i x="42" s="1" nd="1"/>
        <i x="137" s="1" nd="1"/>
        <i x="2" s="1" nd="1"/>
        <i x="103" s="1" nd="1"/>
        <i x="14" s="1" nd="1"/>
        <i x="116" s="1" nd="1"/>
        <i x="50" s="1" nd="1"/>
        <i x="96" s="1" nd="1"/>
        <i x="65" s="1" nd="1"/>
        <i x="52" s="1" nd="1"/>
        <i x="33" s="1" nd="1"/>
        <i x="38" s="1" nd="1"/>
        <i x="117" s="1" nd="1"/>
        <i x="60" s="1" nd="1"/>
        <i x="36" s="1" nd="1"/>
        <i x="15" s="1" nd="1"/>
        <i x="39" s="1" nd="1"/>
        <i x="3" s="1" nd="1"/>
        <i x="92" s="1" nd="1"/>
        <i x="61" s="1" nd="1"/>
        <i x="18" s="1" nd="1"/>
        <i x="41" s="1" nd="1"/>
        <i x="27" s="1" nd="1"/>
        <i x="97" s="1" nd="1"/>
        <i x="16" s="1" nd="1"/>
        <i x="93" s="1" nd="1"/>
        <i x="30" s="1" nd="1"/>
        <i x="126" s="1" nd="1"/>
        <i x="77" s="1" nd="1"/>
        <i x="51" s="1" nd="1"/>
        <i x="53" s="1" nd="1"/>
        <i x="125" s="1" nd="1"/>
        <i x="84" s="1" nd="1"/>
        <i x="17" s="1" nd="1"/>
        <i x="105" s="1" nd="1"/>
        <i x="34" s="1" nd="1"/>
        <i x="12" s="1" nd="1"/>
        <i x="107" s="1" nd="1"/>
        <i x="91" s="1" nd="1"/>
        <i x="127" s="1" nd="1"/>
        <i x="86" s="1" nd="1"/>
        <i x="121" s="1" nd="1"/>
        <i x="7" s="1" nd="1"/>
        <i x="31" s="1" nd="1"/>
        <i x="72" s="1" nd="1"/>
        <i x="48" s="1" nd="1"/>
        <i x="94" s="1" nd="1"/>
        <i x="118" s="1" nd="1"/>
        <i x="78" s="1" nd="1"/>
        <i x="87" s="1" nd="1"/>
        <i x="35" s="1" nd="1"/>
        <i x="81" s="1" nd="1"/>
        <i x="99" s="1" nd="1"/>
        <i x="54" s="1" nd="1"/>
        <i x="70" s="1" nd="1"/>
        <i x="13" s="1" nd="1"/>
        <i x="37" s="1" nd="1"/>
        <i x="122" s="1" nd="1"/>
        <i x="23" s="1" nd="1"/>
        <i x="131" s="1" nd="1"/>
        <i x="43" s="1" nd="1"/>
        <i x="89" s="1" nd="1"/>
        <i x="57" s="1" nd="1"/>
        <i x="73" s="1" nd="1"/>
        <i x="19" s="1" nd="1"/>
        <i x="21" s="1" nd="1"/>
        <i x="40" s="1" nd="1"/>
        <i x="79" s="1" nd="1"/>
        <i x="112" s="1" nd="1"/>
        <i x="113" s="1" nd="1"/>
        <i x="62" s="1" nd="1"/>
        <i x="82"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319">
        <i x="0" s="1"/>
        <i x="310" s="1" nd="1"/>
        <i x="276" s="1" nd="1"/>
        <i x="132" s="1" nd="1"/>
        <i x="31" s="1" nd="1"/>
        <i x="108" s="1" nd="1"/>
        <i x="283" s="1" nd="1"/>
        <i x="311" s="1" nd="1"/>
        <i x="12" s="1" nd="1"/>
        <i x="272" s="1" nd="1"/>
        <i x="80" s="1" nd="1"/>
        <i x="225" s="1" nd="1"/>
        <i x="137" s="1" nd="1"/>
        <i x="56" s="1" nd="1"/>
        <i x="75" s="1" nd="1"/>
        <i x="177" s="1" nd="1"/>
        <i x="306" s="1" nd="1"/>
        <i x="119" s="1" nd="1"/>
        <i x="18" s="1" nd="1"/>
        <i x="235" s="1" nd="1"/>
        <i x="109" s="1" nd="1"/>
        <i x="169" s="1" nd="1"/>
        <i x="226" s="1" nd="1"/>
        <i x="143" s="1" nd="1"/>
        <i x="77" s="1" nd="1"/>
        <i x="86" s="1" nd="1"/>
        <i x="238" s="1" nd="1"/>
        <i x="277" s="1" nd="1"/>
        <i x="150" s="1" nd="1"/>
        <i x="194" s="1" nd="1"/>
        <i x="120" s="1" nd="1"/>
        <i x="236" s="1" nd="1"/>
        <i x="7" s="1" nd="1"/>
        <i x="58" s="1" nd="1"/>
        <i x="87" s="1" nd="1"/>
        <i x="267" s="1" nd="1"/>
        <i x="312" s="1" nd="1"/>
        <i x="95" s="1" nd="1"/>
        <i x="13" s="1" nd="1"/>
        <i x="303" s="1" nd="1"/>
        <i x="88" s="1" nd="1"/>
        <i x="144" s="1" nd="1"/>
        <i x="101" s="1" nd="1"/>
        <i x="157" s="1" nd="1"/>
        <i x="165" s="1" nd="1"/>
        <i x="70" s="1" nd="1"/>
        <i x="121" s="1" nd="1"/>
        <i x="38" s="1" nd="1"/>
        <i x="261" s="1" nd="1"/>
        <i x="170" s="1" nd="1"/>
        <i x="54" s="1" nd="1"/>
        <i x="59" s="1" nd="1"/>
        <i x="243" s="1" nd="1"/>
        <i x="171" s="1" nd="1"/>
        <i x="110" s="1" nd="1"/>
        <i x="212" s="1" nd="1"/>
        <i x="313" s="1" nd="1"/>
        <i x="244" s="1" nd="1"/>
        <i x="172" s="1" nd="1"/>
        <i x="284" s="1" nd="1"/>
        <i x="214" s="1" nd="1"/>
        <i x="133" s="1" nd="1"/>
        <i x="76" s="1" nd="1"/>
        <i x="19" s="1" nd="1"/>
        <i x="35" s="1" nd="1"/>
        <i x="215" s="1" nd="1"/>
        <i x="158" s="1" nd="1"/>
        <i x="184" s="1" nd="1"/>
        <i x="81" s="1" nd="1"/>
        <i x="102" s="1" nd="1"/>
        <i x="307" s="1" nd="1"/>
        <i x="159" s="1" nd="1"/>
        <i x="245" s="1" nd="1"/>
        <i x="248" s="1" nd="1"/>
        <i x="188" s="1" nd="1"/>
        <i x="268" s="1" nd="1"/>
        <i x="138" s="1" nd="1"/>
        <i x="160" s="1" nd="1"/>
        <i x="151" s="1" nd="1"/>
        <i x="51" s="1" nd="1"/>
        <i x="314" s="1" nd="1"/>
        <i x="117" s="1" nd="1"/>
        <i x="249" s="1" nd="1"/>
        <i x="189" s="1" nd="1"/>
        <i x="304" s="1" nd="1"/>
        <i x="14" s="1" nd="1"/>
        <i x="213" s="1" nd="1"/>
        <i x="9" s="1" nd="1"/>
        <i x="178" s="1" nd="1"/>
        <i x="315" s="1" nd="1"/>
        <i x="32" s="1" nd="1"/>
        <i x="152" s="1" nd="1"/>
        <i x="195" s="1" nd="1"/>
        <i x="10" s="1" nd="1"/>
        <i x="290" s="1" nd="1"/>
        <i x="145" s="1" nd="1"/>
        <i x="255" s="1" nd="1"/>
        <i x="122" s="1" nd="1"/>
        <i x="251" s="1" nd="1"/>
        <i x="239" s="1" nd="1"/>
        <i x="258" s="1" nd="1"/>
        <i x="36" s="1" nd="1"/>
        <i x="161" s="1" nd="1"/>
        <i x="227" s="1" nd="1"/>
        <i x="118" s="1" nd="1"/>
        <i x="259" s="1" nd="1"/>
        <i x="237" s="1" nd="1"/>
        <i x="71" s="1" nd="1"/>
        <i x="273" s="1" nd="1"/>
        <i x="293" s="1" nd="1"/>
        <i x="39" s="1" nd="1"/>
        <i x="200" s="1" nd="1"/>
        <i x="218" s="1" nd="1"/>
        <i x="231" s="1" nd="1"/>
        <i x="262" s="1" nd="1"/>
        <i x="285" s="1" nd="1"/>
        <i x="53" s="1" nd="1"/>
        <i x="269" s="1" nd="1"/>
        <i x="179" s="1" nd="1"/>
        <i x="316" s="1" nd="1"/>
        <i x="219" s="1" nd="1"/>
        <i x="278" s="1" nd="1"/>
        <i x="89" s="1" nd="1"/>
        <i x="60" s="1" nd="1"/>
        <i x="123" s="1" nd="1"/>
        <i x="33" s="1" nd="1"/>
        <i x="256" s="1" nd="1"/>
        <i x="180" s="1" nd="1"/>
        <i x="263" s="1" nd="1"/>
        <i x="173" s="1" nd="1"/>
        <i x="72" s="1" nd="1"/>
        <i x="250" s="1" nd="1"/>
        <i x="126" s="1" nd="1"/>
        <i x="61" s="1" nd="1"/>
        <i x="162" s="1" nd="1"/>
        <i x="206" s="1" nd="1"/>
        <i x="252" s="1" nd="1"/>
        <i x="127" s="1" nd="1"/>
        <i x="114" s="1" nd="1"/>
        <i x="294" s="1" nd="1"/>
        <i x="317" s="1" nd="1"/>
        <i x="1" s="1" nd="1"/>
        <i x="286" s="1" nd="1"/>
        <i x="111" s="1" nd="1"/>
        <i x="318" s="1" nd="1"/>
        <i x="220" s="1" nd="1"/>
        <i x="228" s="1" nd="1"/>
        <i x="232" s="1" nd="1"/>
        <i x="298" s="1" nd="1"/>
        <i x="45" s="1" nd="1"/>
        <i x="264" s="1" nd="1"/>
        <i x="223" s="1" nd="1"/>
        <i x="82" s="1" nd="1"/>
        <i x="128" s="1" nd="1"/>
        <i x="240" s="1" nd="1"/>
        <i x="196" s="1" nd="1"/>
        <i x="62" s="1" nd="1"/>
        <i x="216" s="1" nd="1"/>
        <i x="15" s="1" nd="1"/>
        <i x="103" s="1" nd="1"/>
        <i x="153" s="1" nd="1"/>
        <i x="134" s="1" nd="1"/>
        <i x="83" s="1" nd="1"/>
        <i x="24" s="1" nd="1"/>
        <i x="154" s="1" nd="1"/>
        <i x="197" s="1" nd="1"/>
        <i x="104" s="1" nd="1"/>
        <i x="265" s="1" nd="1"/>
        <i x="146" s="1" nd="1"/>
        <i x="129" s="1" nd="1"/>
        <i x="155" s="1" nd="1"/>
        <i x="96" s="1" nd="1"/>
        <i x="246" s="1" nd="1"/>
        <i x="163" s="1" nd="1"/>
        <i x="78" s="1" nd="1"/>
        <i x="46" s="1" nd="1"/>
        <i x="105" s="1" nd="1"/>
        <i x="2" s="1" nd="1"/>
        <i x="55" s="1" nd="1"/>
        <i x="37" s="1" nd="1"/>
        <i x="11" s="1" nd="1"/>
        <i x="221" s="1" nd="1"/>
        <i x="279" s="1" nd="1"/>
        <i x="40" s="1" nd="1"/>
        <i x="207" s="1" nd="1"/>
        <i x="147" s="1" nd="1"/>
        <i x="84" s="1" nd="1"/>
        <i x="49" s="1" nd="1"/>
        <i x="112" s="1" nd="1"/>
        <i x="25" s="1" nd="1"/>
        <i x="63" s="1" nd="1"/>
        <i x="217" s="1" nd="1"/>
        <i x="274" s="1" nd="1"/>
        <i x="97" s="1" nd="1"/>
        <i x="47" s="1" nd="1"/>
        <i x="106" s="1" nd="1"/>
        <i x="208" s="1" nd="1"/>
        <i x="20" s="1" nd="1"/>
        <i x="224" s="1" nd="1"/>
        <i x="287" s="1" nd="1"/>
        <i x="190" s="1" nd="1"/>
        <i x="3" s="1" nd="1"/>
        <i x="253" s="1" nd="1"/>
        <i x="73" s="1" nd="1"/>
        <i x="65" s="1" nd="1"/>
        <i x="29" s="1" nd="1"/>
        <i x="21" s="1" nd="1"/>
        <i x="174" s="1" nd="1"/>
        <i x="130" s="1" nd="1"/>
        <i x="131" s="1" nd="1"/>
        <i x="64" s="1" nd="1"/>
        <i x="135" s="1" nd="1"/>
        <i x="27" s="1" nd="1"/>
        <i x="295" s="1" nd="1"/>
        <i x="299" s="1" nd="1"/>
        <i x="185" s="1" nd="1"/>
        <i x="22" s="1" nd="1"/>
        <i x="34" s="1" nd="1"/>
        <i x="48" s="1" nd="1"/>
        <i x="241" s="1" nd="1"/>
        <i x="90" s="1" nd="1"/>
        <i x="41" s="1" nd="1"/>
        <i x="181" s="1" nd="1"/>
        <i x="247" s="1" nd="1"/>
        <i x="201" s="1" nd="1"/>
        <i x="66" s="1" nd="1"/>
        <i x="300" s="1" nd="1"/>
        <i x="4" s="1" nd="1"/>
        <i x="191" s="1" nd="1"/>
        <i x="91" s="1" nd="1"/>
        <i x="296" s="1" nd="1"/>
        <i x="202" s="1" nd="1"/>
        <i x="16" s="1" nd="1"/>
        <i x="280" s="1" nd="1"/>
        <i x="30" s="1" nd="1"/>
        <i x="79" s="1" nd="1"/>
        <i x="166" s="1" nd="1"/>
        <i x="124" s="1" nd="1"/>
        <i x="209" s="1" nd="1"/>
        <i x="266" s="1" nd="1"/>
        <i x="175" s="1" nd="1"/>
        <i x="192" s="1" nd="1"/>
        <i x="92" s="1" nd="1"/>
        <i x="254" s="1" nd="1"/>
        <i x="198" s="1" nd="1"/>
        <i x="28" s="1" nd="1"/>
        <i x="98" s="1" nd="1"/>
        <i x="26" s="1" nd="1"/>
        <i x="74" s="1" nd="1"/>
        <i x="291" s="1" nd="1"/>
        <i x="93" s="1" nd="1"/>
        <i x="113" s="1" nd="1"/>
        <i x="275" s="1" nd="1"/>
        <i x="42" s="1" nd="1"/>
        <i x="182" s="1" nd="1"/>
        <i x="203" s="1" nd="1"/>
        <i x="67" s="1" nd="1"/>
        <i x="222" s="1" nd="1"/>
        <i x="210" s="1" nd="1"/>
        <i x="156" s="1" nd="1"/>
        <i x="94" s="1" nd="1"/>
        <i x="115" s="1" nd="1"/>
        <i x="136" s="1" nd="1"/>
        <i x="164" s="1" nd="1"/>
        <i x="43" s="1" nd="1"/>
        <i x="99" s="1" nd="1"/>
        <i x="139" s="1" nd="1"/>
        <i x="281" s="1" nd="1"/>
        <i x="167" s="1" nd="1"/>
        <i x="148" s="1" nd="1"/>
        <i x="8" s="1" nd="1"/>
        <i x="57" s="1" nd="1"/>
        <i x="242" s="1" nd="1"/>
        <i x="308" s="1" nd="1"/>
        <i x="116" s="1" nd="1"/>
        <i x="199" s="1" nd="1"/>
        <i x="229" s="1" nd="1"/>
        <i x="44" s="1" nd="1"/>
        <i x="140" s="1" nd="1"/>
        <i x="282" s="1" nd="1"/>
        <i x="168" s="1" nd="1"/>
        <i x="233" s="1" nd="1"/>
        <i x="186" s="1" nd="1"/>
        <i x="125" s="1" nd="1"/>
        <i x="211" s="1" nd="1"/>
        <i x="50" s="1" nd="1"/>
        <i x="193" s="1" nd="1"/>
        <i x="204" s="1" nd="1"/>
        <i x="141" s="1" nd="1"/>
        <i x="301" s="1" nd="1"/>
        <i x="288" s="1" nd="1"/>
        <i x="205" s="1" nd="1"/>
        <i x="17" s="1" nd="1"/>
        <i x="234" s="1" nd="1"/>
        <i x="302" s="1" nd="1"/>
        <i x="100" s="1" nd="1"/>
        <i x="5" s="1" nd="1"/>
        <i x="305" s="1" nd="1"/>
        <i x="52" s="1" nd="1"/>
        <i x="230" s="1" nd="1"/>
        <i x="107" s="1" nd="1"/>
        <i x="23" s="1" nd="1"/>
        <i x="176" s="1" nd="1"/>
        <i x="270" s="1" nd="1"/>
        <i x="257" s="1" nd="1"/>
        <i x="292" s="1" nd="1"/>
        <i x="6" s="1" nd="1"/>
        <i x="289" s="1" nd="1"/>
        <i x="85" s="1" nd="1"/>
        <i x="260" s="1" nd="1"/>
        <i x="68" s="1" nd="1"/>
        <i x="69" s="1" nd="1"/>
        <i x="149" s="1" nd="1"/>
        <i x="309" s="1" nd="1"/>
        <i x="297" s="1" nd="1"/>
        <i x="183" s="1" nd="1"/>
        <i x="142" s="1" nd="1"/>
        <i x="187" s="1" nd="1"/>
        <i x="27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i x="1" s="1"/>
        <i x="2"/>
        <i x="3"/>
        <i x="9" nd="1"/>
        <i x="4" nd="1"/>
        <i x="5" nd="1"/>
        <i x="6" nd="1"/>
        <i x="7" nd="1"/>
        <i x="8"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542">
        <i x="0" s="1"/>
        <i x="63" s="1" nd="1"/>
        <i x="228" s="1" nd="1"/>
        <i x="540" s="1" nd="1"/>
        <i x="483" s="1" nd="1"/>
        <i x="309" s="1" nd="1"/>
        <i x="424" s="1" nd="1"/>
        <i x="348" s="1" nd="1"/>
        <i x="109" s="1" nd="1"/>
        <i x="98" s="1" nd="1"/>
        <i x="143" s="1" nd="1"/>
        <i x="159" s="1" nd="1"/>
        <i x="178" s="1" nd="1"/>
        <i x="260" s="1" nd="1"/>
        <i x="224" s="1" nd="1"/>
        <i x="419" s="1" nd="1"/>
        <i x="140" s="1" nd="1"/>
        <i x="208" s="1" nd="1"/>
        <i x="55" s="1" nd="1"/>
        <i x="410" s="1" nd="1"/>
        <i x="76" s="1" nd="1"/>
        <i x="284" s="1" nd="1"/>
        <i x="485" s="1" nd="1"/>
        <i x="92" s="1" nd="1"/>
        <i x="505" s="1" nd="1"/>
        <i x="476" s="1" nd="1"/>
        <i x="64" s="1" nd="1"/>
        <i x="160" s="1" nd="1"/>
        <i x="432" s="1" nd="1"/>
        <i x="494" s="1" nd="1"/>
        <i x="10" s="1" nd="1"/>
        <i x="274" s="1" nd="1"/>
        <i x="152" s="1" nd="1"/>
        <i x="243" s="1" nd="1"/>
        <i x="344" s="1" nd="1"/>
        <i x="199" s="1" nd="1"/>
        <i x="96" s="1" nd="1"/>
        <i x="101" s="1" nd="1"/>
        <i x="223" s="1" nd="1"/>
        <i x="190" s="1" nd="1"/>
        <i x="253" s="1" nd="1"/>
        <i x="527" s="1" nd="1"/>
        <i x="88" s="1" nd="1"/>
        <i x="251" s="1" nd="1"/>
        <i x="312" s="1" nd="1"/>
        <i x="296" s="1" nd="1"/>
        <i x="186" s="1" nd="1"/>
        <i x="280" s="1" nd="1"/>
        <i x="265" s="1" nd="1"/>
        <i x="463" s="1" nd="1"/>
        <i x="202" s="1" nd="1"/>
        <i x="278" s="1" nd="1"/>
        <i x="127" s="1" nd="1"/>
        <i x="276" s="1" nd="1"/>
        <i x="110" s="1" nd="1"/>
        <i x="271" s="1" nd="1"/>
        <i x="442" s="1" nd="1"/>
        <i x="338" s="1" nd="1"/>
        <i x="486" s="1" nd="1"/>
        <i x="404" s="1" nd="1"/>
        <i x="295" s="1" nd="1"/>
        <i x="230" s="1" nd="1"/>
        <i x="81" s="1" nd="1"/>
        <i x="235" s="1" nd="1"/>
        <i x="289" s="1" nd="1"/>
        <i x="478" s="1" nd="1"/>
        <i x="460" s="1" nd="1"/>
        <i x="440" s="1" nd="1"/>
        <i x="134" s="1" nd="1"/>
        <i x="221" s="1" nd="1"/>
        <i x="318" s="1" nd="1"/>
        <i x="222" s="1" nd="1"/>
        <i x="52" s="1" nd="1"/>
        <i x="539" s="1" nd="1"/>
        <i x="391" s="1" nd="1"/>
        <i x="163" s="1" nd="1"/>
        <i x="496" s="1" nd="1"/>
        <i x="272" s="1" nd="1"/>
        <i x="65" s="1" nd="1"/>
        <i x="464" s="1" nd="1"/>
        <i x="234" s="1" nd="1"/>
        <i x="433" s="1" nd="1"/>
        <i x="162" s="1" nd="1"/>
        <i x="297" s="1" nd="1"/>
        <i x="107" s="1" nd="1"/>
        <i x="273" s="1" nd="1"/>
        <i x="142" s="1" nd="1"/>
        <i x="119" s="1" nd="1"/>
        <i x="456" s="1" nd="1"/>
        <i x="447" s="1" nd="1"/>
        <i x="225" s="1" nd="1"/>
        <i x="248" s="1" nd="1"/>
        <i x="512" s="1" nd="1"/>
        <i x="111" s="1" nd="1"/>
        <i x="126" s="1" nd="1"/>
        <i x="60" s="1" nd="1"/>
        <i x="423" s="1" nd="1"/>
        <i x="488" s="1" nd="1"/>
        <i x="189" s="1" nd="1"/>
        <i x="176" s="1" nd="1"/>
        <i x="267" s="1" nd="1"/>
        <i x="541" s="1" nd="1"/>
        <i x="517" s="1" nd="1"/>
        <i x="270" s="1" nd="1"/>
        <i x="38" s="1" nd="1"/>
        <i x="129" s="1" nd="1"/>
        <i x="200" s="1" nd="1"/>
        <i x="237" s="1" nd="1"/>
        <i x="367" s="1" nd="1"/>
        <i x="427" s="1" nd="1"/>
        <i x="415" s="1" nd="1"/>
        <i x="303" s="1" nd="1"/>
        <i x="493" s="1" nd="1"/>
        <i x="40" s="1" nd="1"/>
        <i x="501" s="1" nd="1"/>
        <i x="240" s="1" nd="1"/>
        <i x="254" s="1" nd="1"/>
        <i x="262" s="1" nd="1"/>
        <i x="204" s="1" nd="1"/>
        <i x="350" s="1" nd="1"/>
        <i x="341" s="1" nd="1"/>
        <i x="324" s="1" nd="1"/>
        <i x="31" s="1" nd="1"/>
        <i x="471" s="1" nd="1"/>
        <i x="491" s="1" nd="1"/>
        <i x="191" s="1" nd="1"/>
        <i x="345" s="1" nd="1"/>
        <i x="392" s="1" nd="1"/>
        <i x="86" s="1" nd="1"/>
        <i x="69" s="1" nd="1"/>
        <i x="18" s="1" nd="1"/>
        <i x="532" s="1" nd="1"/>
        <i x="46" s="1" nd="1"/>
        <i x="409" s="1" nd="1"/>
        <i x="522" s="1" nd="1"/>
        <i x="74" s="1" nd="1"/>
        <i x="369" s="1" nd="1"/>
        <i x="24" s="1" nd="1"/>
        <i x="177" s="1" nd="1"/>
        <i x="4" s="1" nd="1"/>
        <i x="50" s="1" nd="1"/>
        <i x="188" s="1" nd="1"/>
        <i x="249" s="1" nd="1"/>
        <i x="310" s="1" nd="1"/>
        <i x="372" s="1" nd="1"/>
        <i x="42" s="1" nd="1"/>
        <i x="205" s="1" nd="1"/>
        <i x="412" s="1" nd="1"/>
        <i x="41" s="1" nd="1"/>
        <i x="364" s="1" nd="1"/>
        <i x="59" s="1" nd="1"/>
        <i x="206" s="1" nd="1"/>
        <i x="268" s="1" nd="1"/>
        <i x="343" s="1" nd="1"/>
        <i x="467" s="1" nd="1"/>
        <i x="477" s="1" nd="1"/>
        <i x="293" s="1" nd="1"/>
        <i x="169" s="1" nd="1"/>
        <i x="393" s="1" nd="1"/>
        <i x="20" s="1" nd="1"/>
        <i x="184" s="1" nd="1"/>
        <i x="443" s="1" nd="1"/>
        <i x="58" s="1" nd="1"/>
        <i x="335" s="1" nd="1"/>
        <i x="422" s="1" nd="1"/>
        <i x="425" s="1" nd="1"/>
        <i x="497" s="1" nd="1"/>
        <i x="241" s="1" nd="1"/>
        <i x="70" s="1" nd="1"/>
        <i x="430" s="1" nd="1"/>
        <i x="2" s="1" nd="1"/>
        <i x="382" s="1" nd="1"/>
        <i x="378" s="1" nd="1"/>
        <i x="387" s="1" nd="1"/>
        <i x="95" s="1" nd="1"/>
        <i x="218" s="1" nd="1"/>
        <i x="330" s="1" nd="1"/>
        <i x="54" s="1" nd="1"/>
        <i x="84" s="1" nd="1"/>
        <i x="388" s="1" nd="1"/>
        <i x="487" s="1" nd="1"/>
        <i x="264" s="1" nd="1"/>
        <i x="247" s="1" nd="1"/>
        <i x="417" s="1" nd="1"/>
        <i x="261" s="1" nd="1"/>
        <i x="49" s="1" nd="1"/>
        <i x="112" s="1" nd="1"/>
        <i x="394" s="1" nd="1"/>
        <i x="121" s="1" nd="1"/>
        <i x="118" s="1" nd="1"/>
        <i x="444" s="1" nd="1"/>
        <i x="420" s="1" nd="1"/>
        <i x="475" s="1" nd="1"/>
        <i x="68" s="1" nd="1"/>
        <i x="328" s="1" nd="1"/>
        <i x="158" s="1" nd="1"/>
        <i x="201" s="1" nd="1"/>
        <i x="36" s="1" nd="1"/>
        <i x="298" s="1" nd="1"/>
        <i x="281" s="1" nd="1"/>
        <i x="408" s="1" nd="1"/>
        <i x="106" s="1" nd="1"/>
        <i x="22" s="1" nd="1"/>
        <i x="381" s="1" nd="1"/>
        <i x="155" s="1" nd="1"/>
        <i x="12" s="1" nd="1"/>
        <i x="133" s="1" nd="1"/>
        <i x="173" s="1" nd="1"/>
        <i x="450" s="1" nd="1"/>
        <i x="165" s="1" nd="1"/>
        <i x="203" s="1" nd="1"/>
        <i x="454" s="1" nd="1"/>
        <i x="329" s="1" nd="1"/>
        <i x="525" s="1" nd="1"/>
        <i x="77" s="1" nd="1"/>
        <i x="61" s="1" nd="1"/>
        <i x="287" s="1" nd="1"/>
        <i x="461" s="1" nd="1"/>
        <i x="75" s="1" nd="1"/>
        <i x="185" s="1" nd="1"/>
        <i x="8" s="1" nd="1"/>
        <i x="506" s="1" nd="1"/>
        <i x="514" s="1" nd="1"/>
        <i x="51" s="1" nd="1"/>
        <i x="384" s="1" nd="1"/>
        <i x="170" s="1" nd="1"/>
        <i x="11" s="1" nd="1"/>
        <i x="374" s="1" nd="1"/>
        <i x="67" s="1" nd="1"/>
        <i x="314" s="1" nd="1"/>
        <i x="323" s="1" nd="1"/>
        <i x="83" s="1" nd="1"/>
        <i x="342" s="1" nd="1"/>
        <i x="214" s="1" nd="1"/>
        <i x="518" s="1" nd="1"/>
        <i x="57" s="1" nd="1"/>
        <i x="90" s="1" nd="1"/>
        <i x="226" s="1" nd="1"/>
        <i x="519" s="1" nd="1"/>
        <i x="15" s="1" nd="1"/>
        <i x="474" s="1" nd="1"/>
        <i x="339" s="1" nd="1"/>
        <i x="352" s="1" nd="1"/>
        <i x="286" s="1" nd="1"/>
        <i x="45" s="1" nd="1"/>
        <i x="72" s="1" nd="1"/>
        <i x="239" s="1" nd="1"/>
        <i x="89" s="1" nd="1"/>
        <i x="504" s="1" nd="1"/>
        <i x="495" s="1" nd="1"/>
        <i x="115" s="1" nd="1"/>
        <i x="453" s="1" nd="1"/>
        <i x="99" s="1" nd="1"/>
        <i x="421" s="1" nd="1"/>
        <i x="28" s="1" nd="1"/>
        <i x="431" s="1" nd="1"/>
        <i x="113" s="1" nd="1"/>
        <i x="209" s="1" nd="1"/>
        <i x="13" s="1" nd="1"/>
        <i x="79" s="1" nd="1"/>
        <i x="500" s="1" nd="1"/>
        <i x="437" s="1" nd="1"/>
        <i x="307" s="1" nd="1"/>
        <i x="103" s="1" nd="1"/>
        <i x="489" s="1" nd="1"/>
        <i x="256" s="1" nd="1"/>
        <i x="528" s="1" nd="1"/>
        <i x="244" s="1" nd="1"/>
        <i x="377" s="1" nd="1"/>
        <i x="400" s="1" nd="1"/>
        <i x="304" s="1" nd="1"/>
        <i x="130" s="1" nd="1"/>
        <i x="502" s="1" nd="1"/>
        <i x="499" s="1" nd="1"/>
        <i x="395" s="1" nd="1"/>
        <i x="25" s="1" nd="1"/>
        <i x="290" s="1" nd="1"/>
        <i x="117" s="1" nd="1"/>
        <i x="509" s="1" nd="1"/>
        <i x="141" s="1" nd="1"/>
        <i x="16" s="1" nd="1"/>
        <i x="418" s="1" nd="1"/>
        <i x="507" s="1" nd="1"/>
        <i x="104" s="1" nd="1"/>
        <i x="515" s="1" nd="1"/>
        <i x="294" s="1" nd="1"/>
        <i x="150" s="1" nd="1"/>
        <i x="93" s="1" nd="1"/>
        <i x="516" s="1" nd="1"/>
        <i x="245" s="1" nd="1"/>
        <i x="380" s="1" nd="1"/>
        <i x="62" s="1" nd="1"/>
        <i x="238" s="1" nd="1"/>
        <i x="227" s="1" nd="1"/>
        <i x="439" s="1" nd="1"/>
        <i x="73" s="1" nd="1"/>
        <i x="279" s="1" nd="1"/>
        <i x="82" s="1" nd="1"/>
        <i x="402" s="1" nd="1"/>
        <i x="122" s="1" nd="1"/>
        <i x="23" s="1" nd="1"/>
        <i x="434" s="1" nd="1"/>
        <i x="452" s="1" nd="1"/>
        <i x="446" s="1" nd="1"/>
        <i x="340" s="1" nd="1"/>
        <i x="435" s="1" nd="1"/>
        <i x="386" s="1" nd="1"/>
        <i x="370" s="1" nd="1"/>
        <i x="47" s="1" nd="1"/>
        <i x="34" s="1" nd="1"/>
        <i x="436" s="1" nd="1"/>
        <i x="275" s="1" nd="1"/>
        <i x="311" s="1" nd="1"/>
        <i x="91" s="1" nd="1"/>
        <i x="35" s="1" nd="1"/>
        <i x="255" s="1" nd="1"/>
        <i x="521" s="1" nd="1"/>
        <i x="197" s="1" nd="1"/>
        <i x="480" s="1" nd="1"/>
        <i x="376" s="1" nd="1"/>
        <i x="192" s="1" nd="1"/>
        <i x="520" s="1" nd="1"/>
        <i x="498" s="1" nd="1"/>
        <i x="472" s="1" nd="1"/>
        <i x="399" s="1" nd="1"/>
        <i x="30" s="1" nd="1"/>
        <i x="513" s="1" nd="1"/>
        <i x="174" s="1" nd="1"/>
        <i x="266" s="1" nd="1"/>
        <i x="455" s="1" nd="1"/>
        <i x="120" s="1" nd="1"/>
        <i x="215" s="1" nd="1"/>
        <i x="252" s="1" nd="1"/>
        <i x="288" s="1" nd="1"/>
        <i x="361" s="1" nd="1"/>
        <i x="375" s="1" nd="1"/>
        <i x="441" s="1" nd="1"/>
        <i x="17" s="1" nd="1"/>
        <i x="360" s="1" nd="1"/>
        <i x="379" s="1" nd="1"/>
        <i x="321" s="1" nd="1"/>
        <i x="366" s="1" nd="1"/>
        <i x="458" s="1" nd="1"/>
        <i x="66" s="1" nd="1"/>
        <i x="396" s="1" nd="1"/>
        <i x="449" s="1" nd="1"/>
        <i x="250" s="1" nd="1"/>
        <i x="128" s="1" nd="1"/>
        <i x="334" s="1" nd="1"/>
        <i x="406" s="1" nd="1"/>
        <i x="148" s="1" nd="1"/>
        <i x="216" s="1" nd="1"/>
        <i x="232" s="1" nd="1"/>
        <i x="43" s="1" nd="1"/>
        <i x="212" s="1" nd="1"/>
        <i x="56" s="1" nd="1"/>
        <i x="385" s="1" nd="1"/>
        <i x="363" s="1" nd="1"/>
        <i x="401" s="1" nd="1"/>
        <i x="153" s="1" nd="1"/>
        <i x="492" s="1" nd="1"/>
        <i x="407" s="1" nd="1"/>
        <i x="353" s="1" nd="1"/>
        <i x="358" s="1" nd="1"/>
        <i x="462" s="1" nd="1"/>
        <i x="146" s="1" nd="1"/>
        <i x="217" s="1" nd="1"/>
        <i x="320" s="1" nd="1"/>
        <i x="131" s="1" nd="1"/>
        <i x="259" s="1" nd="1"/>
        <i x="33" s="1" nd="1"/>
        <i x="390" s="1" nd="1"/>
        <i x="413" s="1" nd="1"/>
        <i x="242" s="1" nd="1"/>
        <i x="457" s="1" nd="1"/>
        <i x="168" s="1" nd="1"/>
        <i x="530" s="1" nd="1"/>
        <i x="346" s="1" nd="1"/>
        <i x="105" s="1" nd="1"/>
        <i x="87" s="1" nd="1"/>
        <i x="526" s="1" nd="1"/>
        <i x="231" s="1" nd="1"/>
        <i x="246" s="1" nd="1"/>
        <i x="233" s="1" nd="1"/>
        <i x="220" s="1" nd="1"/>
        <i x="508" s="1" nd="1"/>
        <i x="533" s="1" nd="1"/>
        <i x="198" s="1" nd="1"/>
        <i x="535" s="1" nd="1"/>
        <i x="285" s="1" nd="1"/>
        <i x="291" s="1" nd="1"/>
        <i x="371" s="1" nd="1"/>
        <i x="26" s="1" nd="1"/>
        <i x="53" s="1" nd="1"/>
        <i x="322" s="1" nd="1"/>
        <i x="6" s="1" nd="1"/>
        <i x="37" s="1" nd="1"/>
        <i x="451" s="1" nd="1"/>
        <i x="210" s="1" nd="1"/>
        <i x="537" s="1" nd="1"/>
        <i x="48" s="1" nd="1"/>
        <i x="445" s="1" nd="1"/>
        <i x="397" s="1" nd="1"/>
        <i x="44" s="1" nd="1"/>
        <i x="319" s="1" nd="1"/>
        <i x="299" s="1" nd="1"/>
        <i x="157" s="1" nd="1"/>
        <i x="187" s="1" nd="1"/>
        <i x="531" s="1" nd="1"/>
        <i x="468" s="1" nd="1"/>
        <i x="114" s="1" nd="1"/>
        <i x="123" s="1" nd="1"/>
        <i x="416" s="1" nd="1"/>
        <i x="94" s="1" nd="1"/>
        <i x="405" s="1" nd="1"/>
        <i x="411" s="1" nd="1"/>
        <i x="27" s="1" nd="1"/>
        <i x="236" s="1" nd="1"/>
        <i x="332" s="1" nd="1"/>
        <i x="7" s="1" nd="1"/>
        <i x="183" s="1" nd="1"/>
        <i x="459" s="1" nd="1"/>
        <i x="85" s="1" nd="1"/>
        <i x="124" s="1" nd="1"/>
        <i x="523" s="1" nd="1"/>
        <i x="529" s="1" nd="1"/>
        <i x="219" s="1" nd="1"/>
        <i x="373" s="1" nd="1"/>
        <i x="161" s="1" nd="1"/>
        <i x="414" s="1" nd="1"/>
        <i x="97" s="1" nd="1"/>
        <i x="469" s="1" nd="1"/>
        <i x="426" s="1" nd="1"/>
        <i x="211" s="1" nd="1"/>
        <i x="125" s="1" nd="1"/>
        <i x="536" s="1" nd="1"/>
        <i x="269" s="1" nd="1"/>
        <i x="32" s="1" nd="1"/>
        <i x="5" s="1" nd="1"/>
        <i x="21" s="1" nd="1"/>
        <i x="132" s="1" nd="1"/>
        <i x="481" s="1" nd="1"/>
        <i x="538" s="1" nd="1"/>
        <i x="428" s="1" nd="1"/>
        <i x="448" s="1" nd="1"/>
        <i x="78" s="1" nd="1"/>
        <i x="534" s="1" nd="1"/>
        <i x="207" s="1" nd="1"/>
        <i x="14" s="1" nd="1"/>
        <i x="466" s="1" nd="1"/>
        <i x="389" s="1" nd="1"/>
        <i x="510" s="1" nd="1"/>
        <i x="213" s="1" nd="1"/>
        <i x="257" s="1" nd="1"/>
        <i x="136" s="1" nd="1"/>
        <i x="263" s="1" nd="1"/>
        <i x="482" s="1" nd="1"/>
        <i x="479" s="1" nd="1"/>
        <i x="438" s="1" nd="1"/>
        <i x="308" s="1" nd="1"/>
        <i x="164" s="1" nd="1"/>
        <i x="465" s="1" nd="1"/>
        <i x="29" s="1" nd="1"/>
        <i x="362" s="1" nd="1"/>
        <i x="333" s="1" nd="1"/>
        <i x="71" s="1" nd="1"/>
        <i x="229" s="1" nd="1"/>
        <i x="80" s="1" nd="1"/>
        <i x="39" s="1" nd="1"/>
        <i x="511" s="1" nd="1"/>
        <i x="277" s="1" nd="1"/>
        <i x="258" s="1" nd="1"/>
        <i x="503" s="1" nd="1"/>
        <i x="175" s="1" nd="1"/>
        <i x="3" s="1" nd="1"/>
        <i x="108" s="1" nd="1"/>
        <i x="490" s="1" nd="1"/>
        <i x="167" s="1" nd="1"/>
        <i x="473" s="1" nd="1"/>
        <i x="19" s="1" nd="1"/>
        <i x="524" s="1" nd="1"/>
        <i x="182" s="1" nd="1"/>
        <i x="283" s="1" nd="1"/>
        <i x="383" s="1" nd="1"/>
        <i x="429" s="1" nd="1"/>
        <i x="116" s="1" nd="1"/>
        <i x="102" s="1" nd="1"/>
        <i x="403" s="1" nd="1"/>
        <i x="484" s="1" nd="1"/>
        <i x="398" s="1" nd="1"/>
        <i x="100" s="1" nd="1"/>
        <i x="470" s="1" nd="1"/>
        <i x="9" s="1" nd="1"/>
        <i x="349" s="1" nd="1"/>
        <i x="313" s="1" nd="1"/>
        <i x="336" s="1" nd="1"/>
        <i x="1" s="1" nd="1"/>
        <i x="325" s="1" nd="1"/>
        <i x="300" s="1" nd="1"/>
        <i x="326" s="1" nd="1"/>
        <i x="301" s="1" nd="1"/>
        <i x="351" s="1" nd="1"/>
        <i x="302" s="1" nd="1"/>
        <i x="327" s="1" nd="1"/>
        <i x="315" s="1" nd="1"/>
        <i x="354" s="1" nd="1"/>
        <i x="282" s="1" nd="1"/>
        <i x="355" s="1" nd="1"/>
        <i x="316" s="1" nd="1"/>
        <i x="365" s="1" nd="1"/>
        <i x="356" s="1" nd="1"/>
        <i x="292" s="1" nd="1"/>
        <i x="357" s="1" nd="1"/>
        <i x="317" s="1" nd="1"/>
        <i x="305" s="1" nd="1"/>
        <i x="306" s="1" nd="1"/>
        <i x="331" s="1" nd="1"/>
        <i x="359" s="1" nd="1"/>
        <i x="368" s="1" nd="1"/>
        <i x="347" s="1" nd="1"/>
        <i x="337" s="1" nd="1"/>
        <i x="179" s="1" nd="1"/>
        <i x="151" s="1" nd="1"/>
        <i x="144" s="1" nd="1"/>
        <i x="193" s="1" nd="1"/>
        <i x="180" s="1" nd="1"/>
        <i x="194" s="1" nd="1"/>
        <i x="171" s="1" nd="1"/>
        <i x="135" s="1" nd="1"/>
        <i x="195" s="1" nd="1"/>
        <i x="181" s="1" nd="1"/>
        <i x="154" s="1" nd="1"/>
        <i x="145" s="1" nd="1"/>
        <i x="137" s="1" nd="1"/>
        <i x="196" s="1" nd="1"/>
        <i x="172" s="1" nd="1"/>
        <i x="156" s="1" nd="1"/>
        <i x="138" s="1" nd="1"/>
        <i x="147" s="1" nd="1"/>
        <i x="139" s="1" nd="1"/>
        <i x="149" s="1" nd="1"/>
        <i x="166"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678">
        <i x="0" s="1"/>
        <i x="490" s="1" nd="1"/>
        <i x="62" s="1" nd="1"/>
        <i x="205" s="1" nd="1"/>
        <i x="45" s="1" nd="1"/>
        <i x="540" s="1" nd="1"/>
        <i x="505" s="1" nd="1"/>
        <i x="67" s="1" nd="1"/>
        <i x="378" s="1" nd="1"/>
        <i x="268" s="1" nd="1"/>
        <i x="527" s="1" nd="1"/>
        <i x="359" s="1" nd="1"/>
        <i x="230" s="1" nd="1"/>
        <i x="400" s="1" nd="1"/>
        <i x="573" s="1" nd="1"/>
        <i x="1" s="1" nd="1"/>
        <i x="421" s="1" nd="1"/>
        <i x="74" s="1" nd="1"/>
        <i x="272" s="1" nd="1"/>
        <i x="291" s="1" nd="1"/>
        <i x="552" s="1" nd="1"/>
        <i x="213" s="1" nd="1"/>
        <i x="652" s="1" nd="1"/>
        <i x="109" s="1" nd="1"/>
        <i x="243" s="1" nd="1"/>
        <i x="617" s="1" nd="1"/>
        <i x="128" s="1" nd="1"/>
        <i x="487" s="1" nd="1"/>
        <i x="631" s="1" nd="1"/>
        <i x="30" s="1" nd="1"/>
        <i x="179" s="1" nd="1"/>
        <i x="224" s="1" nd="1"/>
        <i x="501" s="1" nd="1"/>
        <i x="661" s="1" nd="1"/>
        <i x="375" s="1" nd="1"/>
        <i x="460" s="1" nd="1"/>
        <i x="626" s="1" nd="1"/>
        <i x="648" s="1" nd="1"/>
        <i x="176" s="1" nd="1"/>
        <i x="517" s="1" nd="1"/>
        <i x="545" s="1" nd="1"/>
        <i x="100" s="1" nd="1"/>
        <i x="175" s="1" nd="1"/>
        <i x="189" s="1" nd="1"/>
        <i x="240" s="1" nd="1"/>
        <i x="281" s="1" nd="1"/>
        <i x="290" s="1" nd="1"/>
        <i x="500" s="1" nd="1"/>
        <i x="579" s="1" nd="1"/>
        <i x="667" s="1" nd="1"/>
        <i x="10" s="1" nd="1"/>
        <i x="53" s="1" nd="1"/>
        <i x="135" s="1" nd="1"/>
        <i x="206" s="1" nd="1"/>
        <i x="232" s="1" nd="1"/>
        <i x="288" s="1" nd="1"/>
        <i x="444" s="1" nd="1"/>
        <i x="529" s="1" nd="1"/>
        <i x="79" s="1" nd="1"/>
        <i x="147" s="1" nd="1"/>
        <i x="219" s="1" nd="1"/>
        <i x="279" s="1" nd="1"/>
        <i x="458" s="1" nd="1"/>
        <i x="480" s="1" nd="1"/>
        <i x="565" s="1" nd="1"/>
        <i x="643" s="1" nd="1"/>
        <i x="27" s="1" nd="1"/>
        <i x="50" s="1" nd="1"/>
        <i x="172" s="1" nd="1"/>
        <i x="186" s="1" nd="1"/>
        <i x="217" s="1" nd="1"/>
        <i x="564" s="1" nd="1"/>
        <i x="575" s="1" nd="1"/>
        <i x="64" s="1" nd="1"/>
        <i x="89" s="1" nd="1"/>
        <i x="185" s="1" nd="1"/>
        <i x="215" s="1" nd="1"/>
        <i x="542" s="1" nd="1"/>
        <i x="622" s="1" nd="1"/>
        <i x="658" s="1" nd="1"/>
        <i x="144" s="1" nd="1"/>
        <i x="156" s="1" nd="1"/>
        <i x="171" s="1" nd="1"/>
        <i x="246" s="1" nd="1"/>
        <i x="385" s="1" nd="1"/>
        <i x="476" s="1" nd="1"/>
        <i x="524" s="1" nd="1"/>
        <i x="634" s="1" nd="1"/>
        <i x="133" s="1" nd="1"/>
        <i x="275" s="1" nd="1"/>
        <i x="312" s="1" nd="1"/>
        <i x="358" s="1" nd="1"/>
        <i x="507" s="1" nd="1"/>
        <i x="553" s="1" nd="1"/>
        <i x="574" s="1" nd="1"/>
        <i x="597" s="1" nd="1"/>
        <i x="77" s="1" nd="1"/>
        <i x="132" s="1" nd="1"/>
        <i x="324" s="1" nd="1"/>
        <i x="333" s="1" nd="1"/>
        <i x="399" s="1" nd="1"/>
        <i x="76" s="1" nd="1"/>
        <i x="408" s="1" nd="1"/>
        <i x="98" s="1" nd="1"/>
        <i x="441" s="1" nd="1"/>
        <i x="117" s="1" nd="1"/>
        <i x="273" s="1" nd="1"/>
        <i x="323" s="1" nd="1"/>
        <i x="347" s="1" nd="1"/>
        <i x="370" s="1" nd="1"/>
        <i x="383" s="1" nd="1"/>
        <i x="112" s="1" nd="1"/>
        <i x="440" s="1" nd="1"/>
        <i x="229" s="1" nd="1"/>
        <i x="606" s="1" nd="1"/>
        <i x="654" s="1" nd="1"/>
        <i x="665" s="1" nd="1"/>
        <i x="24" s="1" nd="1"/>
        <i x="369" s="1" nd="1"/>
        <i x="75" s="1" nd="1"/>
        <i x="406" s="1" nd="1"/>
        <i x="131" s="1" nd="1"/>
        <i x="492" s="1" nd="1"/>
        <i x="538" s="1" nd="1"/>
        <i x="285" s="1" nd="1"/>
        <i x="59" s="1" nd="1"/>
        <i x="405" s="1" nd="1"/>
        <i x="439" s="1" nd="1"/>
        <i x="537" s="1" nd="1"/>
        <i x="194" s="1" nd="1"/>
        <i x="202" s="1" nd="1"/>
        <i x="58" s="1" nd="1"/>
        <i x="96" s="1" nd="1"/>
        <i x="111" s="1" nd="1"/>
        <i x="182" s="1" nd="1"/>
        <i x="673" s="1" nd="1"/>
        <i x="7" s="1" nd="1"/>
        <i x="337" s="1" nd="1"/>
        <i x="21" s="1" nd="1"/>
        <i x="438" s="1" nd="1"/>
        <i x="130" s="1" nd="1"/>
        <i x="504" s="1" nd="1"/>
        <i x="562" s="1" nd="1"/>
        <i x="227" s="1" nd="1"/>
        <i x="585" s="1" nd="1"/>
        <i x="238" s="1" nd="1"/>
        <i x="309" s="1" nd="1"/>
        <i x="6" s="1" nd="1"/>
        <i x="86" s="1" nd="1"/>
        <i x="95" s="1" nd="1"/>
        <i x="464" s="1" nd="1"/>
        <i x="244" s="1" nd="1"/>
        <i x="271" s="1" nd="1"/>
        <i x="640" s="1" nd="1"/>
        <i x="298" s="1" nd="1"/>
        <i x="336" s="1" nd="1"/>
        <i x="32" s="1" nd="1"/>
        <i x="437" s="1" nd="1"/>
        <i x="143" s="1" nd="1"/>
        <i x="153" s="1" nd="1"/>
        <i x="503" s="1" nd="1"/>
        <i x="160" s="1" nd="1"/>
        <i x="549" s="1" nd="1"/>
        <i x="211" s="1" nd="1"/>
        <i x="571" s="1" nd="1"/>
        <i x="595" s="1" nd="1"/>
        <i x="257" s="1" nd="1"/>
        <i x="650" s="1" nd="1"/>
        <i x="354" s="1" nd="1"/>
        <i x="42" s="1" nd="1"/>
        <i x="85" s="1" nd="1"/>
        <i x="412" s="1" nd="1"/>
        <i x="436" s="1" nd="1"/>
        <i x="450" s="1" nd="1"/>
        <i x="512" s="1" nd="1"/>
        <i x="548" s="1" nd="1"/>
        <i x="639" s="1" nd="1"/>
        <i x="345" s="1" nd="1"/>
        <i x="57" s="1" nd="1"/>
        <i x="84" s="1" nd="1"/>
        <i x="426" s="1" nd="1"/>
        <i x="488" s="1" nd="1"/>
        <i x="199" s="1" nd="1"/>
        <i x="236" s="1" nd="1"/>
        <i x="255" s="1" nd="1"/>
        <i x="632" s="1" nd="1"/>
        <i x="662" s="1" nd="1"/>
        <i x="319" s="1" nd="1"/>
        <i x="4" s="1" nd="1"/>
        <i x="13" s="1" nd="1"/>
        <i x="379" s="1" nd="1"/>
        <i x="404" s="1" nd="1"/>
        <i x="411" s="1" nd="1"/>
        <i x="449" s="1" nd="1"/>
        <i x="462" s="1" nd="1"/>
        <i x="471" s="1" nd="1"/>
        <i x="180" s="1" nd="1"/>
        <i x="547" s="1" nd="1"/>
        <i x="558" s="1" nd="1"/>
        <i x="253" s="1" nd="1"/>
        <i x="392" s="1" nd="1"/>
        <i x="425" s="1" nd="1"/>
        <i x="150" s="1" nd="1"/>
        <i x="191" s="1" nd="1"/>
        <i x="210" s="1" nd="1"/>
        <i x="241" s="1" nd="1"/>
        <i x="307" s="1" nd="1"/>
        <i x="670" s="1" nd="1"/>
        <i x="83" s="1" nd="1"/>
        <i x="419" s="1" nd="1"/>
        <i x="149" s="1" nd="1"/>
        <i x="519" s="1" nd="1"/>
        <i x="178" s="1" nd="1"/>
        <i x="556" s="1" nd="1"/>
        <i x="209" s="1" nd="1"/>
        <i x="222" s="1" nd="1"/>
        <i x="628" s="1" nd="1"/>
        <i x="18" s="1" nd="1"/>
        <i x="391" s="1" nd="1"/>
        <i x="166" s="1" nd="1"/>
        <i x="197" s="1" nd="1"/>
        <i x="207" s="1" nd="1"/>
        <i x="582" s="1" nd="1"/>
        <i x="283" s="1" nd="1"/>
        <i x="295" s="1" nd="1"/>
        <i x="28" s="1" nd="1"/>
        <i x="390" s="1" nd="1"/>
        <i x="82" s="1" nd="1"/>
        <i x="409" s="1" nd="1"/>
        <i x="448" s="1" nd="1"/>
        <i x="119" s="1" nd="1"/>
        <i x="532" s="1" nd="1"/>
        <i x="581" s="1" nd="1"/>
        <i x="592" s="1" nd="1"/>
        <i x="282" s="1" nd="1"/>
        <i x="17" s="1" nd="1"/>
        <i x="363" s="1" nd="1"/>
        <i x="81" s="1" nd="1"/>
        <i x="434" s="1" nd="1"/>
        <i x="483" s="1" nd="1"/>
        <i x="190" s="1" nd="1"/>
        <i x="580" s="1" nd="1"/>
        <i x="305" s="1" nd="1"/>
        <i x="351" s="1" nd="1"/>
        <i x="563" s="1" nd="1"/>
        <i x="389" s="1" nd="1"/>
        <i x="403" s="1" nd="1"/>
        <i x="587" s="1" nd="1"/>
        <i x="608" s="1" nd="1"/>
        <i x="259" s="1" nd="1"/>
        <i x="274" s="1" nd="1"/>
        <i x="446" s="1" nd="1"/>
        <i x="656" s="1" nd="1"/>
        <i x="300" s="1" nd="1"/>
        <i x="311" s="1" nd="1"/>
        <i x="148" s="1" nd="1"/>
        <i x="8" s="1" nd="1"/>
        <i x="338" s="1" nd="1"/>
        <i x="357" s="1" nd="1"/>
        <i x="544" s="1" nd="1"/>
        <i x="555" s="1" nd="1"/>
        <i x="68" s="1" nd="1"/>
        <i x="398" s="1" nd="1"/>
        <i x="105" s="1" nd="1"/>
        <i x="267" s="1" nd="1"/>
        <i x="646" s="1" nd="1"/>
        <i x="468" s="1" nd="1"/>
        <i x="668" s="1" nd="1"/>
        <i x="317" s="1" nd="1"/>
        <i x="183" s="1" nd="1"/>
        <i x="54" s="1" nd="1"/>
        <i x="572" s="1" nd="1"/>
        <i x="402" s="1" nd="1"/>
        <i x="607" s="1" nd="1"/>
        <i x="286" s="1" nd="1"/>
        <i x="445" s="1" nd="1"/>
        <i x="655" s="1" nd="1"/>
        <i x="137" s="1" nd="1"/>
        <i x="346" s="1" nd="1"/>
        <i x="188" s="1" nd="1"/>
        <i x="356" s="1" nd="1"/>
        <i x="44" s="1" nd="1"/>
        <i x="397" s="1" nd="1"/>
        <i x="233" s="1" nd="1"/>
        <i x="407" s="1" nd="1"/>
        <i x="251" s="1" nd="1"/>
        <i x="420" s="1" nd="1"/>
        <i x="613" s="1" nd="1"/>
        <i x="645" s="1" nd="1"/>
        <i x="467" s="1" nd="1"/>
        <i x="660" s="1" nd="1"/>
        <i x="506" s="1" nd="1"/>
        <i x="362" s="1" nd="1"/>
        <i x="203" s="1" nd="1"/>
        <i x="374" s="1" nd="1"/>
        <i x="214" s="1" nd="1"/>
        <i x="92" s="1" nd="1"/>
        <i x="605" s="1" nd="1"/>
        <i x="620" s="1" nd="1"/>
        <i x="124" s="1" nd="1"/>
        <i x="136" s="1" nd="1"/>
        <i x="482" s="1" nd="1"/>
        <i x="23" s="1" nd="1"/>
        <i x="382" s="1" nd="1"/>
        <i x="567" s="1" nd="1"/>
        <i x="221" s="1" nd="1"/>
        <i x="413" s="1" nd="1"/>
        <i x="250" s="1" nd="1"/>
        <i x="637" s="1" nd="1"/>
        <i x="289" s="1" nd="1"/>
        <i x="644" s="1" nd="1"/>
        <i x="659" s="1" nd="1"/>
        <i x="330" s="1" nd="1"/>
        <i x="16" s="1" nd="1"/>
        <i x="361" s="1" nd="1"/>
        <i x="228" s="1" nd="1"/>
        <i x="586" s="1" nd="1"/>
        <i x="80" s="1" nd="1"/>
        <i x="596" s="1" nd="1"/>
        <i x="418" s="1" nd="1"/>
        <i x="284" s="1" nd="1"/>
        <i x="118" s="1" nd="1"/>
        <i x="322" s="1" nd="1"/>
        <i x="499" s="1" nd="1"/>
        <i x="174" s="1" nd="1"/>
        <i x="530" s="1" nd="1"/>
        <i x="35" s="1" nd="1"/>
        <i x="43" s="1" nd="1"/>
        <i x="566" s="1" nd="1"/>
        <i x="591" s="1" nd="1"/>
        <i x="97" s="1" nd="1"/>
        <i x="249" s="1" nd="1"/>
        <i x="266" s="1" nd="1"/>
        <i x="636" s="1" nd="1"/>
        <i x="453" s="1" nd="1"/>
        <i x="466" s="1" nd="1"/>
        <i x="473" s="1" nd="1"/>
        <i x="522" s="1" nd="1"/>
        <i x="39" s="1" nd="1"/>
        <i x="193" s="1" nd="1"/>
        <i x="360" s="1" nd="1"/>
        <i x="52" s="1" nd="1"/>
        <i x="373" s="1" nd="1"/>
        <i x="401" s="1" nd="1"/>
        <i x="604" s="1" nd="1"/>
        <i x="258" s="1" nd="1"/>
        <i x="424" s="1" nd="1"/>
        <i x="619" s="1" nd="1"/>
        <i x="433" s="1" nd="1"/>
        <i x="633" s="1" nd="1"/>
        <i x="116" s="1" nd="1"/>
        <i x="470" s="1" nd="1"/>
        <i x="310" s="1" nd="1"/>
        <i x="674" s="1" nd="1"/>
        <i x="321" s="1" nd="1"/>
        <i x="158" s="1" nd="1"/>
        <i x="14" s="1" nd="1"/>
        <i x="165" s="1" nd="1"/>
        <i x="22" s="1" nd="1"/>
        <i x="173" s="1" nd="1"/>
        <i x="187" s="1" nd="1"/>
        <i x="220" s="1" nd="1"/>
        <i x="396" s="1" nd="1"/>
        <i x="578" s="1" nd="1"/>
        <i x="239" s="1" nd="1"/>
        <i x="625" s="1" nd="1"/>
        <i x="110" s="1" nd="1"/>
        <i x="280" s="1" nd="1"/>
        <i x="294" s="1" nd="1"/>
        <i x="465" s="1" nd="1"/>
        <i x="304" s="1" nd="1"/>
        <i x="472" s="1" nd="1"/>
        <i x="677" s="1" nd="1"/>
        <i x="329" s="1" nd="1"/>
        <i x="342" s="1" nd="1"/>
        <i x="38" s="1" nd="1"/>
        <i x="66" s="1" nd="1"/>
        <i x="91" s="1" nd="1"/>
        <i x="603" s="1" nd="1"/>
        <i x="653" s="1" nd="1"/>
        <i x="469" s="1" nd="1"/>
        <i x="664" s="1" nd="1"/>
        <i x="481" s="1" nd="1"/>
        <i x="146" s="1" nd="1"/>
        <i x="498" s="1" nd="1"/>
        <i x="34" s="1" nd="1"/>
        <i x="395" s="1" nd="1"/>
        <i x="73" s="1" nd="1"/>
        <i x="590" s="1" nd="1"/>
        <i x="612" s="1" nd="1"/>
        <i x="104" s="1" nd="1"/>
        <i x="265" s="1" nd="1"/>
        <i x="429" s="1" nd="1"/>
        <i x="287" s="1" nd="1"/>
        <i x="129" s="1" nd="1"/>
        <i x="303" s="1" nd="1"/>
        <i x="491" s="1" nd="1"/>
        <i x="154" s="1" nd="1"/>
        <i x="328" s="1" nd="1"/>
        <i x="513" s="1" nd="1"/>
        <i x="170" s="1" nd="1"/>
        <i x="521" s="1" nd="1"/>
        <i x="551" s="1" nd="1"/>
        <i x="51" s="1" nd="1"/>
        <i x="201" s="1" nd="1"/>
        <i x="561" s="1" nd="1"/>
        <i x="65" s="1" nd="1"/>
        <i x="388" s="1" nd="1"/>
        <i x="226" s="1" nd="1"/>
        <i x="245" s="1" nd="1"/>
        <i x="417" s="1" nd="1"/>
        <i x="602" s="1" nd="1"/>
        <i x="618" s="1" nd="1"/>
        <i x="299" s="1" nd="1"/>
        <i x="145" s="1" nd="1"/>
        <i x="497" s="1" nd="1"/>
        <i x="332" s="1" nd="1"/>
        <i x="516" s="1" nd="1"/>
        <i x="20" s="1" nd="1"/>
        <i x="528" s="1" nd="1"/>
        <i x="33" s="1" nd="1"/>
        <i x="355" s="1" nd="1"/>
        <i x="554" s="1" nd="1"/>
        <i x="218" s="1" nd="1"/>
        <i x="394" s="1" nd="1"/>
        <i x="577" s="1" nd="1"/>
        <i x="611" s="1" nd="1"/>
        <i x="103" s="1" nd="1"/>
        <i x="264" s="1" nd="1"/>
        <i x="428" s="1" nd="1"/>
        <i x="624" s="1" nd="1"/>
        <i x="108" s="1" nd="1"/>
        <i x="452" s="1" nd="1"/>
        <i x="121" s="1" nd="1"/>
        <i x="302" s="1" nd="1"/>
        <i x="316" s="1" nd="1"/>
        <i x="676" s="1" nd="1"/>
        <i x="161" s="1" nd="1"/>
        <i x="169" s="1" nd="1"/>
        <i x="192" s="1" nd="1"/>
        <i x="550" s="1" nd="1"/>
        <i x="49" s="1" nd="1"/>
        <i x="212" s="1" nd="1"/>
        <i x="237" s="1" nd="1"/>
        <i x="90" s="1" nd="1"/>
        <i x="242" s="1" nd="1"/>
        <i x="416" s="1" nd="1"/>
        <i x="601" s="1" nd="1"/>
        <i x="443" s="1" nd="1"/>
        <i x="651" s="1" nd="1"/>
        <i x="479" s="1" nd="1"/>
        <i x="5" s="1" nd="1"/>
        <i x="157" s="1" nd="1"/>
        <i x="31" s="1" nd="1"/>
        <i x="196" s="1" nd="1"/>
        <i x="368" s="1" nd="1"/>
        <i x="381" s="1" nd="1"/>
        <i x="576" s="1" nd="1"/>
        <i x="231" s="1" nd="1"/>
        <i x="589" s="1" nd="1"/>
        <i x="248" s="1" nd="1"/>
        <i x="427" s="1" nd="1"/>
        <i x="278" s="1" nd="1"/>
        <i x="451" s="1" nd="1"/>
        <i x="293" s="1" nd="1"/>
        <i x="463" s="1" nd="1"/>
        <i x="142" s="1" nd="1"/>
        <i x="334" s="1" nd="1"/>
        <i x="168" s="1" nd="1"/>
        <i x="341" s="1" nd="1"/>
        <i x="520" s="1" nd="1"/>
        <i x="350" s="1" nd="1"/>
        <i x="37" s="1" nd="1"/>
        <i x="560" s="1" nd="1"/>
        <i x="387" s="1" nd="1"/>
        <i x="570" s="1" nd="1"/>
        <i x="70" s="1" nd="1"/>
        <i x="225" s="1" nd="1"/>
        <i x="99" s="1" nd="1"/>
        <i x="270" s="1" nd="1"/>
        <i x="115" s="1" nd="1"/>
        <i x="442" s="1" nd="1"/>
        <i x="457" s="1" nd="1"/>
        <i x="297" s="1" nd="1"/>
        <i x="663" s="1" nd="1"/>
        <i x="134" s="1" nd="1"/>
        <i x="308" s="1" nd="1"/>
        <i x="478" s="1" nd="1"/>
        <i x="164" s="1" nd="1"/>
        <i x="543" s="1" nd="1"/>
        <i x="41" s="1" nd="1"/>
        <i x="367" s="1" nd="1"/>
        <i x="216" s="1" nd="1"/>
        <i x="393" s="1" nd="1"/>
        <i x="72" s="1" nd="1"/>
        <i x="599" s="1" nd="1"/>
        <i x="102" s="1" nd="1"/>
        <i x="263" s="1" nd="1"/>
        <i x="435" s="1" nd="1"/>
        <i x="642" s="1" nd="1"/>
        <i x="292" s="1" nd="1"/>
        <i x="127" s="1" nd="1"/>
        <i x="489" s="1" nd="1"/>
        <i x="675" s="1" nd="1"/>
        <i x="167" s="1" nd="1"/>
        <i x="349" s="1" nd="1"/>
        <i x="200" s="1" nd="1"/>
        <i x="63" s="1" nd="1"/>
        <i x="584" s="1" nd="1"/>
        <i x="415" s="1" nd="1"/>
        <i x="256" s="1" nd="1"/>
        <i x="423" s="1" nd="1"/>
        <i x="114" s="1" nd="1"/>
        <i x="456" s="1" nd="1"/>
        <i x="649" s="1" nd="1"/>
        <i x="477" s="1" nd="1"/>
        <i x="672" s="1" nd="1"/>
        <i x="320" s="1" nd="1"/>
        <i x="496" s="1" nd="1"/>
        <i x="510" s="1" nd="1"/>
        <i x="344" s="1" nd="1"/>
        <i x="526" s="1" nd="1"/>
        <i x="184" s="1" nd="1"/>
        <i x="380" s="1" nd="1"/>
        <i x="94" s="1" nd="1"/>
        <i x="247" s="1" nd="1"/>
        <i x="610" s="1" nd="1"/>
        <i x="623" s="1" nd="1"/>
        <i x="107" s="1" nd="1"/>
        <i x="277" s="1" nd="1"/>
        <i x="141" s="1" nd="1"/>
        <i x="315" s="1" nd="1"/>
        <i x="486" s="1" nd="1"/>
        <i x="152" s="1" nd="1"/>
        <i x="502" s="1" nd="1"/>
        <i x="9" s="1" nd="1"/>
        <i x="181" s="1" nd="1"/>
        <i x="536" s="1" nd="1"/>
        <i x="36" s="1" nd="1"/>
        <i x="48" s="1" nd="1"/>
        <i x="198" s="1" nd="1"/>
        <i x="372" s="1" nd="1"/>
        <i x="559" s="1" nd="1"/>
        <i x="569" s="1" nd="1"/>
        <i x="594" s="1" nd="1"/>
        <i x="600" s="1" nd="1"/>
        <i x="254" s="1" nd="1"/>
        <i x="616" s="1" nd="1"/>
        <i x="638" s="1" nd="1"/>
        <i x="455" s="1" nd="1"/>
        <i x="123" s="1" nd="1"/>
        <i x="495" s="1" nd="1"/>
        <i x="509" s="1" nd="1"/>
        <i x="12" s="1" nd="1"/>
        <i x="163" s="1" nd="1"/>
        <i x="525" s="1" nd="1"/>
        <i x="29" s="1" nd="1"/>
        <i x="353" s="1" nd="1"/>
        <i x="366" s="1" nd="1"/>
        <i x="56" s="1" nd="1"/>
        <i x="93" s="1" nd="1"/>
        <i x="262" s="1" nd="1"/>
        <i x="641" s="1" nd="1"/>
        <i x="461" s="1" nd="1"/>
        <i x="140" s="1" nd="1"/>
        <i x="314" s="1" nd="1"/>
        <i x="151" s="1" nd="1"/>
        <i x="159" s="1" nd="1"/>
        <i x="511" s="1" nd="1"/>
        <i x="535" s="1" nd="1"/>
        <i x="546" s="1" nd="1"/>
        <i x="47" s="1" nd="1"/>
        <i x="371" s="1" nd="1"/>
        <i x="557" s="1" nd="1"/>
        <i x="61" s="1" nd="1"/>
        <i x="386" s="1" nd="1"/>
        <i x="568" s="1" nd="1"/>
        <i x="583" s="1" nd="1"/>
        <i x="235" s="1" nd="1"/>
        <i x="88" s="1" nd="1"/>
        <i x="615" s="1" nd="1"/>
        <i x="106" s="1" nd="1"/>
        <i x="269" s="1" nd="1"/>
        <i x="432" s="1" nd="1"/>
        <i x="630" s="1" nd="1"/>
        <i x="122" s="1" nd="1"/>
        <i x="296" s="1" nd="1"/>
        <i x="671" s="1" nd="1"/>
        <i x="318" s="1" nd="1"/>
        <i x="494" s="1" nd="1"/>
        <i x="3" s="1" nd="1"/>
        <i x="162" s="1" nd="1"/>
        <i x="19" s="1" nd="1"/>
        <i x="204" s="1" nd="1"/>
        <i x="377" s="1" nd="1"/>
        <i x="71" s="1" nd="1"/>
        <i x="410" s="1" nd="1"/>
        <i x="621" s="1" nd="1"/>
        <i x="635" s="1" nd="1"/>
        <i x="120" s="1" nd="1"/>
        <i x="327" s="1" nd="1"/>
        <i x="340" s="1" nd="1"/>
        <i x="26" s="1" nd="1"/>
        <i x="348" s="1" nd="1"/>
        <i x="534" s="1" nd="1"/>
        <i x="46" s="1" nd="1"/>
        <i x="223" s="1" nd="1"/>
        <i x="87" s="1" nd="1"/>
        <i x="414" s="1" nd="1"/>
        <i x="252" s="1" nd="1"/>
        <i x="614" s="1" nd="1"/>
        <i x="629" s="1" nd="1"/>
        <i x="454" s="1" nd="1"/>
        <i x="508" s="1" nd="1"/>
        <i x="541" s="1" nd="1"/>
        <i x="40" s="1" nd="1"/>
        <i x="55" s="1" nd="1"/>
        <i x="376" s="1" nd="1"/>
        <i x="609" s="1" nd="1"/>
        <i x="101" s="1" nd="1"/>
        <i x="261" s="1" nd="1"/>
        <i x="276" s="1" nd="1"/>
        <i x="126" s="1" nd="1"/>
        <i x="666" s="1" nd="1"/>
        <i x="139" s="1" nd="1"/>
        <i x="313" s="1" nd="1"/>
        <i x="485" s="1" nd="1"/>
        <i x="326" s="1" nd="1"/>
        <i x="15" s="1" nd="1"/>
        <i x="518" s="1" nd="1"/>
        <i x="208" s="1" nd="1"/>
        <i x="69" s="1" nd="1"/>
        <i x="78" s="1" nd="1"/>
        <i x="593" s="1" nd="1"/>
        <i x="431" s="1" nd="1"/>
        <i x="627" s="1" nd="1"/>
        <i x="306" s="1" nd="1"/>
        <i x="475" s="1" nd="1"/>
        <i x="155" s="1" nd="1"/>
        <i x="335" s="1" nd="1"/>
        <i x="515" s="1" nd="1"/>
        <i x="343" s="1" nd="1"/>
        <i x="365" s="1" nd="1"/>
        <i x="598" s="1" nd="1"/>
        <i x="260" s="1" nd="1"/>
        <i x="301" s="1" nd="1"/>
        <i x="484" s="1" nd="1"/>
        <i x="325" s="1" nd="1"/>
        <i x="339" s="1" nd="1"/>
        <i x="25" s="1" nd="1"/>
        <i x="177" s="1" nd="1"/>
        <i x="533" s="1" nd="1"/>
        <i x="60" s="1" nd="1"/>
        <i x="384" s="1" nd="1"/>
        <i x="234" s="1" nd="1"/>
        <i x="669" s="1" nd="1"/>
        <i x="2" s="1" nd="1"/>
        <i x="331" s="1" nd="1"/>
        <i x="11" s="1" nd="1"/>
        <i x="514" s="1" nd="1"/>
        <i x="523" s="1" nd="1"/>
        <i x="352" s="1" nd="1"/>
        <i x="539" s="1" nd="1"/>
        <i x="195" s="1" nd="1"/>
        <i x="364" s="1" nd="1"/>
        <i x="588" s="1" nd="1"/>
        <i x="447" s="1" nd="1"/>
        <i x="459" s="1" nd="1"/>
        <i x="657" s="1" nd="1"/>
        <i x="125" s="1" nd="1"/>
        <i x="138" s="1" nd="1"/>
        <i x="531" s="1" nd="1"/>
        <i x="422" s="1" nd="1"/>
        <i x="430" s="1" nd="1"/>
        <i x="113" s="1" nd="1"/>
        <i x="647" s="1" nd="1"/>
        <i x="474" s="1" nd="1"/>
        <i x="493"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s="1"/>
        <i x="1" s="1"/>
        <i x="2" s="1"/>
        <i x="3" s="1"/>
        <i x="9" s="1" nd="1"/>
        <i x="4" s="1" nd="1"/>
        <i x="5" s="1" nd="1"/>
        <i x="6" s="1" nd="1"/>
        <i x="7" s="1" nd="1"/>
        <i x="8"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542">
        <i x="0" s="1"/>
        <i x="63" s="1" nd="1"/>
        <i x="228" s="1" nd="1"/>
        <i x="540" s="1" nd="1"/>
        <i x="483" s="1" nd="1"/>
        <i x="309" s="1" nd="1"/>
        <i x="424" s="1" nd="1"/>
        <i x="348" s="1" nd="1"/>
        <i x="109" s="1" nd="1"/>
        <i x="98" s="1" nd="1"/>
        <i x="143" s="1" nd="1"/>
        <i x="159" s="1" nd="1"/>
        <i x="178" s="1" nd="1"/>
        <i x="260" s="1" nd="1"/>
        <i x="224" s="1" nd="1"/>
        <i x="419" s="1" nd="1"/>
        <i x="140" s="1" nd="1"/>
        <i x="208" s="1" nd="1"/>
        <i x="55" s="1" nd="1"/>
        <i x="410" s="1" nd="1"/>
        <i x="76" s="1" nd="1"/>
        <i x="284" s="1" nd="1"/>
        <i x="485" s="1" nd="1"/>
        <i x="92" s="1" nd="1"/>
        <i x="505" s="1" nd="1"/>
        <i x="476" s="1" nd="1"/>
        <i x="64" s="1" nd="1"/>
        <i x="160" s="1" nd="1"/>
        <i x="432" s="1" nd="1"/>
        <i x="494" s="1" nd="1"/>
        <i x="10" s="1" nd="1"/>
        <i x="274" s="1" nd="1"/>
        <i x="152" s="1" nd="1"/>
        <i x="243" s="1" nd="1"/>
        <i x="344" s="1" nd="1"/>
        <i x="199" s="1" nd="1"/>
        <i x="96" s="1" nd="1"/>
        <i x="101" s="1" nd="1"/>
        <i x="223" s="1" nd="1"/>
        <i x="190" s="1" nd="1"/>
        <i x="253" s="1" nd="1"/>
        <i x="527" s="1" nd="1"/>
        <i x="88" s="1" nd="1"/>
        <i x="251" s="1" nd="1"/>
        <i x="312" s="1" nd="1"/>
        <i x="296" s="1" nd="1"/>
        <i x="186" s="1" nd="1"/>
        <i x="280" s="1" nd="1"/>
        <i x="265" s="1" nd="1"/>
        <i x="463" s="1" nd="1"/>
        <i x="202" s="1" nd="1"/>
        <i x="278" s="1" nd="1"/>
        <i x="127" s="1" nd="1"/>
        <i x="276" s="1" nd="1"/>
        <i x="110" s="1" nd="1"/>
        <i x="271" s="1" nd="1"/>
        <i x="442" s="1" nd="1"/>
        <i x="338" s="1" nd="1"/>
        <i x="486" s="1" nd="1"/>
        <i x="404" s="1" nd="1"/>
        <i x="295" s="1" nd="1"/>
        <i x="230" s="1" nd="1"/>
        <i x="81" s="1" nd="1"/>
        <i x="235" s="1" nd="1"/>
        <i x="289" s="1" nd="1"/>
        <i x="478" s="1" nd="1"/>
        <i x="460" s="1" nd="1"/>
        <i x="440" s="1" nd="1"/>
        <i x="134" s="1" nd="1"/>
        <i x="221" s="1" nd="1"/>
        <i x="318" s="1" nd="1"/>
        <i x="222" s="1" nd="1"/>
        <i x="52" s="1" nd="1"/>
        <i x="539" s="1" nd="1"/>
        <i x="391" s="1" nd="1"/>
        <i x="163" s="1" nd="1"/>
        <i x="496" s="1" nd="1"/>
        <i x="272" s="1" nd="1"/>
        <i x="65" s="1" nd="1"/>
        <i x="464" s="1" nd="1"/>
        <i x="234" s="1" nd="1"/>
        <i x="433" s="1" nd="1"/>
        <i x="162" s="1" nd="1"/>
        <i x="297" s="1" nd="1"/>
        <i x="107" s="1" nd="1"/>
        <i x="273" s="1" nd="1"/>
        <i x="142" s="1" nd="1"/>
        <i x="119" s="1" nd="1"/>
        <i x="456" s="1" nd="1"/>
        <i x="447" s="1" nd="1"/>
        <i x="225" s="1" nd="1"/>
        <i x="248" s="1" nd="1"/>
        <i x="512" s="1" nd="1"/>
        <i x="111" s="1" nd="1"/>
        <i x="126" s="1" nd="1"/>
        <i x="60" s="1" nd="1"/>
        <i x="423" s="1" nd="1"/>
        <i x="488" s="1" nd="1"/>
        <i x="189" s="1" nd="1"/>
        <i x="176" s="1" nd="1"/>
        <i x="267" s="1" nd="1"/>
        <i x="541" s="1" nd="1"/>
        <i x="517" s="1" nd="1"/>
        <i x="270" s="1" nd="1"/>
        <i x="38" s="1" nd="1"/>
        <i x="129" s="1" nd="1"/>
        <i x="200" s="1" nd="1"/>
        <i x="237" s="1" nd="1"/>
        <i x="367" s="1" nd="1"/>
        <i x="427" s="1" nd="1"/>
        <i x="415" s="1" nd="1"/>
        <i x="303" s="1" nd="1"/>
        <i x="493" s="1" nd="1"/>
        <i x="40" s="1" nd="1"/>
        <i x="501" s="1" nd="1"/>
        <i x="240" s="1" nd="1"/>
        <i x="254" s="1" nd="1"/>
        <i x="262" s="1" nd="1"/>
        <i x="204" s="1" nd="1"/>
        <i x="350" s="1" nd="1"/>
        <i x="341" s="1" nd="1"/>
        <i x="324" s="1" nd="1"/>
        <i x="31" s="1" nd="1"/>
        <i x="471" s="1" nd="1"/>
        <i x="491" s="1" nd="1"/>
        <i x="191" s="1" nd="1"/>
        <i x="345" s="1" nd="1"/>
        <i x="392" s="1" nd="1"/>
        <i x="86" s="1" nd="1"/>
        <i x="69" s="1" nd="1"/>
        <i x="18" s="1" nd="1"/>
        <i x="532" s="1" nd="1"/>
        <i x="46" s="1" nd="1"/>
        <i x="409" s="1" nd="1"/>
        <i x="522" s="1" nd="1"/>
        <i x="74" s="1" nd="1"/>
        <i x="369" s="1" nd="1"/>
        <i x="24" s="1" nd="1"/>
        <i x="177" s="1" nd="1"/>
        <i x="4" s="1" nd="1"/>
        <i x="50" s="1" nd="1"/>
        <i x="188" s="1" nd="1"/>
        <i x="249" s="1" nd="1"/>
        <i x="310" s="1" nd="1"/>
        <i x="372" s="1" nd="1"/>
        <i x="42" s="1" nd="1"/>
        <i x="205" s="1" nd="1"/>
        <i x="412" s="1" nd="1"/>
        <i x="41" s="1" nd="1"/>
        <i x="364" s="1" nd="1"/>
        <i x="59" s="1" nd="1"/>
        <i x="206" s="1" nd="1"/>
        <i x="268" s="1" nd="1"/>
        <i x="343" s="1" nd="1"/>
        <i x="467" s="1" nd="1"/>
        <i x="477" s="1" nd="1"/>
        <i x="293" s="1" nd="1"/>
        <i x="169" s="1" nd="1"/>
        <i x="393" s="1" nd="1"/>
        <i x="20" s="1" nd="1"/>
        <i x="184" s="1" nd="1"/>
        <i x="443" s="1" nd="1"/>
        <i x="58" s="1" nd="1"/>
        <i x="335" s="1" nd="1"/>
        <i x="422" s="1" nd="1"/>
        <i x="425" s="1" nd="1"/>
        <i x="497" s="1" nd="1"/>
        <i x="241" s="1" nd="1"/>
        <i x="70" s="1" nd="1"/>
        <i x="430" s="1" nd="1"/>
        <i x="2" s="1" nd="1"/>
        <i x="382" s="1" nd="1"/>
        <i x="378" s="1" nd="1"/>
        <i x="387" s="1" nd="1"/>
        <i x="95" s="1" nd="1"/>
        <i x="218" s="1" nd="1"/>
        <i x="330" s="1" nd="1"/>
        <i x="54" s="1" nd="1"/>
        <i x="84" s="1" nd="1"/>
        <i x="388" s="1" nd="1"/>
        <i x="487" s="1" nd="1"/>
        <i x="264" s="1" nd="1"/>
        <i x="247" s="1" nd="1"/>
        <i x="417" s="1" nd="1"/>
        <i x="261" s="1" nd="1"/>
        <i x="49" s="1" nd="1"/>
        <i x="112" s="1" nd="1"/>
        <i x="394" s="1" nd="1"/>
        <i x="121" s="1" nd="1"/>
        <i x="118" s="1" nd="1"/>
        <i x="444" s="1" nd="1"/>
        <i x="420" s="1" nd="1"/>
        <i x="475" s="1" nd="1"/>
        <i x="68" s="1" nd="1"/>
        <i x="328" s="1" nd="1"/>
        <i x="158" s="1" nd="1"/>
        <i x="201" s="1" nd="1"/>
        <i x="36" s="1" nd="1"/>
        <i x="298" s="1" nd="1"/>
        <i x="281" s="1" nd="1"/>
        <i x="408" s="1" nd="1"/>
        <i x="106" s="1" nd="1"/>
        <i x="22" s="1" nd="1"/>
        <i x="381" s="1" nd="1"/>
        <i x="155" s="1" nd="1"/>
        <i x="12" s="1" nd="1"/>
        <i x="133" s="1" nd="1"/>
        <i x="173" s="1" nd="1"/>
        <i x="450" s="1" nd="1"/>
        <i x="165" s="1" nd="1"/>
        <i x="203" s="1" nd="1"/>
        <i x="454" s="1" nd="1"/>
        <i x="329" s="1" nd="1"/>
        <i x="525" s="1" nd="1"/>
        <i x="77" s="1" nd="1"/>
        <i x="61" s="1" nd="1"/>
        <i x="287" s="1" nd="1"/>
        <i x="461" s="1" nd="1"/>
        <i x="75" s="1" nd="1"/>
        <i x="185" s="1" nd="1"/>
        <i x="8" s="1" nd="1"/>
        <i x="506" s="1" nd="1"/>
        <i x="514" s="1" nd="1"/>
        <i x="51" s="1" nd="1"/>
        <i x="384" s="1" nd="1"/>
        <i x="170" s="1" nd="1"/>
        <i x="11" s="1" nd="1"/>
        <i x="374" s="1" nd="1"/>
        <i x="67" s="1" nd="1"/>
        <i x="314" s="1" nd="1"/>
        <i x="323" s="1" nd="1"/>
        <i x="83" s="1" nd="1"/>
        <i x="342" s="1" nd="1"/>
        <i x="214" s="1" nd="1"/>
        <i x="518" s="1" nd="1"/>
        <i x="57" s="1" nd="1"/>
        <i x="90" s="1" nd="1"/>
        <i x="226" s="1" nd="1"/>
        <i x="519" s="1" nd="1"/>
        <i x="15" s="1" nd="1"/>
        <i x="474" s="1" nd="1"/>
        <i x="339" s="1" nd="1"/>
        <i x="352" s="1" nd="1"/>
        <i x="286" s="1" nd="1"/>
        <i x="45" s="1" nd="1"/>
        <i x="72" s="1" nd="1"/>
        <i x="239" s="1" nd="1"/>
        <i x="89" s="1" nd="1"/>
        <i x="504" s="1" nd="1"/>
        <i x="495" s="1" nd="1"/>
        <i x="115" s="1" nd="1"/>
        <i x="453" s="1" nd="1"/>
        <i x="99" s="1" nd="1"/>
        <i x="421" s="1" nd="1"/>
        <i x="28" s="1" nd="1"/>
        <i x="431" s="1" nd="1"/>
        <i x="113" s="1" nd="1"/>
        <i x="209" s="1" nd="1"/>
        <i x="13" s="1" nd="1"/>
        <i x="79" s="1" nd="1"/>
        <i x="500" s="1" nd="1"/>
        <i x="437" s="1" nd="1"/>
        <i x="307" s="1" nd="1"/>
        <i x="103" s="1" nd="1"/>
        <i x="489" s="1" nd="1"/>
        <i x="256" s="1" nd="1"/>
        <i x="528" s="1" nd="1"/>
        <i x="244" s="1" nd="1"/>
        <i x="377" s="1" nd="1"/>
        <i x="400" s="1" nd="1"/>
        <i x="304" s="1" nd="1"/>
        <i x="130" s="1" nd="1"/>
        <i x="502" s="1" nd="1"/>
        <i x="499" s="1" nd="1"/>
        <i x="395" s="1" nd="1"/>
        <i x="25" s="1" nd="1"/>
        <i x="290" s="1" nd="1"/>
        <i x="117" s="1" nd="1"/>
        <i x="509" s="1" nd="1"/>
        <i x="141" s="1" nd="1"/>
        <i x="16" s="1" nd="1"/>
        <i x="418" s="1" nd="1"/>
        <i x="507" s="1" nd="1"/>
        <i x="104" s="1" nd="1"/>
        <i x="515" s="1" nd="1"/>
        <i x="294" s="1" nd="1"/>
        <i x="150" s="1" nd="1"/>
        <i x="93" s="1" nd="1"/>
        <i x="516" s="1" nd="1"/>
        <i x="245" s="1" nd="1"/>
        <i x="380" s="1" nd="1"/>
        <i x="62" s="1" nd="1"/>
        <i x="238" s="1" nd="1"/>
        <i x="227" s="1" nd="1"/>
        <i x="439" s="1" nd="1"/>
        <i x="73" s="1" nd="1"/>
        <i x="279" s="1" nd="1"/>
        <i x="82" s="1" nd="1"/>
        <i x="402" s="1" nd="1"/>
        <i x="122" s="1" nd="1"/>
        <i x="23" s="1" nd="1"/>
        <i x="434" s="1" nd="1"/>
        <i x="452" s="1" nd="1"/>
        <i x="446" s="1" nd="1"/>
        <i x="340" s="1" nd="1"/>
        <i x="435" s="1" nd="1"/>
        <i x="386" s="1" nd="1"/>
        <i x="370" s="1" nd="1"/>
        <i x="47" s="1" nd="1"/>
        <i x="34" s="1" nd="1"/>
        <i x="436" s="1" nd="1"/>
        <i x="275" s="1" nd="1"/>
        <i x="311" s="1" nd="1"/>
        <i x="91" s="1" nd="1"/>
        <i x="35" s="1" nd="1"/>
        <i x="255" s="1" nd="1"/>
        <i x="521" s="1" nd="1"/>
        <i x="197" s="1" nd="1"/>
        <i x="480" s="1" nd="1"/>
        <i x="376" s="1" nd="1"/>
        <i x="192" s="1" nd="1"/>
        <i x="520" s="1" nd="1"/>
        <i x="498" s="1" nd="1"/>
        <i x="472" s="1" nd="1"/>
        <i x="399" s="1" nd="1"/>
        <i x="30" s="1" nd="1"/>
        <i x="513" s="1" nd="1"/>
        <i x="174" s="1" nd="1"/>
        <i x="266" s="1" nd="1"/>
        <i x="455" s="1" nd="1"/>
        <i x="120" s="1" nd="1"/>
        <i x="215" s="1" nd="1"/>
        <i x="252" s="1" nd="1"/>
        <i x="288" s="1" nd="1"/>
        <i x="361" s="1" nd="1"/>
        <i x="375" s="1" nd="1"/>
        <i x="441" s="1" nd="1"/>
        <i x="17" s="1" nd="1"/>
        <i x="360" s="1" nd="1"/>
        <i x="379" s="1" nd="1"/>
        <i x="321" s="1" nd="1"/>
        <i x="366" s="1" nd="1"/>
        <i x="458" s="1" nd="1"/>
        <i x="66" s="1" nd="1"/>
        <i x="396" s="1" nd="1"/>
        <i x="449" s="1" nd="1"/>
        <i x="250" s="1" nd="1"/>
        <i x="128" s="1" nd="1"/>
        <i x="334" s="1" nd="1"/>
        <i x="406" s="1" nd="1"/>
        <i x="148" s="1" nd="1"/>
        <i x="216" s="1" nd="1"/>
        <i x="232" s="1" nd="1"/>
        <i x="43" s="1" nd="1"/>
        <i x="212" s="1" nd="1"/>
        <i x="56" s="1" nd="1"/>
        <i x="385" s="1" nd="1"/>
        <i x="363" s="1" nd="1"/>
        <i x="401" s="1" nd="1"/>
        <i x="153" s="1" nd="1"/>
        <i x="492" s="1" nd="1"/>
        <i x="407" s="1" nd="1"/>
        <i x="353" s="1" nd="1"/>
        <i x="358" s="1" nd="1"/>
        <i x="462" s="1" nd="1"/>
        <i x="146" s="1" nd="1"/>
        <i x="217" s="1" nd="1"/>
        <i x="320" s="1" nd="1"/>
        <i x="131" s="1" nd="1"/>
        <i x="259" s="1" nd="1"/>
        <i x="33" s="1" nd="1"/>
        <i x="390" s="1" nd="1"/>
        <i x="413" s="1" nd="1"/>
        <i x="242" s="1" nd="1"/>
        <i x="457" s="1" nd="1"/>
        <i x="168" s="1" nd="1"/>
        <i x="530" s="1" nd="1"/>
        <i x="346" s="1" nd="1"/>
        <i x="105" s="1" nd="1"/>
        <i x="87" s="1" nd="1"/>
        <i x="526" s="1" nd="1"/>
        <i x="231" s="1" nd="1"/>
        <i x="246" s="1" nd="1"/>
        <i x="233" s="1" nd="1"/>
        <i x="220" s="1" nd="1"/>
        <i x="508" s="1" nd="1"/>
        <i x="533" s="1" nd="1"/>
        <i x="198" s="1" nd="1"/>
        <i x="535" s="1" nd="1"/>
        <i x="285" s="1" nd="1"/>
        <i x="291" s="1" nd="1"/>
        <i x="371" s="1" nd="1"/>
        <i x="26" s="1" nd="1"/>
        <i x="53" s="1" nd="1"/>
        <i x="322" s="1" nd="1"/>
        <i x="6" s="1" nd="1"/>
        <i x="37" s="1" nd="1"/>
        <i x="451" s="1" nd="1"/>
        <i x="210" s="1" nd="1"/>
        <i x="537" s="1" nd="1"/>
        <i x="48" s="1" nd="1"/>
        <i x="445" s="1" nd="1"/>
        <i x="397" s="1" nd="1"/>
        <i x="44" s="1" nd="1"/>
        <i x="319" s="1" nd="1"/>
        <i x="299" s="1" nd="1"/>
        <i x="157" s="1" nd="1"/>
        <i x="187" s="1" nd="1"/>
        <i x="531" s="1" nd="1"/>
        <i x="468" s="1" nd="1"/>
        <i x="114" s="1" nd="1"/>
        <i x="123" s="1" nd="1"/>
        <i x="416" s="1" nd="1"/>
        <i x="94" s="1" nd="1"/>
        <i x="405" s="1" nd="1"/>
        <i x="411" s="1" nd="1"/>
        <i x="27" s="1" nd="1"/>
        <i x="236" s="1" nd="1"/>
        <i x="332" s="1" nd="1"/>
        <i x="7" s="1" nd="1"/>
        <i x="183" s="1" nd="1"/>
        <i x="459" s="1" nd="1"/>
        <i x="85" s="1" nd="1"/>
        <i x="124" s="1" nd="1"/>
        <i x="523" s="1" nd="1"/>
        <i x="529" s="1" nd="1"/>
        <i x="219" s="1" nd="1"/>
        <i x="373" s="1" nd="1"/>
        <i x="161" s="1" nd="1"/>
        <i x="414" s="1" nd="1"/>
        <i x="97" s="1" nd="1"/>
        <i x="469" s="1" nd="1"/>
        <i x="426" s="1" nd="1"/>
        <i x="211" s="1" nd="1"/>
        <i x="125" s="1" nd="1"/>
        <i x="536" s="1" nd="1"/>
        <i x="269" s="1" nd="1"/>
        <i x="32" s="1" nd="1"/>
        <i x="5" s="1" nd="1"/>
        <i x="21" s="1" nd="1"/>
        <i x="132" s="1" nd="1"/>
        <i x="481" s="1" nd="1"/>
        <i x="538" s="1" nd="1"/>
        <i x="428" s="1" nd="1"/>
        <i x="448" s="1" nd="1"/>
        <i x="78" s="1" nd="1"/>
        <i x="534" s="1" nd="1"/>
        <i x="207" s="1" nd="1"/>
        <i x="14" s="1" nd="1"/>
        <i x="466" s="1" nd="1"/>
        <i x="389" s="1" nd="1"/>
        <i x="510" s="1" nd="1"/>
        <i x="213" s="1" nd="1"/>
        <i x="257" s="1" nd="1"/>
        <i x="136" s="1" nd="1"/>
        <i x="263" s="1" nd="1"/>
        <i x="482" s="1" nd="1"/>
        <i x="479" s="1" nd="1"/>
        <i x="438" s="1" nd="1"/>
        <i x="308" s="1" nd="1"/>
        <i x="164" s="1" nd="1"/>
        <i x="465" s="1" nd="1"/>
        <i x="29" s="1" nd="1"/>
        <i x="362" s="1" nd="1"/>
        <i x="333" s="1" nd="1"/>
        <i x="71" s="1" nd="1"/>
        <i x="229" s="1" nd="1"/>
        <i x="80" s="1" nd="1"/>
        <i x="39" s="1" nd="1"/>
        <i x="511" s="1" nd="1"/>
        <i x="277" s="1" nd="1"/>
        <i x="258" s="1" nd="1"/>
        <i x="503" s="1" nd="1"/>
        <i x="175" s="1" nd="1"/>
        <i x="3" s="1" nd="1"/>
        <i x="108" s="1" nd="1"/>
        <i x="490" s="1" nd="1"/>
        <i x="167" s="1" nd="1"/>
        <i x="473" s="1" nd="1"/>
        <i x="19" s="1" nd="1"/>
        <i x="524" s="1" nd="1"/>
        <i x="182" s="1" nd="1"/>
        <i x="283" s="1" nd="1"/>
        <i x="383" s="1" nd="1"/>
        <i x="429" s="1" nd="1"/>
        <i x="116" s="1" nd="1"/>
        <i x="102" s="1" nd="1"/>
        <i x="403" s="1" nd="1"/>
        <i x="484" s="1" nd="1"/>
        <i x="398" s="1" nd="1"/>
        <i x="100" s="1" nd="1"/>
        <i x="470" s="1" nd="1"/>
        <i x="9" s="1" nd="1"/>
        <i x="349" s="1" nd="1"/>
        <i x="313" s="1" nd="1"/>
        <i x="336" s="1" nd="1"/>
        <i x="1" s="1" nd="1"/>
        <i x="325" s="1" nd="1"/>
        <i x="300" s="1" nd="1"/>
        <i x="326" s="1" nd="1"/>
        <i x="301" s="1" nd="1"/>
        <i x="351" s="1" nd="1"/>
        <i x="302" s="1" nd="1"/>
        <i x="327" s="1" nd="1"/>
        <i x="315" s="1" nd="1"/>
        <i x="354" s="1" nd="1"/>
        <i x="282" s="1" nd="1"/>
        <i x="355" s="1" nd="1"/>
        <i x="316" s="1" nd="1"/>
        <i x="365" s="1" nd="1"/>
        <i x="356" s="1" nd="1"/>
        <i x="292" s="1" nd="1"/>
        <i x="357" s="1" nd="1"/>
        <i x="317" s="1" nd="1"/>
        <i x="305" s="1" nd="1"/>
        <i x="306" s="1" nd="1"/>
        <i x="331" s="1" nd="1"/>
        <i x="359" s="1" nd="1"/>
        <i x="368" s="1" nd="1"/>
        <i x="347" s="1" nd="1"/>
        <i x="337" s="1" nd="1"/>
        <i x="179" s="1" nd="1"/>
        <i x="151" s="1" nd="1"/>
        <i x="144" s="1" nd="1"/>
        <i x="193" s="1" nd="1"/>
        <i x="180" s="1" nd="1"/>
        <i x="194" s="1" nd="1"/>
        <i x="171" s="1" nd="1"/>
        <i x="135" s="1" nd="1"/>
        <i x="195" s="1" nd="1"/>
        <i x="181" s="1" nd="1"/>
        <i x="154" s="1" nd="1"/>
        <i x="145" s="1" nd="1"/>
        <i x="137" s="1" nd="1"/>
        <i x="196" s="1" nd="1"/>
        <i x="172" s="1" nd="1"/>
        <i x="156" s="1" nd="1"/>
        <i x="138" s="1" nd="1"/>
        <i x="147" s="1" nd="1"/>
        <i x="139" s="1" nd="1"/>
        <i x="149" s="1" nd="1"/>
        <i x="166"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678">
        <i x="0" s="1"/>
        <i x="490" s="1" nd="1"/>
        <i x="62" s="1" nd="1"/>
        <i x="205" s="1" nd="1"/>
        <i x="45" s="1" nd="1"/>
        <i x="540" s="1" nd="1"/>
        <i x="505" s="1" nd="1"/>
        <i x="67" s="1" nd="1"/>
        <i x="378" s="1" nd="1"/>
        <i x="268" s="1" nd="1"/>
        <i x="527" s="1" nd="1"/>
        <i x="359" s="1" nd="1"/>
        <i x="230" s="1" nd="1"/>
        <i x="400" s="1" nd="1"/>
        <i x="573" s="1" nd="1"/>
        <i x="1" s="1" nd="1"/>
        <i x="421" s="1" nd="1"/>
        <i x="74" s="1" nd="1"/>
        <i x="272" s="1" nd="1"/>
        <i x="291" s="1" nd="1"/>
        <i x="552" s="1" nd="1"/>
        <i x="213" s="1" nd="1"/>
        <i x="652" s="1" nd="1"/>
        <i x="109" s="1" nd="1"/>
        <i x="243" s="1" nd="1"/>
        <i x="617" s="1" nd="1"/>
        <i x="128" s="1" nd="1"/>
        <i x="487" s="1" nd="1"/>
        <i x="631" s="1" nd="1"/>
        <i x="30" s="1" nd="1"/>
        <i x="179" s="1" nd="1"/>
        <i x="224" s="1" nd="1"/>
        <i x="501" s="1" nd="1"/>
        <i x="661" s="1" nd="1"/>
        <i x="375" s="1" nd="1"/>
        <i x="460" s="1" nd="1"/>
        <i x="626" s="1" nd="1"/>
        <i x="648" s="1" nd="1"/>
        <i x="176" s="1" nd="1"/>
        <i x="517" s="1" nd="1"/>
        <i x="545" s="1" nd="1"/>
        <i x="100" s="1" nd="1"/>
        <i x="175" s="1" nd="1"/>
        <i x="189" s="1" nd="1"/>
        <i x="240" s="1" nd="1"/>
        <i x="281" s="1" nd="1"/>
        <i x="290" s="1" nd="1"/>
        <i x="500" s="1" nd="1"/>
        <i x="579" s="1" nd="1"/>
        <i x="667" s="1" nd="1"/>
        <i x="10" s="1" nd="1"/>
        <i x="53" s="1" nd="1"/>
        <i x="135" s="1" nd="1"/>
        <i x="206" s="1" nd="1"/>
        <i x="232" s="1" nd="1"/>
        <i x="288" s="1" nd="1"/>
        <i x="444" s="1" nd="1"/>
        <i x="529" s="1" nd="1"/>
        <i x="79" s="1" nd="1"/>
        <i x="147" s="1" nd="1"/>
        <i x="219" s="1" nd="1"/>
        <i x="279" s="1" nd="1"/>
        <i x="458" s="1" nd="1"/>
        <i x="480" s="1" nd="1"/>
        <i x="565" s="1" nd="1"/>
        <i x="643" s="1" nd="1"/>
        <i x="27" s="1" nd="1"/>
        <i x="50" s="1" nd="1"/>
        <i x="172" s="1" nd="1"/>
        <i x="186" s="1" nd="1"/>
        <i x="217" s="1" nd="1"/>
        <i x="564" s="1" nd="1"/>
        <i x="575" s="1" nd="1"/>
        <i x="64" s="1" nd="1"/>
        <i x="89" s="1" nd="1"/>
        <i x="185" s="1" nd="1"/>
        <i x="215" s="1" nd="1"/>
        <i x="542" s="1" nd="1"/>
        <i x="622" s="1" nd="1"/>
        <i x="658" s="1" nd="1"/>
        <i x="144" s="1" nd="1"/>
        <i x="156" s="1" nd="1"/>
        <i x="171" s="1" nd="1"/>
        <i x="246" s="1" nd="1"/>
        <i x="385" s="1" nd="1"/>
        <i x="476" s="1" nd="1"/>
        <i x="524" s="1" nd="1"/>
        <i x="634" s="1" nd="1"/>
        <i x="133" s="1" nd="1"/>
        <i x="275" s="1" nd="1"/>
        <i x="312" s="1" nd="1"/>
        <i x="358" s="1" nd="1"/>
        <i x="507" s="1" nd="1"/>
        <i x="553" s="1" nd="1"/>
        <i x="574" s="1" nd="1"/>
        <i x="597" s="1" nd="1"/>
        <i x="77" s="1" nd="1"/>
        <i x="132" s="1" nd="1"/>
        <i x="324" s="1" nd="1"/>
        <i x="333" s="1" nd="1"/>
        <i x="399" s="1" nd="1"/>
        <i x="76" s="1" nd="1"/>
        <i x="408" s="1" nd="1"/>
        <i x="98" s="1" nd="1"/>
        <i x="441" s="1" nd="1"/>
        <i x="117" s="1" nd="1"/>
        <i x="273" s="1" nd="1"/>
        <i x="323" s="1" nd="1"/>
        <i x="347" s="1" nd="1"/>
        <i x="370" s="1" nd="1"/>
        <i x="383" s="1" nd="1"/>
        <i x="112" s="1" nd="1"/>
        <i x="440" s="1" nd="1"/>
        <i x="229" s="1" nd="1"/>
        <i x="606" s="1" nd="1"/>
        <i x="654" s="1" nd="1"/>
        <i x="665" s="1" nd="1"/>
        <i x="24" s="1" nd="1"/>
        <i x="369" s="1" nd="1"/>
        <i x="75" s="1" nd="1"/>
        <i x="406" s="1" nd="1"/>
        <i x="131" s="1" nd="1"/>
        <i x="492" s="1" nd="1"/>
        <i x="538" s="1" nd="1"/>
        <i x="285" s="1" nd="1"/>
        <i x="59" s="1" nd="1"/>
        <i x="405" s="1" nd="1"/>
        <i x="439" s="1" nd="1"/>
        <i x="537" s="1" nd="1"/>
        <i x="194" s="1" nd="1"/>
        <i x="202" s="1" nd="1"/>
        <i x="58" s="1" nd="1"/>
        <i x="96" s="1" nd="1"/>
        <i x="111" s="1" nd="1"/>
        <i x="182" s="1" nd="1"/>
        <i x="673" s="1" nd="1"/>
        <i x="7" s="1" nd="1"/>
        <i x="337" s="1" nd="1"/>
        <i x="21" s="1" nd="1"/>
        <i x="438" s="1" nd="1"/>
        <i x="130" s="1" nd="1"/>
        <i x="504" s="1" nd="1"/>
        <i x="562" s="1" nd="1"/>
        <i x="227" s="1" nd="1"/>
        <i x="585" s="1" nd="1"/>
        <i x="238" s="1" nd="1"/>
        <i x="309" s="1" nd="1"/>
        <i x="6" s="1" nd="1"/>
        <i x="86" s="1" nd="1"/>
        <i x="95" s="1" nd="1"/>
        <i x="464" s="1" nd="1"/>
        <i x="244" s="1" nd="1"/>
        <i x="271" s="1" nd="1"/>
        <i x="640" s="1" nd="1"/>
        <i x="298" s="1" nd="1"/>
        <i x="336" s="1" nd="1"/>
        <i x="32" s="1" nd="1"/>
        <i x="437" s="1" nd="1"/>
        <i x="143" s="1" nd="1"/>
        <i x="153" s="1" nd="1"/>
        <i x="503" s="1" nd="1"/>
        <i x="160" s="1" nd="1"/>
        <i x="549" s="1" nd="1"/>
        <i x="211" s="1" nd="1"/>
        <i x="571" s="1" nd="1"/>
        <i x="595" s="1" nd="1"/>
        <i x="257" s="1" nd="1"/>
        <i x="650" s="1" nd="1"/>
        <i x="354" s="1" nd="1"/>
        <i x="42" s="1" nd="1"/>
        <i x="85" s="1" nd="1"/>
        <i x="412" s="1" nd="1"/>
        <i x="436" s="1" nd="1"/>
        <i x="450" s="1" nd="1"/>
        <i x="512" s="1" nd="1"/>
        <i x="548" s="1" nd="1"/>
        <i x="639" s="1" nd="1"/>
        <i x="345" s="1" nd="1"/>
        <i x="57" s="1" nd="1"/>
        <i x="84" s="1" nd="1"/>
        <i x="426" s="1" nd="1"/>
        <i x="488" s="1" nd="1"/>
        <i x="199" s="1" nd="1"/>
        <i x="236" s="1" nd="1"/>
        <i x="255" s="1" nd="1"/>
        <i x="632" s="1" nd="1"/>
        <i x="662" s="1" nd="1"/>
        <i x="319" s="1" nd="1"/>
        <i x="4" s="1" nd="1"/>
        <i x="13" s="1" nd="1"/>
        <i x="379" s="1" nd="1"/>
        <i x="404" s="1" nd="1"/>
        <i x="411" s="1" nd="1"/>
        <i x="449" s="1" nd="1"/>
        <i x="462" s="1" nd="1"/>
        <i x="471" s="1" nd="1"/>
        <i x="180" s="1" nd="1"/>
        <i x="547" s="1" nd="1"/>
        <i x="558" s="1" nd="1"/>
        <i x="253" s="1" nd="1"/>
        <i x="392" s="1" nd="1"/>
        <i x="425" s="1" nd="1"/>
        <i x="150" s="1" nd="1"/>
        <i x="191" s="1" nd="1"/>
        <i x="210" s="1" nd="1"/>
        <i x="241" s="1" nd="1"/>
        <i x="307" s="1" nd="1"/>
        <i x="670" s="1" nd="1"/>
        <i x="83" s="1" nd="1"/>
        <i x="419" s="1" nd="1"/>
        <i x="149" s="1" nd="1"/>
        <i x="519" s="1" nd="1"/>
        <i x="178" s="1" nd="1"/>
        <i x="556" s="1" nd="1"/>
        <i x="209" s="1" nd="1"/>
        <i x="222" s="1" nd="1"/>
        <i x="628" s="1" nd="1"/>
        <i x="18" s="1" nd="1"/>
        <i x="391" s="1" nd="1"/>
        <i x="166" s="1" nd="1"/>
        <i x="197" s="1" nd="1"/>
        <i x="207" s="1" nd="1"/>
        <i x="582" s="1" nd="1"/>
        <i x="283" s="1" nd="1"/>
        <i x="295" s="1" nd="1"/>
        <i x="28" s="1" nd="1"/>
        <i x="390" s="1" nd="1"/>
        <i x="82" s="1" nd="1"/>
        <i x="409" s="1" nd="1"/>
        <i x="448" s="1" nd="1"/>
        <i x="119" s="1" nd="1"/>
        <i x="532" s="1" nd="1"/>
        <i x="581" s="1" nd="1"/>
        <i x="592" s="1" nd="1"/>
        <i x="282" s="1" nd="1"/>
        <i x="17" s="1" nd="1"/>
        <i x="363" s="1" nd="1"/>
        <i x="81" s="1" nd="1"/>
        <i x="434" s="1" nd="1"/>
        <i x="483" s="1" nd="1"/>
        <i x="190" s="1" nd="1"/>
        <i x="580" s="1" nd="1"/>
        <i x="305" s="1" nd="1"/>
        <i x="351" s="1" nd="1"/>
        <i x="563" s="1" nd="1"/>
        <i x="389" s="1" nd="1"/>
        <i x="403" s="1" nd="1"/>
        <i x="587" s="1" nd="1"/>
        <i x="608" s="1" nd="1"/>
        <i x="259" s="1" nd="1"/>
        <i x="274" s="1" nd="1"/>
        <i x="446" s="1" nd="1"/>
        <i x="656" s="1" nd="1"/>
        <i x="300" s="1" nd="1"/>
        <i x="311" s="1" nd="1"/>
        <i x="148" s="1" nd="1"/>
        <i x="8" s="1" nd="1"/>
        <i x="338" s="1" nd="1"/>
        <i x="357" s="1" nd="1"/>
        <i x="544" s="1" nd="1"/>
        <i x="555" s="1" nd="1"/>
        <i x="68" s="1" nd="1"/>
        <i x="398" s="1" nd="1"/>
        <i x="105" s="1" nd="1"/>
        <i x="267" s="1" nd="1"/>
        <i x="646" s="1" nd="1"/>
        <i x="468" s="1" nd="1"/>
        <i x="668" s="1" nd="1"/>
        <i x="317" s="1" nd="1"/>
        <i x="183" s="1" nd="1"/>
        <i x="54" s="1" nd="1"/>
        <i x="572" s="1" nd="1"/>
        <i x="402" s="1" nd="1"/>
        <i x="607" s="1" nd="1"/>
        <i x="286" s="1" nd="1"/>
        <i x="445" s="1" nd="1"/>
        <i x="655" s="1" nd="1"/>
        <i x="137" s="1" nd="1"/>
        <i x="346" s="1" nd="1"/>
        <i x="188" s="1" nd="1"/>
        <i x="356" s="1" nd="1"/>
        <i x="44" s="1" nd="1"/>
        <i x="397" s="1" nd="1"/>
        <i x="233" s="1" nd="1"/>
        <i x="407" s="1" nd="1"/>
        <i x="251" s="1" nd="1"/>
        <i x="420" s="1" nd="1"/>
        <i x="613" s="1" nd="1"/>
        <i x="645" s="1" nd="1"/>
        <i x="467" s="1" nd="1"/>
        <i x="660" s="1" nd="1"/>
        <i x="506" s="1" nd="1"/>
        <i x="362" s="1" nd="1"/>
        <i x="203" s="1" nd="1"/>
        <i x="374" s="1" nd="1"/>
        <i x="214" s="1" nd="1"/>
        <i x="92" s="1" nd="1"/>
        <i x="605" s="1" nd="1"/>
        <i x="620" s="1" nd="1"/>
        <i x="124" s="1" nd="1"/>
        <i x="136" s="1" nd="1"/>
        <i x="482" s="1" nd="1"/>
        <i x="23" s="1" nd="1"/>
        <i x="382" s="1" nd="1"/>
        <i x="567" s="1" nd="1"/>
        <i x="221" s="1" nd="1"/>
        <i x="413" s="1" nd="1"/>
        <i x="250" s="1" nd="1"/>
        <i x="637" s="1" nd="1"/>
        <i x="289" s="1" nd="1"/>
        <i x="644" s="1" nd="1"/>
        <i x="659" s="1" nd="1"/>
        <i x="330" s="1" nd="1"/>
        <i x="16" s="1" nd="1"/>
        <i x="361" s="1" nd="1"/>
        <i x="228" s="1" nd="1"/>
        <i x="586" s="1" nd="1"/>
        <i x="80" s="1" nd="1"/>
        <i x="596" s="1" nd="1"/>
        <i x="418" s="1" nd="1"/>
        <i x="284" s="1" nd="1"/>
        <i x="118" s="1" nd="1"/>
        <i x="322" s="1" nd="1"/>
        <i x="499" s="1" nd="1"/>
        <i x="174" s="1" nd="1"/>
        <i x="530" s="1" nd="1"/>
        <i x="35" s="1" nd="1"/>
        <i x="43" s="1" nd="1"/>
        <i x="566" s="1" nd="1"/>
        <i x="591" s="1" nd="1"/>
        <i x="97" s="1" nd="1"/>
        <i x="249" s="1" nd="1"/>
        <i x="266" s="1" nd="1"/>
        <i x="636" s="1" nd="1"/>
        <i x="453" s="1" nd="1"/>
        <i x="466" s="1" nd="1"/>
        <i x="473" s="1" nd="1"/>
        <i x="522" s="1" nd="1"/>
        <i x="39" s="1" nd="1"/>
        <i x="193" s="1" nd="1"/>
        <i x="360" s="1" nd="1"/>
        <i x="52" s="1" nd="1"/>
        <i x="373" s="1" nd="1"/>
        <i x="401" s="1" nd="1"/>
        <i x="604" s="1" nd="1"/>
        <i x="258" s="1" nd="1"/>
        <i x="424" s="1" nd="1"/>
        <i x="619" s="1" nd="1"/>
        <i x="433" s="1" nd="1"/>
        <i x="633" s="1" nd="1"/>
        <i x="116" s="1" nd="1"/>
        <i x="470" s="1" nd="1"/>
        <i x="310" s="1" nd="1"/>
        <i x="674" s="1" nd="1"/>
        <i x="321" s="1" nd="1"/>
        <i x="158" s="1" nd="1"/>
        <i x="14" s="1" nd="1"/>
        <i x="165" s="1" nd="1"/>
        <i x="22" s="1" nd="1"/>
        <i x="173" s="1" nd="1"/>
        <i x="187" s="1" nd="1"/>
        <i x="220" s="1" nd="1"/>
        <i x="396" s="1" nd="1"/>
        <i x="578" s="1" nd="1"/>
        <i x="239" s="1" nd="1"/>
        <i x="625" s="1" nd="1"/>
        <i x="110" s="1" nd="1"/>
        <i x="280" s="1" nd="1"/>
        <i x="294" s="1" nd="1"/>
        <i x="465" s="1" nd="1"/>
        <i x="304" s="1" nd="1"/>
        <i x="472" s="1" nd="1"/>
        <i x="677" s="1" nd="1"/>
        <i x="329" s="1" nd="1"/>
        <i x="342" s="1" nd="1"/>
        <i x="38" s="1" nd="1"/>
        <i x="66" s="1" nd="1"/>
        <i x="91" s="1" nd="1"/>
        <i x="603" s="1" nd="1"/>
        <i x="653" s="1" nd="1"/>
        <i x="469" s="1" nd="1"/>
        <i x="664" s="1" nd="1"/>
        <i x="481" s="1" nd="1"/>
        <i x="146" s="1" nd="1"/>
        <i x="498" s="1" nd="1"/>
        <i x="34" s="1" nd="1"/>
        <i x="395" s="1" nd="1"/>
        <i x="73" s="1" nd="1"/>
        <i x="590" s="1" nd="1"/>
        <i x="612" s="1" nd="1"/>
        <i x="104" s="1" nd="1"/>
        <i x="265" s="1" nd="1"/>
        <i x="429" s="1" nd="1"/>
        <i x="287" s="1" nd="1"/>
        <i x="129" s="1" nd="1"/>
        <i x="303" s="1" nd="1"/>
        <i x="491" s="1" nd="1"/>
        <i x="154" s="1" nd="1"/>
        <i x="328" s="1" nd="1"/>
        <i x="513" s="1" nd="1"/>
        <i x="170" s="1" nd="1"/>
        <i x="521" s="1" nd="1"/>
        <i x="551" s="1" nd="1"/>
        <i x="51" s="1" nd="1"/>
        <i x="201" s="1" nd="1"/>
        <i x="561" s="1" nd="1"/>
        <i x="65" s="1" nd="1"/>
        <i x="388" s="1" nd="1"/>
        <i x="226" s="1" nd="1"/>
        <i x="245" s="1" nd="1"/>
        <i x="417" s="1" nd="1"/>
        <i x="602" s="1" nd="1"/>
        <i x="618" s="1" nd="1"/>
        <i x="299" s="1" nd="1"/>
        <i x="145" s="1" nd="1"/>
        <i x="497" s="1" nd="1"/>
        <i x="332" s="1" nd="1"/>
        <i x="516" s="1" nd="1"/>
        <i x="20" s="1" nd="1"/>
        <i x="528" s="1" nd="1"/>
        <i x="33" s="1" nd="1"/>
        <i x="355" s="1" nd="1"/>
        <i x="554" s="1" nd="1"/>
        <i x="218" s="1" nd="1"/>
        <i x="394" s="1" nd="1"/>
        <i x="577" s="1" nd="1"/>
        <i x="611" s="1" nd="1"/>
        <i x="103" s="1" nd="1"/>
        <i x="264" s="1" nd="1"/>
        <i x="428" s="1" nd="1"/>
        <i x="624" s="1" nd="1"/>
        <i x="108" s="1" nd="1"/>
        <i x="452" s="1" nd="1"/>
        <i x="121" s="1" nd="1"/>
        <i x="302" s="1" nd="1"/>
        <i x="316" s="1" nd="1"/>
        <i x="676" s="1" nd="1"/>
        <i x="161" s="1" nd="1"/>
        <i x="169" s="1" nd="1"/>
        <i x="192" s="1" nd="1"/>
        <i x="550" s="1" nd="1"/>
        <i x="49" s="1" nd="1"/>
        <i x="212" s="1" nd="1"/>
        <i x="237" s="1" nd="1"/>
        <i x="90" s="1" nd="1"/>
        <i x="242" s="1" nd="1"/>
        <i x="416" s="1" nd="1"/>
        <i x="601" s="1" nd="1"/>
        <i x="443" s="1" nd="1"/>
        <i x="651" s="1" nd="1"/>
        <i x="479" s="1" nd="1"/>
        <i x="5" s="1" nd="1"/>
        <i x="157" s="1" nd="1"/>
        <i x="31" s="1" nd="1"/>
        <i x="196" s="1" nd="1"/>
        <i x="368" s="1" nd="1"/>
        <i x="381" s="1" nd="1"/>
        <i x="576" s="1" nd="1"/>
        <i x="231" s="1" nd="1"/>
        <i x="589" s="1" nd="1"/>
        <i x="248" s="1" nd="1"/>
        <i x="427" s="1" nd="1"/>
        <i x="278" s="1" nd="1"/>
        <i x="451" s="1" nd="1"/>
        <i x="293" s="1" nd="1"/>
        <i x="463" s="1" nd="1"/>
        <i x="142" s="1" nd="1"/>
        <i x="334" s="1" nd="1"/>
        <i x="168" s="1" nd="1"/>
        <i x="341" s="1" nd="1"/>
        <i x="520" s="1" nd="1"/>
        <i x="350" s="1" nd="1"/>
        <i x="37" s="1" nd="1"/>
        <i x="560" s="1" nd="1"/>
        <i x="387" s="1" nd="1"/>
        <i x="570" s="1" nd="1"/>
        <i x="70" s="1" nd="1"/>
        <i x="225" s="1" nd="1"/>
        <i x="99" s="1" nd="1"/>
        <i x="270" s="1" nd="1"/>
        <i x="115" s="1" nd="1"/>
        <i x="442" s="1" nd="1"/>
        <i x="457" s="1" nd="1"/>
        <i x="297" s="1" nd="1"/>
        <i x="663" s="1" nd="1"/>
        <i x="134" s="1" nd="1"/>
        <i x="308" s="1" nd="1"/>
        <i x="478" s="1" nd="1"/>
        <i x="164" s="1" nd="1"/>
        <i x="543" s="1" nd="1"/>
        <i x="41" s="1" nd="1"/>
        <i x="367" s="1" nd="1"/>
        <i x="216" s="1" nd="1"/>
        <i x="393" s="1" nd="1"/>
        <i x="72" s="1" nd="1"/>
        <i x="599" s="1" nd="1"/>
        <i x="102" s="1" nd="1"/>
        <i x="263" s="1" nd="1"/>
        <i x="435" s="1" nd="1"/>
        <i x="642" s="1" nd="1"/>
        <i x="292" s="1" nd="1"/>
        <i x="127" s="1" nd="1"/>
        <i x="489" s="1" nd="1"/>
        <i x="675" s="1" nd="1"/>
        <i x="167" s="1" nd="1"/>
        <i x="349" s="1" nd="1"/>
        <i x="200" s="1" nd="1"/>
        <i x="63" s="1" nd="1"/>
        <i x="584" s="1" nd="1"/>
        <i x="415" s="1" nd="1"/>
        <i x="256" s="1" nd="1"/>
        <i x="423" s="1" nd="1"/>
        <i x="114" s="1" nd="1"/>
        <i x="456" s="1" nd="1"/>
        <i x="649" s="1" nd="1"/>
        <i x="477" s="1" nd="1"/>
        <i x="672" s="1" nd="1"/>
        <i x="320" s="1" nd="1"/>
        <i x="496" s="1" nd="1"/>
        <i x="510" s="1" nd="1"/>
        <i x="344" s="1" nd="1"/>
        <i x="526" s="1" nd="1"/>
        <i x="184" s="1" nd="1"/>
        <i x="380" s="1" nd="1"/>
        <i x="94" s="1" nd="1"/>
        <i x="247" s="1" nd="1"/>
        <i x="610" s="1" nd="1"/>
        <i x="623" s="1" nd="1"/>
        <i x="107" s="1" nd="1"/>
        <i x="277" s="1" nd="1"/>
        <i x="141" s="1" nd="1"/>
        <i x="315" s="1" nd="1"/>
        <i x="486" s="1" nd="1"/>
        <i x="152" s="1" nd="1"/>
        <i x="502" s="1" nd="1"/>
        <i x="9" s="1" nd="1"/>
        <i x="181" s="1" nd="1"/>
        <i x="536" s="1" nd="1"/>
        <i x="36" s="1" nd="1"/>
        <i x="48" s="1" nd="1"/>
        <i x="198" s="1" nd="1"/>
        <i x="372" s="1" nd="1"/>
        <i x="559" s="1" nd="1"/>
        <i x="569" s="1" nd="1"/>
        <i x="594" s="1" nd="1"/>
        <i x="600" s="1" nd="1"/>
        <i x="254" s="1" nd="1"/>
        <i x="616" s="1" nd="1"/>
        <i x="638" s="1" nd="1"/>
        <i x="455" s="1" nd="1"/>
        <i x="123" s="1" nd="1"/>
        <i x="495" s="1" nd="1"/>
        <i x="509" s="1" nd="1"/>
        <i x="12" s="1" nd="1"/>
        <i x="163" s="1" nd="1"/>
        <i x="525" s="1" nd="1"/>
        <i x="29" s="1" nd="1"/>
        <i x="353" s="1" nd="1"/>
        <i x="366" s="1" nd="1"/>
        <i x="56" s="1" nd="1"/>
        <i x="93" s="1" nd="1"/>
        <i x="262" s="1" nd="1"/>
        <i x="641" s="1" nd="1"/>
        <i x="461" s="1" nd="1"/>
        <i x="140" s="1" nd="1"/>
        <i x="314" s="1" nd="1"/>
        <i x="151" s="1" nd="1"/>
        <i x="159" s="1" nd="1"/>
        <i x="511" s="1" nd="1"/>
        <i x="535" s="1" nd="1"/>
        <i x="546" s="1" nd="1"/>
        <i x="47" s="1" nd="1"/>
        <i x="371" s="1" nd="1"/>
        <i x="557" s="1" nd="1"/>
        <i x="61" s="1" nd="1"/>
        <i x="386" s="1" nd="1"/>
        <i x="568" s="1" nd="1"/>
        <i x="583" s="1" nd="1"/>
        <i x="235" s="1" nd="1"/>
        <i x="88" s="1" nd="1"/>
        <i x="615" s="1" nd="1"/>
        <i x="106" s="1" nd="1"/>
        <i x="269" s="1" nd="1"/>
        <i x="432" s="1" nd="1"/>
        <i x="630" s="1" nd="1"/>
        <i x="122" s="1" nd="1"/>
        <i x="296" s="1" nd="1"/>
        <i x="671" s="1" nd="1"/>
        <i x="318" s="1" nd="1"/>
        <i x="494" s="1" nd="1"/>
        <i x="3" s="1" nd="1"/>
        <i x="162" s="1" nd="1"/>
        <i x="19" s="1" nd="1"/>
        <i x="204" s="1" nd="1"/>
        <i x="377" s="1" nd="1"/>
        <i x="71" s="1" nd="1"/>
        <i x="410" s="1" nd="1"/>
        <i x="621" s="1" nd="1"/>
        <i x="635" s="1" nd="1"/>
        <i x="120" s="1" nd="1"/>
        <i x="327" s="1" nd="1"/>
        <i x="340" s="1" nd="1"/>
        <i x="26" s="1" nd="1"/>
        <i x="348" s="1" nd="1"/>
        <i x="534" s="1" nd="1"/>
        <i x="46" s="1" nd="1"/>
        <i x="223" s="1" nd="1"/>
        <i x="87" s="1" nd="1"/>
        <i x="414" s="1" nd="1"/>
        <i x="252" s="1" nd="1"/>
        <i x="614" s="1" nd="1"/>
        <i x="629" s="1" nd="1"/>
        <i x="454" s="1" nd="1"/>
        <i x="508" s="1" nd="1"/>
        <i x="541" s="1" nd="1"/>
        <i x="40" s="1" nd="1"/>
        <i x="55" s="1" nd="1"/>
        <i x="376" s="1" nd="1"/>
        <i x="609" s="1" nd="1"/>
        <i x="101" s="1" nd="1"/>
        <i x="261" s="1" nd="1"/>
        <i x="276" s="1" nd="1"/>
        <i x="126" s="1" nd="1"/>
        <i x="666" s="1" nd="1"/>
        <i x="139" s="1" nd="1"/>
        <i x="313" s="1" nd="1"/>
        <i x="485" s="1" nd="1"/>
        <i x="326" s="1" nd="1"/>
        <i x="15" s="1" nd="1"/>
        <i x="518" s="1" nd="1"/>
        <i x="208" s="1" nd="1"/>
        <i x="69" s="1" nd="1"/>
        <i x="78" s="1" nd="1"/>
        <i x="593" s="1" nd="1"/>
        <i x="431" s="1" nd="1"/>
        <i x="627" s="1" nd="1"/>
        <i x="306" s="1" nd="1"/>
        <i x="475" s="1" nd="1"/>
        <i x="155" s="1" nd="1"/>
        <i x="335" s="1" nd="1"/>
        <i x="515" s="1" nd="1"/>
        <i x="343" s="1" nd="1"/>
        <i x="365" s="1" nd="1"/>
        <i x="598" s="1" nd="1"/>
        <i x="260" s="1" nd="1"/>
        <i x="301" s="1" nd="1"/>
        <i x="484" s="1" nd="1"/>
        <i x="325" s="1" nd="1"/>
        <i x="339" s="1" nd="1"/>
        <i x="25" s="1" nd="1"/>
        <i x="177" s="1" nd="1"/>
        <i x="533" s="1" nd="1"/>
        <i x="60" s="1" nd="1"/>
        <i x="384" s="1" nd="1"/>
        <i x="234" s="1" nd="1"/>
        <i x="669" s="1" nd="1"/>
        <i x="2" s="1" nd="1"/>
        <i x="331" s="1" nd="1"/>
        <i x="11" s="1" nd="1"/>
        <i x="514" s="1" nd="1"/>
        <i x="523" s="1" nd="1"/>
        <i x="352" s="1" nd="1"/>
        <i x="539" s="1" nd="1"/>
        <i x="195" s="1" nd="1"/>
        <i x="364" s="1" nd="1"/>
        <i x="588" s="1" nd="1"/>
        <i x="447" s="1" nd="1"/>
        <i x="459" s="1" nd="1"/>
        <i x="657" s="1" nd="1"/>
        <i x="125" s="1" nd="1"/>
        <i x="138" s="1" nd="1"/>
        <i x="531" s="1" nd="1"/>
        <i x="422" s="1" nd="1"/>
        <i x="430" s="1" nd="1"/>
        <i x="113" s="1" nd="1"/>
        <i x="647" s="1" nd="1"/>
        <i x="474" s="1" nd="1"/>
        <i x="493"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3" s="1" nd="1"/>
        <i x="2" s="1" nd="1"/>
        <i x="4" s="1" nd="1"/>
        <i x="5" s="1" nd="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3" s="1" nd="1"/>
        <i x="2" s="1" nd="1"/>
        <i x="4" s="1" nd="1"/>
        <i x="5" s="1" nd="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3" s="1" nd="1"/>
        <i x="2" s="1" nd="1"/>
        <i x="4" s="1" nd="1"/>
        <i x="5" s="1" nd="1"/>
        <i x="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319">
        <i x="0" s="1"/>
        <i x="310" s="1" nd="1"/>
        <i x="276" s="1" nd="1"/>
        <i x="132" s="1" nd="1"/>
        <i x="31" s="1" nd="1"/>
        <i x="108" s="1" nd="1"/>
        <i x="283" s="1" nd="1"/>
        <i x="311" s="1" nd="1"/>
        <i x="12" s="1" nd="1"/>
        <i x="272" s="1" nd="1"/>
        <i x="80" s="1" nd="1"/>
        <i x="225" s="1" nd="1"/>
        <i x="137" s="1" nd="1"/>
        <i x="56" s="1" nd="1"/>
        <i x="75" s="1" nd="1"/>
        <i x="177" s="1" nd="1"/>
        <i x="306" s="1" nd="1"/>
        <i x="119" s="1" nd="1"/>
        <i x="18" s="1" nd="1"/>
        <i x="235" s="1" nd="1"/>
        <i x="109" s="1" nd="1"/>
        <i x="169" s="1" nd="1"/>
        <i x="226" s="1" nd="1"/>
        <i x="143" s="1" nd="1"/>
        <i x="77" s="1" nd="1"/>
        <i x="86" s="1" nd="1"/>
        <i x="238" s="1" nd="1"/>
        <i x="277" s="1" nd="1"/>
        <i x="150" s="1" nd="1"/>
        <i x="194" s="1" nd="1"/>
        <i x="120" s="1" nd="1"/>
        <i x="236" s="1" nd="1"/>
        <i x="7" s="1" nd="1"/>
        <i x="58" s="1" nd="1"/>
        <i x="87" s="1" nd="1"/>
        <i x="267" s="1" nd="1"/>
        <i x="312" s="1" nd="1"/>
        <i x="95" s="1" nd="1"/>
        <i x="13" s="1" nd="1"/>
        <i x="303" s="1" nd="1"/>
        <i x="88" s="1" nd="1"/>
        <i x="144" s="1" nd="1"/>
        <i x="101" s="1" nd="1"/>
        <i x="157" s="1" nd="1"/>
        <i x="165" s="1" nd="1"/>
        <i x="70" s="1" nd="1"/>
        <i x="121" s="1" nd="1"/>
        <i x="38" s="1" nd="1"/>
        <i x="261" s="1" nd="1"/>
        <i x="170" s="1" nd="1"/>
        <i x="54" s="1" nd="1"/>
        <i x="59" s="1" nd="1"/>
        <i x="243" s="1" nd="1"/>
        <i x="171" s="1" nd="1"/>
        <i x="110" s="1" nd="1"/>
        <i x="212" s="1" nd="1"/>
        <i x="313" s="1" nd="1"/>
        <i x="244" s="1" nd="1"/>
        <i x="172" s="1" nd="1"/>
        <i x="284" s="1" nd="1"/>
        <i x="214" s="1" nd="1"/>
        <i x="133" s="1" nd="1"/>
        <i x="76" s="1" nd="1"/>
        <i x="19" s="1" nd="1"/>
        <i x="35" s="1" nd="1"/>
        <i x="215" s="1" nd="1"/>
        <i x="158" s="1" nd="1"/>
        <i x="184" s="1" nd="1"/>
        <i x="81" s="1" nd="1"/>
        <i x="102" s="1" nd="1"/>
        <i x="307" s="1" nd="1"/>
        <i x="159" s="1" nd="1"/>
        <i x="245" s="1" nd="1"/>
        <i x="248" s="1" nd="1"/>
        <i x="188" s="1" nd="1"/>
        <i x="268" s="1" nd="1"/>
        <i x="138" s="1" nd="1"/>
        <i x="160" s="1" nd="1"/>
        <i x="151" s="1" nd="1"/>
        <i x="51" s="1" nd="1"/>
        <i x="314" s="1" nd="1"/>
        <i x="117" s="1" nd="1"/>
        <i x="249" s="1" nd="1"/>
        <i x="189" s="1" nd="1"/>
        <i x="304" s="1" nd="1"/>
        <i x="14" s="1" nd="1"/>
        <i x="213" s="1" nd="1"/>
        <i x="9" s="1" nd="1"/>
        <i x="178" s="1" nd="1"/>
        <i x="315" s="1" nd="1"/>
        <i x="32" s="1" nd="1"/>
        <i x="152" s="1" nd="1"/>
        <i x="195" s="1" nd="1"/>
        <i x="10" s="1" nd="1"/>
        <i x="290" s="1" nd="1"/>
        <i x="145" s="1" nd="1"/>
        <i x="255" s="1" nd="1"/>
        <i x="122" s="1" nd="1"/>
        <i x="251" s="1" nd="1"/>
        <i x="239" s="1" nd="1"/>
        <i x="258" s="1" nd="1"/>
        <i x="36" s="1" nd="1"/>
        <i x="161" s="1" nd="1"/>
        <i x="227" s="1" nd="1"/>
        <i x="118" s="1" nd="1"/>
        <i x="259" s="1" nd="1"/>
        <i x="237" s="1" nd="1"/>
        <i x="71" s="1" nd="1"/>
        <i x="273" s="1" nd="1"/>
        <i x="293" s="1" nd="1"/>
        <i x="39" s="1" nd="1"/>
        <i x="200" s="1" nd="1"/>
        <i x="218" s="1" nd="1"/>
        <i x="231" s="1" nd="1"/>
        <i x="262" s="1" nd="1"/>
        <i x="285" s="1" nd="1"/>
        <i x="53" s="1" nd="1"/>
        <i x="269" s="1" nd="1"/>
        <i x="179" s="1" nd="1"/>
        <i x="316" s="1" nd="1"/>
        <i x="219" s="1" nd="1"/>
        <i x="278" s="1" nd="1"/>
        <i x="89" s="1" nd="1"/>
        <i x="60" s="1" nd="1"/>
        <i x="123" s="1" nd="1"/>
        <i x="33" s="1" nd="1"/>
        <i x="256" s="1" nd="1"/>
        <i x="180" s="1" nd="1"/>
        <i x="263" s="1" nd="1"/>
        <i x="173" s="1" nd="1"/>
        <i x="72" s="1" nd="1"/>
        <i x="250" s="1" nd="1"/>
        <i x="126" s="1" nd="1"/>
        <i x="61" s="1" nd="1"/>
        <i x="162" s="1" nd="1"/>
        <i x="206" s="1" nd="1"/>
        <i x="252" s="1" nd="1"/>
        <i x="127" s="1" nd="1"/>
        <i x="114" s="1" nd="1"/>
        <i x="294" s="1" nd="1"/>
        <i x="317" s="1" nd="1"/>
        <i x="1" s="1" nd="1"/>
        <i x="286" s="1" nd="1"/>
        <i x="111" s="1" nd="1"/>
        <i x="318" s="1" nd="1"/>
        <i x="220" s="1" nd="1"/>
        <i x="228" s="1" nd="1"/>
        <i x="232" s="1" nd="1"/>
        <i x="298" s="1" nd="1"/>
        <i x="45" s="1" nd="1"/>
        <i x="264" s="1" nd="1"/>
        <i x="223" s="1" nd="1"/>
        <i x="82" s="1" nd="1"/>
        <i x="128" s="1" nd="1"/>
        <i x="240" s="1" nd="1"/>
        <i x="196" s="1" nd="1"/>
        <i x="62" s="1" nd="1"/>
        <i x="216" s="1" nd="1"/>
        <i x="15" s="1" nd="1"/>
        <i x="103" s="1" nd="1"/>
        <i x="153" s="1" nd="1"/>
        <i x="134" s="1" nd="1"/>
        <i x="83" s="1" nd="1"/>
        <i x="24" s="1" nd="1"/>
        <i x="154" s="1" nd="1"/>
        <i x="197" s="1" nd="1"/>
        <i x="104" s="1" nd="1"/>
        <i x="265" s="1" nd="1"/>
        <i x="146" s="1" nd="1"/>
        <i x="129" s="1" nd="1"/>
        <i x="155" s="1" nd="1"/>
        <i x="96" s="1" nd="1"/>
        <i x="246" s="1" nd="1"/>
        <i x="163" s="1" nd="1"/>
        <i x="78" s="1" nd="1"/>
        <i x="46" s="1" nd="1"/>
        <i x="105" s="1" nd="1"/>
        <i x="2" s="1" nd="1"/>
        <i x="55" s="1" nd="1"/>
        <i x="37" s="1" nd="1"/>
        <i x="11" s="1" nd="1"/>
        <i x="221" s="1" nd="1"/>
        <i x="279" s="1" nd="1"/>
        <i x="40" s="1" nd="1"/>
        <i x="207" s="1" nd="1"/>
        <i x="147" s="1" nd="1"/>
        <i x="84" s="1" nd="1"/>
        <i x="49" s="1" nd="1"/>
        <i x="112" s="1" nd="1"/>
        <i x="25" s="1" nd="1"/>
        <i x="63" s="1" nd="1"/>
        <i x="217" s="1" nd="1"/>
        <i x="274" s="1" nd="1"/>
        <i x="97" s="1" nd="1"/>
        <i x="47" s="1" nd="1"/>
        <i x="106" s="1" nd="1"/>
        <i x="208" s="1" nd="1"/>
        <i x="20" s="1" nd="1"/>
        <i x="224" s="1" nd="1"/>
        <i x="287" s="1" nd="1"/>
        <i x="190" s="1" nd="1"/>
        <i x="3" s="1" nd="1"/>
        <i x="253" s="1" nd="1"/>
        <i x="73" s="1" nd="1"/>
        <i x="65" s="1" nd="1"/>
        <i x="29" s="1" nd="1"/>
        <i x="21" s="1" nd="1"/>
        <i x="174" s="1" nd="1"/>
        <i x="130" s="1" nd="1"/>
        <i x="131" s="1" nd="1"/>
        <i x="64" s="1" nd="1"/>
        <i x="135" s="1" nd="1"/>
        <i x="27" s="1" nd="1"/>
        <i x="295" s="1" nd="1"/>
        <i x="299" s="1" nd="1"/>
        <i x="185" s="1" nd="1"/>
        <i x="22" s="1" nd="1"/>
        <i x="34" s="1" nd="1"/>
        <i x="48" s="1" nd="1"/>
        <i x="241" s="1" nd="1"/>
        <i x="90" s="1" nd="1"/>
        <i x="41" s="1" nd="1"/>
        <i x="181" s="1" nd="1"/>
        <i x="247" s="1" nd="1"/>
        <i x="201" s="1" nd="1"/>
        <i x="66" s="1" nd="1"/>
        <i x="300" s="1" nd="1"/>
        <i x="4" s="1" nd="1"/>
        <i x="191" s="1" nd="1"/>
        <i x="91" s="1" nd="1"/>
        <i x="296" s="1" nd="1"/>
        <i x="202" s="1" nd="1"/>
        <i x="16" s="1" nd="1"/>
        <i x="280" s="1" nd="1"/>
        <i x="30" s="1" nd="1"/>
        <i x="79" s="1" nd="1"/>
        <i x="166" s="1" nd="1"/>
        <i x="124" s="1" nd="1"/>
        <i x="209" s="1" nd="1"/>
        <i x="266" s="1" nd="1"/>
        <i x="175" s="1" nd="1"/>
        <i x="192" s="1" nd="1"/>
        <i x="92" s="1" nd="1"/>
        <i x="254" s="1" nd="1"/>
        <i x="198" s="1" nd="1"/>
        <i x="28" s="1" nd="1"/>
        <i x="98" s="1" nd="1"/>
        <i x="26" s="1" nd="1"/>
        <i x="74" s="1" nd="1"/>
        <i x="291" s="1" nd="1"/>
        <i x="93" s="1" nd="1"/>
        <i x="113" s="1" nd="1"/>
        <i x="275" s="1" nd="1"/>
        <i x="42" s="1" nd="1"/>
        <i x="182" s="1" nd="1"/>
        <i x="203" s="1" nd="1"/>
        <i x="67" s="1" nd="1"/>
        <i x="222" s="1" nd="1"/>
        <i x="210" s="1" nd="1"/>
        <i x="156" s="1" nd="1"/>
        <i x="94" s="1" nd="1"/>
        <i x="115" s="1" nd="1"/>
        <i x="136" s="1" nd="1"/>
        <i x="164" s="1" nd="1"/>
        <i x="43" s="1" nd="1"/>
        <i x="99" s="1" nd="1"/>
        <i x="139" s="1" nd="1"/>
        <i x="281" s="1" nd="1"/>
        <i x="167" s="1" nd="1"/>
        <i x="148" s="1" nd="1"/>
        <i x="8" s="1" nd="1"/>
        <i x="57" s="1" nd="1"/>
        <i x="242" s="1" nd="1"/>
        <i x="308" s="1" nd="1"/>
        <i x="116" s="1" nd="1"/>
        <i x="199" s="1" nd="1"/>
        <i x="229" s="1" nd="1"/>
        <i x="44" s="1" nd="1"/>
        <i x="140" s="1" nd="1"/>
        <i x="282" s="1" nd="1"/>
        <i x="168" s="1" nd="1"/>
        <i x="233" s="1" nd="1"/>
        <i x="186" s="1" nd="1"/>
        <i x="125" s="1" nd="1"/>
        <i x="211" s="1" nd="1"/>
        <i x="50" s="1" nd="1"/>
        <i x="193" s="1" nd="1"/>
        <i x="204" s="1" nd="1"/>
        <i x="141" s="1" nd="1"/>
        <i x="301" s="1" nd="1"/>
        <i x="288" s="1" nd="1"/>
        <i x="205" s="1" nd="1"/>
        <i x="17" s="1" nd="1"/>
        <i x="234" s="1" nd="1"/>
        <i x="302" s="1" nd="1"/>
        <i x="100" s="1" nd="1"/>
        <i x="5" s="1" nd="1"/>
        <i x="305" s="1" nd="1"/>
        <i x="52" s="1" nd="1"/>
        <i x="230" s="1" nd="1"/>
        <i x="107" s="1" nd="1"/>
        <i x="23" s="1" nd="1"/>
        <i x="176" s="1" nd="1"/>
        <i x="270" s="1" nd="1"/>
        <i x="257" s="1" nd="1"/>
        <i x="292" s="1" nd="1"/>
        <i x="6" s="1" nd="1"/>
        <i x="289" s="1" nd="1"/>
        <i x="85" s="1" nd="1"/>
        <i x="260" s="1" nd="1"/>
        <i x="68" s="1" nd="1"/>
        <i x="69" s="1" nd="1"/>
        <i x="149" s="1" nd="1"/>
        <i x="309" s="1" nd="1"/>
        <i x="297" s="1" nd="1"/>
        <i x="183" s="1" nd="1"/>
        <i x="142" s="1" nd="1"/>
        <i x="187" s="1" nd="1"/>
        <i x="271"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i x="1" s="1"/>
        <i x="2" s="1"/>
        <i x="3" s="1"/>
        <i x="9" s="1" nd="1"/>
        <i x="4" s="1" nd="1"/>
        <i x="5" s="1" nd="1"/>
        <i x="6" s="1" nd="1"/>
        <i x="7" s="1" nd="1"/>
        <i x="8"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542">
        <i x="1" s="1"/>
        <i x="0" s="1"/>
        <i x="63" s="1" nd="1"/>
        <i x="228" s="1" nd="1"/>
        <i x="540" s="1" nd="1"/>
        <i x="483" s="1" nd="1"/>
        <i x="309" s="1" nd="1"/>
        <i x="424" s="1" nd="1"/>
        <i x="348" s="1" nd="1"/>
        <i x="109" s="1" nd="1"/>
        <i x="98" s="1" nd="1"/>
        <i x="143" s="1" nd="1"/>
        <i x="159" s="1" nd="1"/>
        <i x="178" s="1" nd="1"/>
        <i x="260" s="1" nd="1"/>
        <i x="224" s="1" nd="1"/>
        <i x="419" s="1" nd="1"/>
        <i x="140" s="1" nd="1"/>
        <i x="208" s="1" nd="1"/>
        <i x="55" s="1" nd="1"/>
        <i x="410" s="1" nd="1"/>
        <i x="76" s="1" nd="1"/>
        <i x="284" s="1" nd="1"/>
        <i x="485" s="1" nd="1"/>
        <i x="92" s="1" nd="1"/>
        <i x="505" s="1" nd="1"/>
        <i x="476" s="1" nd="1"/>
        <i x="64" s="1" nd="1"/>
        <i x="160" s="1" nd="1"/>
        <i x="432" s="1" nd="1"/>
        <i x="494" s="1" nd="1"/>
        <i x="10" s="1" nd="1"/>
        <i x="274" s="1" nd="1"/>
        <i x="152" s="1" nd="1"/>
        <i x="243" s="1" nd="1"/>
        <i x="344" s="1" nd="1"/>
        <i x="199" s="1" nd="1"/>
        <i x="96" s="1" nd="1"/>
        <i x="101" s="1" nd="1"/>
        <i x="223" s="1" nd="1"/>
        <i x="190" s="1" nd="1"/>
        <i x="253" s="1" nd="1"/>
        <i x="527" s="1" nd="1"/>
        <i x="88" s="1" nd="1"/>
        <i x="251" s="1" nd="1"/>
        <i x="312" s="1" nd="1"/>
        <i x="296" s="1" nd="1"/>
        <i x="186" s="1" nd="1"/>
        <i x="280" s="1" nd="1"/>
        <i x="265" s="1" nd="1"/>
        <i x="463" s="1" nd="1"/>
        <i x="202" s="1" nd="1"/>
        <i x="278" s="1" nd="1"/>
        <i x="127" s="1" nd="1"/>
        <i x="276" s="1" nd="1"/>
        <i x="110" s="1" nd="1"/>
        <i x="271" s="1" nd="1"/>
        <i x="442" s="1" nd="1"/>
        <i x="338" s="1" nd="1"/>
        <i x="486" s="1" nd="1"/>
        <i x="404" s="1" nd="1"/>
        <i x="295" s="1" nd="1"/>
        <i x="230" s="1" nd="1"/>
        <i x="81" s="1" nd="1"/>
        <i x="235" s="1" nd="1"/>
        <i x="289" s="1" nd="1"/>
        <i x="478" s="1" nd="1"/>
        <i x="460" s="1" nd="1"/>
        <i x="440" s="1" nd="1"/>
        <i x="134" s="1" nd="1"/>
        <i x="221" s="1" nd="1"/>
        <i x="318" s="1" nd="1"/>
        <i x="222" s="1" nd="1"/>
        <i x="52" s="1" nd="1"/>
        <i x="539" s="1" nd="1"/>
        <i x="391" s="1" nd="1"/>
        <i x="163" s="1" nd="1"/>
        <i x="496" s="1" nd="1"/>
        <i x="272" s="1" nd="1"/>
        <i x="65" s="1" nd="1"/>
        <i x="464" s="1" nd="1"/>
        <i x="234" s="1" nd="1"/>
        <i x="433" s="1" nd="1"/>
        <i x="162" s="1" nd="1"/>
        <i x="297" s="1" nd="1"/>
        <i x="107" s="1" nd="1"/>
        <i x="273" s="1" nd="1"/>
        <i x="142" s="1" nd="1"/>
        <i x="119" s="1" nd="1"/>
        <i x="456" s="1" nd="1"/>
        <i x="447" s="1" nd="1"/>
        <i x="225" s="1" nd="1"/>
        <i x="248" s="1" nd="1"/>
        <i x="512" s="1" nd="1"/>
        <i x="111" s="1" nd="1"/>
        <i x="126" s="1" nd="1"/>
        <i x="60" s="1" nd="1"/>
        <i x="423" s="1" nd="1"/>
        <i x="488" s="1" nd="1"/>
        <i x="189" s="1" nd="1"/>
        <i x="176" s="1" nd="1"/>
        <i x="267" s="1" nd="1"/>
        <i x="541" s="1" nd="1"/>
        <i x="517" s="1" nd="1"/>
        <i x="270" s="1" nd="1"/>
        <i x="38" s="1" nd="1"/>
        <i x="129" s="1" nd="1"/>
        <i x="200" s="1" nd="1"/>
        <i x="237" s="1" nd="1"/>
        <i x="367" s="1" nd="1"/>
        <i x="427" s="1" nd="1"/>
        <i x="415" s="1" nd="1"/>
        <i x="303" s="1" nd="1"/>
        <i x="493" s="1" nd="1"/>
        <i x="40" s="1" nd="1"/>
        <i x="501" s="1" nd="1"/>
        <i x="240" s="1" nd="1"/>
        <i x="254" s="1" nd="1"/>
        <i x="262" s="1" nd="1"/>
        <i x="204" s="1" nd="1"/>
        <i x="350" s="1" nd="1"/>
        <i x="341" s="1" nd="1"/>
        <i x="324" s="1" nd="1"/>
        <i x="31" s="1" nd="1"/>
        <i x="471" s="1" nd="1"/>
        <i x="491" s="1" nd="1"/>
        <i x="191" s="1" nd="1"/>
        <i x="345" s="1" nd="1"/>
        <i x="392" s="1" nd="1"/>
        <i x="86" s="1" nd="1"/>
        <i x="69" s="1" nd="1"/>
        <i x="18" s="1" nd="1"/>
        <i x="532" s="1" nd="1"/>
        <i x="46" s="1" nd="1"/>
        <i x="409" s="1" nd="1"/>
        <i x="522" s="1" nd="1"/>
        <i x="74" s="1" nd="1"/>
        <i x="369" s="1" nd="1"/>
        <i x="24" s="1" nd="1"/>
        <i x="177" s="1" nd="1"/>
        <i x="4" s="1" nd="1"/>
        <i x="50" s="1" nd="1"/>
        <i x="188" s="1" nd="1"/>
        <i x="249" s="1" nd="1"/>
        <i x="310" s="1" nd="1"/>
        <i x="372" s="1" nd="1"/>
        <i x="42" s="1" nd="1"/>
        <i x="205" s="1" nd="1"/>
        <i x="412" s="1" nd="1"/>
        <i x="41" s="1" nd="1"/>
        <i x="364" s="1" nd="1"/>
        <i x="59" s="1" nd="1"/>
        <i x="206" s="1" nd="1"/>
        <i x="268" s="1" nd="1"/>
        <i x="343" s="1" nd="1"/>
        <i x="467" s="1" nd="1"/>
        <i x="477" s="1" nd="1"/>
        <i x="293" s="1" nd="1"/>
        <i x="169" s="1" nd="1"/>
        <i x="393" s="1" nd="1"/>
        <i x="20" s="1" nd="1"/>
        <i x="184" s="1" nd="1"/>
        <i x="443" s="1" nd="1"/>
        <i x="58" s="1" nd="1"/>
        <i x="335" s="1" nd="1"/>
        <i x="422" s="1" nd="1"/>
        <i x="425" s="1" nd="1"/>
        <i x="497" s="1" nd="1"/>
        <i x="241" s="1" nd="1"/>
        <i x="70" s="1" nd="1"/>
        <i x="430" s="1" nd="1"/>
        <i x="2" s="1" nd="1"/>
        <i x="382" s="1" nd="1"/>
        <i x="378" s="1" nd="1"/>
        <i x="387" s="1" nd="1"/>
        <i x="95" s="1" nd="1"/>
        <i x="218" s="1" nd="1"/>
        <i x="330" s="1" nd="1"/>
        <i x="54" s="1" nd="1"/>
        <i x="84" s="1" nd="1"/>
        <i x="388" s="1" nd="1"/>
        <i x="487" s="1" nd="1"/>
        <i x="264" s="1" nd="1"/>
        <i x="247" s="1" nd="1"/>
        <i x="417" s="1" nd="1"/>
        <i x="261" s="1" nd="1"/>
        <i x="49" s="1" nd="1"/>
        <i x="112" s="1" nd="1"/>
        <i x="394" s="1" nd="1"/>
        <i x="121" s="1" nd="1"/>
        <i x="118" s="1" nd="1"/>
        <i x="444" s="1" nd="1"/>
        <i x="420" s="1" nd="1"/>
        <i x="475" s="1" nd="1"/>
        <i x="68" s="1" nd="1"/>
        <i x="328" s="1" nd="1"/>
        <i x="158" s="1" nd="1"/>
        <i x="201" s="1" nd="1"/>
        <i x="36" s="1" nd="1"/>
        <i x="298" s="1" nd="1"/>
        <i x="281" s="1" nd="1"/>
        <i x="408" s="1" nd="1"/>
        <i x="106" s="1" nd="1"/>
        <i x="22" s="1" nd="1"/>
        <i x="381" s="1" nd="1"/>
        <i x="155" s="1" nd="1"/>
        <i x="12" s="1" nd="1"/>
        <i x="133" s="1" nd="1"/>
        <i x="173" s="1" nd="1"/>
        <i x="450" s="1" nd="1"/>
        <i x="165" s="1" nd="1"/>
        <i x="203" s="1" nd="1"/>
        <i x="454" s="1" nd="1"/>
        <i x="329" s="1" nd="1"/>
        <i x="525" s="1" nd="1"/>
        <i x="77" s="1" nd="1"/>
        <i x="61" s="1" nd="1"/>
        <i x="287" s="1" nd="1"/>
        <i x="461" s="1" nd="1"/>
        <i x="75" s="1" nd="1"/>
        <i x="185" s="1" nd="1"/>
        <i x="8" s="1" nd="1"/>
        <i x="506" s="1" nd="1"/>
        <i x="514" s="1" nd="1"/>
        <i x="51" s="1" nd="1"/>
        <i x="384" s="1" nd="1"/>
        <i x="170" s="1" nd="1"/>
        <i x="11" s="1" nd="1"/>
        <i x="374" s="1" nd="1"/>
        <i x="67" s="1" nd="1"/>
        <i x="314" s="1" nd="1"/>
        <i x="323" s="1" nd="1"/>
        <i x="83" s="1" nd="1"/>
        <i x="342" s="1" nd="1"/>
        <i x="214" s="1" nd="1"/>
        <i x="518" s="1" nd="1"/>
        <i x="57" s="1" nd="1"/>
        <i x="90" s="1" nd="1"/>
        <i x="226" s="1" nd="1"/>
        <i x="519" s="1" nd="1"/>
        <i x="15" s="1" nd="1"/>
        <i x="474" s="1" nd="1"/>
        <i x="339" s="1" nd="1"/>
        <i x="352" s="1" nd="1"/>
        <i x="286" s="1" nd="1"/>
        <i x="45" s="1" nd="1"/>
        <i x="72" s="1" nd="1"/>
        <i x="239" s="1" nd="1"/>
        <i x="89" s="1" nd="1"/>
        <i x="504" s="1" nd="1"/>
        <i x="495" s="1" nd="1"/>
        <i x="115" s="1" nd="1"/>
        <i x="453" s="1" nd="1"/>
        <i x="99" s="1" nd="1"/>
        <i x="421" s="1" nd="1"/>
        <i x="28" s="1" nd="1"/>
        <i x="431" s="1" nd="1"/>
        <i x="113" s="1" nd="1"/>
        <i x="209" s="1" nd="1"/>
        <i x="13" s="1" nd="1"/>
        <i x="79" s="1" nd="1"/>
        <i x="500" s="1" nd="1"/>
        <i x="437" s="1" nd="1"/>
        <i x="307" s="1" nd="1"/>
        <i x="103" s="1" nd="1"/>
        <i x="489" s="1" nd="1"/>
        <i x="256" s="1" nd="1"/>
        <i x="528" s="1" nd="1"/>
        <i x="244" s="1" nd="1"/>
        <i x="377" s="1" nd="1"/>
        <i x="400" s="1" nd="1"/>
        <i x="304" s="1" nd="1"/>
        <i x="130" s="1" nd="1"/>
        <i x="502" s="1" nd="1"/>
        <i x="499" s="1" nd="1"/>
        <i x="395" s="1" nd="1"/>
        <i x="25" s="1" nd="1"/>
        <i x="290" s="1" nd="1"/>
        <i x="117" s="1" nd="1"/>
        <i x="509" s="1" nd="1"/>
        <i x="141" s="1" nd="1"/>
        <i x="16" s="1" nd="1"/>
        <i x="418" s="1" nd="1"/>
        <i x="507" s="1" nd="1"/>
        <i x="104" s="1" nd="1"/>
        <i x="515" s="1" nd="1"/>
        <i x="294" s="1" nd="1"/>
        <i x="150" s="1" nd="1"/>
        <i x="93" s="1" nd="1"/>
        <i x="516" s="1" nd="1"/>
        <i x="245" s="1" nd="1"/>
        <i x="380" s="1" nd="1"/>
        <i x="62" s="1" nd="1"/>
        <i x="238" s="1" nd="1"/>
        <i x="227" s="1" nd="1"/>
        <i x="439" s="1" nd="1"/>
        <i x="73" s="1" nd="1"/>
        <i x="279" s="1" nd="1"/>
        <i x="82" s="1" nd="1"/>
        <i x="402" s="1" nd="1"/>
        <i x="122" s="1" nd="1"/>
        <i x="23" s="1" nd="1"/>
        <i x="434" s="1" nd="1"/>
        <i x="452" s="1" nd="1"/>
        <i x="446" s="1" nd="1"/>
        <i x="340" s="1" nd="1"/>
        <i x="435" s="1" nd="1"/>
        <i x="386" s="1" nd="1"/>
        <i x="370" s="1" nd="1"/>
        <i x="47" s="1" nd="1"/>
        <i x="34" s="1" nd="1"/>
        <i x="436" s="1" nd="1"/>
        <i x="275" s="1" nd="1"/>
        <i x="311" s="1" nd="1"/>
        <i x="91" s="1" nd="1"/>
        <i x="35" s="1" nd="1"/>
        <i x="255" s="1" nd="1"/>
        <i x="521" s="1" nd="1"/>
        <i x="197" s="1" nd="1"/>
        <i x="480" s="1" nd="1"/>
        <i x="376" s="1" nd="1"/>
        <i x="192" s="1" nd="1"/>
        <i x="520" s="1" nd="1"/>
        <i x="498" s="1" nd="1"/>
        <i x="472" s="1" nd="1"/>
        <i x="399" s="1" nd="1"/>
        <i x="30" s="1" nd="1"/>
        <i x="513" s="1" nd="1"/>
        <i x="174" s="1" nd="1"/>
        <i x="266" s="1" nd="1"/>
        <i x="455" s="1" nd="1"/>
        <i x="120" s="1" nd="1"/>
        <i x="215" s="1" nd="1"/>
        <i x="252" s="1" nd="1"/>
        <i x="288" s="1" nd="1"/>
        <i x="361" s="1" nd="1"/>
        <i x="375" s="1" nd="1"/>
        <i x="441" s="1" nd="1"/>
        <i x="17" s="1" nd="1"/>
        <i x="360" s="1" nd="1"/>
        <i x="379" s="1" nd="1"/>
        <i x="321" s="1" nd="1"/>
        <i x="366" s="1" nd="1"/>
        <i x="458" s="1" nd="1"/>
        <i x="66" s="1" nd="1"/>
        <i x="396" s="1" nd="1"/>
        <i x="449" s="1" nd="1"/>
        <i x="250" s="1" nd="1"/>
        <i x="128" s="1" nd="1"/>
        <i x="334" s="1" nd="1"/>
        <i x="406" s="1" nd="1"/>
        <i x="148" s="1" nd="1"/>
        <i x="216" s="1" nd="1"/>
        <i x="232" s="1" nd="1"/>
        <i x="43" s="1" nd="1"/>
        <i x="212" s="1" nd="1"/>
        <i x="56" s="1" nd="1"/>
        <i x="385" s="1" nd="1"/>
        <i x="363" s="1" nd="1"/>
        <i x="401" s="1" nd="1"/>
        <i x="153" s="1" nd="1"/>
        <i x="492" s="1" nd="1"/>
        <i x="407" s="1" nd="1"/>
        <i x="353" s="1" nd="1"/>
        <i x="358" s="1" nd="1"/>
        <i x="462" s="1" nd="1"/>
        <i x="146" s="1" nd="1"/>
        <i x="217" s="1" nd="1"/>
        <i x="320" s="1" nd="1"/>
        <i x="131" s="1" nd="1"/>
        <i x="259" s="1" nd="1"/>
        <i x="33" s="1" nd="1"/>
        <i x="390" s="1" nd="1"/>
        <i x="413" s="1" nd="1"/>
        <i x="242" s="1" nd="1"/>
        <i x="457" s="1" nd="1"/>
        <i x="168" s="1" nd="1"/>
        <i x="530" s="1" nd="1"/>
        <i x="346" s="1" nd="1"/>
        <i x="105" s="1" nd="1"/>
        <i x="87" s="1" nd="1"/>
        <i x="526" s="1" nd="1"/>
        <i x="231" s="1" nd="1"/>
        <i x="246" s="1" nd="1"/>
        <i x="233" s="1" nd="1"/>
        <i x="220" s="1" nd="1"/>
        <i x="508" s="1" nd="1"/>
        <i x="533" s="1" nd="1"/>
        <i x="198" s="1" nd="1"/>
        <i x="535" s="1" nd="1"/>
        <i x="285" s="1" nd="1"/>
        <i x="291" s="1" nd="1"/>
        <i x="371" s="1" nd="1"/>
        <i x="26" s="1" nd="1"/>
        <i x="53" s="1" nd="1"/>
        <i x="322" s="1" nd="1"/>
        <i x="6" s="1" nd="1"/>
        <i x="37" s="1" nd="1"/>
        <i x="451" s="1" nd="1"/>
        <i x="210" s="1" nd="1"/>
        <i x="537" s="1" nd="1"/>
        <i x="48" s="1" nd="1"/>
        <i x="445" s="1" nd="1"/>
        <i x="397" s="1" nd="1"/>
        <i x="44" s="1" nd="1"/>
        <i x="319" s="1" nd="1"/>
        <i x="299" s="1" nd="1"/>
        <i x="157" s="1" nd="1"/>
        <i x="187" s="1" nd="1"/>
        <i x="531" s="1" nd="1"/>
        <i x="468" s="1" nd="1"/>
        <i x="114" s="1" nd="1"/>
        <i x="123" s="1" nd="1"/>
        <i x="416" s="1" nd="1"/>
        <i x="94" s="1" nd="1"/>
        <i x="405" s="1" nd="1"/>
        <i x="411" s="1" nd="1"/>
        <i x="27" s="1" nd="1"/>
        <i x="236" s="1" nd="1"/>
        <i x="332" s="1" nd="1"/>
        <i x="7" s="1" nd="1"/>
        <i x="183" s="1" nd="1"/>
        <i x="459" s="1" nd="1"/>
        <i x="85" s="1" nd="1"/>
        <i x="124" s="1" nd="1"/>
        <i x="523" s="1" nd="1"/>
        <i x="529" s="1" nd="1"/>
        <i x="219" s="1" nd="1"/>
        <i x="373" s="1" nd="1"/>
        <i x="161" s="1" nd="1"/>
        <i x="414" s="1" nd="1"/>
        <i x="97" s="1" nd="1"/>
        <i x="469" s="1" nd="1"/>
        <i x="426" s="1" nd="1"/>
        <i x="211" s="1" nd="1"/>
        <i x="125" s="1" nd="1"/>
        <i x="536" s="1" nd="1"/>
        <i x="269" s="1" nd="1"/>
        <i x="32" s="1" nd="1"/>
        <i x="5" s="1" nd="1"/>
        <i x="21" s="1" nd="1"/>
        <i x="132" s="1" nd="1"/>
        <i x="481" s="1" nd="1"/>
        <i x="538" s="1" nd="1"/>
        <i x="428" s="1" nd="1"/>
        <i x="448" s="1" nd="1"/>
        <i x="78" s="1" nd="1"/>
        <i x="534" s="1" nd="1"/>
        <i x="207" s="1" nd="1"/>
        <i x="14" s="1" nd="1"/>
        <i x="466" s="1" nd="1"/>
        <i x="389" s="1" nd="1"/>
        <i x="510" s="1" nd="1"/>
        <i x="213" s="1" nd="1"/>
        <i x="257" s="1" nd="1"/>
        <i x="136" s="1" nd="1"/>
        <i x="263" s="1" nd="1"/>
        <i x="482" s="1" nd="1"/>
        <i x="479" s="1" nd="1"/>
        <i x="438" s="1" nd="1"/>
        <i x="308" s="1" nd="1"/>
        <i x="164" s="1" nd="1"/>
        <i x="465" s="1" nd="1"/>
        <i x="29" s="1" nd="1"/>
        <i x="362" s="1" nd="1"/>
        <i x="333" s="1" nd="1"/>
        <i x="71" s="1" nd="1"/>
        <i x="229" s="1" nd="1"/>
        <i x="80" s="1" nd="1"/>
        <i x="39" s="1" nd="1"/>
        <i x="511" s="1" nd="1"/>
        <i x="277" s="1" nd="1"/>
        <i x="258" s="1" nd="1"/>
        <i x="503" s="1" nd="1"/>
        <i x="175" s="1" nd="1"/>
        <i x="3" s="1" nd="1"/>
        <i x="108" s="1" nd="1"/>
        <i x="490" s="1" nd="1"/>
        <i x="167" s="1" nd="1"/>
        <i x="473" s="1" nd="1"/>
        <i x="19" s="1" nd="1"/>
        <i x="524" s="1" nd="1"/>
        <i x="182" s="1" nd="1"/>
        <i x="283" s="1" nd="1"/>
        <i x="383" s="1" nd="1"/>
        <i x="429" s="1" nd="1"/>
        <i x="116" s="1" nd="1"/>
        <i x="102" s="1" nd="1"/>
        <i x="403" s="1" nd="1"/>
        <i x="484" s="1" nd="1"/>
        <i x="398" s="1" nd="1"/>
        <i x="100" s="1" nd="1"/>
        <i x="470" s="1" nd="1"/>
        <i x="9" s="1" nd="1"/>
        <i x="349" s="1" nd="1"/>
        <i x="313" s="1" nd="1"/>
        <i x="336" s="1" nd="1"/>
        <i x="325" s="1" nd="1"/>
        <i x="300" s="1" nd="1"/>
        <i x="326" s="1" nd="1"/>
        <i x="301" s="1" nd="1"/>
        <i x="351" s="1" nd="1"/>
        <i x="302" s="1" nd="1"/>
        <i x="327" s="1" nd="1"/>
        <i x="315" s="1" nd="1"/>
        <i x="354" s="1" nd="1"/>
        <i x="282" s="1" nd="1"/>
        <i x="355" s="1" nd="1"/>
        <i x="316" s="1" nd="1"/>
        <i x="365" s="1" nd="1"/>
        <i x="356" s="1" nd="1"/>
        <i x="292" s="1" nd="1"/>
        <i x="357" s="1" nd="1"/>
        <i x="317" s="1" nd="1"/>
        <i x="305" s="1" nd="1"/>
        <i x="306" s="1" nd="1"/>
        <i x="331" s="1" nd="1"/>
        <i x="359" s="1" nd="1"/>
        <i x="368" s="1" nd="1"/>
        <i x="347" s="1" nd="1"/>
        <i x="337" s="1" nd="1"/>
        <i x="179" s="1" nd="1"/>
        <i x="151" s="1" nd="1"/>
        <i x="144" s="1" nd="1"/>
        <i x="193" s="1" nd="1"/>
        <i x="180" s="1" nd="1"/>
        <i x="194" s="1" nd="1"/>
        <i x="171" s="1" nd="1"/>
        <i x="135" s="1" nd="1"/>
        <i x="195" s="1" nd="1"/>
        <i x="181" s="1" nd="1"/>
        <i x="154" s="1" nd="1"/>
        <i x="145" s="1" nd="1"/>
        <i x="137" s="1" nd="1"/>
        <i x="196" s="1" nd="1"/>
        <i x="172" s="1" nd="1"/>
        <i x="156" s="1" nd="1"/>
        <i x="138" s="1" nd="1"/>
        <i x="147" s="1" nd="1"/>
        <i x="139" s="1" nd="1"/>
        <i x="149" s="1" nd="1"/>
        <i x="166"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678">
        <i x="1" s="1"/>
        <i x="0" s="1"/>
        <i x="490" s="1" nd="1"/>
        <i x="62" s="1" nd="1"/>
        <i x="205" s="1" nd="1"/>
        <i x="45" s="1" nd="1"/>
        <i x="540" s="1" nd="1"/>
        <i x="505" s="1" nd="1"/>
        <i x="67" s="1" nd="1"/>
        <i x="378" s="1" nd="1"/>
        <i x="268" s="1" nd="1"/>
        <i x="527" s="1" nd="1"/>
        <i x="359" s="1" nd="1"/>
        <i x="230" s="1" nd="1"/>
        <i x="400" s="1" nd="1"/>
        <i x="573" s="1" nd="1"/>
        <i x="421" s="1" nd="1"/>
        <i x="74" s="1" nd="1"/>
        <i x="272" s="1" nd="1"/>
        <i x="291" s="1" nd="1"/>
        <i x="552" s="1" nd="1"/>
        <i x="213" s="1" nd="1"/>
        <i x="652" s="1" nd="1"/>
        <i x="109" s="1" nd="1"/>
        <i x="243" s="1" nd="1"/>
        <i x="617" s="1" nd="1"/>
        <i x="128" s="1" nd="1"/>
        <i x="487" s="1" nd="1"/>
        <i x="631" s="1" nd="1"/>
        <i x="30" s="1" nd="1"/>
        <i x="179" s="1" nd="1"/>
        <i x="224" s="1" nd="1"/>
        <i x="501" s="1" nd="1"/>
        <i x="661" s="1" nd="1"/>
        <i x="375" s="1" nd="1"/>
        <i x="460" s="1" nd="1"/>
        <i x="626" s="1" nd="1"/>
        <i x="648" s="1" nd="1"/>
        <i x="176" s="1" nd="1"/>
        <i x="517" s="1" nd="1"/>
        <i x="545" s="1" nd="1"/>
        <i x="100" s="1" nd="1"/>
        <i x="175" s="1" nd="1"/>
        <i x="189" s="1" nd="1"/>
        <i x="240" s="1" nd="1"/>
        <i x="281" s="1" nd="1"/>
        <i x="290" s="1" nd="1"/>
        <i x="500" s="1" nd="1"/>
        <i x="579" s="1" nd="1"/>
        <i x="667" s="1" nd="1"/>
        <i x="10" s="1" nd="1"/>
        <i x="53" s="1" nd="1"/>
        <i x="135" s="1" nd="1"/>
        <i x="206" s="1" nd="1"/>
        <i x="232" s="1" nd="1"/>
        <i x="288" s="1" nd="1"/>
        <i x="444" s="1" nd="1"/>
        <i x="529" s="1" nd="1"/>
        <i x="79" s="1" nd="1"/>
        <i x="147" s="1" nd="1"/>
        <i x="219" s="1" nd="1"/>
        <i x="279" s="1" nd="1"/>
        <i x="458" s="1" nd="1"/>
        <i x="480" s="1" nd="1"/>
        <i x="565" s="1" nd="1"/>
        <i x="643" s="1" nd="1"/>
        <i x="27" s="1" nd="1"/>
        <i x="50" s="1" nd="1"/>
        <i x="172" s="1" nd="1"/>
        <i x="186" s="1" nd="1"/>
        <i x="217" s="1" nd="1"/>
        <i x="564" s="1" nd="1"/>
        <i x="575" s="1" nd="1"/>
        <i x="64" s="1" nd="1"/>
        <i x="89" s="1" nd="1"/>
        <i x="185" s="1" nd="1"/>
        <i x="215" s="1" nd="1"/>
        <i x="542" s="1" nd="1"/>
        <i x="622" s="1" nd="1"/>
        <i x="658" s="1" nd="1"/>
        <i x="144" s="1" nd="1"/>
        <i x="156" s="1" nd="1"/>
        <i x="171" s="1" nd="1"/>
        <i x="246" s="1" nd="1"/>
        <i x="385" s="1" nd="1"/>
        <i x="476" s="1" nd="1"/>
        <i x="524" s="1" nd="1"/>
        <i x="634" s="1" nd="1"/>
        <i x="133" s="1" nd="1"/>
        <i x="275" s="1" nd="1"/>
        <i x="312" s="1" nd="1"/>
        <i x="358" s="1" nd="1"/>
        <i x="507" s="1" nd="1"/>
        <i x="553" s="1" nd="1"/>
        <i x="574" s="1" nd="1"/>
        <i x="597" s="1" nd="1"/>
        <i x="77" s="1" nd="1"/>
        <i x="132" s="1" nd="1"/>
        <i x="324" s="1" nd="1"/>
        <i x="333" s="1" nd="1"/>
        <i x="399" s="1" nd="1"/>
        <i x="76" s="1" nd="1"/>
        <i x="408" s="1" nd="1"/>
        <i x="98" s="1" nd="1"/>
        <i x="441" s="1" nd="1"/>
        <i x="117" s="1" nd="1"/>
        <i x="273" s="1" nd="1"/>
        <i x="323" s="1" nd="1"/>
        <i x="347" s="1" nd="1"/>
        <i x="370" s="1" nd="1"/>
        <i x="383" s="1" nd="1"/>
        <i x="112" s="1" nd="1"/>
        <i x="440" s="1" nd="1"/>
        <i x="229" s="1" nd="1"/>
        <i x="606" s="1" nd="1"/>
        <i x="654" s="1" nd="1"/>
        <i x="665" s="1" nd="1"/>
        <i x="24" s="1" nd="1"/>
        <i x="369" s="1" nd="1"/>
        <i x="75" s="1" nd="1"/>
        <i x="406" s="1" nd="1"/>
        <i x="131" s="1" nd="1"/>
        <i x="492" s="1" nd="1"/>
        <i x="538" s="1" nd="1"/>
        <i x="285" s="1" nd="1"/>
        <i x="59" s="1" nd="1"/>
        <i x="405" s="1" nd="1"/>
        <i x="439" s="1" nd="1"/>
        <i x="537" s="1" nd="1"/>
        <i x="194" s="1" nd="1"/>
        <i x="202" s="1" nd="1"/>
        <i x="58" s="1" nd="1"/>
        <i x="96" s="1" nd="1"/>
        <i x="111" s="1" nd="1"/>
        <i x="182" s="1" nd="1"/>
        <i x="673" s="1" nd="1"/>
        <i x="7" s="1" nd="1"/>
        <i x="337" s="1" nd="1"/>
        <i x="21" s="1" nd="1"/>
        <i x="438" s="1" nd="1"/>
        <i x="130" s="1" nd="1"/>
        <i x="504" s="1" nd="1"/>
        <i x="562" s="1" nd="1"/>
        <i x="227" s="1" nd="1"/>
        <i x="585" s="1" nd="1"/>
        <i x="238" s="1" nd="1"/>
        <i x="309" s="1" nd="1"/>
        <i x="6" s="1" nd="1"/>
        <i x="86" s="1" nd="1"/>
        <i x="95" s="1" nd="1"/>
        <i x="464" s="1" nd="1"/>
        <i x="244" s="1" nd="1"/>
        <i x="271" s="1" nd="1"/>
        <i x="640" s="1" nd="1"/>
        <i x="298" s="1" nd="1"/>
        <i x="336" s="1" nd="1"/>
        <i x="32" s="1" nd="1"/>
        <i x="437" s="1" nd="1"/>
        <i x="143" s="1" nd="1"/>
        <i x="153" s="1" nd="1"/>
        <i x="503" s="1" nd="1"/>
        <i x="160" s="1" nd="1"/>
        <i x="549" s="1" nd="1"/>
        <i x="211" s="1" nd="1"/>
        <i x="571" s="1" nd="1"/>
        <i x="595" s="1" nd="1"/>
        <i x="257" s="1" nd="1"/>
        <i x="650" s="1" nd="1"/>
        <i x="354" s="1" nd="1"/>
        <i x="42" s="1" nd="1"/>
        <i x="85" s="1" nd="1"/>
        <i x="412" s="1" nd="1"/>
        <i x="436" s="1" nd="1"/>
        <i x="450" s="1" nd="1"/>
        <i x="512" s="1" nd="1"/>
        <i x="548" s="1" nd="1"/>
        <i x="639" s="1" nd="1"/>
        <i x="345" s="1" nd="1"/>
        <i x="57" s="1" nd="1"/>
        <i x="84" s="1" nd="1"/>
        <i x="426" s="1" nd="1"/>
        <i x="488" s="1" nd="1"/>
        <i x="199" s="1" nd="1"/>
        <i x="236" s="1" nd="1"/>
        <i x="255" s="1" nd="1"/>
        <i x="632" s="1" nd="1"/>
        <i x="662" s="1" nd="1"/>
        <i x="319" s="1" nd="1"/>
        <i x="4" s="1" nd="1"/>
        <i x="13" s="1" nd="1"/>
        <i x="379" s="1" nd="1"/>
        <i x="404" s="1" nd="1"/>
        <i x="411" s="1" nd="1"/>
        <i x="449" s="1" nd="1"/>
        <i x="462" s="1" nd="1"/>
        <i x="471" s="1" nd="1"/>
        <i x="180" s="1" nd="1"/>
        <i x="547" s="1" nd="1"/>
        <i x="558" s="1" nd="1"/>
        <i x="253" s="1" nd="1"/>
        <i x="392" s="1" nd="1"/>
        <i x="425" s="1" nd="1"/>
        <i x="150" s="1" nd="1"/>
        <i x="191" s="1" nd="1"/>
        <i x="210" s="1" nd="1"/>
        <i x="241" s="1" nd="1"/>
        <i x="307" s="1" nd="1"/>
        <i x="670" s="1" nd="1"/>
        <i x="83" s="1" nd="1"/>
        <i x="419" s="1" nd="1"/>
        <i x="149" s="1" nd="1"/>
        <i x="519" s="1" nd="1"/>
        <i x="178" s="1" nd="1"/>
        <i x="556" s="1" nd="1"/>
        <i x="209" s="1" nd="1"/>
        <i x="222" s="1" nd="1"/>
        <i x="628" s="1" nd="1"/>
        <i x="18" s="1" nd="1"/>
        <i x="391" s="1" nd="1"/>
        <i x="166" s="1" nd="1"/>
        <i x="197" s="1" nd="1"/>
        <i x="207" s="1" nd="1"/>
        <i x="582" s="1" nd="1"/>
        <i x="283" s="1" nd="1"/>
        <i x="295" s="1" nd="1"/>
        <i x="28" s="1" nd="1"/>
        <i x="390" s="1" nd="1"/>
        <i x="82" s="1" nd="1"/>
        <i x="409" s="1" nd="1"/>
        <i x="448" s="1" nd="1"/>
        <i x="119" s="1" nd="1"/>
        <i x="532" s="1" nd="1"/>
        <i x="581" s="1" nd="1"/>
        <i x="592" s="1" nd="1"/>
        <i x="282" s="1" nd="1"/>
        <i x="17" s="1" nd="1"/>
        <i x="363" s="1" nd="1"/>
        <i x="81" s="1" nd="1"/>
        <i x="434" s="1" nd="1"/>
        <i x="483" s="1" nd="1"/>
        <i x="190" s="1" nd="1"/>
        <i x="580" s="1" nd="1"/>
        <i x="305" s="1" nd="1"/>
        <i x="351" s="1" nd="1"/>
        <i x="563" s="1" nd="1"/>
        <i x="389" s="1" nd="1"/>
        <i x="403" s="1" nd="1"/>
        <i x="587" s="1" nd="1"/>
        <i x="608" s="1" nd="1"/>
        <i x="259" s="1" nd="1"/>
        <i x="274" s="1" nd="1"/>
        <i x="446" s="1" nd="1"/>
        <i x="656" s="1" nd="1"/>
        <i x="300" s="1" nd="1"/>
        <i x="311" s="1" nd="1"/>
        <i x="148" s="1" nd="1"/>
        <i x="8" s="1" nd="1"/>
        <i x="338" s="1" nd="1"/>
        <i x="357" s="1" nd="1"/>
        <i x="544" s="1" nd="1"/>
        <i x="555" s="1" nd="1"/>
        <i x="68" s="1" nd="1"/>
        <i x="398" s="1" nd="1"/>
        <i x="105" s="1" nd="1"/>
        <i x="267" s="1" nd="1"/>
        <i x="646" s="1" nd="1"/>
        <i x="468" s="1" nd="1"/>
        <i x="668" s="1" nd="1"/>
        <i x="317" s="1" nd="1"/>
        <i x="183" s="1" nd="1"/>
        <i x="54" s="1" nd="1"/>
        <i x="572" s="1" nd="1"/>
        <i x="402" s="1" nd="1"/>
        <i x="607" s="1" nd="1"/>
        <i x="286" s="1" nd="1"/>
        <i x="445" s="1" nd="1"/>
        <i x="655" s="1" nd="1"/>
        <i x="137" s="1" nd="1"/>
        <i x="346" s="1" nd="1"/>
        <i x="188" s="1" nd="1"/>
        <i x="356" s="1" nd="1"/>
        <i x="44" s="1" nd="1"/>
        <i x="397" s="1" nd="1"/>
        <i x="233" s="1" nd="1"/>
        <i x="407" s="1" nd="1"/>
        <i x="251" s="1" nd="1"/>
        <i x="420" s="1" nd="1"/>
        <i x="613" s="1" nd="1"/>
        <i x="645" s="1" nd="1"/>
        <i x="467" s="1" nd="1"/>
        <i x="660" s="1" nd="1"/>
        <i x="506" s="1" nd="1"/>
        <i x="362" s="1" nd="1"/>
        <i x="203" s="1" nd="1"/>
        <i x="374" s="1" nd="1"/>
        <i x="214" s="1" nd="1"/>
        <i x="92" s="1" nd="1"/>
        <i x="605" s="1" nd="1"/>
        <i x="620" s="1" nd="1"/>
        <i x="124" s="1" nd="1"/>
        <i x="136" s="1" nd="1"/>
        <i x="482" s="1" nd="1"/>
        <i x="23" s="1" nd="1"/>
        <i x="382" s="1" nd="1"/>
        <i x="567" s="1" nd="1"/>
        <i x="221" s="1" nd="1"/>
        <i x="413" s="1" nd="1"/>
        <i x="250" s="1" nd="1"/>
        <i x="637" s="1" nd="1"/>
        <i x="289" s="1" nd="1"/>
        <i x="644" s="1" nd="1"/>
        <i x="659" s="1" nd="1"/>
        <i x="330" s="1" nd="1"/>
        <i x="16" s="1" nd="1"/>
        <i x="361" s="1" nd="1"/>
        <i x="228" s="1" nd="1"/>
        <i x="586" s="1" nd="1"/>
        <i x="80" s="1" nd="1"/>
        <i x="596" s="1" nd="1"/>
        <i x="418" s="1" nd="1"/>
        <i x="284" s="1" nd="1"/>
        <i x="118" s="1" nd="1"/>
        <i x="322" s="1" nd="1"/>
        <i x="499" s="1" nd="1"/>
        <i x="174" s="1" nd="1"/>
        <i x="530" s="1" nd="1"/>
        <i x="35" s="1" nd="1"/>
        <i x="43" s="1" nd="1"/>
        <i x="566" s="1" nd="1"/>
        <i x="591" s="1" nd="1"/>
        <i x="97" s="1" nd="1"/>
        <i x="249" s="1" nd="1"/>
        <i x="266" s="1" nd="1"/>
        <i x="636" s="1" nd="1"/>
        <i x="453" s="1" nd="1"/>
        <i x="466" s="1" nd="1"/>
        <i x="473" s="1" nd="1"/>
        <i x="522" s="1" nd="1"/>
        <i x="39" s="1" nd="1"/>
        <i x="193" s="1" nd="1"/>
        <i x="360" s="1" nd="1"/>
        <i x="52" s="1" nd="1"/>
        <i x="373" s="1" nd="1"/>
        <i x="401" s="1" nd="1"/>
        <i x="604" s="1" nd="1"/>
        <i x="258" s="1" nd="1"/>
        <i x="424" s="1" nd="1"/>
        <i x="619" s="1" nd="1"/>
        <i x="433" s="1" nd="1"/>
        <i x="633" s="1" nd="1"/>
        <i x="116" s="1" nd="1"/>
        <i x="470" s="1" nd="1"/>
        <i x="310" s="1" nd="1"/>
        <i x="674" s="1" nd="1"/>
        <i x="321" s="1" nd="1"/>
        <i x="158" s="1" nd="1"/>
        <i x="14" s="1" nd="1"/>
        <i x="165" s="1" nd="1"/>
        <i x="22" s="1" nd="1"/>
        <i x="173" s="1" nd="1"/>
        <i x="187" s="1" nd="1"/>
        <i x="220" s="1" nd="1"/>
        <i x="396" s="1" nd="1"/>
        <i x="578" s="1" nd="1"/>
        <i x="239" s="1" nd="1"/>
        <i x="625" s="1" nd="1"/>
        <i x="110" s="1" nd="1"/>
        <i x="280" s="1" nd="1"/>
        <i x="294" s="1" nd="1"/>
        <i x="465" s="1" nd="1"/>
        <i x="304" s="1" nd="1"/>
        <i x="472" s="1" nd="1"/>
        <i x="677" s="1" nd="1"/>
        <i x="329" s="1" nd="1"/>
        <i x="342" s="1" nd="1"/>
        <i x="38" s="1" nd="1"/>
        <i x="66" s="1" nd="1"/>
        <i x="91" s="1" nd="1"/>
        <i x="603" s="1" nd="1"/>
        <i x="653" s="1" nd="1"/>
        <i x="469" s="1" nd="1"/>
        <i x="664" s="1" nd="1"/>
        <i x="481" s="1" nd="1"/>
        <i x="146" s="1" nd="1"/>
        <i x="498" s="1" nd="1"/>
        <i x="34" s="1" nd="1"/>
        <i x="395" s="1" nd="1"/>
        <i x="73" s="1" nd="1"/>
        <i x="590" s="1" nd="1"/>
        <i x="612" s="1" nd="1"/>
        <i x="104" s="1" nd="1"/>
        <i x="265" s="1" nd="1"/>
        <i x="429" s="1" nd="1"/>
        <i x="287" s="1" nd="1"/>
        <i x="129" s="1" nd="1"/>
        <i x="303" s="1" nd="1"/>
        <i x="491" s="1" nd="1"/>
        <i x="154" s="1" nd="1"/>
        <i x="328" s="1" nd="1"/>
        <i x="513" s="1" nd="1"/>
        <i x="170" s="1" nd="1"/>
        <i x="521" s="1" nd="1"/>
        <i x="551" s="1" nd="1"/>
        <i x="51" s="1" nd="1"/>
        <i x="201" s="1" nd="1"/>
        <i x="561" s="1" nd="1"/>
        <i x="65" s="1" nd="1"/>
        <i x="388" s="1" nd="1"/>
        <i x="226" s="1" nd="1"/>
        <i x="245" s="1" nd="1"/>
        <i x="417" s="1" nd="1"/>
        <i x="602" s="1" nd="1"/>
        <i x="618" s="1" nd="1"/>
        <i x="299" s="1" nd="1"/>
        <i x="145" s="1" nd="1"/>
        <i x="497" s="1" nd="1"/>
        <i x="332" s="1" nd="1"/>
        <i x="516" s="1" nd="1"/>
        <i x="20" s="1" nd="1"/>
        <i x="528" s="1" nd="1"/>
        <i x="33" s="1" nd="1"/>
        <i x="355" s="1" nd="1"/>
        <i x="554" s="1" nd="1"/>
        <i x="218" s="1" nd="1"/>
        <i x="394" s="1" nd="1"/>
        <i x="577" s="1" nd="1"/>
        <i x="611" s="1" nd="1"/>
        <i x="103" s="1" nd="1"/>
        <i x="264" s="1" nd="1"/>
        <i x="428" s="1" nd="1"/>
        <i x="624" s="1" nd="1"/>
        <i x="108" s="1" nd="1"/>
        <i x="452" s="1" nd="1"/>
        <i x="121" s="1" nd="1"/>
        <i x="302" s="1" nd="1"/>
        <i x="316" s="1" nd="1"/>
        <i x="676" s="1" nd="1"/>
        <i x="161" s="1" nd="1"/>
        <i x="169" s="1" nd="1"/>
        <i x="192" s="1" nd="1"/>
        <i x="550" s="1" nd="1"/>
        <i x="49" s="1" nd="1"/>
        <i x="212" s="1" nd="1"/>
        <i x="237" s="1" nd="1"/>
        <i x="90" s="1" nd="1"/>
        <i x="242" s="1" nd="1"/>
        <i x="416" s="1" nd="1"/>
        <i x="601" s="1" nd="1"/>
        <i x="443" s="1" nd="1"/>
        <i x="651" s="1" nd="1"/>
        <i x="479" s="1" nd="1"/>
        <i x="5" s="1" nd="1"/>
        <i x="157" s="1" nd="1"/>
        <i x="31" s="1" nd="1"/>
        <i x="196" s="1" nd="1"/>
        <i x="368" s="1" nd="1"/>
        <i x="381" s="1" nd="1"/>
        <i x="576" s="1" nd="1"/>
        <i x="231" s="1" nd="1"/>
        <i x="589" s="1" nd="1"/>
        <i x="248" s="1" nd="1"/>
        <i x="427" s="1" nd="1"/>
        <i x="278" s="1" nd="1"/>
        <i x="451" s="1" nd="1"/>
        <i x="293" s="1" nd="1"/>
        <i x="463" s="1" nd="1"/>
        <i x="142" s="1" nd="1"/>
        <i x="334" s="1" nd="1"/>
        <i x="168" s="1" nd="1"/>
        <i x="341" s="1" nd="1"/>
        <i x="520" s="1" nd="1"/>
        <i x="350" s="1" nd="1"/>
        <i x="37" s="1" nd="1"/>
        <i x="560" s="1" nd="1"/>
        <i x="387" s="1" nd="1"/>
        <i x="570" s="1" nd="1"/>
        <i x="70" s="1" nd="1"/>
        <i x="225" s="1" nd="1"/>
        <i x="99" s="1" nd="1"/>
        <i x="270" s="1" nd="1"/>
        <i x="115" s="1" nd="1"/>
        <i x="442" s="1" nd="1"/>
        <i x="457" s="1" nd="1"/>
        <i x="297" s="1" nd="1"/>
        <i x="663" s="1" nd="1"/>
        <i x="134" s="1" nd="1"/>
        <i x="308" s="1" nd="1"/>
        <i x="478" s="1" nd="1"/>
        <i x="164" s="1" nd="1"/>
        <i x="543" s="1" nd="1"/>
        <i x="41" s="1" nd="1"/>
        <i x="367" s="1" nd="1"/>
        <i x="216" s="1" nd="1"/>
        <i x="393" s="1" nd="1"/>
        <i x="72" s="1" nd="1"/>
        <i x="599" s="1" nd="1"/>
        <i x="102" s="1" nd="1"/>
        <i x="263" s="1" nd="1"/>
        <i x="435" s="1" nd="1"/>
        <i x="642" s="1" nd="1"/>
        <i x="292" s="1" nd="1"/>
        <i x="127" s="1" nd="1"/>
        <i x="489" s="1" nd="1"/>
        <i x="675" s="1" nd="1"/>
        <i x="167" s="1" nd="1"/>
        <i x="349" s="1" nd="1"/>
        <i x="200" s="1" nd="1"/>
        <i x="63" s="1" nd="1"/>
        <i x="584" s="1" nd="1"/>
        <i x="415" s="1" nd="1"/>
        <i x="256" s="1" nd="1"/>
        <i x="423" s="1" nd="1"/>
        <i x="114" s="1" nd="1"/>
        <i x="456" s="1" nd="1"/>
        <i x="649" s="1" nd="1"/>
        <i x="477" s="1" nd="1"/>
        <i x="672" s="1" nd="1"/>
        <i x="320" s="1" nd="1"/>
        <i x="496" s="1" nd="1"/>
        <i x="510" s="1" nd="1"/>
        <i x="344" s="1" nd="1"/>
        <i x="526" s="1" nd="1"/>
        <i x="184" s="1" nd="1"/>
        <i x="380" s="1" nd="1"/>
        <i x="94" s="1" nd="1"/>
        <i x="247" s="1" nd="1"/>
        <i x="610" s="1" nd="1"/>
        <i x="623" s="1" nd="1"/>
        <i x="107" s="1" nd="1"/>
        <i x="277" s="1" nd="1"/>
        <i x="141" s="1" nd="1"/>
        <i x="315" s="1" nd="1"/>
        <i x="486" s="1" nd="1"/>
        <i x="152" s="1" nd="1"/>
        <i x="502" s="1" nd="1"/>
        <i x="9" s="1" nd="1"/>
        <i x="181" s="1" nd="1"/>
        <i x="536" s="1" nd="1"/>
        <i x="36" s="1" nd="1"/>
        <i x="48" s="1" nd="1"/>
        <i x="198" s="1" nd="1"/>
        <i x="372" s="1" nd="1"/>
        <i x="559" s="1" nd="1"/>
        <i x="569" s="1" nd="1"/>
        <i x="594" s="1" nd="1"/>
        <i x="600" s="1" nd="1"/>
        <i x="254" s="1" nd="1"/>
        <i x="616" s="1" nd="1"/>
        <i x="638" s="1" nd="1"/>
        <i x="455" s="1" nd="1"/>
        <i x="123" s="1" nd="1"/>
        <i x="495" s="1" nd="1"/>
        <i x="509" s="1" nd="1"/>
        <i x="12" s="1" nd="1"/>
        <i x="163" s="1" nd="1"/>
        <i x="525" s="1" nd="1"/>
        <i x="29" s="1" nd="1"/>
        <i x="353" s="1" nd="1"/>
        <i x="366" s="1" nd="1"/>
        <i x="56" s="1" nd="1"/>
        <i x="93" s="1" nd="1"/>
        <i x="262" s="1" nd="1"/>
        <i x="641" s="1" nd="1"/>
        <i x="461" s="1" nd="1"/>
        <i x="140" s="1" nd="1"/>
        <i x="314" s="1" nd="1"/>
        <i x="151" s="1" nd="1"/>
        <i x="159" s="1" nd="1"/>
        <i x="511" s="1" nd="1"/>
        <i x="535" s="1" nd="1"/>
        <i x="546" s="1" nd="1"/>
        <i x="47" s="1" nd="1"/>
        <i x="371" s="1" nd="1"/>
        <i x="557" s="1" nd="1"/>
        <i x="61" s="1" nd="1"/>
        <i x="386" s="1" nd="1"/>
        <i x="568" s="1" nd="1"/>
        <i x="583" s="1" nd="1"/>
        <i x="235" s="1" nd="1"/>
        <i x="88" s="1" nd="1"/>
        <i x="615" s="1" nd="1"/>
        <i x="106" s="1" nd="1"/>
        <i x="269" s="1" nd="1"/>
        <i x="432" s="1" nd="1"/>
        <i x="630" s="1" nd="1"/>
        <i x="122" s="1" nd="1"/>
        <i x="296" s="1" nd="1"/>
        <i x="671" s="1" nd="1"/>
        <i x="318" s="1" nd="1"/>
        <i x="494" s="1" nd="1"/>
        <i x="3" s="1" nd="1"/>
        <i x="162" s="1" nd="1"/>
        <i x="19" s="1" nd="1"/>
        <i x="204" s="1" nd="1"/>
        <i x="377" s="1" nd="1"/>
        <i x="71" s="1" nd="1"/>
        <i x="410" s="1" nd="1"/>
        <i x="621" s="1" nd="1"/>
        <i x="635" s="1" nd="1"/>
        <i x="120" s="1" nd="1"/>
        <i x="327" s="1" nd="1"/>
        <i x="340" s="1" nd="1"/>
        <i x="26" s="1" nd="1"/>
        <i x="348" s="1" nd="1"/>
        <i x="534" s="1" nd="1"/>
        <i x="46" s="1" nd="1"/>
        <i x="223" s="1" nd="1"/>
        <i x="87" s="1" nd="1"/>
        <i x="414" s="1" nd="1"/>
        <i x="252" s="1" nd="1"/>
        <i x="614" s="1" nd="1"/>
        <i x="629" s="1" nd="1"/>
        <i x="454" s="1" nd="1"/>
        <i x="508" s="1" nd="1"/>
        <i x="541" s="1" nd="1"/>
        <i x="40" s="1" nd="1"/>
        <i x="55" s="1" nd="1"/>
        <i x="376" s="1" nd="1"/>
        <i x="609" s="1" nd="1"/>
        <i x="101" s="1" nd="1"/>
        <i x="261" s="1" nd="1"/>
        <i x="276" s="1" nd="1"/>
        <i x="126" s="1" nd="1"/>
        <i x="666" s="1" nd="1"/>
        <i x="139" s="1" nd="1"/>
        <i x="313" s="1" nd="1"/>
        <i x="485" s="1" nd="1"/>
        <i x="326" s="1" nd="1"/>
        <i x="15" s="1" nd="1"/>
        <i x="518" s="1" nd="1"/>
        <i x="208" s="1" nd="1"/>
        <i x="69" s="1" nd="1"/>
        <i x="78" s="1" nd="1"/>
        <i x="593" s="1" nd="1"/>
        <i x="431" s="1" nd="1"/>
        <i x="627" s="1" nd="1"/>
        <i x="306" s="1" nd="1"/>
        <i x="475" s="1" nd="1"/>
        <i x="155" s="1" nd="1"/>
        <i x="335" s="1" nd="1"/>
        <i x="515" s="1" nd="1"/>
        <i x="343" s="1" nd="1"/>
        <i x="365" s="1" nd="1"/>
        <i x="598" s="1" nd="1"/>
        <i x="260" s="1" nd="1"/>
        <i x="301" s="1" nd="1"/>
        <i x="484" s="1" nd="1"/>
        <i x="325" s="1" nd="1"/>
        <i x="339" s="1" nd="1"/>
        <i x="25" s="1" nd="1"/>
        <i x="177" s="1" nd="1"/>
        <i x="533" s="1" nd="1"/>
        <i x="60" s="1" nd="1"/>
        <i x="384" s="1" nd="1"/>
        <i x="234" s="1" nd="1"/>
        <i x="669" s="1" nd="1"/>
        <i x="2" s="1" nd="1"/>
        <i x="331" s="1" nd="1"/>
        <i x="11" s="1" nd="1"/>
        <i x="514" s="1" nd="1"/>
        <i x="523" s="1" nd="1"/>
        <i x="352" s="1" nd="1"/>
        <i x="539" s="1" nd="1"/>
        <i x="195" s="1" nd="1"/>
        <i x="364" s="1" nd="1"/>
        <i x="588" s="1" nd="1"/>
        <i x="447" s="1" nd="1"/>
        <i x="459" s="1" nd="1"/>
        <i x="657" s="1" nd="1"/>
        <i x="125" s="1" nd="1"/>
        <i x="138" s="1" nd="1"/>
        <i x="531" s="1" nd="1"/>
        <i x="422" s="1" nd="1"/>
        <i x="430" s="1" nd="1"/>
        <i x="113" s="1" nd="1"/>
        <i x="647" s="1" nd="1"/>
        <i x="474" s="1" nd="1"/>
        <i x="493"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38">
        <i x="0" s="1"/>
        <i x="1" s="1" nd="1"/>
        <i x="132" s="1" nd="1"/>
        <i x="120" s="1" nd="1"/>
        <i x="8" s="1" nd="1"/>
        <i x="133" s="1" nd="1"/>
        <i x="4" s="1" nd="1"/>
        <i x="32" s="1" nd="1"/>
        <i x="100" s="1" nd="1"/>
        <i x="55" s="1" nd="1"/>
        <i x="22" s="1" nd="1"/>
        <i x="130" s="1" nd="1"/>
        <i x="46" s="1" nd="1"/>
        <i x="6" s="1" nd="1"/>
        <i x="101" s="1" nd="1"/>
        <i x="58" s="1" nd="1"/>
        <i x="63" s="1" nd="1"/>
        <i x="24" s="1" nd="1"/>
        <i x="134" s="1" nd="1"/>
        <i x="5" s="1" nd="1"/>
        <i x="128" s="1" nd="1"/>
        <i x="59" s="1" nd="1"/>
        <i x="66" s="1" nd="1"/>
        <i x="71" s="1" nd="1"/>
        <i x="47" s="1" nd="1"/>
        <i x="10" s="1" nd="1"/>
        <i x="114" s="1" nd="1"/>
        <i x="106" s="1" nd="1"/>
        <i x="74" s="1" nd="1"/>
        <i x="135" s="1" nd="1"/>
        <i x="75" s="1" nd="1"/>
        <i x="123" s="1" nd="1"/>
        <i x="95" s="1" nd="1"/>
        <i x="83" s="1" nd="1"/>
        <i x="108" s="1" nd="1"/>
        <i x="85" s="1" nd="1"/>
        <i x="56" s="1" nd="1"/>
        <i x="67" s="1" nd="1"/>
        <i x="64" s="1" nd="1"/>
        <i x="20" s="1" nd="1"/>
        <i x="44" s="1" nd="1"/>
        <i x="129" s="1" nd="1"/>
        <i x="136" s="1" nd="1"/>
        <i x="88" s="1" nd="1"/>
        <i x="111" s="1" nd="1"/>
        <i x="110" s="1" nd="1"/>
        <i x="9" s="1" nd="1"/>
        <i x="68" s="1" nd="1"/>
        <i x="45" s="1" nd="1"/>
        <i x="104" s="1" nd="1"/>
        <i x="28" s="1" nd="1"/>
        <i x="119" s="1" nd="1"/>
        <i x="11" s="1" nd="1"/>
        <i x="90" s="1" nd="1"/>
        <i x="102" s="1" nd="1"/>
        <i x="115" s="1" nd="1"/>
        <i x="124" s="1" nd="1"/>
        <i x="98" s="1" nd="1"/>
        <i x="25" s="1" nd="1"/>
        <i x="80" s="1" nd="1"/>
        <i x="76" s="1" nd="1"/>
        <i x="29" s="1" nd="1"/>
        <i x="109" s="1" nd="1"/>
        <i x="26" s="1" nd="1"/>
        <i x="69" s="1" nd="1"/>
        <i x="49" s="1" nd="1"/>
        <i x="42" s="1" nd="1"/>
        <i x="137" s="1" nd="1"/>
        <i x="2" s="1" nd="1"/>
        <i x="103" s="1" nd="1"/>
        <i x="14" s="1" nd="1"/>
        <i x="116" s="1" nd="1"/>
        <i x="50" s="1" nd="1"/>
        <i x="96" s="1" nd="1"/>
        <i x="65" s="1" nd="1"/>
        <i x="52" s="1" nd="1"/>
        <i x="33" s="1" nd="1"/>
        <i x="38" s="1" nd="1"/>
        <i x="117" s="1" nd="1"/>
        <i x="60" s="1" nd="1"/>
        <i x="36" s="1" nd="1"/>
        <i x="15" s="1" nd="1"/>
        <i x="39" s="1" nd="1"/>
        <i x="3" s="1" nd="1"/>
        <i x="92" s="1" nd="1"/>
        <i x="61" s="1" nd="1"/>
        <i x="18" s="1" nd="1"/>
        <i x="41" s="1" nd="1"/>
        <i x="27" s="1" nd="1"/>
        <i x="97" s="1" nd="1"/>
        <i x="16" s="1" nd="1"/>
        <i x="93" s="1" nd="1"/>
        <i x="30" s="1" nd="1"/>
        <i x="126" s="1" nd="1"/>
        <i x="77" s="1" nd="1"/>
        <i x="51" s="1" nd="1"/>
        <i x="53" s="1" nd="1"/>
        <i x="125" s="1" nd="1"/>
        <i x="84" s="1" nd="1"/>
        <i x="17" s="1" nd="1"/>
        <i x="105" s="1" nd="1"/>
        <i x="34" s="1" nd="1"/>
        <i x="12" s="1" nd="1"/>
        <i x="107" s="1" nd="1"/>
        <i x="91" s="1" nd="1"/>
        <i x="127" s="1" nd="1"/>
        <i x="86" s="1" nd="1"/>
        <i x="121" s="1" nd="1"/>
        <i x="7" s="1" nd="1"/>
        <i x="31" s="1" nd="1"/>
        <i x="72" s="1" nd="1"/>
        <i x="48" s="1" nd="1"/>
        <i x="94" s="1" nd="1"/>
        <i x="118" s="1" nd="1"/>
        <i x="78" s="1" nd="1"/>
        <i x="87" s="1" nd="1"/>
        <i x="35" s="1" nd="1"/>
        <i x="81" s="1" nd="1"/>
        <i x="99" s="1" nd="1"/>
        <i x="54" s="1" nd="1"/>
        <i x="70" s="1" nd="1"/>
        <i x="13" s="1" nd="1"/>
        <i x="37" s="1" nd="1"/>
        <i x="122" s="1" nd="1"/>
        <i x="23" s="1" nd="1"/>
        <i x="131" s="1" nd="1"/>
        <i x="43" s="1" nd="1"/>
        <i x="89" s="1" nd="1"/>
        <i x="57" s="1" nd="1"/>
        <i x="73" s="1" nd="1"/>
        <i x="19" s="1" nd="1"/>
        <i x="21" s="1" nd="1"/>
        <i x="40" s="1" nd="1"/>
        <i x="79" s="1" nd="1"/>
        <i x="112" s="1" nd="1"/>
        <i x="113" s="1" nd="1"/>
        <i x="62" s="1" nd="1"/>
        <i x="82"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3" s="1" nd="1"/>
        <i x="2" s="1" nd="1"/>
        <i x="4" s="1" nd="1"/>
        <i x="5" s="1" nd="1"/>
        <i x="1"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SEQUENCEID" sourceName="SEQUENCEID">
  <pivotTables>
    <pivotTable tabId="29" name="PivotTable1"/>
  </pivotTables>
  <data>
    <tabular pivotCacheId="7">
      <items count="25">
        <i x="0" s="1"/>
        <i x="1"/>
        <i x="6" nd="1"/>
        <i x="17" nd="1"/>
        <i x="23" nd="1"/>
        <i x="3" nd="1"/>
        <i x="7" nd="1"/>
        <i x="12" nd="1"/>
        <i x="18" nd="1"/>
        <i x="20" nd="1"/>
        <i x="21" nd="1"/>
        <i x="22" nd="1"/>
        <i x="24" nd="1"/>
        <i x="2" nd="1"/>
        <i x="4" nd="1"/>
        <i x="5" nd="1"/>
        <i x="8" nd="1"/>
        <i x="9" nd="1"/>
        <i x="10" nd="1"/>
        <i x="11" nd="1"/>
        <i x="13" nd="1"/>
        <i x="14" nd="1"/>
        <i x="15" nd="1"/>
        <i x="16" nd="1"/>
        <i x="19" nd="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SEQUENCEID1" sourceName="SEQUENCEID">
  <pivotTables>
    <pivotTable tabId="28" name="PivotTable1"/>
  </pivotTables>
  <data>
    <tabular pivotCacheId="7">
      <items count="25">
        <i x="0" s="1"/>
        <i x="1"/>
        <i x="6" nd="1"/>
        <i x="17" nd="1"/>
        <i x="23" nd="1"/>
        <i x="3" nd="1"/>
        <i x="7" nd="1"/>
        <i x="12" nd="1"/>
        <i x="18" nd="1"/>
        <i x="20" nd="1"/>
        <i x="21" nd="1"/>
        <i x="22" nd="1"/>
        <i x="24" nd="1"/>
        <i x="2" nd="1"/>
        <i x="4" nd="1"/>
        <i x="5" nd="1"/>
        <i x="8" nd="1"/>
        <i x="9" nd="1"/>
        <i x="10" nd="1"/>
        <i x="11" nd="1"/>
        <i x="13" nd="1"/>
        <i x="14" nd="1"/>
        <i x="15" nd="1"/>
        <i x="16" nd="1"/>
        <i x="19" nd="1"/>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319">
        <i x="0" s="1"/>
        <i x="310" s="1" nd="1"/>
        <i x="276" s="1" nd="1"/>
        <i x="132" s="1" nd="1"/>
        <i x="31" s="1" nd="1"/>
        <i x="108" s="1" nd="1"/>
        <i x="283" s="1" nd="1"/>
        <i x="311" s="1" nd="1"/>
        <i x="12" s="1" nd="1"/>
        <i x="272" s="1" nd="1"/>
        <i x="80" s="1" nd="1"/>
        <i x="225" s="1" nd="1"/>
        <i x="137" s="1" nd="1"/>
        <i x="56" s="1" nd="1"/>
        <i x="75" s="1" nd="1"/>
        <i x="177" s="1" nd="1"/>
        <i x="306" s="1" nd="1"/>
        <i x="119" s="1" nd="1"/>
        <i x="18" s="1" nd="1"/>
        <i x="235" s="1" nd="1"/>
        <i x="109" s="1" nd="1"/>
        <i x="169" s="1" nd="1"/>
        <i x="226" s="1" nd="1"/>
        <i x="143" s="1" nd="1"/>
        <i x="77" s="1" nd="1"/>
        <i x="86" s="1" nd="1"/>
        <i x="238" s="1" nd="1"/>
        <i x="277" s="1" nd="1"/>
        <i x="150" s="1" nd="1"/>
        <i x="194" s="1" nd="1"/>
        <i x="120" s="1" nd="1"/>
        <i x="236" s="1" nd="1"/>
        <i x="7" s="1" nd="1"/>
        <i x="58" s="1" nd="1"/>
        <i x="87" s="1" nd="1"/>
        <i x="267" s="1" nd="1"/>
        <i x="312" s="1" nd="1"/>
        <i x="95" s="1" nd="1"/>
        <i x="13" s="1" nd="1"/>
        <i x="303" s="1" nd="1"/>
        <i x="88" s="1" nd="1"/>
        <i x="144" s="1" nd="1"/>
        <i x="101" s="1" nd="1"/>
        <i x="157" s="1" nd="1"/>
        <i x="165" s="1" nd="1"/>
        <i x="70" s="1" nd="1"/>
        <i x="121" s="1" nd="1"/>
        <i x="38" s="1" nd="1"/>
        <i x="261" s="1" nd="1"/>
        <i x="170" s="1" nd="1"/>
        <i x="54" s="1" nd="1"/>
        <i x="59" s="1" nd="1"/>
        <i x="243" s="1" nd="1"/>
        <i x="171" s="1" nd="1"/>
        <i x="110" s="1" nd="1"/>
        <i x="212" s="1" nd="1"/>
        <i x="313" s="1" nd="1"/>
        <i x="244" s="1" nd="1"/>
        <i x="172" s="1" nd="1"/>
        <i x="284" s="1" nd="1"/>
        <i x="214" s="1" nd="1"/>
        <i x="133" s="1" nd="1"/>
        <i x="76" s="1" nd="1"/>
        <i x="19" s="1" nd="1"/>
        <i x="35" s="1" nd="1"/>
        <i x="215" s="1" nd="1"/>
        <i x="158" s="1" nd="1"/>
        <i x="184" s="1" nd="1"/>
        <i x="81" s="1" nd="1"/>
        <i x="102" s="1" nd="1"/>
        <i x="307" s="1" nd="1"/>
        <i x="159" s="1" nd="1"/>
        <i x="245" s="1" nd="1"/>
        <i x="248" s="1" nd="1"/>
        <i x="188" s="1" nd="1"/>
        <i x="268" s="1" nd="1"/>
        <i x="138" s="1" nd="1"/>
        <i x="160" s="1" nd="1"/>
        <i x="151" s="1" nd="1"/>
        <i x="51" s="1" nd="1"/>
        <i x="314" s="1" nd="1"/>
        <i x="117" s="1" nd="1"/>
        <i x="249" s="1" nd="1"/>
        <i x="189" s="1" nd="1"/>
        <i x="304" s="1" nd="1"/>
        <i x="14" s="1" nd="1"/>
        <i x="213" s="1" nd="1"/>
        <i x="9" s="1" nd="1"/>
        <i x="178" s="1" nd="1"/>
        <i x="315" s="1" nd="1"/>
        <i x="32" s="1" nd="1"/>
        <i x="152" s="1" nd="1"/>
        <i x="195" s="1" nd="1"/>
        <i x="10" s="1" nd="1"/>
        <i x="290" s="1" nd="1"/>
        <i x="145" s="1" nd="1"/>
        <i x="255" s="1" nd="1"/>
        <i x="122" s="1" nd="1"/>
        <i x="251" s="1" nd="1"/>
        <i x="239" s="1" nd="1"/>
        <i x="258" s="1" nd="1"/>
        <i x="36" s="1" nd="1"/>
        <i x="161" s="1" nd="1"/>
        <i x="227" s="1" nd="1"/>
        <i x="118" s="1" nd="1"/>
        <i x="259" s="1" nd="1"/>
        <i x="237" s="1" nd="1"/>
        <i x="71" s="1" nd="1"/>
        <i x="273" s="1" nd="1"/>
        <i x="293" s="1" nd="1"/>
        <i x="39" s="1" nd="1"/>
        <i x="200" s="1" nd="1"/>
        <i x="218" s="1" nd="1"/>
        <i x="231" s="1" nd="1"/>
        <i x="262" s="1" nd="1"/>
        <i x="285" s="1" nd="1"/>
        <i x="53" s="1" nd="1"/>
        <i x="269" s="1" nd="1"/>
        <i x="179" s="1" nd="1"/>
        <i x="316" s="1" nd="1"/>
        <i x="219" s="1" nd="1"/>
        <i x="278" s="1" nd="1"/>
        <i x="89" s="1" nd="1"/>
        <i x="60" s="1" nd="1"/>
        <i x="123" s="1" nd="1"/>
        <i x="33" s="1" nd="1"/>
        <i x="256" s="1" nd="1"/>
        <i x="180" s="1" nd="1"/>
        <i x="263" s="1" nd="1"/>
        <i x="173" s="1" nd="1"/>
        <i x="72" s="1" nd="1"/>
        <i x="250" s="1" nd="1"/>
        <i x="126" s="1" nd="1"/>
        <i x="61" s="1" nd="1"/>
        <i x="162" s="1" nd="1"/>
        <i x="206" s="1" nd="1"/>
        <i x="252" s="1" nd="1"/>
        <i x="127" s="1" nd="1"/>
        <i x="114" s="1" nd="1"/>
        <i x="294" s="1" nd="1"/>
        <i x="317" s="1" nd="1"/>
        <i x="1" s="1" nd="1"/>
        <i x="286" s="1" nd="1"/>
        <i x="111" s="1" nd="1"/>
        <i x="318" s="1" nd="1"/>
        <i x="220" s="1" nd="1"/>
        <i x="228" s="1" nd="1"/>
        <i x="232" s="1" nd="1"/>
        <i x="298" s="1" nd="1"/>
        <i x="45" s="1" nd="1"/>
        <i x="264" s="1" nd="1"/>
        <i x="223" s="1" nd="1"/>
        <i x="82" s="1" nd="1"/>
        <i x="128" s="1" nd="1"/>
        <i x="240" s="1" nd="1"/>
        <i x="196" s="1" nd="1"/>
        <i x="62" s="1" nd="1"/>
        <i x="216" s="1" nd="1"/>
        <i x="15" s="1" nd="1"/>
        <i x="103" s="1" nd="1"/>
        <i x="153" s="1" nd="1"/>
        <i x="134" s="1" nd="1"/>
        <i x="83" s="1" nd="1"/>
        <i x="24" s="1" nd="1"/>
        <i x="154" s="1" nd="1"/>
        <i x="197" s="1" nd="1"/>
        <i x="104" s="1" nd="1"/>
        <i x="265" s="1" nd="1"/>
        <i x="146" s="1" nd="1"/>
        <i x="129" s="1" nd="1"/>
        <i x="155" s="1" nd="1"/>
        <i x="96" s="1" nd="1"/>
        <i x="246" s="1" nd="1"/>
        <i x="163" s="1" nd="1"/>
        <i x="78" s="1" nd="1"/>
        <i x="46" s="1" nd="1"/>
        <i x="105" s="1" nd="1"/>
        <i x="2" s="1" nd="1"/>
        <i x="55" s="1" nd="1"/>
        <i x="37" s="1" nd="1"/>
        <i x="11" s="1" nd="1"/>
        <i x="221" s="1" nd="1"/>
        <i x="279" s="1" nd="1"/>
        <i x="40" s="1" nd="1"/>
        <i x="207" s="1" nd="1"/>
        <i x="147" s="1" nd="1"/>
        <i x="84" s="1" nd="1"/>
        <i x="49" s="1" nd="1"/>
        <i x="112" s="1" nd="1"/>
        <i x="25" s="1" nd="1"/>
        <i x="63" s="1" nd="1"/>
        <i x="217" s="1" nd="1"/>
        <i x="274" s="1" nd="1"/>
        <i x="97" s="1" nd="1"/>
        <i x="47" s="1" nd="1"/>
        <i x="106" s="1" nd="1"/>
        <i x="208" s="1" nd="1"/>
        <i x="20" s="1" nd="1"/>
        <i x="224" s="1" nd="1"/>
        <i x="287" s="1" nd="1"/>
        <i x="190" s="1" nd="1"/>
        <i x="3" s="1" nd="1"/>
        <i x="253" s="1" nd="1"/>
        <i x="73" s="1" nd="1"/>
        <i x="65" s="1" nd="1"/>
        <i x="29" s="1" nd="1"/>
        <i x="21" s="1" nd="1"/>
        <i x="174" s="1" nd="1"/>
        <i x="130" s="1" nd="1"/>
        <i x="131" s="1" nd="1"/>
        <i x="64" s="1" nd="1"/>
        <i x="135" s="1" nd="1"/>
        <i x="27" s="1" nd="1"/>
        <i x="295" s="1" nd="1"/>
        <i x="299" s="1" nd="1"/>
        <i x="185" s="1" nd="1"/>
        <i x="22" s="1" nd="1"/>
        <i x="34" s="1" nd="1"/>
        <i x="48" s="1" nd="1"/>
        <i x="241" s="1" nd="1"/>
        <i x="90" s="1" nd="1"/>
        <i x="41" s="1" nd="1"/>
        <i x="181" s="1" nd="1"/>
        <i x="247" s="1" nd="1"/>
        <i x="201" s="1" nd="1"/>
        <i x="66" s="1" nd="1"/>
        <i x="300" s="1" nd="1"/>
        <i x="4" s="1" nd="1"/>
        <i x="191" s="1" nd="1"/>
        <i x="91" s="1" nd="1"/>
        <i x="296" s="1" nd="1"/>
        <i x="202" s="1" nd="1"/>
        <i x="16" s="1" nd="1"/>
        <i x="280" s="1" nd="1"/>
        <i x="30" s="1" nd="1"/>
        <i x="79" s="1" nd="1"/>
        <i x="166" s="1" nd="1"/>
        <i x="124" s="1" nd="1"/>
        <i x="209" s="1" nd="1"/>
        <i x="266" s="1" nd="1"/>
        <i x="175" s="1" nd="1"/>
        <i x="192" s="1" nd="1"/>
        <i x="92" s="1" nd="1"/>
        <i x="254" s="1" nd="1"/>
        <i x="198" s="1" nd="1"/>
        <i x="28" s="1" nd="1"/>
        <i x="98" s="1" nd="1"/>
        <i x="26" s="1" nd="1"/>
        <i x="74" s="1" nd="1"/>
        <i x="291" s="1" nd="1"/>
        <i x="93" s="1" nd="1"/>
        <i x="113" s="1" nd="1"/>
        <i x="275" s="1" nd="1"/>
        <i x="42" s="1" nd="1"/>
        <i x="182" s="1" nd="1"/>
        <i x="203" s="1" nd="1"/>
        <i x="67" s="1" nd="1"/>
        <i x="222" s="1" nd="1"/>
        <i x="210" s="1" nd="1"/>
        <i x="156" s="1" nd="1"/>
        <i x="94" s="1" nd="1"/>
        <i x="115" s="1" nd="1"/>
        <i x="136" s="1" nd="1"/>
        <i x="164" s="1" nd="1"/>
        <i x="43" s="1" nd="1"/>
        <i x="99" s="1" nd="1"/>
        <i x="139" s="1" nd="1"/>
        <i x="281" s="1" nd="1"/>
        <i x="167" s="1" nd="1"/>
        <i x="148" s="1" nd="1"/>
        <i x="8" s="1" nd="1"/>
        <i x="57" s="1" nd="1"/>
        <i x="242" s="1" nd="1"/>
        <i x="308" s="1" nd="1"/>
        <i x="116" s="1" nd="1"/>
        <i x="199" s="1" nd="1"/>
        <i x="229" s="1" nd="1"/>
        <i x="44" s="1" nd="1"/>
        <i x="140" s="1" nd="1"/>
        <i x="282" s="1" nd="1"/>
        <i x="168" s="1" nd="1"/>
        <i x="233" s="1" nd="1"/>
        <i x="186" s="1" nd="1"/>
        <i x="125" s="1" nd="1"/>
        <i x="211" s="1" nd="1"/>
        <i x="50" s="1" nd="1"/>
        <i x="193" s="1" nd="1"/>
        <i x="204" s="1" nd="1"/>
        <i x="141" s="1" nd="1"/>
        <i x="301" s="1" nd="1"/>
        <i x="288" s="1" nd="1"/>
        <i x="205" s="1" nd="1"/>
        <i x="17" s="1" nd="1"/>
        <i x="234" s="1" nd="1"/>
        <i x="302" s="1" nd="1"/>
        <i x="100" s="1" nd="1"/>
        <i x="5" s="1" nd="1"/>
        <i x="305" s="1" nd="1"/>
        <i x="52" s="1" nd="1"/>
        <i x="230" s="1" nd="1"/>
        <i x="107" s="1" nd="1"/>
        <i x="23" s="1" nd="1"/>
        <i x="176" s="1" nd="1"/>
        <i x="270" s="1" nd="1"/>
        <i x="257" s="1" nd="1"/>
        <i x="292" s="1" nd="1"/>
        <i x="6" s="1" nd="1"/>
        <i x="289" s="1" nd="1"/>
        <i x="85" s="1" nd="1"/>
        <i x="260" s="1" nd="1"/>
        <i x="68" s="1" nd="1"/>
        <i x="69" s="1" nd="1"/>
        <i x="149" s="1" nd="1"/>
        <i x="309" s="1" nd="1"/>
        <i x="297" s="1" nd="1"/>
        <i x="183" s="1" nd="1"/>
        <i x="142" s="1" nd="1"/>
        <i x="187" s="1" nd="1"/>
        <i x="27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23" rowHeight="241300"/>
  <slicer name="SIMULATIONID" cache="Slicer_SIMULATIONID" caption="SIMULATIONID" startItem="4"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7"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 name="SEQUENCEID 1" cache="Slicer_SEQUENCEID1" caption="SEQUENC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 name="SEQUENCEID" cache="Slicer_SEQUENCEID" caption="SEQUENCEID" rowHeight="241300"/>
  <slicer name="PROCESSID 3" cache="Slicer_PROCESSID111"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1372" tableType="queryTable" totalsRowShown="0">
  <autoFilter ref="A1:J1372"/>
  <sortState ref="A2:J1372">
    <sortCondition descending="1" ref="F2:F175"/>
    <sortCondition ref="E2:E175"/>
  </sortState>
  <tableColumns count="10">
    <tableColumn id="5" uniqueName="5" name="SIMULATIONID" queryTableFieldId="13" dataDxfId="11"/>
    <tableColumn id="1" uniqueName="1" name="PROCESSID" queryTableFieldId="1"/>
    <tableColumn id="12" uniqueName="12" name="NETPROCESSID" queryTableFieldId="29" dataDxfId="10"/>
    <tableColumn id="2" uniqueName="2" name="CLIENTNAME" queryTableFieldId="2"/>
    <tableColumn id="4" uniqueName="4" name="SEQUENCEID" queryTableFieldId="34" dataDxfId="9"/>
    <tableColumn id="3" uniqueName="3" name="CLIENTSTART" queryTableFieldId="3" dataDxfId="8"/>
    <tableColumn id="7" uniqueName="7" name="DOTRAINING" queryTableFieldId="7"/>
    <tableColumn id="6" uniqueName="6" name="SIMULATIONSTARTTRAIN" queryTableFieldId="10" dataDxfId="7"/>
    <tableColumn id="10" uniqueName="10" name="SIMULATIONSTARTINFER" queryTableFieldId="11" dataDxfId="6"/>
    <tableColumn id="9" uniqueName="9" name="Duration" queryTableFieldId="33" dataDxfId="5"/>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297</v>
      </c>
      <c r="B1" s="29">
        <v>10</v>
      </c>
    </row>
    <row r="2" spans="1:8" x14ac:dyDescent="0.25">
      <c r="A2" t="s">
        <v>296</v>
      </c>
      <c r="B2" s="29">
        <v>3</v>
      </c>
    </row>
    <row r="3" spans="1:8" x14ac:dyDescent="0.25">
      <c r="A3" t="s">
        <v>295</v>
      </c>
      <c r="B3" s="29">
        <v>4</v>
      </c>
    </row>
    <row r="4" spans="1:8" x14ac:dyDescent="0.25">
      <c r="A4" t="s">
        <v>294</v>
      </c>
      <c r="B4" s="29">
        <v>20</v>
      </c>
    </row>
    <row r="5" spans="1:8" x14ac:dyDescent="0.25">
      <c r="A5" t="s">
        <v>293</v>
      </c>
      <c r="B5" s="29" t="b">
        <v>1</v>
      </c>
    </row>
    <row r="6" spans="1:8" x14ac:dyDescent="0.25">
      <c r="A6" t="s">
        <v>292</v>
      </c>
      <c r="B6" s="29" t="b">
        <v>1</v>
      </c>
      <c r="F6" s="5" t="s">
        <v>291</v>
      </c>
      <c r="G6" s="30">
        <f>SUM(G8:G15)</f>
        <v>3123</v>
      </c>
      <c r="H6" s="30">
        <f>SUM(H8:H15)</f>
        <v>2167362</v>
      </c>
    </row>
    <row r="7" spans="1:8" x14ac:dyDescent="0.25">
      <c r="C7" t="s">
        <v>290</v>
      </c>
      <c r="E7" t="s">
        <v>289</v>
      </c>
      <c r="F7" t="s">
        <v>288</v>
      </c>
      <c r="G7" s="30" t="s">
        <v>287</v>
      </c>
      <c r="H7" s="30" t="s">
        <v>286</v>
      </c>
    </row>
    <row r="8" spans="1:8" x14ac:dyDescent="0.25">
      <c r="A8" t="s">
        <v>285</v>
      </c>
      <c r="B8">
        <f>COUNT(C8:C24)+2</f>
        <v>3</v>
      </c>
      <c r="C8" s="29">
        <v>1</v>
      </c>
      <c r="E8">
        <v>0</v>
      </c>
      <c r="F8">
        <f>+B1*B3*B4+IF(B6,1,0)</f>
        <v>801</v>
      </c>
      <c r="G8" s="28">
        <f t="shared" ref="G8:G14" si="0">F8+IF($B$5,G9,0)</f>
        <v>1842</v>
      </c>
      <c r="H8" s="28"/>
    </row>
    <row r="9" spans="1:8" x14ac:dyDescent="0.25">
      <c r="A9" t="s">
        <v>284</v>
      </c>
      <c r="B9">
        <f>B2*B3*B4</f>
        <v>240</v>
      </c>
      <c r="C9" s="29"/>
      <c r="E9">
        <v>1</v>
      </c>
      <c r="F9">
        <f t="shared" ref="F9:F15" si="1">IF(E9&gt;($B$8-1),0,IF(C8&gt;0,F8*C8,$B$9))</f>
        <v>801</v>
      </c>
      <c r="G9" s="28">
        <f t="shared" si="0"/>
        <v>1041</v>
      </c>
      <c r="H9" s="28">
        <f t="shared" ref="H9:H15" si="2">+G9*G8</f>
        <v>1917522</v>
      </c>
    </row>
    <row r="10" spans="1:8" x14ac:dyDescent="0.25">
      <c r="C10" s="29"/>
      <c r="E10">
        <v>2</v>
      </c>
      <c r="F10">
        <f t="shared" si="1"/>
        <v>240</v>
      </c>
      <c r="G10" s="28">
        <f t="shared" si="0"/>
        <v>240</v>
      </c>
      <c r="H10" s="28">
        <f t="shared" si="2"/>
        <v>249840</v>
      </c>
    </row>
    <row r="11" spans="1:8" x14ac:dyDescent="0.25">
      <c r="C11" s="29"/>
      <c r="E11">
        <v>3</v>
      </c>
      <c r="F11">
        <f t="shared" si="1"/>
        <v>0</v>
      </c>
      <c r="G11" s="28">
        <f t="shared" si="0"/>
        <v>0</v>
      </c>
      <c r="H11" s="28">
        <f t="shared" si="2"/>
        <v>0</v>
      </c>
    </row>
    <row r="12" spans="1:8" x14ac:dyDescent="0.25">
      <c r="C12" s="29"/>
      <c r="E12">
        <v>4</v>
      </c>
      <c r="F12">
        <f t="shared" si="1"/>
        <v>0</v>
      </c>
      <c r="G12" s="28">
        <f t="shared" si="0"/>
        <v>0</v>
      </c>
      <c r="H12" s="28">
        <f t="shared" si="2"/>
        <v>0</v>
      </c>
    </row>
    <row r="13" spans="1:8" x14ac:dyDescent="0.25">
      <c r="C13" s="29"/>
      <c r="E13">
        <v>5</v>
      </c>
      <c r="F13">
        <f t="shared" si="1"/>
        <v>0</v>
      </c>
      <c r="G13" s="28">
        <f t="shared" si="0"/>
        <v>0</v>
      </c>
      <c r="H13" s="28">
        <f t="shared" si="2"/>
        <v>0</v>
      </c>
    </row>
    <row r="14" spans="1:8" x14ac:dyDescent="0.25">
      <c r="E14">
        <v>6</v>
      </c>
      <c r="F14">
        <f t="shared" si="1"/>
        <v>0</v>
      </c>
      <c r="G14" s="28">
        <f t="shared" si="0"/>
        <v>0</v>
      </c>
      <c r="H14" s="28">
        <f t="shared" si="2"/>
        <v>0</v>
      </c>
    </row>
    <row r="15" spans="1:8" x14ac:dyDescent="0.25">
      <c r="E15">
        <v>7</v>
      </c>
      <c r="F15">
        <f t="shared" si="1"/>
        <v>0</v>
      </c>
      <c r="G15" s="28">
        <f>F15+IF($B$5,G17,0)</f>
        <v>0</v>
      </c>
      <c r="H15" s="28">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2"/>
  <sheetViews>
    <sheetView zoomScale="85" zoomScaleNormal="85" workbookViewId="0">
      <selection activeCell="C7" sqref="C7"/>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2.28515625" bestFit="1" customWidth="1"/>
  </cols>
  <sheetData>
    <row r="1" spans="1:6" ht="18.75" x14ac:dyDescent="0.3">
      <c r="A1" s="1" t="s">
        <v>0</v>
      </c>
      <c r="B1" t="s">
        <v>2</v>
      </c>
      <c r="C1" t="s">
        <v>115</v>
      </c>
      <c r="E1" s="5" t="s">
        <v>11</v>
      </c>
      <c r="F1" s="27">
        <f>VLOOKUP(COUNT($B:$B)-2,$A:$B,2,FALSE)</f>
        <v>3.1952834688127002E-3</v>
      </c>
    </row>
    <row r="2" spans="1:6" x14ac:dyDescent="0.25">
      <c r="A2" s="2">
        <v>0</v>
      </c>
      <c r="B2" s="3">
        <v>7.5544430874288099E-3</v>
      </c>
      <c r="C2" s="4">
        <v>1844</v>
      </c>
      <c r="E2" s="5" t="s">
        <v>116</v>
      </c>
      <c r="F2" s="4">
        <f>GETPIVOTDATA("Average of DURATION",$A$1)</f>
        <v>1832.8133333333333</v>
      </c>
    </row>
    <row r="3" spans="1:6" x14ac:dyDescent="0.25">
      <c r="A3" s="2">
        <v>1</v>
      </c>
      <c r="B3" s="3">
        <v>4.5651360414922203E-3</v>
      </c>
      <c r="C3" s="4">
        <v>1803</v>
      </c>
    </row>
    <row r="4" spans="1:6" x14ac:dyDescent="0.25">
      <c r="A4" s="2">
        <v>2</v>
      </c>
      <c r="B4" s="3">
        <v>3.6444794386625299E-3</v>
      </c>
      <c r="C4" s="4">
        <v>1805</v>
      </c>
    </row>
    <row r="5" spans="1:6" x14ac:dyDescent="0.25">
      <c r="A5" s="2">
        <v>3</v>
      </c>
      <c r="B5" s="3">
        <v>3.5057824570685599E-3</v>
      </c>
      <c r="C5" s="4">
        <v>1823</v>
      </c>
    </row>
    <row r="6" spans="1:6" x14ac:dyDescent="0.25">
      <c r="A6" s="2">
        <v>4</v>
      </c>
      <c r="B6" s="3">
        <v>3.44414566643536E-3</v>
      </c>
      <c r="C6" s="4">
        <v>1804</v>
      </c>
    </row>
    <row r="7" spans="1:6" x14ac:dyDescent="0.25">
      <c r="A7" s="2">
        <v>5</v>
      </c>
      <c r="B7" s="3">
        <v>3.3924982417374802E-3</v>
      </c>
      <c r="C7" s="4">
        <v>1827</v>
      </c>
    </row>
    <row r="8" spans="1:6" x14ac:dyDescent="0.25">
      <c r="A8" s="2">
        <v>6</v>
      </c>
      <c r="B8" s="3">
        <v>3.4142783842980901E-3</v>
      </c>
      <c r="C8" s="4">
        <v>1898</v>
      </c>
    </row>
    <row r="9" spans="1:6" x14ac:dyDescent="0.25">
      <c r="A9" s="2">
        <v>7</v>
      </c>
      <c r="B9" s="3">
        <v>3.3333995379507498E-3</v>
      </c>
      <c r="C9" s="4">
        <v>1804</v>
      </c>
    </row>
    <row r="10" spans="1:6" x14ac:dyDescent="0.25">
      <c r="A10" s="2">
        <v>8</v>
      </c>
      <c r="B10" s="3">
        <v>3.3221947960555601E-3</v>
      </c>
      <c r="C10" s="4">
        <v>1804</v>
      </c>
    </row>
    <row r="11" spans="1:6" x14ac:dyDescent="0.25">
      <c r="A11" s="2">
        <v>9</v>
      </c>
      <c r="B11" s="3">
        <v>3.3175505232065899E-3</v>
      </c>
      <c r="C11" s="4">
        <v>1802</v>
      </c>
    </row>
    <row r="12" spans="1:6" x14ac:dyDescent="0.25">
      <c r="A12" s="2">
        <v>10</v>
      </c>
      <c r="B12" s="3">
        <v>3.2938378863036598E-3</v>
      </c>
      <c r="C12" s="4">
        <v>1819</v>
      </c>
    </row>
    <row r="13" spans="1:6" x14ac:dyDescent="0.25">
      <c r="A13" s="2">
        <v>11</v>
      </c>
      <c r="B13" s="3">
        <v>3.2995224464684699E-3</v>
      </c>
      <c r="C13" s="4">
        <v>1911</v>
      </c>
    </row>
    <row r="14" spans="1:6" x14ac:dyDescent="0.25">
      <c r="A14" s="2">
        <v>12</v>
      </c>
      <c r="B14" s="3">
        <v>3.30204167403281E-3</v>
      </c>
      <c r="C14" s="4">
        <v>1829</v>
      </c>
    </row>
    <row r="15" spans="1:6" x14ac:dyDescent="0.25">
      <c r="A15" s="2">
        <v>13</v>
      </c>
      <c r="B15" s="3">
        <v>3.27929644845426E-3</v>
      </c>
      <c r="C15" s="4">
        <v>1802</v>
      </c>
    </row>
    <row r="16" spans="1:6" x14ac:dyDescent="0.25">
      <c r="A16" s="2">
        <v>14</v>
      </c>
      <c r="B16" s="3">
        <v>3.2878278288990298E-3</v>
      </c>
      <c r="C16" s="4">
        <v>1806</v>
      </c>
    </row>
    <row r="17" spans="1:3" x14ac:dyDescent="0.25">
      <c r="A17" s="2">
        <v>15</v>
      </c>
      <c r="B17" s="3">
        <v>3.2782184425741399E-3</v>
      </c>
      <c r="C17" s="4">
        <v>1866</v>
      </c>
    </row>
    <row r="18" spans="1:3" x14ac:dyDescent="0.25">
      <c r="A18" s="2">
        <v>16</v>
      </c>
      <c r="B18" s="3">
        <v>3.26258619315922E-3</v>
      </c>
      <c r="C18" s="4">
        <v>1803</v>
      </c>
    </row>
    <row r="19" spans="1:3" x14ac:dyDescent="0.25">
      <c r="A19" s="2">
        <v>17</v>
      </c>
      <c r="B19" s="3">
        <v>3.2980507239699398E-3</v>
      </c>
      <c r="C19" s="4">
        <v>1940</v>
      </c>
    </row>
    <row r="20" spans="1:3" x14ac:dyDescent="0.25">
      <c r="A20" s="2">
        <v>18</v>
      </c>
      <c r="B20" s="3">
        <v>3.2734442502260199E-3</v>
      </c>
      <c r="C20" s="4">
        <v>1807</v>
      </c>
    </row>
    <row r="21" spans="1:3" x14ac:dyDescent="0.25">
      <c r="A21" s="2">
        <v>19</v>
      </c>
      <c r="B21" s="3">
        <v>3.25151020660996E-3</v>
      </c>
      <c r="C21" s="4">
        <v>1804</v>
      </c>
    </row>
    <row r="22" spans="1:3" x14ac:dyDescent="0.25">
      <c r="A22" s="2">
        <v>20</v>
      </c>
      <c r="B22" s="3">
        <v>3.2974563073366902E-3</v>
      </c>
      <c r="C22" s="4">
        <v>1803</v>
      </c>
    </row>
    <row r="23" spans="1:3" x14ac:dyDescent="0.25">
      <c r="A23" s="2">
        <v>21</v>
      </c>
      <c r="B23" s="3">
        <v>3.2704742625355699E-3</v>
      </c>
      <c r="C23" s="4">
        <v>1807</v>
      </c>
    </row>
    <row r="24" spans="1:3" x14ac:dyDescent="0.25">
      <c r="A24" s="2">
        <v>22</v>
      </c>
      <c r="B24" s="3">
        <v>3.2521013636141998E-3</v>
      </c>
      <c r="C24" s="4">
        <v>1828</v>
      </c>
    </row>
    <row r="25" spans="1:3" x14ac:dyDescent="0.25">
      <c r="A25" s="2">
        <v>23</v>
      </c>
      <c r="B25" s="3">
        <v>3.2594201620668199E-3</v>
      </c>
      <c r="C25" s="4">
        <v>1801</v>
      </c>
    </row>
    <row r="26" spans="1:3" x14ac:dyDescent="0.25">
      <c r="A26" s="2">
        <v>24</v>
      </c>
      <c r="B26" s="3">
        <v>3.2639205455779999E-3</v>
      </c>
      <c r="C26" s="4">
        <v>1968</v>
      </c>
    </row>
    <row r="27" spans="1:3" x14ac:dyDescent="0.25">
      <c r="A27" s="2">
        <v>25</v>
      </c>
      <c r="B27" s="3">
        <v>3.2460934016853601E-3</v>
      </c>
      <c r="C27" s="4">
        <v>1846</v>
      </c>
    </row>
    <row r="28" spans="1:3" x14ac:dyDescent="0.25">
      <c r="A28" s="2">
        <v>26</v>
      </c>
      <c r="B28" s="3">
        <v>3.2484675757586999E-3</v>
      </c>
      <c r="C28" s="4">
        <v>1819</v>
      </c>
    </row>
    <row r="29" spans="1:3" x14ac:dyDescent="0.25">
      <c r="A29" s="2">
        <v>27</v>
      </c>
      <c r="B29" s="3">
        <v>3.28436587005854E-3</v>
      </c>
      <c r="C29" s="4">
        <v>1803</v>
      </c>
    </row>
    <row r="30" spans="1:3" x14ac:dyDescent="0.25">
      <c r="A30" s="2">
        <v>28</v>
      </c>
      <c r="B30" s="3">
        <v>3.2714845146983901E-3</v>
      </c>
      <c r="C30" s="4">
        <v>1805</v>
      </c>
    </row>
    <row r="31" spans="1:3" x14ac:dyDescent="0.25">
      <c r="A31" s="2">
        <v>29</v>
      </c>
      <c r="B31" s="3">
        <v>3.2495772466063499E-3</v>
      </c>
      <c r="C31" s="4">
        <v>1803</v>
      </c>
    </row>
    <row r="32" spans="1:3" x14ac:dyDescent="0.25">
      <c r="A32" s="2">
        <v>30</v>
      </c>
      <c r="B32" s="3">
        <v>3.2885356340557302E-3</v>
      </c>
      <c r="C32" s="4">
        <v>1804</v>
      </c>
    </row>
    <row r="33" spans="1:3" x14ac:dyDescent="0.25">
      <c r="A33" s="2">
        <v>31</v>
      </c>
      <c r="B33" s="3">
        <v>3.2487197313457701E-3</v>
      </c>
      <c r="C33" s="4">
        <v>1805</v>
      </c>
    </row>
    <row r="34" spans="1:3" x14ac:dyDescent="0.25">
      <c r="A34" s="2">
        <v>32</v>
      </c>
      <c r="B34" s="3">
        <v>3.2520166132599098E-3</v>
      </c>
      <c r="C34" s="4">
        <v>1858</v>
      </c>
    </row>
    <row r="35" spans="1:3" x14ac:dyDescent="0.25">
      <c r="A35" s="2">
        <v>33</v>
      </c>
      <c r="B35" s="3">
        <v>3.2858541235327699E-3</v>
      </c>
      <c r="C35" s="4">
        <v>1950</v>
      </c>
    </row>
    <row r="36" spans="1:3" x14ac:dyDescent="0.25">
      <c r="A36" s="2">
        <v>34</v>
      </c>
      <c r="B36" s="3">
        <v>3.2409075647592501E-3</v>
      </c>
      <c r="C36" s="4">
        <v>1801</v>
      </c>
    </row>
    <row r="37" spans="1:3" x14ac:dyDescent="0.25">
      <c r="A37" s="2">
        <v>35</v>
      </c>
      <c r="B37" s="3">
        <v>3.23455827310681E-3</v>
      </c>
      <c r="C37" s="4">
        <v>1804</v>
      </c>
    </row>
    <row r="38" spans="1:3" x14ac:dyDescent="0.25">
      <c r="A38" s="2">
        <v>36</v>
      </c>
      <c r="B38" s="3">
        <v>3.2504927366972E-3</v>
      </c>
      <c r="C38" s="4">
        <v>1808</v>
      </c>
    </row>
    <row r="39" spans="1:3" x14ac:dyDescent="0.25">
      <c r="A39" s="2">
        <v>37</v>
      </c>
      <c r="B39" s="3">
        <v>3.2414866145700199E-3</v>
      </c>
      <c r="C39" s="4">
        <v>1806</v>
      </c>
    </row>
    <row r="40" spans="1:3" x14ac:dyDescent="0.25">
      <c r="A40" s="2">
        <v>38</v>
      </c>
      <c r="B40" s="3">
        <v>3.2408782280981502E-3</v>
      </c>
      <c r="C40" s="4">
        <v>1802</v>
      </c>
    </row>
    <row r="41" spans="1:3" x14ac:dyDescent="0.25">
      <c r="A41" s="2">
        <v>39</v>
      </c>
      <c r="B41" s="3">
        <v>3.2925701234489701E-3</v>
      </c>
      <c r="C41" s="4">
        <v>1802</v>
      </c>
    </row>
    <row r="42" spans="1:3" x14ac:dyDescent="0.25">
      <c r="A42" s="2">
        <v>40</v>
      </c>
      <c r="B42" s="3">
        <v>3.2639387063682101E-3</v>
      </c>
      <c r="C42" s="4">
        <v>1893</v>
      </c>
    </row>
    <row r="43" spans="1:3" x14ac:dyDescent="0.25">
      <c r="A43" s="2">
        <v>41</v>
      </c>
      <c r="B43" s="3">
        <v>3.2485534902662E-3</v>
      </c>
      <c r="C43" s="4">
        <v>1806</v>
      </c>
    </row>
    <row r="44" spans="1:3" x14ac:dyDescent="0.25">
      <c r="A44" s="2">
        <v>42</v>
      </c>
      <c r="B44" s="3">
        <v>3.2740072347223802E-3</v>
      </c>
      <c r="C44" s="4">
        <v>1948</v>
      </c>
    </row>
    <row r="45" spans="1:3" x14ac:dyDescent="0.25">
      <c r="A45" s="2">
        <v>43</v>
      </c>
      <c r="B45" s="3">
        <v>3.2453942112624602E-3</v>
      </c>
      <c r="C45" s="4">
        <v>1933</v>
      </c>
    </row>
    <row r="46" spans="1:3" x14ac:dyDescent="0.25">
      <c r="A46" s="2">
        <v>44</v>
      </c>
      <c r="B46" s="3">
        <v>3.2223928719759E-3</v>
      </c>
      <c r="C46" s="4">
        <v>1816</v>
      </c>
    </row>
    <row r="47" spans="1:3" x14ac:dyDescent="0.25">
      <c r="A47" s="2">
        <v>45</v>
      </c>
      <c r="B47" s="3">
        <v>3.2343869097530798E-3</v>
      </c>
      <c r="C47" s="4">
        <v>1869</v>
      </c>
    </row>
    <row r="48" spans="1:3" x14ac:dyDescent="0.25">
      <c r="A48" s="2">
        <v>46</v>
      </c>
      <c r="B48" s="3">
        <v>3.23796691372991E-3</v>
      </c>
      <c r="C48" s="4">
        <v>1813</v>
      </c>
    </row>
    <row r="49" spans="1:3" x14ac:dyDescent="0.25">
      <c r="A49" s="2">
        <v>47</v>
      </c>
      <c r="B49" s="3">
        <v>3.2230094075202899E-3</v>
      </c>
      <c r="C49" s="4">
        <v>1816</v>
      </c>
    </row>
    <row r="50" spans="1:3" x14ac:dyDescent="0.25">
      <c r="A50" s="2">
        <v>48</v>
      </c>
      <c r="B50" s="3">
        <v>3.2366181258112201E-3</v>
      </c>
      <c r="C50" s="4">
        <v>1831</v>
      </c>
    </row>
    <row r="51" spans="1:3" x14ac:dyDescent="0.25">
      <c r="A51" s="2">
        <v>49</v>
      </c>
      <c r="B51" s="3">
        <v>3.2731858082115698E-3</v>
      </c>
      <c r="C51" s="4">
        <v>1819</v>
      </c>
    </row>
    <row r="52" spans="1:3" x14ac:dyDescent="0.25">
      <c r="A52" s="2">
        <v>50</v>
      </c>
      <c r="B52" s="3">
        <v>3.2624483574181799E-3</v>
      </c>
      <c r="C52" s="4">
        <v>1831</v>
      </c>
    </row>
    <row r="53" spans="1:3" x14ac:dyDescent="0.25">
      <c r="A53" s="2">
        <v>51</v>
      </c>
      <c r="B53" s="3">
        <v>3.2983398996293501E-3</v>
      </c>
      <c r="C53" s="4">
        <v>1839</v>
      </c>
    </row>
    <row r="54" spans="1:3" x14ac:dyDescent="0.25">
      <c r="A54" s="2">
        <v>52</v>
      </c>
      <c r="B54" s="3">
        <v>3.2645033206790699E-3</v>
      </c>
      <c r="C54" s="4">
        <v>1806</v>
      </c>
    </row>
    <row r="55" spans="1:3" x14ac:dyDescent="0.25">
      <c r="A55" s="2">
        <v>53</v>
      </c>
      <c r="B55" s="3">
        <v>3.2495155464857799E-3</v>
      </c>
      <c r="C55" s="4">
        <v>1809</v>
      </c>
    </row>
    <row r="56" spans="1:3" x14ac:dyDescent="0.25">
      <c r="A56" s="2">
        <v>54</v>
      </c>
      <c r="B56" s="3">
        <v>3.2539004459977098E-3</v>
      </c>
      <c r="C56" s="4">
        <v>1820</v>
      </c>
    </row>
    <row r="57" spans="1:3" x14ac:dyDescent="0.25">
      <c r="A57" s="2">
        <v>55</v>
      </c>
      <c r="B57" s="3">
        <v>3.2412298023700701E-3</v>
      </c>
      <c r="C57" s="4">
        <v>1819</v>
      </c>
    </row>
    <row r="58" spans="1:3" x14ac:dyDescent="0.25">
      <c r="A58" s="2">
        <v>56</v>
      </c>
      <c r="B58" s="3">
        <v>3.2210845965892098E-3</v>
      </c>
      <c r="C58" s="4">
        <v>1817</v>
      </c>
    </row>
    <row r="59" spans="1:3" x14ac:dyDescent="0.25">
      <c r="A59" s="2">
        <v>57</v>
      </c>
      <c r="B59" s="3">
        <v>3.2712952233850999E-3</v>
      </c>
      <c r="C59" s="4">
        <v>1806</v>
      </c>
    </row>
    <row r="60" spans="1:3" x14ac:dyDescent="0.25">
      <c r="A60" s="2">
        <v>58</v>
      </c>
      <c r="B60" s="3">
        <v>3.2346700318157699E-3</v>
      </c>
      <c r="C60" s="4">
        <v>1808</v>
      </c>
    </row>
    <row r="61" spans="1:3" x14ac:dyDescent="0.25">
      <c r="A61" s="2">
        <v>59</v>
      </c>
      <c r="B61" s="3">
        <v>3.3088922500610399E-3</v>
      </c>
      <c r="C61" s="4">
        <v>1805</v>
      </c>
    </row>
    <row r="62" spans="1:3" x14ac:dyDescent="0.25">
      <c r="A62" s="2">
        <v>60</v>
      </c>
      <c r="B62" s="3">
        <v>3.26272286474705E-3</v>
      </c>
      <c r="C62" s="4">
        <v>1842</v>
      </c>
    </row>
    <row r="63" spans="1:3" x14ac:dyDescent="0.25">
      <c r="A63" s="2">
        <v>61</v>
      </c>
      <c r="B63" s="3">
        <v>3.2191337086260301E-3</v>
      </c>
      <c r="C63" s="4">
        <v>1810</v>
      </c>
    </row>
    <row r="64" spans="1:3" x14ac:dyDescent="0.25">
      <c r="A64" s="2">
        <v>62</v>
      </c>
      <c r="B64" s="3">
        <v>3.2114225905388598E-3</v>
      </c>
      <c r="C64" s="4">
        <v>1864</v>
      </c>
    </row>
    <row r="65" spans="1:3" x14ac:dyDescent="0.25">
      <c r="A65" s="2">
        <v>63</v>
      </c>
      <c r="B65" s="3">
        <v>3.2169693149626298E-3</v>
      </c>
      <c r="C65" s="4">
        <v>1808</v>
      </c>
    </row>
    <row r="66" spans="1:3" x14ac:dyDescent="0.25">
      <c r="A66" s="2">
        <v>64</v>
      </c>
      <c r="B66" s="3">
        <v>3.2624043524265298E-3</v>
      </c>
      <c r="C66" s="4">
        <v>1909</v>
      </c>
    </row>
    <row r="67" spans="1:3" x14ac:dyDescent="0.25">
      <c r="A67" s="2">
        <v>65</v>
      </c>
      <c r="B67" s="3">
        <v>3.23755759745836E-3</v>
      </c>
      <c r="C67" s="4">
        <v>1812</v>
      </c>
    </row>
    <row r="68" spans="1:3" x14ac:dyDescent="0.25">
      <c r="A68" s="2">
        <v>66</v>
      </c>
      <c r="B68" s="3">
        <v>3.30847897566855E-3</v>
      </c>
      <c r="C68" s="4">
        <v>1818</v>
      </c>
    </row>
    <row r="69" spans="1:3" x14ac:dyDescent="0.25">
      <c r="A69" s="2">
        <v>67</v>
      </c>
      <c r="B69" s="3">
        <v>3.2724766060710001E-3</v>
      </c>
      <c r="C69" s="4">
        <v>1803</v>
      </c>
    </row>
    <row r="70" spans="1:3" x14ac:dyDescent="0.25">
      <c r="A70" s="2">
        <v>68</v>
      </c>
      <c r="B70" s="3">
        <v>3.2482137903571098E-3</v>
      </c>
      <c r="C70" s="4">
        <v>1806</v>
      </c>
    </row>
    <row r="71" spans="1:3" x14ac:dyDescent="0.25">
      <c r="A71" s="2">
        <v>69</v>
      </c>
      <c r="B71" s="3">
        <v>3.2673254609108002E-3</v>
      </c>
      <c r="C71" s="4">
        <v>1807</v>
      </c>
    </row>
    <row r="72" spans="1:3" x14ac:dyDescent="0.25">
      <c r="A72" s="2">
        <v>70</v>
      </c>
      <c r="B72" s="3">
        <v>3.2514804042875801E-3</v>
      </c>
      <c r="C72" s="4">
        <v>1874</v>
      </c>
    </row>
    <row r="73" spans="1:3" x14ac:dyDescent="0.25">
      <c r="A73" s="2">
        <v>71</v>
      </c>
      <c r="B73" s="3">
        <v>3.24232433922589E-3</v>
      </c>
      <c r="C73" s="4">
        <v>1869</v>
      </c>
    </row>
    <row r="74" spans="1:3" x14ac:dyDescent="0.25">
      <c r="A74" s="2">
        <v>72</v>
      </c>
      <c r="B74" s="3">
        <v>3.3130862284451701E-3</v>
      </c>
      <c r="C74" s="4">
        <v>1835</v>
      </c>
    </row>
    <row r="75" spans="1:3" x14ac:dyDescent="0.25">
      <c r="A75" s="2">
        <v>73</v>
      </c>
      <c r="B75" s="3">
        <v>3.2158568501472499E-3</v>
      </c>
      <c r="C75" s="4">
        <v>1808</v>
      </c>
    </row>
    <row r="76" spans="1:3" x14ac:dyDescent="0.25">
      <c r="A76" s="2">
        <v>74</v>
      </c>
      <c r="B76" s="3">
        <v>3.2473220489919199E-3</v>
      </c>
      <c r="C76" s="4">
        <v>1805</v>
      </c>
    </row>
    <row r="77" spans="1:3" x14ac:dyDescent="0.25">
      <c r="A77" s="2">
        <v>75</v>
      </c>
      <c r="B77" s="3">
        <v>3.26227839104831E-3</v>
      </c>
      <c r="C77" s="4">
        <v>1821</v>
      </c>
    </row>
    <row r="78" spans="1:3" x14ac:dyDescent="0.25">
      <c r="A78" s="2">
        <v>76</v>
      </c>
      <c r="B78" s="3">
        <v>3.2189348712563502E-3</v>
      </c>
      <c r="C78" s="4">
        <v>1815</v>
      </c>
    </row>
    <row r="79" spans="1:3" x14ac:dyDescent="0.25">
      <c r="A79" s="2">
        <v>77</v>
      </c>
      <c r="B79" s="3">
        <v>3.2716649584472201E-3</v>
      </c>
      <c r="C79" s="4">
        <v>1809</v>
      </c>
    </row>
    <row r="80" spans="1:3" x14ac:dyDescent="0.25">
      <c r="A80" s="2">
        <v>78</v>
      </c>
      <c r="B80" s="3">
        <v>3.3103195019066299E-3</v>
      </c>
      <c r="C80" s="4">
        <v>1804</v>
      </c>
    </row>
    <row r="81" spans="1:3" x14ac:dyDescent="0.25">
      <c r="A81" s="2">
        <v>79</v>
      </c>
      <c r="B81" s="3">
        <v>3.25495563447475E-3</v>
      </c>
      <c r="C81" s="4">
        <v>1803</v>
      </c>
    </row>
    <row r="82" spans="1:3" x14ac:dyDescent="0.25">
      <c r="A82" s="2">
        <v>80</v>
      </c>
      <c r="B82" s="3">
        <v>3.2500762026757002E-3</v>
      </c>
      <c r="C82" s="4">
        <v>1903</v>
      </c>
    </row>
    <row r="83" spans="1:3" x14ac:dyDescent="0.25">
      <c r="A83" s="2">
        <v>81</v>
      </c>
      <c r="B83" s="3">
        <v>3.2530801836401198E-3</v>
      </c>
      <c r="C83" s="4">
        <v>1845</v>
      </c>
    </row>
    <row r="84" spans="1:3" x14ac:dyDescent="0.25">
      <c r="A84" s="2">
        <v>82</v>
      </c>
      <c r="B84" s="3">
        <v>3.2669047359377098E-3</v>
      </c>
      <c r="C84" s="4">
        <v>1843</v>
      </c>
    </row>
    <row r="85" spans="1:3" x14ac:dyDescent="0.25">
      <c r="A85" s="2">
        <v>83</v>
      </c>
      <c r="B85" s="3">
        <v>3.2350101973861499E-3</v>
      </c>
      <c r="C85" s="4">
        <v>1820</v>
      </c>
    </row>
    <row r="86" spans="1:3" x14ac:dyDescent="0.25">
      <c r="A86" s="2">
        <v>84</v>
      </c>
      <c r="B86" s="3">
        <v>3.2550280448049298E-3</v>
      </c>
      <c r="C86" s="4">
        <v>1812</v>
      </c>
    </row>
    <row r="87" spans="1:3" x14ac:dyDescent="0.25">
      <c r="A87" s="2">
        <v>85</v>
      </c>
      <c r="B87" s="3">
        <v>3.2533751800656301E-3</v>
      </c>
      <c r="C87" s="4">
        <v>1815</v>
      </c>
    </row>
    <row r="88" spans="1:3" x14ac:dyDescent="0.25">
      <c r="A88" s="2">
        <v>86</v>
      </c>
      <c r="B88" s="3">
        <v>3.2138794194906898E-3</v>
      </c>
      <c r="C88" s="4">
        <v>1820</v>
      </c>
    </row>
    <row r="89" spans="1:3" x14ac:dyDescent="0.25">
      <c r="A89" s="2">
        <v>87</v>
      </c>
      <c r="B89" s="3">
        <v>3.2447027042508099E-3</v>
      </c>
      <c r="C89" s="4">
        <v>1813</v>
      </c>
    </row>
    <row r="90" spans="1:3" x14ac:dyDescent="0.25">
      <c r="A90" s="2">
        <v>88</v>
      </c>
      <c r="B90" s="3">
        <v>3.21363587863743E-3</v>
      </c>
      <c r="C90" s="4">
        <v>1825</v>
      </c>
    </row>
    <row r="91" spans="1:3" x14ac:dyDescent="0.25">
      <c r="A91" s="2">
        <v>89</v>
      </c>
      <c r="B91" s="3">
        <v>3.2041112426668401E-3</v>
      </c>
      <c r="C91" s="4">
        <v>1815</v>
      </c>
    </row>
    <row r="92" spans="1:3" x14ac:dyDescent="0.25">
      <c r="A92" s="2">
        <v>90</v>
      </c>
      <c r="B92" s="3">
        <v>3.2493935432285101E-3</v>
      </c>
      <c r="C92" s="4">
        <v>1817</v>
      </c>
    </row>
    <row r="93" spans="1:3" x14ac:dyDescent="0.25">
      <c r="A93" s="2">
        <v>91</v>
      </c>
      <c r="B93" s="3">
        <v>3.2459180802106901E-3</v>
      </c>
      <c r="C93" s="4">
        <v>1817</v>
      </c>
    </row>
    <row r="94" spans="1:3" x14ac:dyDescent="0.25">
      <c r="A94" s="2">
        <v>92</v>
      </c>
      <c r="B94" s="3">
        <v>3.2311400864273301E-3</v>
      </c>
      <c r="C94" s="4">
        <v>1826</v>
      </c>
    </row>
    <row r="95" spans="1:3" x14ac:dyDescent="0.25">
      <c r="A95" s="2">
        <v>93</v>
      </c>
      <c r="B95" s="3">
        <v>3.2334586139768401E-3</v>
      </c>
      <c r="C95" s="4">
        <v>1817</v>
      </c>
    </row>
    <row r="96" spans="1:3" x14ac:dyDescent="0.25">
      <c r="A96" s="2">
        <v>94</v>
      </c>
      <c r="B96" s="3">
        <v>3.2408251427114001E-3</v>
      </c>
      <c r="C96" s="4">
        <v>1869</v>
      </c>
    </row>
    <row r="97" spans="1:3" x14ac:dyDescent="0.25">
      <c r="A97" s="2">
        <v>95</v>
      </c>
      <c r="B97" s="3">
        <v>3.2034921459853601E-3</v>
      </c>
      <c r="C97" s="4">
        <v>1813</v>
      </c>
    </row>
    <row r="98" spans="1:3" x14ac:dyDescent="0.25">
      <c r="A98" s="2">
        <v>96</v>
      </c>
      <c r="B98" s="3">
        <v>3.2157916575670199E-3</v>
      </c>
      <c r="C98" s="4">
        <v>1816</v>
      </c>
    </row>
    <row r="99" spans="1:3" x14ac:dyDescent="0.25">
      <c r="A99" s="2">
        <v>97</v>
      </c>
      <c r="B99" s="3">
        <v>3.2561675179749701E-3</v>
      </c>
      <c r="C99" s="4">
        <v>1901</v>
      </c>
    </row>
    <row r="100" spans="1:3" x14ac:dyDescent="0.25">
      <c r="A100" s="2">
        <v>98</v>
      </c>
      <c r="B100" s="3">
        <v>3.21924244053662E-3</v>
      </c>
      <c r="C100" s="4">
        <v>1817</v>
      </c>
    </row>
    <row r="101" spans="1:3" x14ac:dyDescent="0.25">
      <c r="A101" s="2">
        <v>99</v>
      </c>
      <c r="B101" s="3">
        <v>3.2458901405334499E-3</v>
      </c>
      <c r="C101" s="4">
        <v>1816</v>
      </c>
    </row>
    <row r="102" spans="1:3" x14ac:dyDescent="0.25">
      <c r="A102" s="2">
        <v>100</v>
      </c>
      <c r="B102" s="3">
        <v>3.26872430741787E-3</v>
      </c>
      <c r="C102" s="4">
        <v>1818</v>
      </c>
    </row>
    <row r="103" spans="1:3" x14ac:dyDescent="0.25">
      <c r="A103" s="2">
        <v>101</v>
      </c>
      <c r="B103" s="3">
        <v>3.2196312677115202E-3</v>
      </c>
      <c r="C103" s="4">
        <v>1845</v>
      </c>
    </row>
    <row r="104" spans="1:3" x14ac:dyDescent="0.25">
      <c r="A104" s="2">
        <v>102</v>
      </c>
      <c r="B104" s="3">
        <v>3.2275759149342801E-3</v>
      </c>
      <c r="C104" s="4">
        <v>1832</v>
      </c>
    </row>
    <row r="105" spans="1:3" x14ac:dyDescent="0.25">
      <c r="A105" s="2">
        <v>103</v>
      </c>
      <c r="B105" s="3">
        <v>3.24372225441039E-3</v>
      </c>
      <c r="C105" s="4">
        <v>1815</v>
      </c>
    </row>
    <row r="106" spans="1:3" x14ac:dyDescent="0.25">
      <c r="A106" s="2">
        <v>104</v>
      </c>
      <c r="B106" s="3">
        <v>3.2041803933680101E-3</v>
      </c>
      <c r="C106" s="4">
        <v>1857</v>
      </c>
    </row>
    <row r="107" spans="1:3" x14ac:dyDescent="0.25">
      <c r="A107" s="2">
        <v>105</v>
      </c>
      <c r="B107" s="3">
        <v>3.2116447109729099E-3</v>
      </c>
      <c r="C107" s="4">
        <v>1840</v>
      </c>
    </row>
    <row r="108" spans="1:3" x14ac:dyDescent="0.25">
      <c r="A108" s="2">
        <v>106</v>
      </c>
      <c r="B108" s="3">
        <v>3.26586281880736E-3</v>
      </c>
      <c r="C108" s="4">
        <v>1837</v>
      </c>
    </row>
    <row r="109" spans="1:3" x14ac:dyDescent="0.25">
      <c r="A109" s="2">
        <v>107</v>
      </c>
      <c r="B109" s="3">
        <v>3.2286436762660698E-3</v>
      </c>
      <c r="C109" s="4">
        <v>1826</v>
      </c>
    </row>
    <row r="110" spans="1:3" x14ac:dyDescent="0.25">
      <c r="A110" s="2">
        <v>108</v>
      </c>
      <c r="B110" s="3">
        <v>3.2680977601558E-3</v>
      </c>
      <c r="C110" s="4">
        <v>1847</v>
      </c>
    </row>
    <row r="111" spans="1:3" x14ac:dyDescent="0.25">
      <c r="A111" s="2">
        <v>109</v>
      </c>
      <c r="B111" s="3">
        <v>3.3874369692057401E-3</v>
      </c>
      <c r="C111" s="4">
        <v>1819</v>
      </c>
    </row>
    <row r="112" spans="1:3" x14ac:dyDescent="0.25">
      <c r="A112" s="2">
        <v>110</v>
      </c>
      <c r="B112" s="3">
        <v>3.2397396862506901E-3</v>
      </c>
      <c r="C112" s="4">
        <v>1823</v>
      </c>
    </row>
    <row r="113" spans="1:3" x14ac:dyDescent="0.25">
      <c r="A113" s="2">
        <v>111</v>
      </c>
      <c r="B113" s="3">
        <v>3.2115394715219701E-3</v>
      </c>
      <c r="C113" s="4">
        <v>1877</v>
      </c>
    </row>
    <row r="114" spans="1:3" x14ac:dyDescent="0.25">
      <c r="A114" s="2">
        <v>112</v>
      </c>
      <c r="B114" s="3">
        <v>3.2077841460704799E-3</v>
      </c>
      <c r="C114" s="4">
        <v>1818</v>
      </c>
    </row>
    <row r="115" spans="1:3" x14ac:dyDescent="0.25">
      <c r="A115" s="2">
        <v>113</v>
      </c>
      <c r="B115" s="3">
        <v>3.1953947618603702E-3</v>
      </c>
      <c r="C115" s="4">
        <v>1861</v>
      </c>
    </row>
    <row r="116" spans="1:3" x14ac:dyDescent="0.25">
      <c r="A116" s="2">
        <v>114</v>
      </c>
      <c r="B116" s="3">
        <v>3.1871395185589799E-3</v>
      </c>
      <c r="C116" s="4">
        <v>1825</v>
      </c>
    </row>
    <row r="117" spans="1:3" x14ac:dyDescent="0.25">
      <c r="A117" s="2">
        <v>115</v>
      </c>
      <c r="B117" s="3">
        <v>3.1941074412316101E-3</v>
      </c>
      <c r="C117" s="4">
        <v>1818</v>
      </c>
    </row>
    <row r="118" spans="1:3" x14ac:dyDescent="0.25">
      <c r="A118" s="2">
        <v>116</v>
      </c>
      <c r="B118" s="3">
        <v>3.1915295403450701E-3</v>
      </c>
      <c r="C118" s="4">
        <v>1816</v>
      </c>
    </row>
    <row r="119" spans="1:3" x14ac:dyDescent="0.25">
      <c r="A119" s="2">
        <v>117</v>
      </c>
      <c r="B119" s="3">
        <v>3.2091755419969602E-3</v>
      </c>
      <c r="C119" s="4">
        <v>1837</v>
      </c>
    </row>
    <row r="120" spans="1:3" x14ac:dyDescent="0.25">
      <c r="A120" s="2">
        <v>118</v>
      </c>
      <c r="B120" s="3">
        <v>3.2732249237597002E-3</v>
      </c>
      <c r="C120" s="4">
        <v>1895</v>
      </c>
    </row>
    <row r="121" spans="1:3" x14ac:dyDescent="0.25">
      <c r="A121" s="2">
        <v>119</v>
      </c>
      <c r="B121" s="3">
        <v>3.2391748391091802E-3</v>
      </c>
      <c r="C121" s="4">
        <v>1816</v>
      </c>
    </row>
    <row r="122" spans="1:3" x14ac:dyDescent="0.25">
      <c r="A122" s="2">
        <v>120</v>
      </c>
      <c r="B122" s="3">
        <v>3.2883340027183299E-3</v>
      </c>
      <c r="C122" s="4">
        <v>1815</v>
      </c>
    </row>
    <row r="123" spans="1:3" x14ac:dyDescent="0.25">
      <c r="A123" s="2">
        <v>121</v>
      </c>
      <c r="B123" s="3">
        <v>3.2898467034101499E-3</v>
      </c>
      <c r="C123" s="4">
        <v>1814</v>
      </c>
    </row>
    <row r="124" spans="1:3" x14ac:dyDescent="0.25">
      <c r="A124" s="2">
        <v>122</v>
      </c>
      <c r="B124" s="3">
        <v>3.2706838101148601E-3</v>
      </c>
      <c r="C124" s="4">
        <v>1834</v>
      </c>
    </row>
    <row r="125" spans="1:3" x14ac:dyDescent="0.25">
      <c r="A125" s="2">
        <v>123</v>
      </c>
      <c r="B125" s="3">
        <v>3.2376025337725899E-3</v>
      </c>
      <c r="C125" s="4">
        <v>1818</v>
      </c>
    </row>
    <row r="126" spans="1:3" x14ac:dyDescent="0.25">
      <c r="A126" s="2">
        <v>124</v>
      </c>
      <c r="B126" s="3">
        <v>3.25208553113043E-3</v>
      </c>
      <c r="C126" s="4">
        <v>1817</v>
      </c>
    </row>
    <row r="127" spans="1:3" x14ac:dyDescent="0.25">
      <c r="A127" s="2">
        <v>125</v>
      </c>
      <c r="B127" s="3">
        <v>3.2276124693453299E-3</v>
      </c>
      <c r="C127" s="4">
        <v>1812</v>
      </c>
    </row>
    <row r="128" spans="1:3" x14ac:dyDescent="0.25">
      <c r="A128" s="2">
        <v>126</v>
      </c>
      <c r="B128" s="3">
        <v>3.2070730812847601E-3</v>
      </c>
      <c r="C128" s="4">
        <v>1915</v>
      </c>
    </row>
    <row r="129" spans="1:3" x14ac:dyDescent="0.25">
      <c r="A129" s="2">
        <v>127</v>
      </c>
      <c r="B129" s="3">
        <v>3.2152808271348498E-3</v>
      </c>
      <c r="C129" s="4">
        <v>1871</v>
      </c>
    </row>
    <row r="130" spans="1:3" x14ac:dyDescent="0.25">
      <c r="A130" s="2">
        <v>128</v>
      </c>
      <c r="B130" s="3">
        <v>3.21434950456023E-3</v>
      </c>
      <c r="C130" s="4">
        <v>1877</v>
      </c>
    </row>
    <row r="131" spans="1:3" x14ac:dyDescent="0.25">
      <c r="A131" s="2">
        <v>129</v>
      </c>
      <c r="B131" s="3">
        <v>3.19666042923927E-3</v>
      </c>
      <c r="C131" s="4">
        <v>1838</v>
      </c>
    </row>
    <row r="132" spans="1:3" x14ac:dyDescent="0.25">
      <c r="A132" s="2">
        <v>130</v>
      </c>
      <c r="B132" s="3">
        <v>3.28161614015698E-3</v>
      </c>
      <c r="C132" s="4">
        <v>1821</v>
      </c>
    </row>
    <row r="133" spans="1:3" x14ac:dyDescent="0.25">
      <c r="A133" s="2">
        <v>131</v>
      </c>
      <c r="B133" s="3">
        <v>3.2164272852242002E-3</v>
      </c>
      <c r="C133" s="4">
        <v>1894</v>
      </c>
    </row>
    <row r="134" spans="1:3" x14ac:dyDescent="0.25">
      <c r="A134" s="2">
        <v>132</v>
      </c>
      <c r="B134" s="3">
        <v>3.21280583739281E-3</v>
      </c>
      <c r="C134" s="4">
        <v>1816</v>
      </c>
    </row>
    <row r="135" spans="1:3" x14ac:dyDescent="0.25">
      <c r="A135" s="2">
        <v>133</v>
      </c>
      <c r="B135" s="3">
        <v>3.25030251406133E-3</v>
      </c>
      <c r="C135" s="4">
        <v>1844</v>
      </c>
    </row>
    <row r="136" spans="1:3" x14ac:dyDescent="0.25">
      <c r="A136" s="2">
        <v>134</v>
      </c>
      <c r="B136" s="3">
        <v>3.2146489247679702E-3</v>
      </c>
      <c r="C136" s="4">
        <v>1818</v>
      </c>
    </row>
    <row r="137" spans="1:3" x14ac:dyDescent="0.25">
      <c r="A137" s="2">
        <v>135</v>
      </c>
      <c r="B137" s="3">
        <v>3.1954473815858399E-3</v>
      </c>
      <c r="C137" s="4">
        <v>1821</v>
      </c>
    </row>
    <row r="138" spans="1:3" x14ac:dyDescent="0.25">
      <c r="A138" s="2">
        <v>136</v>
      </c>
      <c r="B138" s="3">
        <v>3.2264713663607801E-3</v>
      </c>
      <c r="C138" s="4">
        <v>1818</v>
      </c>
    </row>
    <row r="139" spans="1:3" x14ac:dyDescent="0.25">
      <c r="A139" s="2">
        <v>137</v>
      </c>
      <c r="B139" s="3">
        <v>3.1954825390130299E-3</v>
      </c>
      <c r="C139" s="4">
        <v>1949</v>
      </c>
    </row>
    <row r="140" spans="1:3" x14ac:dyDescent="0.25">
      <c r="A140" s="2">
        <v>138</v>
      </c>
      <c r="B140" s="3">
        <v>3.2173134386539498E-3</v>
      </c>
      <c r="C140" s="4">
        <v>1815</v>
      </c>
    </row>
    <row r="141" spans="1:3" x14ac:dyDescent="0.25">
      <c r="A141" s="2">
        <v>139</v>
      </c>
      <c r="B141" s="3">
        <v>3.23623814620078E-3</v>
      </c>
      <c r="C141" s="4">
        <v>1816</v>
      </c>
    </row>
    <row r="142" spans="1:3" x14ac:dyDescent="0.25">
      <c r="A142" s="2">
        <v>140</v>
      </c>
      <c r="B142" s="3">
        <v>3.1869166996330001E-3</v>
      </c>
      <c r="C142" s="4">
        <v>1839</v>
      </c>
    </row>
    <row r="143" spans="1:3" x14ac:dyDescent="0.25">
      <c r="A143" s="2">
        <v>141</v>
      </c>
      <c r="B143" s="3">
        <v>3.18005098961294E-3</v>
      </c>
      <c r="C143" s="4">
        <v>1823</v>
      </c>
    </row>
    <row r="144" spans="1:3" x14ac:dyDescent="0.25">
      <c r="A144" s="2">
        <v>142</v>
      </c>
      <c r="B144" s="3">
        <v>3.2110319007188099E-3</v>
      </c>
      <c r="C144" s="4">
        <v>1946</v>
      </c>
    </row>
    <row r="145" spans="1:3" x14ac:dyDescent="0.25">
      <c r="A145" s="2">
        <v>143</v>
      </c>
      <c r="B145" s="3">
        <v>3.18978726863861E-3</v>
      </c>
      <c r="C145" s="4">
        <v>1820</v>
      </c>
    </row>
    <row r="146" spans="1:3" x14ac:dyDescent="0.25">
      <c r="A146" s="2">
        <v>144</v>
      </c>
      <c r="B146" s="3">
        <v>3.1974834855645899E-3</v>
      </c>
      <c r="C146" s="4">
        <v>1840</v>
      </c>
    </row>
    <row r="147" spans="1:3" x14ac:dyDescent="0.25">
      <c r="A147" s="2">
        <v>145</v>
      </c>
      <c r="B147" s="3">
        <v>3.1945023220032501E-3</v>
      </c>
      <c r="C147" s="4">
        <v>1816</v>
      </c>
    </row>
    <row r="148" spans="1:3" x14ac:dyDescent="0.25">
      <c r="A148" s="2">
        <v>146</v>
      </c>
      <c r="B148" s="3">
        <v>3.1926599331200101E-3</v>
      </c>
      <c r="C148" s="4">
        <v>1831</v>
      </c>
    </row>
    <row r="149" spans="1:3" x14ac:dyDescent="0.25">
      <c r="A149" s="2">
        <v>147</v>
      </c>
      <c r="B149" s="3">
        <v>3.19007318466902E-3</v>
      </c>
      <c r="C149" s="4">
        <v>1818</v>
      </c>
    </row>
    <row r="150" spans="1:3" x14ac:dyDescent="0.25">
      <c r="A150" s="2">
        <v>148</v>
      </c>
      <c r="B150" s="3">
        <v>3.2086856663227099E-3</v>
      </c>
      <c r="C150" s="4">
        <v>1844</v>
      </c>
    </row>
    <row r="151" spans="1:3" x14ac:dyDescent="0.25">
      <c r="A151" s="2">
        <v>149</v>
      </c>
      <c r="B151" s="3">
        <v>3.1952834688127002E-3</v>
      </c>
      <c r="C151" s="4">
        <v>1830</v>
      </c>
    </row>
    <row r="152" spans="1:3" x14ac:dyDescent="0.25">
      <c r="A152" s="2" t="s">
        <v>1</v>
      </c>
      <c r="B152" s="3">
        <v>3.2913206486652295E-3</v>
      </c>
      <c r="C152" s="4">
        <v>1832.8133333333333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6"/>
  <sheetViews>
    <sheetView topLeftCell="A4" zoomScale="85" zoomScaleNormal="85" workbookViewId="0">
      <selection activeCell="B41" sqref="B41"/>
    </sheetView>
  </sheetViews>
  <sheetFormatPr defaultRowHeight="15" x14ac:dyDescent="0.25"/>
  <cols>
    <col min="1" max="1" width="13.28515625" customWidth="1"/>
    <col min="2" max="2" width="21.5703125" bestFit="1" customWidth="1"/>
    <col min="3" max="3" width="24.140625" customWidth="1"/>
    <col min="4" max="4" width="20.28515625" customWidth="1"/>
  </cols>
  <sheetData>
    <row r="1" spans="1:8" x14ac:dyDescent="0.25">
      <c r="A1" t="s">
        <v>136</v>
      </c>
      <c r="B1">
        <f>MIN(B4:B5025)</f>
        <v>-6.7962522152811303E-2</v>
      </c>
      <c r="C1">
        <f>MIN(C4:C5025)</f>
        <v>-2.3237743182107723E-2</v>
      </c>
    </row>
    <row r="2" spans="1:8" x14ac:dyDescent="0.25">
      <c r="A2" t="s">
        <v>137</v>
      </c>
      <c r="B2">
        <f>MAX(B4:B5025)</f>
        <v>0.10421087406575666</v>
      </c>
      <c r="C2">
        <f>MAX(C4:C5025)</f>
        <v>9.2042666859924765E-2</v>
      </c>
      <c r="D2">
        <f>GETPIVOTDATA("Average of ERRORTRS",$A$3)</f>
        <v>5.5027140616929543E-3</v>
      </c>
    </row>
    <row r="3" spans="1:8" x14ac:dyDescent="0.25">
      <c r="A3" s="1" t="s">
        <v>0</v>
      </c>
      <c r="B3" t="s">
        <v>20</v>
      </c>
      <c r="C3" t="s">
        <v>21</v>
      </c>
      <c r="D3" t="s">
        <v>145</v>
      </c>
      <c r="H3" s="5"/>
    </row>
    <row r="4" spans="1:8" x14ac:dyDescent="0.25">
      <c r="A4" s="2">
        <v>0</v>
      </c>
      <c r="B4" s="22">
        <v>4.4440797064453426E-2</v>
      </c>
      <c r="C4" s="22"/>
      <c r="D4" s="22"/>
    </row>
    <row r="5" spans="1:8" x14ac:dyDescent="0.25">
      <c r="A5" s="2">
        <v>1</v>
      </c>
      <c r="B5" s="22">
        <v>4.4868818949908032E-2</v>
      </c>
      <c r="C5" s="22"/>
      <c r="D5" s="22"/>
    </row>
    <row r="6" spans="1:8" x14ac:dyDescent="0.25">
      <c r="A6" s="2">
        <v>2</v>
      </c>
      <c r="B6" s="22">
        <v>1.8713481258601013E-2</v>
      </c>
      <c r="C6" s="22"/>
      <c r="D6" s="22"/>
    </row>
    <row r="7" spans="1:8" x14ac:dyDescent="0.25">
      <c r="A7" s="2">
        <v>3</v>
      </c>
      <c r="B7" s="22">
        <v>8.6377961561084245E-3</v>
      </c>
      <c r="C7" s="22"/>
      <c r="D7" s="22"/>
    </row>
    <row r="8" spans="1:8" x14ac:dyDescent="0.25">
      <c r="A8" s="2">
        <v>4</v>
      </c>
      <c r="B8" s="22">
        <v>2.1484042285010191E-2</v>
      </c>
      <c r="C8" s="22"/>
      <c r="D8" s="22"/>
    </row>
    <row r="9" spans="1:8" x14ac:dyDescent="0.25">
      <c r="A9" s="2">
        <v>5</v>
      </c>
      <c r="B9" s="22">
        <v>3.7143375026062186E-2</v>
      </c>
      <c r="C9" s="22"/>
      <c r="D9" s="22"/>
    </row>
    <row r="10" spans="1:8" x14ac:dyDescent="0.25">
      <c r="A10" s="2">
        <v>6</v>
      </c>
      <c r="B10" s="22">
        <v>6.1267412733286633E-2</v>
      </c>
      <c r="C10" s="22"/>
      <c r="D10" s="22"/>
    </row>
    <row r="11" spans="1:8" x14ac:dyDescent="0.25">
      <c r="A11" s="2">
        <v>7</v>
      </c>
      <c r="B11" s="22">
        <v>5.4131581448018523E-2</v>
      </c>
      <c r="C11" s="22"/>
      <c r="D11" s="22"/>
    </row>
    <row r="12" spans="1:8" x14ac:dyDescent="0.25">
      <c r="A12" s="2">
        <v>8</v>
      </c>
      <c r="B12" s="22">
        <v>2.8918968513607989E-2</v>
      </c>
      <c r="C12" s="22"/>
      <c r="D12" s="22"/>
    </row>
    <row r="13" spans="1:8" x14ac:dyDescent="0.25">
      <c r="A13" s="2">
        <v>9</v>
      </c>
      <c r="B13" s="22">
        <v>4.9570688046514974E-2</v>
      </c>
      <c r="C13" s="22"/>
      <c r="D13" s="22"/>
    </row>
    <row r="14" spans="1:8" x14ac:dyDescent="0.25">
      <c r="A14" s="2">
        <v>10</v>
      </c>
      <c r="B14" s="22">
        <v>4.7778313979506458E-2</v>
      </c>
      <c r="C14" s="22"/>
      <c r="D14" s="22"/>
    </row>
    <row r="15" spans="1:8" x14ac:dyDescent="0.25">
      <c r="A15" s="2">
        <v>11</v>
      </c>
      <c r="B15" s="22">
        <v>1.65715524926781E-2</v>
      </c>
      <c r="C15" s="22"/>
      <c r="D15" s="22"/>
    </row>
    <row r="16" spans="1:8" x14ac:dyDescent="0.25">
      <c r="A16" s="2">
        <v>12</v>
      </c>
      <c r="B16" s="22">
        <v>2.3891019169241124E-2</v>
      </c>
      <c r="C16" s="22"/>
      <c r="D16" s="22"/>
    </row>
    <row r="17" spans="1:4" x14ac:dyDescent="0.25">
      <c r="A17" s="2">
        <v>13</v>
      </c>
      <c r="B17" s="22">
        <v>4.574528662487868E-2</v>
      </c>
      <c r="C17" s="22"/>
      <c r="D17" s="22"/>
    </row>
    <row r="18" spans="1:4" x14ac:dyDescent="0.25">
      <c r="A18" s="2">
        <v>14</v>
      </c>
      <c r="B18" s="22">
        <v>4.2541736038402157E-3</v>
      </c>
      <c r="C18" s="22"/>
      <c r="D18" s="22"/>
    </row>
    <row r="19" spans="1:4" x14ac:dyDescent="0.25">
      <c r="A19" s="2">
        <v>15</v>
      </c>
      <c r="B19" s="22">
        <v>-3.8520126487128457E-2</v>
      </c>
      <c r="C19" s="22"/>
      <c r="D19" s="22"/>
    </row>
    <row r="20" spans="1:4" x14ac:dyDescent="0.25">
      <c r="A20" s="2">
        <v>16</v>
      </c>
      <c r="B20" s="22">
        <v>9.5853502862154744E-3</v>
      </c>
      <c r="C20" s="22"/>
      <c r="D20" s="22"/>
    </row>
    <row r="21" spans="1:4" x14ac:dyDescent="0.25">
      <c r="A21" s="2">
        <v>17</v>
      </c>
      <c r="B21" s="22">
        <v>6.7996830679476108E-2</v>
      </c>
      <c r="C21" s="22"/>
      <c r="D21" s="22"/>
    </row>
    <row r="22" spans="1:4" x14ac:dyDescent="0.25">
      <c r="A22" s="2">
        <v>18</v>
      </c>
      <c r="B22" s="22">
        <v>9.4240868929773416E-2</v>
      </c>
      <c r="C22" s="22"/>
      <c r="D22" s="22"/>
    </row>
    <row r="23" spans="1:4" x14ac:dyDescent="0.25">
      <c r="A23" s="2">
        <v>19</v>
      </c>
      <c r="B23" s="22">
        <v>0.10421087406575666</v>
      </c>
      <c r="C23" s="22"/>
      <c r="D23" s="22"/>
    </row>
    <row r="24" spans="1:4" x14ac:dyDescent="0.25">
      <c r="A24" s="2">
        <v>20</v>
      </c>
      <c r="B24" s="22">
        <v>9.9029108881950337E-2</v>
      </c>
      <c r="C24" s="22"/>
      <c r="D24" s="22"/>
    </row>
    <row r="25" spans="1:4" x14ac:dyDescent="0.25">
      <c r="A25" s="2">
        <v>21</v>
      </c>
      <c r="B25" s="22">
        <v>5.4099107626825627E-2</v>
      </c>
      <c r="C25" s="22"/>
      <c r="D25" s="22"/>
    </row>
    <row r="26" spans="1:4" x14ac:dyDescent="0.25">
      <c r="A26" s="2">
        <v>22</v>
      </c>
      <c r="B26" s="22">
        <v>2.7861666399985628E-2</v>
      </c>
      <c r="C26" s="22"/>
      <c r="D26" s="22"/>
    </row>
    <row r="27" spans="1:4" x14ac:dyDescent="0.25">
      <c r="A27" s="2">
        <v>23</v>
      </c>
      <c r="B27" s="22">
        <v>5.2910610567778432E-2</v>
      </c>
      <c r="C27" s="22"/>
      <c r="D27" s="22"/>
    </row>
    <row r="28" spans="1:4" x14ac:dyDescent="0.25">
      <c r="A28" s="2">
        <v>24</v>
      </c>
      <c r="B28" s="22">
        <v>5.2076078951358851E-2</v>
      </c>
      <c r="C28" s="22"/>
      <c r="D28" s="22"/>
    </row>
    <row r="29" spans="1:4" x14ac:dyDescent="0.25">
      <c r="A29" s="2">
        <v>25</v>
      </c>
      <c r="B29" s="22">
        <v>3.2877706573344753E-2</v>
      </c>
      <c r="C29" s="22"/>
      <c r="D29" s="22"/>
    </row>
    <row r="30" spans="1:4" x14ac:dyDescent="0.25">
      <c r="A30" s="2">
        <v>26</v>
      </c>
      <c r="B30" s="22">
        <v>2.7381384395994197E-2</v>
      </c>
      <c r="C30" s="22"/>
      <c r="D30" s="22"/>
    </row>
    <row r="31" spans="1:4" x14ac:dyDescent="0.25">
      <c r="A31" s="2">
        <v>27</v>
      </c>
      <c r="B31" s="22">
        <v>2.5867537828162389E-2</v>
      </c>
      <c r="C31" s="22"/>
      <c r="D31" s="22"/>
    </row>
    <row r="32" spans="1:4" x14ac:dyDescent="0.25">
      <c r="A32" s="2">
        <v>28</v>
      </c>
      <c r="B32" s="22">
        <v>2.5244854856282486E-2</v>
      </c>
      <c r="C32" s="22"/>
      <c r="D32" s="22"/>
    </row>
    <row r="33" spans="1:4" x14ac:dyDescent="0.25">
      <c r="A33" s="2">
        <v>29</v>
      </c>
      <c r="B33" s="22">
        <v>2.6282703969627674E-2</v>
      </c>
      <c r="C33" s="22"/>
      <c r="D33" s="22"/>
    </row>
    <row r="34" spans="1:4" x14ac:dyDescent="0.25">
      <c r="A34" s="2">
        <v>30</v>
      </c>
      <c r="B34" s="22">
        <v>2.775894687511031E-2</v>
      </c>
      <c r="C34" s="22"/>
      <c r="D34" s="22"/>
    </row>
    <row r="35" spans="1:4" x14ac:dyDescent="0.25">
      <c r="A35" s="2">
        <v>31</v>
      </c>
      <c r="B35" s="22">
        <v>1.9741119816899196E-2</v>
      </c>
      <c r="C35" s="22"/>
      <c r="D35" s="22"/>
    </row>
    <row r="36" spans="1:4" x14ac:dyDescent="0.25">
      <c r="A36" s="2">
        <v>32</v>
      </c>
      <c r="B36" s="22">
        <v>5.151159130035738E-4</v>
      </c>
      <c r="C36" s="22"/>
      <c r="D36" s="22"/>
    </row>
    <row r="37" spans="1:4" x14ac:dyDescent="0.25">
      <c r="A37" s="2">
        <v>33</v>
      </c>
      <c r="B37" s="22">
        <v>-9.841782040894153E-3</v>
      </c>
      <c r="C37" s="22"/>
      <c r="D37" s="22"/>
    </row>
    <row r="38" spans="1:4" x14ac:dyDescent="0.25">
      <c r="A38" s="2">
        <v>34</v>
      </c>
      <c r="B38" s="22">
        <v>1.2199807912111288E-2</v>
      </c>
      <c r="C38" s="22"/>
      <c r="D38" s="22"/>
    </row>
    <row r="39" spans="1:4" x14ac:dyDescent="0.25">
      <c r="A39" s="2">
        <v>35</v>
      </c>
      <c r="B39" s="22">
        <v>2.6572521310299649E-2</v>
      </c>
      <c r="C39" s="22"/>
      <c r="D39" s="22"/>
    </row>
    <row r="40" spans="1:4" x14ac:dyDescent="0.25">
      <c r="A40" s="2">
        <v>36</v>
      </c>
      <c r="B40" s="22">
        <v>1.4433497795835066E-2</v>
      </c>
      <c r="C40" s="22"/>
      <c r="D40" s="22"/>
    </row>
    <row r="41" spans="1:4" x14ac:dyDescent="0.25">
      <c r="A41" s="2">
        <v>37</v>
      </c>
      <c r="B41" s="22">
        <v>-3.263726201839752E-2</v>
      </c>
      <c r="C41" s="22"/>
      <c r="D41" s="22"/>
    </row>
    <row r="42" spans="1:4" x14ac:dyDescent="0.25">
      <c r="A42" s="2">
        <v>38</v>
      </c>
      <c r="B42" s="22">
        <v>-6.7962522152811303E-2</v>
      </c>
      <c r="C42" s="22"/>
      <c r="D42" s="22"/>
    </row>
    <row r="43" spans="1:4" x14ac:dyDescent="0.25">
      <c r="A43" s="2">
        <v>39</v>
      </c>
      <c r="B43" s="22">
        <v>-4.3957059737294885E-2</v>
      </c>
      <c r="C43" s="22"/>
      <c r="D43" s="22"/>
    </row>
    <row r="44" spans="1:4" x14ac:dyDescent="0.25">
      <c r="A44" s="2">
        <v>40</v>
      </c>
      <c r="B44" s="22">
        <v>5.2630873396993169E-3</v>
      </c>
      <c r="C44" s="22"/>
      <c r="D44" s="22"/>
    </row>
    <row r="45" spans="1:4" x14ac:dyDescent="0.25">
      <c r="A45" s="2">
        <v>41</v>
      </c>
      <c r="B45" s="22">
        <v>3.506322484463454E-2</v>
      </c>
      <c r="C45" s="22"/>
      <c r="D45" s="22"/>
    </row>
    <row r="46" spans="1:4" x14ac:dyDescent="0.25">
      <c r="A46" s="2">
        <v>42</v>
      </c>
      <c r="B46" s="22">
        <v>8.1312754191457306E-3</v>
      </c>
      <c r="C46" s="22"/>
      <c r="D46" s="22"/>
    </row>
    <row r="47" spans="1:4" x14ac:dyDescent="0.25">
      <c r="A47" s="2">
        <v>43</v>
      </c>
      <c r="B47" s="22">
        <v>-8.7369517423212511E-3</v>
      </c>
      <c r="C47" s="22"/>
      <c r="D47" s="22"/>
    </row>
    <row r="48" spans="1:4" x14ac:dyDescent="0.25">
      <c r="A48" s="2">
        <v>44</v>
      </c>
      <c r="B48" s="22">
        <v>1.6336829634383383E-2</v>
      </c>
      <c r="C48" s="22"/>
      <c r="D48" s="22"/>
    </row>
    <row r="49" spans="1:4" x14ac:dyDescent="0.25">
      <c r="A49" s="2">
        <v>45</v>
      </c>
      <c r="B49" s="22">
        <v>2.3212940432131311E-2</v>
      </c>
      <c r="C49" s="22"/>
      <c r="D49" s="22"/>
    </row>
    <row r="50" spans="1:4" x14ac:dyDescent="0.25">
      <c r="A50" s="2">
        <v>46</v>
      </c>
      <c r="B50" s="22">
        <v>2.1835570456460077E-2</v>
      </c>
      <c r="C50" s="22"/>
      <c r="D50" s="22"/>
    </row>
    <row r="51" spans="1:4" x14ac:dyDescent="0.25">
      <c r="A51" s="2">
        <v>47</v>
      </c>
      <c r="B51" s="22">
        <v>3.2704338897019514E-2</v>
      </c>
      <c r="C51" s="22"/>
      <c r="D51" s="22"/>
    </row>
    <row r="52" spans="1:4" x14ac:dyDescent="0.25">
      <c r="A52" s="2">
        <v>48</v>
      </c>
      <c r="B52" s="22">
        <v>3.6254413891583626E-2</v>
      </c>
      <c r="C52" s="22"/>
      <c r="D52" s="22"/>
    </row>
    <row r="53" spans="1:4" x14ac:dyDescent="0.25">
      <c r="A53" s="2">
        <v>49</v>
      </c>
      <c r="B53" s="22">
        <v>3.3072926569730002E-2</v>
      </c>
      <c r="C53" s="22"/>
      <c r="D53" s="22"/>
    </row>
    <row r="54" spans="1:4" x14ac:dyDescent="0.25">
      <c r="A54" s="2">
        <v>50</v>
      </c>
      <c r="B54" s="22">
        <v>4.4632381759583881E-2</v>
      </c>
      <c r="C54" s="22">
        <v>4.5220901258289793E-2</v>
      </c>
      <c r="D54" s="22">
        <v>4.0976321324706876E-3</v>
      </c>
    </row>
    <row r="55" spans="1:4" x14ac:dyDescent="0.25">
      <c r="A55" s="2">
        <v>51</v>
      </c>
      <c r="B55" s="22">
        <v>5.1662953570485039E-2</v>
      </c>
      <c r="C55" s="22">
        <v>5.2619137801229926E-2</v>
      </c>
      <c r="D55" s="22">
        <v>3.1564338132738625E-3</v>
      </c>
    </row>
    <row r="56" spans="1:4" x14ac:dyDescent="0.25">
      <c r="A56" s="2">
        <v>52</v>
      </c>
      <c r="B56" s="22">
        <v>3.1728608184494023E-2</v>
      </c>
      <c r="C56" s="22">
        <v>3.1288349768146803E-2</v>
      </c>
      <c r="D56" s="22">
        <v>2.1067300112917846E-3</v>
      </c>
    </row>
    <row r="57" spans="1:4" x14ac:dyDescent="0.25">
      <c r="A57" s="2">
        <v>53</v>
      </c>
      <c r="B57" s="22">
        <v>1.7872964148409692E-2</v>
      </c>
      <c r="C57" s="22">
        <v>1.878273091278964E-2</v>
      </c>
      <c r="D57" s="22">
        <v>3.3643868518993263E-3</v>
      </c>
    </row>
    <row r="58" spans="1:4" x14ac:dyDescent="0.25">
      <c r="A58" s="2">
        <v>54</v>
      </c>
      <c r="B58" s="22">
        <v>2.0992995938286199E-2</v>
      </c>
      <c r="C58" s="22">
        <v>1.9979247124865675E-2</v>
      </c>
      <c r="D58" s="22">
        <v>2.67456984147425E-3</v>
      </c>
    </row>
    <row r="59" spans="1:4" x14ac:dyDescent="0.25">
      <c r="A59" s="2">
        <v>55</v>
      </c>
      <c r="B59" s="22">
        <v>3.4853578312322483E-2</v>
      </c>
      <c r="C59" s="22">
        <v>3.4114417852833895E-2</v>
      </c>
      <c r="D59" s="22">
        <v>4.5387367717922133E-3</v>
      </c>
    </row>
    <row r="60" spans="1:4" x14ac:dyDescent="0.25">
      <c r="A60" s="2">
        <v>56</v>
      </c>
      <c r="B60" s="22">
        <v>6.3088729511946509E-3</v>
      </c>
      <c r="C60" s="22">
        <v>3.6751411389559004E-3</v>
      </c>
      <c r="D60" s="22">
        <v>5.0272862426937242E-3</v>
      </c>
    </row>
    <row r="61" spans="1:4" x14ac:dyDescent="0.25">
      <c r="A61" s="2">
        <v>57</v>
      </c>
      <c r="B61" s="22">
        <v>-2.4381759343668877E-2</v>
      </c>
      <c r="C61" s="22">
        <v>-2.3237743182107723E-2</v>
      </c>
      <c r="D61" s="22">
        <v>2.8799059800803752E-3</v>
      </c>
    </row>
    <row r="62" spans="1:4" x14ac:dyDescent="0.25">
      <c r="A62" s="2">
        <v>58</v>
      </c>
      <c r="B62" s="22">
        <v>9.1806270647793124E-3</v>
      </c>
      <c r="C62" s="22">
        <v>1.011159177869551E-2</v>
      </c>
      <c r="D62" s="22">
        <v>3.1211825553327998E-3</v>
      </c>
    </row>
    <row r="63" spans="1:4" x14ac:dyDescent="0.25">
      <c r="A63" s="2">
        <v>59</v>
      </c>
      <c r="B63" s="22">
        <v>3.0704719480126996E-2</v>
      </c>
      <c r="C63" s="22">
        <v>3.0753274448216052E-2</v>
      </c>
      <c r="D63" s="22">
        <v>5.6057088077066507E-3</v>
      </c>
    </row>
    <row r="64" spans="1:4" x14ac:dyDescent="0.25">
      <c r="A64" s="2">
        <v>60</v>
      </c>
      <c r="B64" s="22">
        <v>4.1423380142077831E-2</v>
      </c>
      <c r="C64" s="22">
        <v>4.2948518646881026E-2</v>
      </c>
      <c r="D64" s="22">
        <v>7.1931849233805994E-3</v>
      </c>
    </row>
    <row r="65" spans="1:4" x14ac:dyDescent="0.25">
      <c r="A65" s="2">
        <v>61</v>
      </c>
      <c r="B65" s="22">
        <v>8.0822214949876181E-2</v>
      </c>
      <c r="C65" s="22">
        <v>8.1715817097574597E-2</v>
      </c>
      <c r="D65" s="22">
        <v>4.5289788395165131E-3</v>
      </c>
    </row>
    <row r="66" spans="1:4" x14ac:dyDescent="0.25">
      <c r="A66" s="2">
        <v>62</v>
      </c>
      <c r="B66" s="22">
        <v>9.0108012780547114E-2</v>
      </c>
      <c r="C66" s="22">
        <v>9.2042666859924765E-2</v>
      </c>
      <c r="D66" s="22">
        <v>6.5028918907046466E-3</v>
      </c>
    </row>
    <row r="67" spans="1:4" x14ac:dyDescent="0.25">
      <c r="A67" s="2">
        <v>63</v>
      </c>
      <c r="B67" s="22">
        <v>5.2315947134047733E-2</v>
      </c>
      <c r="C67" s="22">
        <v>5.348239507293321E-2</v>
      </c>
      <c r="D67" s="22">
        <v>7.40202370798219E-3</v>
      </c>
    </row>
    <row r="68" spans="1:4" x14ac:dyDescent="0.25">
      <c r="A68" s="2">
        <v>64</v>
      </c>
      <c r="B68" s="22">
        <v>3.3923745620995774E-2</v>
      </c>
      <c r="C68" s="22">
        <v>3.4273814177140552E-2</v>
      </c>
      <c r="D68" s="22">
        <v>9.3417286407203003E-3</v>
      </c>
    </row>
    <row r="69" spans="1:4" x14ac:dyDescent="0.25">
      <c r="A69" s="2">
        <v>65</v>
      </c>
      <c r="B69" s="22">
        <v>3.5943117458373267E-2</v>
      </c>
      <c r="C69" s="22">
        <v>3.3461044309660834E-2</v>
      </c>
      <c r="D69" s="22">
        <v>4.8610784579069489E-3</v>
      </c>
    </row>
    <row r="70" spans="1:4" x14ac:dyDescent="0.25">
      <c r="A70" s="2">
        <v>66</v>
      </c>
      <c r="B70" s="22">
        <v>3.3633244456723249E-2</v>
      </c>
      <c r="C70" s="22">
        <v>3.3428423572331674E-2</v>
      </c>
      <c r="D70" s="22">
        <v>1.0973540367558675E-2</v>
      </c>
    </row>
    <row r="71" spans="1:4" x14ac:dyDescent="0.25">
      <c r="A71" s="2">
        <v>67</v>
      </c>
      <c r="B71" s="22">
        <v>3.4997855545952902E-2</v>
      </c>
      <c r="C71" s="22">
        <v>3.4825428389012848E-2</v>
      </c>
      <c r="D71" s="22">
        <v>9.5618402119726983E-3</v>
      </c>
    </row>
    <row r="72" spans="1:4" x14ac:dyDescent="0.25">
      <c r="A72" s="2">
        <v>68</v>
      </c>
      <c r="B72" s="22">
        <v>3.1087639275938342E-2</v>
      </c>
      <c r="C72" s="22">
        <v>3.6045392742380486E-2</v>
      </c>
      <c r="D72" s="22">
        <v>7.6137271244079005E-3</v>
      </c>
    </row>
    <row r="73" spans="1:4" x14ac:dyDescent="0.25">
      <c r="A73" s="2">
        <v>69</v>
      </c>
      <c r="B73" s="22"/>
      <c r="C73" s="22">
        <v>4.1025088576134364E-2</v>
      </c>
      <c r="D73" s="22"/>
    </row>
    <row r="74" spans="1:4" x14ac:dyDescent="0.25">
      <c r="A74" s="2">
        <v>70</v>
      </c>
      <c r="B74" s="22"/>
      <c r="C74" s="22">
        <v>4.9937332049012129E-2</v>
      </c>
      <c r="D74" s="22"/>
    </row>
    <row r="75" spans="1:4" x14ac:dyDescent="0.25">
      <c r="A75" s="2">
        <v>71</v>
      </c>
      <c r="B75" s="22"/>
      <c r="C75" s="22">
        <v>3.8075963268056623E-2</v>
      </c>
      <c r="D75" s="22"/>
    </row>
    <row r="76" spans="1:4" x14ac:dyDescent="0.25">
      <c r="A76" s="2" t="s">
        <v>1</v>
      </c>
      <c r="B76" s="22">
        <v>2.8642507300347737E-2</v>
      </c>
      <c r="C76" s="22">
        <v>3.6116769711952663E-2</v>
      </c>
      <c r="D76" s="22">
        <v>5.5027140616929543E-3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4"/>
  <sheetViews>
    <sheetView tabSelected="1" topLeftCell="A25" zoomScale="85" zoomScaleNormal="85" workbookViewId="0">
      <selection activeCell="A50" sqref="A50"/>
    </sheetView>
  </sheetViews>
  <sheetFormatPr defaultRowHeight="15" x14ac:dyDescent="0.25"/>
  <cols>
    <col min="1" max="1" width="17.7109375" bestFit="1" customWidth="1"/>
    <col min="2" max="2" width="20.42578125" bestFit="1" customWidth="1"/>
    <col min="3" max="3" width="23.140625" bestFit="1" customWidth="1"/>
    <col min="4" max="4" width="19.28515625" bestFit="1" customWidth="1"/>
  </cols>
  <sheetData>
    <row r="1" spans="1:8" x14ac:dyDescent="0.25">
      <c r="A1" s="1" t="s">
        <v>0</v>
      </c>
      <c r="B1" t="s">
        <v>128</v>
      </c>
      <c r="C1" t="s">
        <v>129</v>
      </c>
      <c r="D1" t="s">
        <v>130</v>
      </c>
      <c r="G1" t="s">
        <v>144</v>
      </c>
      <c r="H1" s="26">
        <f>GETPIVOTDATA("Average of ERRORTR",$A$1)</f>
        <v>1.2940450659171813E-4</v>
      </c>
    </row>
    <row r="2" spans="1:8" x14ac:dyDescent="0.25">
      <c r="A2" s="2" t="s">
        <v>451</v>
      </c>
      <c r="B2" s="3">
        <v>2.5999548961408398E-4</v>
      </c>
      <c r="C2" s="3"/>
      <c r="D2" s="3"/>
    </row>
    <row r="3" spans="1:8" x14ac:dyDescent="0.25">
      <c r="A3" s="2" t="s">
        <v>453</v>
      </c>
      <c r="B3" s="3">
        <v>7.4005126953125E-4</v>
      </c>
      <c r="C3" s="3"/>
      <c r="D3" s="3"/>
    </row>
    <row r="4" spans="1:8" x14ac:dyDescent="0.25">
      <c r="A4" s="2" t="s">
        <v>331</v>
      </c>
      <c r="B4" s="3">
        <v>5.0997734069824197E-4</v>
      </c>
      <c r="C4" s="3"/>
      <c r="D4" s="3"/>
    </row>
    <row r="5" spans="1:8" x14ac:dyDescent="0.25">
      <c r="A5" s="2" t="s">
        <v>452</v>
      </c>
      <c r="B5" s="3">
        <v>-1.2300014495849601E-3</v>
      </c>
      <c r="C5" s="3"/>
      <c r="D5" s="3"/>
    </row>
    <row r="6" spans="1:8" x14ac:dyDescent="0.25">
      <c r="A6" s="2" t="s">
        <v>454</v>
      </c>
      <c r="B6" s="3">
        <v>-2.9003617237322E-4</v>
      </c>
      <c r="C6" s="3"/>
      <c r="D6" s="3"/>
    </row>
    <row r="7" spans="1:8" x14ac:dyDescent="0.25">
      <c r="A7" s="2" t="s">
        <v>338</v>
      </c>
      <c r="B7" s="3">
        <v>-1.5997888112906399E-4</v>
      </c>
      <c r="C7" s="3"/>
      <c r="D7" s="3"/>
    </row>
    <row r="8" spans="1:8" x14ac:dyDescent="0.25">
      <c r="A8" s="2" t="s">
        <v>455</v>
      </c>
      <c r="B8" s="3">
        <v>8.5008156020194303E-4</v>
      </c>
      <c r="C8" s="3"/>
      <c r="D8" s="3"/>
    </row>
    <row r="9" spans="1:8" x14ac:dyDescent="0.25">
      <c r="A9" s="2" t="s">
        <v>456</v>
      </c>
      <c r="B9" s="3">
        <v>9.49978828430176E-4</v>
      </c>
      <c r="C9" s="3"/>
      <c r="D9" s="3"/>
    </row>
    <row r="10" spans="1:8" x14ac:dyDescent="0.25">
      <c r="A10" s="2" t="s">
        <v>457</v>
      </c>
      <c r="B10" s="3">
        <v>-6.9975838414393406E-5</v>
      </c>
      <c r="C10" s="3"/>
      <c r="D10" s="3"/>
    </row>
    <row r="11" spans="1:8" x14ac:dyDescent="0.25">
      <c r="A11" s="2" t="s">
        <v>335</v>
      </c>
      <c r="B11" s="3">
        <v>-1.7011162708513401E-4</v>
      </c>
      <c r="C11" s="3"/>
      <c r="D11" s="3"/>
    </row>
    <row r="12" spans="1:8" x14ac:dyDescent="0.25">
      <c r="A12" s="2" t="s">
        <v>339</v>
      </c>
      <c r="B12" s="3">
        <v>8.1002712249755903E-4</v>
      </c>
      <c r="C12" s="3"/>
      <c r="D12" s="3"/>
    </row>
    <row r="13" spans="1:8" x14ac:dyDescent="0.25">
      <c r="A13" s="2" t="s">
        <v>340</v>
      </c>
      <c r="B13" s="3">
        <v>-1.00135648608557E-5</v>
      </c>
      <c r="C13" s="3"/>
      <c r="D13" s="3"/>
    </row>
    <row r="14" spans="1:8" x14ac:dyDescent="0.25">
      <c r="A14" s="2" t="s">
        <v>329</v>
      </c>
      <c r="B14" s="3">
        <v>-5.4001808166503895E-4</v>
      </c>
      <c r="C14" s="3"/>
      <c r="D14" s="3"/>
    </row>
    <row r="15" spans="1:8" x14ac:dyDescent="0.25">
      <c r="A15" s="2" t="s">
        <v>341</v>
      </c>
      <c r="B15" s="3">
        <v>3.0040768251637901E-5</v>
      </c>
      <c r="C15" s="3"/>
      <c r="D15" s="3"/>
    </row>
    <row r="16" spans="1:8" x14ac:dyDescent="0.25">
      <c r="A16" s="2" t="s">
        <v>342</v>
      </c>
      <c r="B16" s="3">
        <v>1.19006645400077E-3</v>
      </c>
      <c r="C16" s="3"/>
      <c r="D16" s="3"/>
    </row>
    <row r="17" spans="1:4" x14ac:dyDescent="0.25">
      <c r="A17" s="2" t="s">
        <v>343</v>
      </c>
      <c r="B17" s="3">
        <v>-1.3200044631957999E-3</v>
      </c>
      <c r="C17" s="3"/>
      <c r="D17" s="3"/>
    </row>
    <row r="18" spans="1:4" x14ac:dyDescent="0.25">
      <c r="A18" s="2" t="s">
        <v>344</v>
      </c>
      <c r="B18" s="3">
        <v>-1.73008441925049E-3</v>
      </c>
      <c r="C18" s="3"/>
      <c r="D18" s="3"/>
    </row>
    <row r="19" spans="1:4" x14ac:dyDescent="0.25">
      <c r="A19" s="2" t="s">
        <v>345</v>
      </c>
      <c r="B19" s="3">
        <v>3.2007694244384798E-4</v>
      </c>
      <c r="C19" s="3"/>
      <c r="D19" s="3"/>
    </row>
    <row r="20" spans="1:4" x14ac:dyDescent="0.25">
      <c r="A20" s="2" t="s">
        <v>346</v>
      </c>
      <c r="B20" s="3">
        <v>1.4899969100952101E-3</v>
      </c>
      <c r="C20" s="3"/>
      <c r="D20" s="3"/>
    </row>
    <row r="21" spans="1:4" x14ac:dyDescent="0.25">
      <c r="A21" s="2" t="s">
        <v>327</v>
      </c>
      <c r="B21" s="3">
        <v>1.2499094009399401E-3</v>
      </c>
      <c r="C21" s="3"/>
      <c r="D21" s="3"/>
    </row>
    <row r="22" spans="1:4" x14ac:dyDescent="0.25">
      <c r="A22" s="2" t="s">
        <v>347</v>
      </c>
      <c r="B22" s="3">
        <v>2.6600360870361302E-3</v>
      </c>
      <c r="C22" s="3"/>
      <c r="D22" s="3"/>
    </row>
    <row r="23" spans="1:4" x14ac:dyDescent="0.25">
      <c r="A23" s="2" t="s">
        <v>348</v>
      </c>
      <c r="B23" s="3">
        <v>-1.49965315358713E-4</v>
      </c>
      <c r="C23" s="3"/>
      <c r="D23" s="3"/>
    </row>
    <row r="24" spans="1:4" x14ac:dyDescent="0.25">
      <c r="A24" s="2" t="s">
        <v>349</v>
      </c>
      <c r="B24" s="3">
        <v>-3.10063391225412E-4</v>
      </c>
      <c r="C24" s="3"/>
      <c r="D24" s="3"/>
    </row>
    <row r="25" spans="1:4" x14ac:dyDescent="0.25">
      <c r="A25" s="2" t="s">
        <v>350</v>
      </c>
      <c r="B25" s="3">
        <v>-2.0992757345084101E-4</v>
      </c>
      <c r="C25" s="3"/>
      <c r="D25" s="3"/>
    </row>
    <row r="26" spans="1:4" x14ac:dyDescent="0.25">
      <c r="A26" s="2" t="s">
        <v>351</v>
      </c>
      <c r="B26" s="3">
        <v>6.8998342612758301E-4</v>
      </c>
      <c r="C26" s="3"/>
      <c r="D26" s="3"/>
    </row>
    <row r="27" spans="1:4" x14ac:dyDescent="0.25">
      <c r="A27" s="2" t="s">
        <v>352</v>
      </c>
      <c r="B27" s="3">
        <v>-1.00135648608557E-5</v>
      </c>
      <c r="C27" s="3"/>
      <c r="D27" s="3"/>
    </row>
    <row r="28" spans="1:4" x14ac:dyDescent="0.25">
      <c r="A28" s="2" t="s">
        <v>353</v>
      </c>
      <c r="B28" s="3">
        <v>4.8995018005371105E-4</v>
      </c>
      <c r="C28" s="3"/>
      <c r="D28" s="3"/>
    </row>
    <row r="29" spans="1:4" x14ac:dyDescent="0.25">
      <c r="A29" s="2" t="s">
        <v>354</v>
      </c>
      <c r="B29" s="3">
        <v>-5.5992603302001996E-4</v>
      </c>
      <c r="C29" s="3"/>
      <c r="D29" s="3"/>
    </row>
    <row r="30" spans="1:4" x14ac:dyDescent="0.25">
      <c r="A30" s="2" t="s">
        <v>355</v>
      </c>
      <c r="B30" s="3">
        <v>5.9962269006064202E-5</v>
      </c>
      <c r="C30" s="3"/>
      <c r="D30" s="3"/>
    </row>
    <row r="31" spans="1:4" x14ac:dyDescent="0.25">
      <c r="A31" s="2" t="s">
        <v>356</v>
      </c>
      <c r="B31" s="3">
        <v>-3.70025634765625E-4</v>
      </c>
      <c r="C31" s="3"/>
      <c r="D31" s="3"/>
    </row>
    <row r="32" spans="1:4" x14ac:dyDescent="0.25">
      <c r="A32" s="2" t="s">
        <v>357</v>
      </c>
      <c r="B32" s="3">
        <v>2.8002262115478499E-4</v>
      </c>
      <c r="C32" s="3"/>
      <c r="D32" s="3"/>
    </row>
    <row r="33" spans="1:4" x14ac:dyDescent="0.25">
      <c r="A33" s="2" t="s">
        <v>358</v>
      </c>
      <c r="B33" s="3">
        <v>5.1999097922816905E-4</v>
      </c>
      <c r="C33" s="3"/>
      <c r="D33" s="3"/>
    </row>
    <row r="34" spans="1:4" x14ac:dyDescent="0.25">
      <c r="A34" s="2" t="s">
        <v>359</v>
      </c>
      <c r="B34" s="3">
        <v>-4.5990940998308399E-4</v>
      </c>
      <c r="C34" s="3"/>
      <c r="D34" s="3"/>
    </row>
    <row r="35" spans="1:4" x14ac:dyDescent="0.25">
      <c r="A35" s="2" t="s">
        <v>360</v>
      </c>
      <c r="B35" s="3">
        <v>-1.0300874710082999E-3</v>
      </c>
      <c r="C35" s="3"/>
      <c r="D35" s="3"/>
    </row>
    <row r="36" spans="1:4" x14ac:dyDescent="0.25">
      <c r="A36" s="2" t="s">
        <v>361</v>
      </c>
      <c r="B36" s="3">
        <v>-1.0799169540405299E-3</v>
      </c>
      <c r="C36" s="3"/>
      <c r="D36" s="3"/>
    </row>
    <row r="37" spans="1:4" x14ac:dyDescent="0.25">
      <c r="A37" s="2" t="s">
        <v>362</v>
      </c>
      <c r="B37" s="3">
        <v>0</v>
      </c>
      <c r="C37" s="3"/>
      <c r="D37" s="3"/>
    </row>
    <row r="38" spans="1:4" x14ac:dyDescent="0.25">
      <c r="A38" s="2" t="s">
        <v>363</v>
      </c>
      <c r="B38" s="3">
        <v>-1.00135648608557E-5</v>
      </c>
      <c r="C38" s="3"/>
      <c r="D38" s="3"/>
    </row>
    <row r="39" spans="1:4" x14ac:dyDescent="0.25">
      <c r="A39" s="2" t="s">
        <v>364</v>
      </c>
      <c r="B39" s="3">
        <v>1.3399124145507799E-3</v>
      </c>
      <c r="C39" s="3"/>
      <c r="D39" s="3"/>
    </row>
    <row r="40" spans="1:4" x14ac:dyDescent="0.25">
      <c r="A40" s="2" t="s">
        <v>365</v>
      </c>
      <c r="B40" s="3">
        <v>-3.06999683380127E-3</v>
      </c>
      <c r="C40" s="3"/>
      <c r="D40" s="3"/>
    </row>
    <row r="41" spans="1:4" x14ac:dyDescent="0.25">
      <c r="A41" s="2" t="s">
        <v>366</v>
      </c>
      <c r="B41" s="3">
        <v>-1.7799139022827101E-3</v>
      </c>
      <c r="C41" s="3"/>
      <c r="D41" s="3"/>
    </row>
    <row r="42" spans="1:4" x14ac:dyDescent="0.25">
      <c r="A42" s="2" t="s">
        <v>367</v>
      </c>
      <c r="B42" s="3">
        <v>-1.4200210571289099E-3</v>
      </c>
      <c r="C42" s="3"/>
      <c r="D42" s="3"/>
    </row>
    <row r="43" spans="1:4" x14ac:dyDescent="0.25">
      <c r="A43" s="2" t="s">
        <v>368</v>
      </c>
      <c r="B43" s="3">
        <v>-1.20043732749764E-4</v>
      </c>
      <c r="C43" s="3"/>
      <c r="D43" s="3"/>
    </row>
    <row r="44" spans="1:4" x14ac:dyDescent="0.25">
      <c r="A44" s="2" t="s">
        <v>369</v>
      </c>
      <c r="B44" s="3">
        <v>-2.3996827076189201E-4</v>
      </c>
      <c r="C44" s="3"/>
      <c r="D44" s="3"/>
    </row>
    <row r="45" spans="1:4" x14ac:dyDescent="0.25">
      <c r="A45" s="2" t="s">
        <v>370</v>
      </c>
      <c r="B45" s="3">
        <v>-7.2002410888671897E-4</v>
      </c>
      <c r="C45" s="3"/>
      <c r="D45" s="3"/>
    </row>
    <row r="46" spans="1:4" x14ac:dyDescent="0.25">
      <c r="A46" s="2" t="s">
        <v>371</v>
      </c>
      <c r="B46" s="3">
        <v>-8.8000297546386697E-4</v>
      </c>
      <c r="C46" s="3"/>
      <c r="D46" s="3"/>
    </row>
    <row r="47" spans="1:4" x14ac:dyDescent="0.25">
      <c r="A47" s="2" t="s">
        <v>372</v>
      </c>
      <c r="B47" s="3">
        <v>-1.00135648608557E-5</v>
      </c>
      <c r="C47" s="3"/>
      <c r="D47" s="3"/>
    </row>
    <row r="48" spans="1:4" x14ac:dyDescent="0.25">
      <c r="A48" s="2" t="s">
        <v>373</v>
      </c>
      <c r="B48" s="3">
        <v>-2.9993054340593501E-4</v>
      </c>
      <c r="C48" s="3"/>
      <c r="D48" s="3"/>
    </row>
    <row r="49" spans="1:4" x14ac:dyDescent="0.25">
      <c r="A49" s="2" t="s">
        <v>374</v>
      </c>
      <c r="B49" s="3">
        <v>-2.7000904083252002E-4</v>
      </c>
      <c r="C49" s="3"/>
      <c r="D49" s="3"/>
    </row>
    <row r="50" spans="1:4" x14ac:dyDescent="0.25">
      <c r="A50" s="2" t="s">
        <v>375</v>
      </c>
      <c r="B50" s="3">
        <v>2.5999548961408398E-4</v>
      </c>
      <c r="C50" s="3"/>
      <c r="D50" s="3"/>
    </row>
    <row r="51" spans="1:4" x14ac:dyDescent="0.25">
      <c r="A51" s="2" t="s">
        <v>376</v>
      </c>
      <c r="B51" s="3">
        <v>0</v>
      </c>
      <c r="C51" s="3"/>
      <c r="D51" s="3"/>
    </row>
    <row r="52" spans="1:4" x14ac:dyDescent="0.25">
      <c r="A52" s="2" t="s">
        <v>377</v>
      </c>
      <c r="B52" s="3">
        <v>3.4999853232875499E-4</v>
      </c>
      <c r="C52" s="3">
        <v>1.81969982804731E-4</v>
      </c>
      <c r="D52" s="3">
        <v>1.6802854952402399E-4</v>
      </c>
    </row>
    <row r="53" spans="1:4" x14ac:dyDescent="0.25">
      <c r="A53" s="2" t="s">
        <v>378</v>
      </c>
      <c r="B53" s="3">
        <v>4.1997435619123302E-4</v>
      </c>
      <c r="C53" s="3">
        <v>4.9891113303601698E-4</v>
      </c>
      <c r="D53" s="3">
        <v>7.8936776844783994E-5</v>
      </c>
    </row>
    <row r="54" spans="1:4" x14ac:dyDescent="0.25">
      <c r="A54" s="2" t="s">
        <v>379</v>
      </c>
      <c r="B54" s="3">
        <v>2.7000904083252002E-4</v>
      </c>
      <c r="C54" s="3">
        <v>3.2288927468471202E-4</v>
      </c>
      <c r="D54" s="3">
        <v>5.2880233852192001E-5</v>
      </c>
    </row>
    <row r="55" spans="1:4" x14ac:dyDescent="0.25">
      <c r="A55" s="2" t="s">
        <v>380</v>
      </c>
      <c r="B55" s="3">
        <v>-3.60012054443359E-4</v>
      </c>
      <c r="C55" s="3">
        <v>-2.8643102268688402E-4</v>
      </c>
      <c r="D55" s="3">
        <v>7.3581031756474999E-5</v>
      </c>
    </row>
    <row r="56" spans="1:4" x14ac:dyDescent="0.25">
      <c r="A56" s="2" t="s">
        <v>381</v>
      </c>
      <c r="B56" s="3">
        <v>-1.5997888112906399E-4</v>
      </c>
      <c r="C56" s="3">
        <v>-2.7032301295548699E-4</v>
      </c>
      <c r="D56" s="3">
        <v>1.10344131826423E-4</v>
      </c>
    </row>
    <row r="57" spans="1:4" x14ac:dyDescent="0.25">
      <c r="A57" s="2" t="s">
        <v>382</v>
      </c>
      <c r="B57" s="3">
        <v>1.00016601209063E-4</v>
      </c>
      <c r="C57" s="3">
        <v>-5.4394546168623499E-5</v>
      </c>
      <c r="D57" s="3">
        <v>1.5441114737768649E-4</v>
      </c>
    </row>
    <row r="58" spans="1:4" x14ac:dyDescent="0.25">
      <c r="A58" s="2" t="s">
        <v>383</v>
      </c>
      <c r="B58" s="3">
        <v>6.3991552451625499E-4</v>
      </c>
      <c r="C58" s="3">
        <v>5.0918583292514097E-4</v>
      </c>
      <c r="D58" s="3">
        <v>1.30729691591114E-4</v>
      </c>
    </row>
    <row r="59" spans="1:4" x14ac:dyDescent="0.25">
      <c r="A59" s="2" t="s">
        <v>384</v>
      </c>
      <c r="B59" s="3">
        <v>-1.03998184204102E-3</v>
      </c>
      <c r="C59" s="3">
        <v>-1.10662309452891E-3</v>
      </c>
      <c r="D59" s="3">
        <v>6.6641252487889999E-5</v>
      </c>
    </row>
    <row r="60" spans="1:4" x14ac:dyDescent="0.25">
      <c r="A60" s="2" t="s">
        <v>385</v>
      </c>
      <c r="B60" s="3">
        <v>-1.29997730255127E-3</v>
      </c>
      <c r="C60" s="3">
        <v>-1.36628327891231E-3</v>
      </c>
      <c r="D60" s="3">
        <v>6.630597636104E-5</v>
      </c>
    </row>
    <row r="61" spans="1:4" x14ac:dyDescent="0.25">
      <c r="A61" s="2" t="s">
        <v>386</v>
      </c>
      <c r="B61" s="3">
        <v>2.00271297217114E-5</v>
      </c>
      <c r="C61" s="3">
        <v>3.1687424052506702E-4</v>
      </c>
      <c r="D61" s="3">
        <v>2.9684711080335563E-4</v>
      </c>
    </row>
    <row r="62" spans="1:4" x14ac:dyDescent="0.25">
      <c r="A62" s="2" t="s">
        <v>387</v>
      </c>
      <c r="B62" s="3">
        <v>-4.0996074676513699E-4</v>
      </c>
      <c r="C62" s="3">
        <v>-1.79809605469927E-4</v>
      </c>
      <c r="D62" s="3">
        <v>2.3015114129520999E-4</v>
      </c>
    </row>
    <row r="63" spans="1:4" x14ac:dyDescent="0.25">
      <c r="A63" s="2" t="s">
        <v>388</v>
      </c>
      <c r="B63" s="3">
        <v>1.15990627091378E-3</v>
      </c>
      <c r="C63" s="3">
        <v>1.3053091242909399E-3</v>
      </c>
      <c r="D63" s="3">
        <v>1.4540285337715999E-4</v>
      </c>
    </row>
    <row r="64" spans="1:4" x14ac:dyDescent="0.25">
      <c r="A64" s="2" t="s">
        <v>389</v>
      </c>
      <c r="B64" s="3">
        <v>1.47998344618827E-3</v>
      </c>
      <c r="C64" s="3">
        <v>1.63698010146618E-3</v>
      </c>
      <c r="D64" s="3">
        <v>1.5699665527790999E-4</v>
      </c>
    </row>
    <row r="65" spans="1:4" x14ac:dyDescent="0.25">
      <c r="A65" s="2" t="s">
        <v>432</v>
      </c>
      <c r="B65" s="3">
        <v>5.0008302787318804E-4</v>
      </c>
      <c r="C65" s="3">
        <v>2.82785447780043E-4</v>
      </c>
      <c r="D65" s="3">
        <v>2.1729758009314499E-4</v>
      </c>
    </row>
    <row r="66" spans="1:4" x14ac:dyDescent="0.25">
      <c r="A66" s="2" t="s">
        <v>433</v>
      </c>
      <c r="B66" s="3">
        <v>3.9935141103342203E-5</v>
      </c>
      <c r="C66" s="3">
        <v>-3.9984202885534601E-5</v>
      </c>
      <c r="D66" s="3">
        <v>7.9919343988876803E-5</v>
      </c>
    </row>
    <row r="67" spans="1:4" x14ac:dyDescent="0.25">
      <c r="A67" s="2" t="s">
        <v>434</v>
      </c>
      <c r="B67" s="3">
        <v>-1.6999244689941401E-4</v>
      </c>
      <c r="C67" s="3">
        <v>-1.2826165766455201E-4</v>
      </c>
      <c r="D67" s="3">
        <v>4.1730789234862003E-5</v>
      </c>
    </row>
    <row r="68" spans="1:4" x14ac:dyDescent="0.25">
      <c r="A68" s="2" t="s">
        <v>435</v>
      </c>
      <c r="B68" s="3">
        <v>1.9001956388820001E-4</v>
      </c>
      <c r="C68" s="3">
        <v>2.4429461336694701E-4</v>
      </c>
      <c r="D68" s="3">
        <v>5.4275049478746998E-5</v>
      </c>
    </row>
    <row r="69" spans="1:4" x14ac:dyDescent="0.25">
      <c r="A69" s="2" t="s">
        <v>436</v>
      </c>
      <c r="B69" s="3">
        <v>-2.10046768188477E-4</v>
      </c>
      <c r="C69" s="3">
        <v>-5.6763547036098303E-5</v>
      </c>
      <c r="D69" s="3">
        <v>1.5328322115237871E-4</v>
      </c>
    </row>
    <row r="70" spans="1:4" x14ac:dyDescent="0.25">
      <c r="A70" s="2" t="s">
        <v>437</v>
      </c>
      <c r="B70" s="3">
        <v>4.1007989784702702E-4</v>
      </c>
      <c r="C70" s="3">
        <v>5.9100298676639795E-4</v>
      </c>
      <c r="D70" s="3">
        <v>1.8092308891937099E-4</v>
      </c>
    </row>
    <row r="71" spans="1:4" x14ac:dyDescent="0.25">
      <c r="A71" s="2" t="s">
        <v>458</v>
      </c>
      <c r="B71" s="3"/>
      <c r="C71" s="3">
        <v>5.9604702983051495E-4</v>
      </c>
      <c r="D71" s="3"/>
    </row>
    <row r="72" spans="1:4" x14ac:dyDescent="0.25">
      <c r="A72" s="2" t="s">
        <v>459</v>
      </c>
      <c r="B72" s="3"/>
      <c r="C72" s="3">
        <v>6.75631919875741E-4</v>
      </c>
      <c r="D72" s="3"/>
    </row>
    <row r="73" spans="1:4" x14ac:dyDescent="0.25">
      <c r="A73" s="2" t="s">
        <v>460</v>
      </c>
      <c r="B73" s="3"/>
      <c r="C73" s="3">
        <v>-1.6347167547792199E-4</v>
      </c>
      <c r="D73" s="3"/>
    </row>
    <row r="74" spans="1:4" x14ac:dyDescent="0.25">
      <c r="A74" s="2" t="s">
        <v>1</v>
      </c>
      <c r="B74" s="3">
        <v>-2.7390484003421231E-5</v>
      </c>
      <c r="C74" s="3">
        <v>1.5952436561664471E-4</v>
      </c>
      <c r="D74" s="3">
        <v>1.2940450659171813E-4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4"/>
  <sheetViews>
    <sheetView topLeftCell="A28" zoomScale="85" zoomScaleNormal="85" workbookViewId="0">
      <selection activeCell="B71" sqref="B71"/>
    </sheetView>
  </sheetViews>
  <sheetFormatPr defaultRowHeight="15" x14ac:dyDescent="0.25"/>
  <cols>
    <col min="1" max="1" width="17.7109375" bestFit="1" customWidth="1"/>
    <col min="2" max="2" width="22.85546875" bestFit="1" customWidth="1"/>
    <col min="3" max="3" width="25.5703125" bestFit="1" customWidth="1"/>
    <col min="4" max="4" width="21.7109375" bestFit="1" customWidth="1"/>
  </cols>
  <sheetData>
    <row r="1" spans="1:8" x14ac:dyDescent="0.25">
      <c r="A1" s="1" t="s">
        <v>0</v>
      </c>
      <c r="B1" t="s">
        <v>131</v>
      </c>
      <c r="C1" t="s">
        <v>132</v>
      </c>
      <c r="D1" t="s">
        <v>133</v>
      </c>
      <c r="G1" t="s">
        <v>127</v>
      </c>
      <c r="H1" s="26">
        <f>GETPIVOTDATA("Average of ERRORBASE",$A$1)</f>
        <v>1.0736992484657894E-4</v>
      </c>
    </row>
    <row r="2" spans="1:8" x14ac:dyDescent="0.25">
      <c r="A2" s="2" t="s">
        <v>451</v>
      </c>
      <c r="B2" s="3">
        <v>1.1682775020599376</v>
      </c>
      <c r="C2" s="3"/>
      <c r="D2" s="3"/>
    </row>
    <row r="3" spans="1:8" x14ac:dyDescent="0.25">
      <c r="A3" s="2" t="s">
        <v>453</v>
      </c>
      <c r="B3" s="3">
        <v>1.1686624884605401</v>
      </c>
      <c r="C3" s="3"/>
      <c r="D3" s="3"/>
    </row>
    <row r="4" spans="1:8" x14ac:dyDescent="0.25">
      <c r="A4" s="2" t="s">
        <v>331</v>
      </c>
      <c r="B4" s="3">
        <v>1.168850004673005</v>
      </c>
      <c r="C4" s="3"/>
      <c r="D4" s="3"/>
    </row>
    <row r="5" spans="1:8" x14ac:dyDescent="0.25">
      <c r="A5" s="2" t="s">
        <v>452</v>
      </c>
      <c r="B5" s="3">
        <v>1.1682225167751326</v>
      </c>
      <c r="C5" s="3"/>
      <c r="D5" s="3"/>
    </row>
    <row r="6" spans="1:8" x14ac:dyDescent="0.25">
      <c r="A6" s="2" t="s">
        <v>454</v>
      </c>
      <c r="B6" s="3">
        <v>1.1680150032043475</v>
      </c>
      <c r="C6" s="3"/>
      <c r="D6" s="3"/>
    </row>
    <row r="7" spans="1:8" x14ac:dyDescent="0.25">
      <c r="A7" s="2" t="s">
        <v>338</v>
      </c>
      <c r="B7" s="3">
        <v>1.1678599715232825</v>
      </c>
      <c r="C7" s="3"/>
      <c r="D7" s="3"/>
    </row>
    <row r="8" spans="1:8" x14ac:dyDescent="0.25">
      <c r="A8" s="2" t="s">
        <v>455</v>
      </c>
      <c r="B8" s="3">
        <v>1.168257534503935</v>
      </c>
      <c r="C8" s="3"/>
      <c r="D8" s="3"/>
    </row>
    <row r="9" spans="1:8" x14ac:dyDescent="0.25">
      <c r="A9" s="2" t="s">
        <v>456</v>
      </c>
      <c r="B9" s="3">
        <v>1.1690800189971902</v>
      </c>
      <c r="C9" s="3"/>
      <c r="D9" s="3"/>
    </row>
    <row r="10" spans="1:8" x14ac:dyDescent="0.25">
      <c r="A10" s="2" t="s">
        <v>457</v>
      </c>
      <c r="B10" s="3">
        <v>1.1692175269126877</v>
      </c>
      <c r="C10" s="3"/>
      <c r="D10" s="3"/>
    </row>
    <row r="11" spans="1:8" x14ac:dyDescent="0.25">
      <c r="A11" s="2" t="s">
        <v>335</v>
      </c>
      <c r="B11" s="3">
        <v>1.1690249741077401</v>
      </c>
      <c r="C11" s="3"/>
      <c r="D11" s="3"/>
    </row>
    <row r="12" spans="1:8" x14ac:dyDescent="0.25">
      <c r="A12" s="2" t="s">
        <v>339</v>
      </c>
      <c r="B12" s="3">
        <v>1.1699250042438525</v>
      </c>
      <c r="C12" s="3"/>
      <c r="D12" s="3"/>
    </row>
    <row r="13" spans="1:8" x14ac:dyDescent="0.25">
      <c r="A13" s="2" t="s">
        <v>340</v>
      </c>
      <c r="B13" s="3">
        <v>1.1697050034999874</v>
      </c>
      <c r="C13" s="3"/>
      <c r="D13" s="3"/>
    </row>
    <row r="14" spans="1:8" x14ac:dyDescent="0.25">
      <c r="A14" s="2" t="s">
        <v>329</v>
      </c>
      <c r="B14" s="3">
        <v>1.1693825125694275</v>
      </c>
      <c r="C14" s="3"/>
      <c r="D14" s="3"/>
    </row>
    <row r="15" spans="1:8" x14ac:dyDescent="0.25">
      <c r="A15" s="2" t="s">
        <v>341</v>
      </c>
      <c r="B15" s="3">
        <v>1.1694424748420724</v>
      </c>
      <c r="C15" s="3"/>
      <c r="D15" s="3"/>
    </row>
    <row r="16" spans="1:8" x14ac:dyDescent="0.25">
      <c r="A16" s="2" t="s">
        <v>342</v>
      </c>
      <c r="B16" s="3">
        <v>1.1699849963188151</v>
      </c>
      <c r="C16" s="3"/>
      <c r="D16" s="3"/>
    </row>
    <row r="17" spans="1:4" x14ac:dyDescent="0.25">
      <c r="A17" s="2" t="s">
        <v>343</v>
      </c>
      <c r="B17" s="3">
        <v>1.1684624850749952</v>
      </c>
      <c r="C17" s="3"/>
      <c r="D17" s="3"/>
    </row>
    <row r="18" spans="1:4" x14ac:dyDescent="0.25">
      <c r="A18" s="2" t="s">
        <v>344</v>
      </c>
      <c r="B18" s="3">
        <v>1.1673249602317801</v>
      </c>
      <c r="C18" s="3"/>
      <c r="D18" s="3"/>
    </row>
    <row r="19" spans="1:4" x14ac:dyDescent="0.25">
      <c r="A19" s="2" t="s">
        <v>345</v>
      </c>
      <c r="B19" s="3">
        <v>1.1676025092601776</v>
      </c>
      <c r="C19" s="3"/>
      <c r="D19" s="3"/>
    </row>
    <row r="20" spans="1:4" x14ac:dyDescent="0.25">
      <c r="A20" s="2" t="s">
        <v>346</v>
      </c>
      <c r="B20" s="3">
        <v>1.1687700152397149</v>
      </c>
      <c r="C20" s="3"/>
      <c r="D20" s="3"/>
    </row>
    <row r="21" spans="1:4" x14ac:dyDescent="0.25">
      <c r="A21" s="2" t="s">
        <v>327</v>
      </c>
      <c r="B21" s="3">
        <v>1.1700724959373476</v>
      </c>
      <c r="C21" s="3"/>
      <c r="D21" s="3"/>
    </row>
    <row r="22" spans="1:4" x14ac:dyDescent="0.25">
      <c r="A22" s="2" t="s">
        <v>347</v>
      </c>
      <c r="B22" s="3">
        <v>1.171657502651215</v>
      </c>
      <c r="C22" s="3"/>
      <c r="D22" s="3"/>
    </row>
    <row r="23" spans="1:4" x14ac:dyDescent="0.25">
      <c r="A23" s="2" t="s">
        <v>348</v>
      </c>
      <c r="B23" s="3">
        <v>1.1727750003337851</v>
      </c>
      <c r="C23" s="3"/>
      <c r="D23" s="3"/>
    </row>
    <row r="24" spans="1:4" x14ac:dyDescent="0.25">
      <c r="A24" s="2" t="s">
        <v>349</v>
      </c>
      <c r="B24" s="3">
        <v>1.1725600063800825</v>
      </c>
      <c r="C24" s="3"/>
      <c r="D24" s="3"/>
    </row>
    <row r="25" spans="1:4" x14ac:dyDescent="0.25">
      <c r="A25" s="2" t="s">
        <v>350</v>
      </c>
      <c r="B25" s="3">
        <v>1.1726324856281276</v>
      </c>
      <c r="C25" s="3"/>
      <c r="D25" s="3"/>
    </row>
    <row r="26" spans="1:4" x14ac:dyDescent="0.25">
      <c r="A26" s="2" t="s">
        <v>351</v>
      </c>
      <c r="B26" s="3">
        <v>1.1734150052070624</v>
      </c>
      <c r="C26" s="3"/>
      <c r="D26" s="3"/>
    </row>
    <row r="27" spans="1:4" x14ac:dyDescent="0.25">
      <c r="A27" s="2" t="s">
        <v>352</v>
      </c>
      <c r="B27" s="3">
        <v>1.17348748445511</v>
      </c>
      <c r="C27" s="3"/>
      <c r="D27" s="3"/>
    </row>
    <row r="28" spans="1:4" x14ac:dyDescent="0.25">
      <c r="A28" s="2" t="s">
        <v>353</v>
      </c>
      <c r="B28" s="3">
        <v>1.1735224723815922</v>
      </c>
      <c r="C28" s="3"/>
      <c r="D28" s="3"/>
    </row>
    <row r="29" spans="1:4" x14ac:dyDescent="0.25">
      <c r="A29" s="2" t="s">
        <v>354</v>
      </c>
      <c r="B29" s="3">
        <v>1.173359990119935</v>
      </c>
      <c r="C29" s="3"/>
      <c r="D29" s="3"/>
    </row>
    <row r="30" spans="1:4" x14ac:dyDescent="0.25">
      <c r="A30" s="2" t="s">
        <v>355</v>
      </c>
      <c r="B30" s="3">
        <v>1.1733424961566925</v>
      </c>
      <c r="C30" s="3"/>
      <c r="D30" s="3"/>
    </row>
    <row r="31" spans="1:4" x14ac:dyDescent="0.25">
      <c r="A31" s="2" t="s">
        <v>356</v>
      </c>
      <c r="B31" s="3">
        <v>1.1731449961662275</v>
      </c>
      <c r="C31" s="3"/>
      <c r="D31" s="3"/>
    </row>
    <row r="32" spans="1:4" x14ac:dyDescent="0.25">
      <c r="A32" s="2" t="s">
        <v>357</v>
      </c>
      <c r="B32" s="3">
        <v>1.1731824874877925</v>
      </c>
      <c r="C32" s="3"/>
      <c r="D32" s="3"/>
    </row>
    <row r="33" spans="1:4" x14ac:dyDescent="0.25">
      <c r="A33" s="2" t="s">
        <v>358</v>
      </c>
      <c r="B33" s="3">
        <v>1.1730699837207774</v>
      </c>
      <c r="C33" s="3"/>
      <c r="D33" s="3"/>
    </row>
    <row r="34" spans="1:4" x14ac:dyDescent="0.25">
      <c r="A34" s="2" t="s">
        <v>359</v>
      </c>
      <c r="B34" s="3">
        <v>1.1727575361728675</v>
      </c>
      <c r="C34" s="3"/>
      <c r="D34" s="3"/>
    </row>
    <row r="35" spans="1:4" x14ac:dyDescent="0.25">
      <c r="A35" s="2" t="s">
        <v>360</v>
      </c>
      <c r="B35" s="3">
        <v>1.1719225049018875</v>
      </c>
      <c r="C35" s="3"/>
      <c r="D35" s="3"/>
    </row>
    <row r="36" spans="1:4" x14ac:dyDescent="0.25">
      <c r="A36" s="2" t="s">
        <v>361</v>
      </c>
      <c r="B36" s="3">
        <v>1.1712050139904024</v>
      </c>
      <c r="C36" s="3"/>
      <c r="D36" s="3"/>
    </row>
    <row r="37" spans="1:4" x14ac:dyDescent="0.25">
      <c r="A37" s="2" t="s">
        <v>362</v>
      </c>
      <c r="B37" s="3">
        <v>1.1711800396442424</v>
      </c>
      <c r="C37" s="3"/>
      <c r="D37" s="3"/>
    </row>
    <row r="38" spans="1:4" x14ac:dyDescent="0.25">
      <c r="A38" s="2" t="s">
        <v>363</v>
      </c>
      <c r="B38" s="3">
        <v>1.1710400283336651</v>
      </c>
      <c r="C38" s="3"/>
      <c r="D38" s="3"/>
    </row>
    <row r="39" spans="1:4" x14ac:dyDescent="0.25">
      <c r="A39" s="2" t="s">
        <v>364</v>
      </c>
      <c r="B39" s="3">
        <v>1.1705974936485299</v>
      </c>
      <c r="C39" s="3"/>
      <c r="D39" s="3"/>
    </row>
    <row r="40" spans="1:4" x14ac:dyDescent="0.25">
      <c r="A40" s="2" t="s">
        <v>365</v>
      </c>
      <c r="B40" s="3">
        <v>1.1686399877071376</v>
      </c>
      <c r="C40" s="3"/>
      <c r="D40" s="3"/>
    </row>
    <row r="41" spans="1:4" x14ac:dyDescent="0.25">
      <c r="A41" s="2" t="s">
        <v>366</v>
      </c>
      <c r="B41" s="3">
        <v>1.1667975187301625</v>
      </c>
      <c r="C41" s="3"/>
      <c r="D41" s="3"/>
    </row>
    <row r="42" spans="1:4" x14ac:dyDescent="0.25">
      <c r="A42" s="2" t="s">
        <v>367</v>
      </c>
      <c r="B42" s="3">
        <v>1.1656950116157498</v>
      </c>
      <c r="C42" s="3"/>
      <c r="D42" s="3"/>
    </row>
    <row r="43" spans="1:4" x14ac:dyDescent="0.25">
      <c r="A43" s="2" t="s">
        <v>368</v>
      </c>
      <c r="B43" s="3">
        <v>1.1657399833202375</v>
      </c>
      <c r="C43" s="3"/>
      <c r="D43" s="3"/>
    </row>
    <row r="44" spans="1:4" x14ac:dyDescent="0.25">
      <c r="A44" s="2" t="s">
        <v>369</v>
      </c>
      <c r="B44" s="3">
        <v>1.1658725142478952</v>
      </c>
      <c r="C44" s="3"/>
      <c r="D44" s="3"/>
    </row>
    <row r="45" spans="1:4" x14ac:dyDescent="0.25">
      <c r="A45" s="2" t="s">
        <v>370</v>
      </c>
      <c r="B45" s="3">
        <v>1.1648975014686576</v>
      </c>
      <c r="C45" s="3"/>
      <c r="D45" s="3"/>
    </row>
    <row r="46" spans="1:4" x14ac:dyDescent="0.25">
      <c r="A46" s="2" t="s">
        <v>371</v>
      </c>
      <c r="B46" s="3">
        <v>1.1643275022506725</v>
      </c>
      <c r="C46" s="3"/>
      <c r="D46" s="3"/>
    </row>
    <row r="47" spans="1:4" x14ac:dyDescent="0.25">
      <c r="A47" s="2" t="s">
        <v>372</v>
      </c>
      <c r="B47" s="3">
        <v>1.1642925143241873</v>
      </c>
      <c r="C47" s="3"/>
      <c r="D47" s="3"/>
    </row>
    <row r="48" spans="1:4" x14ac:dyDescent="0.25">
      <c r="A48" s="2" t="s">
        <v>373</v>
      </c>
      <c r="B48" s="3">
        <v>1.1640450358390799</v>
      </c>
      <c r="C48" s="3"/>
      <c r="D48" s="3"/>
    </row>
    <row r="49" spans="1:4" x14ac:dyDescent="0.25">
      <c r="A49" s="2" t="s">
        <v>374</v>
      </c>
      <c r="B49" s="3">
        <v>1.1639575064182275</v>
      </c>
      <c r="C49" s="3"/>
      <c r="D49" s="3"/>
    </row>
    <row r="50" spans="1:4" x14ac:dyDescent="0.25">
      <c r="A50" s="2" t="s">
        <v>375</v>
      </c>
      <c r="B50" s="3">
        <v>1.16413250565529</v>
      </c>
      <c r="C50" s="3"/>
      <c r="D50" s="3"/>
    </row>
    <row r="51" spans="1:4" x14ac:dyDescent="0.25">
      <c r="A51" s="2" t="s">
        <v>376</v>
      </c>
      <c r="B51" s="3">
        <v>1.164189994335175</v>
      </c>
      <c r="C51" s="3"/>
      <c r="D51" s="3"/>
    </row>
    <row r="52" spans="1:4" x14ac:dyDescent="0.25">
      <c r="A52" s="2" t="s">
        <v>377</v>
      </c>
      <c r="B52" s="3">
        <v>1.1642374992370623</v>
      </c>
      <c r="C52" s="3">
        <v>1.1641862392425524</v>
      </c>
      <c r="D52" s="3">
        <v>8.8512897489999997E-5</v>
      </c>
    </row>
    <row r="53" spans="1:4" x14ac:dyDescent="0.25">
      <c r="A53" s="2" t="s">
        <v>378</v>
      </c>
      <c r="B53" s="3">
        <v>1.16474497318268</v>
      </c>
      <c r="C53" s="3">
        <v>1.1647885143756875</v>
      </c>
      <c r="D53" s="3">
        <v>6.2853097917499998E-5</v>
      </c>
    </row>
    <row r="54" spans="1:4" x14ac:dyDescent="0.25">
      <c r="A54" s="2" t="s">
        <v>379</v>
      </c>
      <c r="B54" s="3">
        <v>1.1650574803352349</v>
      </c>
      <c r="C54" s="3">
        <v>1.16506788134575</v>
      </c>
      <c r="D54" s="3">
        <v>3.4898519514999999E-5</v>
      </c>
    </row>
    <row r="55" spans="1:4" x14ac:dyDescent="0.25">
      <c r="A55" s="2" t="s">
        <v>380</v>
      </c>
      <c r="B55" s="3">
        <v>1.1647900044918051</v>
      </c>
      <c r="C55" s="3">
        <v>1.1648004949092874</v>
      </c>
      <c r="D55" s="3">
        <v>4.3630599977499995E-5</v>
      </c>
    </row>
    <row r="56" spans="1:4" x14ac:dyDescent="0.25">
      <c r="A56" s="2" t="s">
        <v>381</v>
      </c>
      <c r="B56" s="3">
        <v>1.1645824909210225</v>
      </c>
      <c r="C56" s="3">
        <v>1.1645403504371652</v>
      </c>
      <c r="D56" s="3">
        <v>4.8398971557500006E-5</v>
      </c>
    </row>
    <row r="57" spans="1:4" x14ac:dyDescent="0.25">
      <c r="A57" s="2" t="s">
        <v>382</v>
      </c>
      <c r="B57" s="3">
        <v>1.1644575297832498</v>
      </c>
      <c r="C57" s="3">
        <v>1.1644615530967699</v>
      </c>
      <c r="D57" s="3">
        <v>8.1211328504999996E-5</v>
      </c>
    </row>
    <row r="58" spans="1:4" x14ac:dyDescent="0.25">
      <c r="A58" s="2" t="s">
        <v>383</v>
      </c>
      <c r="B58" s="3">
        <v>1.16474249958992</v>
      </c>
      <c r="C58" s="3">
        <v>1.1646858751773825</v>
      </c>
      <c r="D58" s="3">
        <v>6.1273574827499993E-5</v>
      </c>
    </row>
    <row r="59" spans="1:4" x14ac:dyDescent="0.25">
      <c r="A59" s="2" t="s">
        <v>384</v>
      </c>
      <c r="B59" s="3">
        <v>1.1635424792766575</v>
      </c>
      <c r="C59" s="3">
        <v>1.1635625660419477</v>
      </c>
      <c r="D59" s="3">
        <v>7.5042247769999996E-5</v>
      </c>
    </row>
    <row r="60" spans="1:4" x14ac:dyDescent="0.25">
      <c r="A60" s="2" t="s">
        <v>385</v>
      </c>
      <c r="B60" s="3">
        <v>1.1626049876213076</v>
      </c>
      <c r="C60" s="3">
        <v>1.162615448236465</v>
      </c>
      <c r="D60" s="3">
        <v>8.8721513747499993E-5</v>
      </c>
    </row>
    <row r="61" spans="1:4" x14ac:dyDescent="0.25">
      <c r="A61" s="2" t="s">
        <v>386</v>
      </c>
      <c r="B61" s="3">
        <v>1.1626524925231951</v>
      </c>
      <c r="C61" s="3">
        <v>1.1626980602741224</v>
      </c>
      <c r="D61" s="3">
        <v>1.259148120875E-4</v>
      </c>
    </row>
    <row r="62" spans="1:4" x14ac:dyDescent="0.25">
      <c r="A62" s="2" t="s">
        <v>387</v>
      </c>
      <c r="B62" s="3">
        <v>1.1626099944114674</v>
      </c>
      <c r="C62" s="3">
        <v>1.1625532507896426</v>
      </c>
      <c r="D62" s="3">
        <v>1.7184019089E-4</v>
      </c>
    </row>
    <row r="63" spans="1:4" x14ac:dyDescent="0.25">
      <c r="A63" s="2" t="s">
        <v>388</v>
      </c>
      <c r="B63" s="3">
        <v>1.1631049811840048</v>
      </c>
      <c r="C63" s="3">
        <v>1.163127064704895</v>
      </c>
      <c r="D63" s="3">
        <v>8.8840723040000007E-5</v>
      </c>
    </row>
    <row r="64" spans="1:4" x14ac:dyDescent="0.25">
      <c r="A64" s="2" t="s">
        <v>389</v>
      </c>
      <c r="B64" s="3">
        <v>1.16458496451378</v>
      </c>
      <c r="C64" s="3">
        <v>1.1646354496479026</v>
      </c>
      <c r="D64" s="3">
        <v>1.1467933654750001E-4</v>
      </c>
    </row>
    <row r="65" spans="1:4" x14ac:dyDescent="0.25">
      <c r="A65" s="2" t="s">
        <v>432</v>
      </c>
      <c r="B65" s="3">
        <v>1.165409982204435</v>
      </c>
      <c r="C65" s="3">
        <v>1.1653948724269849</v>
      </c>
      <c r="D65" s="3">
        <v>1.1792778968999999E-4</v>
      </c>
    </row>
    <row r="66" spans="1:4" x14ac:dyDescent="0.25">
      <c r="A66" s="2" t="s">
        <v>433</v>
      </c>
      <c r="B66" s="3">
        <v>1.1654474735260001</v>
      </c>
      <c r="C66" s="3">
        <v>1.1654565036296827</v>
      </c>
      <c r="D66" s="3">
        <v>1.9446015358249999E-4</v>
      </c>
    </row>
    <row r="67" spans="1:4" x14ac:dyDescent="0.25">
      <c r="A67" s="2" t="s">
        <v>434</v>
      </c>
      <c r="B67" s="3">
        <v>1.1655700206756601</v>
      </c>
      <c r="C67" s="3">
        <v>1.165504068136215</v>
      </c>
      <c r="D67" s="3">
        <v>1.05708837505E-4</v>
      </c>
    </row>
    <row r="68" spans="1:4" x14ac:dyDescent="0.25">
      <c r="A68" s="2" t="s">
        <v>435</v>
      </c>
      <c r="B68" s="3">
        <v>1.165647476911545</v>
      </c>
      <c r="C68" s="3">
        <v>1.1656343042850501</v>
      </c>
      <c r="D68" s="3">
        <v>2.0647048949999999E-4</v>
      </c>
    </row>
    <row r="69" spans="1:4" x14ac:dyDescent="0.25">
      <c r="A69" s="2" t="s">
        <v>436</v>
      </c>
      <c r="B69" s="3">
        <v>1.165652483701705</v>
      </c>
      <c r="C69" s="3">
        <v>1.1657444834709176</v>
      </c>
      <c r="D69" s="3">
        <v>1.985728740725E-4</v>
      </c>
    </row>
    <row r="70" spans="1:4" x14ac:dyDescent="0.25">
      <c r="A70" s="2" t="s">
        <v>437</v>
      </c>
      <c r="B70" s="3">
        <v>1.1658050119876848</v>
      </c>
      <c r="C70" s="3">
        <v>1.1659360826015477</v>
      </c>
      <c r="D70" s="3">
        <v>1.3107061386250001E-4</v>
      </c>
    </row>
    <row r="71" spans="1:4" x14ac:dyDescent="0.25">
      <c r="A71" s="2" t="s">
        <v>458</v>
      </c>
      <c r="B71" s="3"/>
      <c r="C71" s="3">
        <v>1.1666881442070025</v>
      </c>
      <c r="D71" s="3"/>
    </row>
    <row r="72" spans="1:4" x14ac:dyDescent="0.25">
      <c r="A72" s="2" t="s">
        <v>459</v>
      </c>
      <c r="B72" s="3"/>
      <c r="C72" s="3">
        <v>1.167447835206985</v>
      </c>
      <c r="D72" s="3"/>
    </row>
    <row r="73" spans="1:4" x14ac:dyDescent="0.25">
      <c r="A73" s="2" t="s">
        <v>460</v>
      </c>
      <c r="B73" s="3"/>
      <c r="C73" s="3">
        <v>1.1677843928337102</v>
      </c>
      <c r="D73" s="3"/>
    </row>
    <row r="74" spans="1:4" x14ac:dyDescent="0.25">
      <c r="A74" s="2" t="s">
        <v>1</v>
      </c>
      <c r="B74" s="3">
        <v>1.167953984460969</v>
      </c>
      <c r="C74" s="3">
        <v>1.164877883412621</v>
      </c>
      <c r="D74" s="3">
        <v>1.0736992484657894E-4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4"/>
  <sheetViews>
    <sheetView workbookViewId="0">
      <selection activeCell="C16" sqref="C16"/>
    </sheetView>
  </sheetViews>
  <sheetFormatPr defaultRowHeight="15" x14ac:dyDescent="0.25"/>
  <cols>
    <col min="1" max="1" width="15.5703125" bestFit="1" customWidth="1"/>
    <col min="2" max="2" width="20.28515625" customWidth="1"/>
    <col min="3" max="3" width="27.42578125" customWidth="1"/>
    <col min="4" max="4" width="15" customWidth="1"/>
    <col min="5" max="5" width="15.7109375" customWidth="1"/>
    <col min="6" max="6" width="16.140625" customWidth="1"/>
    <col min="7" max="7" width="15.7109375" customWidth="1"/>
    <col min="8" max="9" width="7.42578125" customWidth="1"/>
  </cols>
  <sheetData>
    <row r="2" spans="1:4" x14ac:dyDescent="0.25">
      <c r="A2" s="1" t="s">
        <v>0</v>
      </c>
      <c r="B2" t="s">
        <v>404</v>
      </c>
      <c r="C2" t="s">
        <v>403</v>
      </c>
      <c r="D2" t="s">
        <v>405</v>
      </c>
    </row>
    <row r="3" spans="1:4" x14ac:dyDescent="0.25">
      <c r="A3" s="23">
        <v>43308.916666666664</v>
      </c>
      <c r="B3" s="3">
        <v>1.1663600000000001</v>
      </c>
      <c r="C3" s="3">
        <v>1.1650050000000001</v>
      </c>
      <c r="D3" s="3">
        <v>1.3549999999999951E-3</v>
      </c>
    </row>
    <row r="4" spans="1:4" x14ac:dyDescent="0.25">
      <c r="A4" s="23">
        <v>43308.958333333336</v>
      </c>
      <c r="B4" s="3">
        <v>1.1660200000000001</v>
      </c>
      <c r="C4" s="3"/>
      <c r="D4"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7"/>
  <sheetViews>
    <sheetView topLeftCell="E7" zoomScale="85" zoomScaleNormal="85" workbookViewId="0">
      <selection activeCell="I4" sqref="I4"/>
    </sheetView>
  </sheetViews>
  <sheetFormatPr defaultRowHeight="15" x14ac:dyDescent="0.25"/>
  <cols>
    <col min="1" max="1" width="11.28515625" customWidth="1"/>
    <col min="2" max="2" width="20.28515625" customWidth="1"/>
    <col min="3" max="3" width="19.28515625" bestFit="1" customWidth="1"/>
    <col min="4" max="4" width="20.7109375" customWidth="1"/>
  </cols>
  <sheetData>
    <row r="3" spans="1:8" x14ac:dyDescent="0.25">
      <c r="B3" s="1" t="s">
        <v>148</v>
      </c>
      <c r="H3" s="5"/>
    </row>
    <row r="4" spans="1:8" x14ac:dyDescent="0.25">
      <c r="A4" s="1" t="s">
        <v>146</v>
      </c>
      <c r="B4" t="s">
        <v>145</v>
      </c>
      <c r="C4" t="s">
        <v>130</v>
      </c>
    </row>
    <row r="5" spans="1:8" x14ac:dyDescent="0.25">
      <c r="A5">
        <v>3332713.5</v>
      </c>
      <c r="B5" s="22">
        <v>5.5351845466678736E-3</v>
      </c>
      <c r="C5" s="22">
        <v>1.0736991978439236E-4</v>
      </c>
    </row>
    <row r="6" spans="1:8" x14ac:dyDescent="0.25">
      <c r="A6">
        <v>3332673</v>
      </c>
      <c r="B6" s="22">
        <v>5.4702435767180384E-3</v>
      </c>
      <c r="C6" s="22">
        <v>1.0541980772790077E-4</v>
      </c>
    </row>
    <row r="7" spans="1:8" x14ac:dyDescent="0.25">
      <c r="A7" t="s">
        <v>1</v>
      </c>
      <c r="B7" s="22">
        <v>5.5027140616929551E-3</v>
      </c>
      <c r="C7" s="22">
        <v>1.0639486375614655E-4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7" workbookViewId="0"/>
  </sheetViews>
  <sheetFormatPr defaultRowHeight="15" x14ac:dyDescent="0.25"/>
  <cols>
    <col min="1" max="1" width="19.42578125" bestFit="1" customWidth="1"/>
    <col min="2" max="2" width="36.7109375" bestFit="1" customWidth="1"/>
  </cols>
  <sheetData>
    <row r="1" spans="1:2" x14ac:dyDescent="0.25">
      <c r="A1" t="s">
        <v>36</v>
      </c>
      <c r="B1" s="5" t="s">
        <v>38</v>
      </c>
    </row>
    <row r="2" spans="1:2" x14ac:dyDescent="0.25">
      <c r="A2" t="s">
        <v>37</v>
      </c>
      <c r="B2" s="5" t="s">
        <v>35</v>
      </c>
    </row>
    <row r="3" spans="1:2" x14ac:dyDescent="0.25">
      <c r="A3" t="s">
        <v>52</v>
      </c>
      <c r="B3" s="11" t="str">
        <f>$B$1&amp;"DataShapes"&amp;"\"</f>
        <v>Config\DataShapes\</v>
      </c>
    </row>
    <row r="4" spans="1:2" x14ac:dyDescent="0.25">
      <c r="A4" t="s">
        <v>39</v>
      </c>
      <c r="B4" s="11" t="str">
        <f>$B$1&amp;"DataSets"&amp;"\"</f>
        <v>Config\DataSets\</v>
      </c>
    </row>
    <row r="5" spans="1:2" x14ac:dyDescent="0.25">
      <c r="A5" t="s">
        <v>40</v>
      </c>
      <c r="B5" s="11" t="str">
        <f>$B$1&amp;"Engines"&amp;"\"</f>
        <v>Config\Engines\</v>
      </c>
    </row>
    <row r="7" spans="1:2" x14ac:dyDescent="0.25">
      <c r="A7" t="s">
        <v>47</v>
      </c>
      <c r="B7" s="6" t="s">
        <v>84</v>
      </c>
    </row>
    <row r="8" spans="1:2" x14ac:dyDescent="0.25">
      <c r="A8" s="12" t="s">
        <v>49</v>
      </c>
      <c r="B8" s="13" t="s">
        <v>85</v>
      </c>
    </row>
    <row r="9" spans="1:2" x14ac:dyDescent="0.25">
      <c r="A9" t="s">
        <v>53</v>
      </c>
      <c r="B9" s="6" t="s">
        <v>48</v>
      </c>
    </row>
    <row r="10" spans="1:2" x14ac:dyDescent="0.25">
      <c r="A10" s="12"/>
      <c r="B10" s="12"/>
    </row>
    <row r="11" spans="1:2" x14ac:dyDescent="0.25">
      <c r="A11" s="10" t="s">
        <v>29</v>
      </c>
      <c r="B11" s="14" t="s">
        <v>59</v>
      </c>
    </row>
    <row r="12" spans="1:2" x14ac:dyDescent="0.25">
      <c r="A12" s="10" t="s">
        <v>33</v>
      </c>
      <c r="B12" s="14" t="s">
        <v>61</v>
      </c>
    </row>
    <row r="13" spans="1:2" x14ac:dyDescent="0.25">
      <c r="A13" s="10" t="s">
        <v>34</v>
      </c>
      <c r="B13" s="14" t="s">
        <v>62</v>
      </c>
    </row>
    <row r="14" spans="1:2" x14ac:dyDescent="0.25">
      <c r="A14" s="10" t="s">
        <v>46</v>
      </c>
      <c r="B14" s="14" t="s">
        <v>60</v>
      </c>
    </row>
    <row r="15" spans="1:2" x14ac:dyDescent="0.25">
      <c r="A15" s="10" t="s">
        <v>50</v>
      </c>
      <c r="B15" s="14" t="s">
        <v>63</v>
      </c>
    </row>
    <row r="16" spans="1:2" x14ac:dyDescent="0.25">
      <c r="A16" s="10" t="s">
        <v>51</v>
      </c>
      <c r="B16" s="14" t="s">
        <v>64</v>
      </c>
    </row>
    <row r="17" spans="1:6" x14ac:dyDescent="0.25">
      <c r="A17" s="10" t="s">
        <v>57</v>
      </c>
      <c r="B17" s="14" t="s">
        <v>65</v>
      </c>
      <c r="D17" t="s">
        <v>22</v>
      </c>
      <c r="E17" s="7" t="s">
        <v>54</v>
      </c>
    </row>
    <row r="18" spans="1:6" x14ac:dyDescent="0.25">
      <c r="A18" s="10" t="s">
        <v>58</v>
      </c>
      <c r="B18" s="14" t="s">
        <v>66</v>
      </c>
      <c r="D18" t="s">
        <v>23</v>
      </c>
      <c r="E18" s="7" t="s">
        <v>25</v>
      </c>
      <c r="F18" s="7">
        <v>7240</v>
      </c>
    </row>
    <row r="19" spans="1:6" x14ac:dyDescent="0.25">
      <c r="A19" s="10" t="s">
        <v>56</v>
      </c>
      <c r="B19" s="14" t="s">
        <v>67</v>
      </c>
      <c r="D19" t="s">
        <v>24</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30</v>
      </c>
      <c r="B21" s="9" t="s">
        <v>68</v>
      </c>
    </row>
    <row r="22" spans="1:6" x14ac:dyDescent="0.25">
      <c r="A22" s="10" t="s">
        <v>31</v>
      </c>
      <c r="B22" s="9" t="s">
        <v>69</v>
      </c>
    </row>
    <row r="23" spans="1:6" x14ac:dyDescent="0.25">
      <c r="A23" s="10" t="s">
        <v>32</v>
      </c>
      <c r="B23" s="9" t="s">
        <v>70</v>
      </c>
    </row>
    <row r="24" spans="1:6" x14ac:dyDescent="0.25">
      <c r="A24" s="12"/>
      <c r="B24" s="12"/>
    </row>
    <row r="25" spans="1:6" x14ac:dyDescent="0.25">
      <c r="A25" s="10" t="s">
        <v>41</v>
      </c>
      <c r="B25" s="14" t="s">
        <v>77</v>
      </c>
    </row>
    <row r="26" spans="1:6" x14ac:dyDescent="0.25">
      <c r="A26" s="10" t="s">
        <v>42</v>
      </c>
      <c r="B26" s="14" t="s">
        <v>78</v>
      </c>
    </row>
    <row r="27" spans="1:6" x14ac:dyDescent="0.25">
      <c r="A27" s="8" t="s">
        <v>43</v>
      </c>
      <c r="B27" s="14" t="s">
        <v>79</v>
      </c>
    </row>
    <row r="28" spans="1:6" x14ac:dyDescent="0.25">
      <c r="A28" s="8" t="s">
        <v>71</v>
      </c>
      <c r="B28" s="14" t="s">
        <v>80</v>
      </c>
    </row>
    <row r="29" spans="1:6" x14ac:dyDescent="0.25">
      <c r="A29" s="8" t="s">
        <v>72</v>
      </c>
      <c r="B29" s="14" t="s">
        <v>44</v>
      </c>
    </row>
    <row r="30" spans="1:6" x14ac:dyDescent="0.25">
      <c r="A30" s="8" t="s">
        <v>73</v>
      </c>
      <c r="B30" s="14" t="s">
        <v>45</v>
      </c>
    </row>
    <row r="31" spans="1:6" x14ac:dyDescent="0.25">
      <c r="A31" s="8" t="s">
        <v>74</v>
      </c>
      <c r="B31" s="14" t="s">
        <v>81</v>
      </c>
    </row>
    <row r="32" spans="1:6" x14ac:dyDescent="0.25">
      <c r="A32" s="8" t="s">
        <v>75</v>
      </c>
      <c r="B32" s="14" t="s">
        <v>82</v>
      </c>
    </row>
    <row r="33" spans="1:2" x14ac:dyDescent="0.25">
      <c r="A33" s="8" t="s">
        <v>76</v>
      </c>
      <c r="B33" s="14" t="s">
        <v>83</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372"/>
  <sheetViews>
    <sheetView zoomScaleNormal="100" workbookViewId="0">
      <selection activeCell="E24" sqref="E24"/>
    </sheetView>
  </sheetViews>
  <sheetFormatPr defaultRowHeight="15" x14ac:dyDescent="0.25"/>
  <cols>
    <col min="1" max="1" width="16.7109375" style="4" bestFit="1" customWidth="1"/>
    <col min="2" max="2" width="13" bestFit="1" customWidth="1"/>
    <col min="3" max="3" width="16.5703125" style="4" bestFit="1" customWidth="1"/>
    <col min="4" max="4" width="22" bestFit="1" customWidth="1"/>
    <col min="5" max="5" width="14.5703125" style="4" bestFit="1" customWidth="1"/>
    <col min="6" max="6" width="15.5703125" bestFit="1" customWidth="1"/>
    <col min="7" max="7" width="14.85546875" bestFit="1" customWidth="1"/>
    <col min="8" max="8" width="26" style="4" bestFit="1" customWidth="1"/>
    <col min="9" max="9" width="15.5703125" hidden="1" customWidth="1"/>
    <col min="10" max="10" width="11"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134</v>
      </c>
      <c r="D1" t="s">
        <v>4</v>
      </c>
      <c r="E1" s="4" t="s">
        <v>390</v>
      </c>
      <c r="F1" t="s">
        <v>5</v>
      </c>
      <c r="G1" t="s">
        <v>6</v>
      </c>
      <c r="H1" t="s">
        <v>8</v>
      </c>
      <c r="I1" t="s">
        <v>9</v>
      </c>
      <c r="J1" t="s">
        <v>305</v>
      </c>
      <c r="L1"/>
      <c r="M1"/>
    </row>
    <row r="2" spans="1:13" x14ac:dyDescent="0.25">
      <c r="A2" s="4">
        <v>21200</v>
      </c>
      <c r="B2">
        <v>1656</v>
      </c>
      <c r="C2" s="4">
        <v>14308</v>
      </c>
      <c r="D2" t="s">
        <v>306</v>
      </c>
      <c r="E2" s="4">
        <v>0</v>
      </c>
      <c r="F2" s="25">
        <v>43722.98945601852</v>
      </c>
      <c r="G2">
        <v>0</v>
      </c>
      <c r="H2" s="25"/>
      <c r="I2" s="25"/>
      <c r="J2" s="25" t="s">
        <v>300</v>
      </c>
      <c r="L2"/>
      <c r="M2">
        <f>3134/60/24</f>
        <v>2.1763888888888889</v>
      </c>
    </row>
    <row r="3" spans="1:13" x14ac:dyDescent="0.25">
      <c r="A3" s="4">
        <v>21200</v>
      </c>
      <c r="B3">
        <v>1656</v>
      </c>
      <c r="C3" s="4">
        <v>14308</v>
      </c>
      <c r="D3" t="s">
        <v>306</v>
      </c>
      <c r="E3" s="4">
        <v>1</v>
      </c>
      <c r="F3" s="25">
        <v>43722.98945601852</v>
      </c>
      <c r="G3">
        <v>0</v>
      </c>
      <c r="H3" s="25"/>
      <c r="I3" s="25"/>
      <c r="J3" s="25" t="s">
        <v>300</v>
      </c>
      <c r="L3"/>
      <c r="M3"/>
    </row>
    <row r="4" spans="1:13" x14ac:dyDescent="0.25">
      <c r="A4" s="4">
        <v>20099</v>
      </c>
      <c r="B4">
        <v>5872</v>
      </c>
      <c r="C4" s="4">
        <v>14308</v>
      </c>
      <c r="D4" t="s">
        <v>306</v>
      </c>
      <c r="E4" s="4">
        <v>0</v>
      </c>
      <c r="F4" s="25">
        <v>43722.985555555555</v>
      </c>
      <c r="G4">
        <v>0</v>
      </c>
      <c r="H4" s="25"/>
      <c r="I4" s="25"/>
      <c r="J4" s="25" t="s">
        <v>300</v>
      </c>
      <c r="L4"/>
      <c r="M4"/>
    </row>
    <row r="5" spans="1:13" x14ac:dyDescent="0.25">
      <c r="A5" s="4">
        <v>101</v>
      </c>
      <c r="B5">
        <v>9768</v>
      </c>
      <c r="C5" s="4">
        <v>14308</v>
      </c>
      <c r="D5" t="s">
        <v>7</v>
      </c>
      <c r="E5" s="4">
        <v>0</v>
      </c>
      <c r="F5" s="25">
        <v>43722.985092592593</v>
      </c>
      <c r="G5">
        <v>0</v>
      </c>
      <c r="H5" s="25"/>
      <c r="I5" s="25" t="s">
        <v>451</v>
      </c>
      <c r="J5" s="25" t="s">
        <v>304</v>
      </c>
      <c r="L5"/>
      <c r="M5"/>
    </row>
    <row r="6" spans="1:13" x14ac:dyDescent="0.25">
      <c r="A6" s="4">
        <v>15880</v>
      </c>
      <c r="B6">
        <v>13032</v>
      </c>
      <c r="C6" s="4">
        <v>14308</v>
      </c>
      <c r="D6" t="s">
        <v>306</v>
      </c>
      <c r="E6" s="4">
        <v>0</v>
      </c>
      <c r="F6" s="25">
        <v>43722.970601851855</v>
      </c>
      <c r="G6">
        <v>0</v>
      </c>
      <c r="H6" s="25"/>
      <c r="I6" s="25"/>
      <c r="J6" s="25" t="s">
        <v>300</v>
      </c>
      <c r="L6"/>
      <c r="M6"/>
    </row>
    <row r="7" spans="1:13" x14ac:dyDescent="0.25">
      <c r="A7" s="4">
        <v>14528</v>
      </c>
      <c r="B7">
        <v>13316</v>
      </c>
      <c r="C7" s="4">
        <v>14308</v>
      </c>
      <c r="D7" t="s">
        <v>306</v>
      </c>
      <c r="E7" s="4">
        <v>0</v>
      </c>
      <c r="F7" s="25">
        <v>43722.965798611112</v>
      </c>
      <c r="G7">
        <v>0</v>
      </c>
      <c r="H7" s="25"/>
      <c r="I7" s="25"/>
      <c r="J7" s="25" t="s">
        <v>300</v>
      </c>
      <c r="L7"/>
      <c r="M7"/>
    </row>
    <row r="8" spans="1:13" x14ac:dyDescent="0.25">
      <c r="A8" s="4">
        <v>101</v>
      </c>
      <c r="B8">
        <v>9052</v>
      </c>
      <c r="C8" s="4">
        <v>14308</v>
      </c>
      <c r="D8" t="s">
        <v>7</v>
      </c>
      <c r="E8" s="4">
        <v>0</v>
      </c>
      <c r="F8" s="25">
        <v>43722.964930555558</v>
      </c>
      <c r="G8">
        <v>0</v>
      </c>
      <c r="H8" s="25"/>
      <c r="I8" s="25" t="s">
        <v>451</v>
      </c>
      <c r="J8" s="25" t="s">
        <v>304</v>
      </c>
      <c r="L8"/>
      <c r="M8"/>
    </row>
    <row r="9" spans="1:13" x14ac:dyDescent="0.25">
      <c r="A9" s="4">
        <v>12471</v>
      </c>
      <c r="B9">
        <v>13716</v>
      </c>
      <c r="C9" s="4">
        <v>14308</v>
      </c>
      <c r="D9" t="s">
        <v>306</v>
      </c>
      <c r="E9" s="4">
        <v>24</v>
      </c>
      <c r="F9" s="25">
        <v>43722.958703703705</v>
      </c>
      <c r="G9">
        <v>0</v>
      </c>
      <c r="H9" s="25"/>
      <c r="I9" s="25"/>
      <c r="J9" s="25" t="s">
        <v>300</v>
      </c>
      <c r="L9"/>
      <c r="M9"/>
    </row>
    <row r="10" spans="1:13" x14ac:dyDescent="0.25">
      <c r="A10" s="4">
        <v>12471</v>
      </c>
      <c r="B10">
        <v>13716</v>
      </c>
      <c r="C10" s="4">
        <v>14308</v>
      </c>
      <c r="D10" t="s">
        <v>306</v>
      </c>
      <c r="E10" s="4">
        <v>22</v>
      </c>
      <c r="F10" s="25">
        <v>43722.958692129629</v>
      </c>
      <c r="G10">
        <v>0</v>
      </c>
      <c r="H10" s="25"/>
      <c r="I10" s="25"/>
      <c r="J10" s="25" t="s">
        <v>300</v>
      </c>
      <c r="L10"/>
      <c r="M10"/>
    </row>
    <row r="11" spans="1:13" x14ac:dyDescent="0.25">
      <c r="A11" s="4">
        <v>12471</v>
      </c>
      <c r="B11">
        <v>13716</v>
      </c>
      <c r="C11" s="4">
        <v>14308</v>
      </c>
      <c r="D11" t="s">
        <v>306</v>
      </c>
      <c r="E11" s="4">
        <v>23</v>
      </c>
      <c r="F11" s="25">
        <v>43722.958692129629</v>
      </c>
      <c r="G11">
        <v>0</v>
      </c>
      <c r="H11" s="25"/>
      <c r="I11" s="25"/>
      <c r="J11" s="25" t="s">
        <v>300</v>
      </c>
      <c r="L11"/>
      <c r="M11"/>
    </row>
    <row r="12" spans="1:13" x14ac:dyDescent="0.25">
      <c r="A12" s="4">
        <v>12471</v>
      </c>
      <c r="B12">
        <v>13716</v>
      </c>
      <c r="C12" s="4">
        <v>14308</v>
      </c>
      <c r="D12" t="s">
        <v>306</v>
      </c>
      <c r="E12" s="4">
        <v>21</v>
      </c>
      <c r="F12" s="25">
        <v>43722.958680555559</v>
      </c>
      <c r="G12">
        <v>0</v>
      </c>
      <c r="H12" s="25"/>
      <c r="I12" s="25"/>
      <c r="J12" s="25" t="s">
        <v>300</v>
      </c>
      <c r="L12"/>
      <c r="M12"/>
    </row>
    <row r="13" spans="1:13" x14ac:dyDescent="0.25">
      <c r="A13" s="4">
        <v>12471</v>
      </c>
      <c r="B13">
        <v>13716</v>
      </c>
      <c r="C13" s="4">
        <v>14308</v>
      </c>
      <c r="D13" t="s">
        <v>306</v>
      </c>
      <c r="E13" s="4">
        <v>19</v>
      </c>
      <c r="F13" s="25">
        <v>43722.958668981482</v>
      </c>
      <c r="G13">
        <v>0</v>
      </c>
      <c r="H13" s="25"/>
      <c r="I13" s="25"/>
      <c r="J13" s="25" t="s">
        <v>300</v>
      </c>
      <c r="L13"/>
      <c r="M13"/>
    </row>
    <row r="14" spans="1:13" x14ac:dyDescent="0.25">
      <c r="A14" s="4">
        <v>12471</v>
      </c>
      <c r="B14">
        <v>13716</v>
      </c>
      <c r="C14" s="4">
        <v>14308</v>
      </c>
      <c r="D14" t="s">
        <v>306</v>
      </c>
      <c r="E14" s="4">
        <v>20</v>
      </c>
      <c r="F14" s="25">
        <v>43722.958668981482</v>
      </c>
      <c r="G14">
        <v>0</v>
      </c>
      <c r="H14" s="25"/>
      <c r="I14" s="25"/>
      <c r="J14" s="25" t="s">
        <v>300</v>
      </c>
      <c r="L14"/>
      <c r="M14"/>
    </row>
    <row r="15" spans="1:13" x14ac:dyDescent="0.25">
      <c r="A15" s="4">
        <v>12471</v>
      </c>
      <c r="B15">
        <v>13716</v>
      </c>
      <c r="C15" s="4">
        <v>14308</v>
      </c>
      <c r="D15" t="s">
        <v>306</v>
      </c>
      <c r="E15" s="4">
        <v>18</v>
      </c>
      <c r="F15" s="25">
        <v>43722.958657407406</v>
      </c>
      <c r="G15">
        <v>0</v>
      </c>
      <c r="H15" s="25"/>
      <c r="I15" s="25"/>
      <c r="J15" s="25" t="s">
        <v>300</v>
      </c>
      <c r="L15"/>
      <c r="M15"/>
    </row>
    <row r="16" spans="1:13" x14ac:dyDescent="0.25">
      <c r="A16" s="4">
        <v>12471</v>
      </c>
      <c r="B16">
        <v>13716</v>
      </c>
      <c r="C16" s="4">
        <v>14308</v>
      </c>
      <c r="D16" t="s">
        <v>306</v>
      </c>
      <c r="E16" s="4">
        <v>16</v>
      </c>
      <c r="F16" s="25">
        <v>43722.958645833336</v>
      </c>
      <c r="G16">
        <v>0</v>
      </c>
      <c r="H16" s="25"/>
      <c r="I16" s="25"/>
      <c r="J16" s="25" t="s">
        <v>300</v>
      </c>
      <c r="L16"/>
      <c r="M16"/>
    </row>
    <row r="17" spans="1:13" x14ac:dyDescent="0.25">
      <c r="A17" s="4">
        <v>12471</v>
      </c>
      <c r="B17">
        <v>13716</v>
      </c>
      <c r="C17" s="4">
        <v>14308</v>
      </c>
      <c r="D17" t="s">
        <v>306</v>
      </c>
      <c r="E17" s="4">
        <v>17</v>
      </c>
      <c r="F17" s="25">
        <v>43722.958645833336</v>
      </c>
      <c r="G17">
        <v>0</v>
      </c>
      <c r="H17" s="25"/>
      <c r="I17" s="25"/>
      <c r="J17" s="25" t="s">
        <v>300</v>
      </c>
      <c r="L17"/>
      <c r="M17"/>
    </row>
    <row r="18" spans="1:13" x14ac:dyDescent="0.25">
      <c r="A18" s="4">
        <v>12471</v>
      </c>
      <c r="B18">
        <v>13716</v>
      </c>
      <c r="C18" s="4">
        <v>14308</v>
      </c>
      <c r="D18" t="s">
        <v>306</v>
      </c>
      <c r="E18" s="4">
        <v>15</v>
      </c>
      <c r="F18" s="25">
        <v>43722.958634259259</v>
      </c>
      <c r="G18">
        <v>0</v>
      </c>
      <c r="H18" s="25"/>
      <c r="I18" s="25"/>
      <c r="J18" s="25" t="s">
        <v>300</v>
      </c>
      <c r="L18"/>
      <c r="M18"/>
    </row>
    <row r="19" spans="1:13" x14ac:dyDescent="0.25">
      <c r="A19" s="4">
        <v>12471</v>
      </c>
      <c r="B19">
        <v>13716</v>
      </c>
      <c r="C19" s="4">
        <v>14308</v>
      </c>
      <c r="D19" t="s">
        <v>306</v>
      </c>
      <c r="E19" s="4">
        <v>14</v>
      </c>
      <c r="F19" s="25">
        <v>43722.958622685182</v>
      </c>
      <c r="G19">
        <v>0</v>
      </c>
      <c r="H19" s="25"/>
      <c r="I19" s="25"/>
      <c r="J19" s="25" t="s">
        <v>300</v>
      </c>
      <c r="L19"/>
      <c r="M19"/>
    </row>
    <row r="20" spans="1:13" x14ac:dyDescent="0.25">
      <c r="A20" s="4">
        <v>12471</v>
      </c>
      <c r="B20">
        <v>13716</v>
      </c>
      <c r="C20" s="4">
        <v>14308</v>
      </c>
      <c r="D20" t="s">
        <v>306</v>
      </c>
      <c r="E20" s="4">
        <v>12</v>
      </c>
      <c r="F20" s="25">
        <v>43722.958611111113</v>
      </c>
      <c r="G20">
        <v>0</v>
      </c>
      <c r="H20" s="25"/>
      <c r="I20" s="25"/>
      <c r="J20" s="25" t="s">
        <v>300</v>
      </c>
      <c r="L20"/>
      <c r="M20"/>
    </row>
    <row r="21" spans="1:13" x14ac:dyDescent="0.25">
      <c r="A21" s="4">
        <v>12471</v>
      </c>
      <c r="B21">
        <v>13716</v>
      </c>
      <c r="C21" s="4">
        <v>14308</v>
      </c>
      <c r="D21" t="s">
        <v>306</v>
      </c>
      <c r="E21" s="4">
        <v>13</v>
      </c>
      <c r="F21" s="25">
        <v>43722.958611111113</v>
      </c>
      <c r="G21">
        <v>0</v>
      </c>
      <c r="H21" s="25"/>
      <c r="I21" s="25"/>
      <c r="J21" s="25" t="s">
        <v>300</v>
      </c>
      <c r="L21"/>
      <c r="M21"/>
    </row>
    <row r="22" spans="1:13" x14ac:dyDescent="0.25">
      <c r="A22" s="4">
        <v>12471</v>
      </c>
      <c r="B22">
        <v>13716</v>
      </c>
      <c r="C22" s="4">
        <v>14308</v>
      </c>
      <c r="D22" t="s">
        <v>306</v>
      </c>
      <c r="E22" s="4">
        <v>11</v>
      </c>
      <c r="F22" s="25">
        <v>43722.958599537036</v>
      </c>
      <c r="G22">
        <v>0</v>
      </c>
      <c r="H22" s="25"/>
      <c r="I22" s="25"/>
      <c r="J22" s="25" t="s">
        <v>300</v>
      </c>
      <c r="L22"/>
      <c r="M22"/>
    </row>
    <row r="23" spans="1:13" x14ac:dyDescent="0.25">
      <c r="A23" s="4">
        <v>12471</v>
      </c>
      <c r="B23">
        <v>13716</v>
      </c>
      <c r="C23" s="4">
        <v>14308</v>
      </c>
      <c r="D23" t="s">
        <v>306</v>
      </c>
      <c r="E23" s="4">
        <v>9</v>
      </c>
      <c r="F23" s="25">
        <v>43722.958587962959</v>
      </c>
      <c r="G23">
        <v>0</v>
      </c>
      <c r="H23" s="25"/>
      <c r="I23" s="25"/>
      <c r="J23" s="25" t="s">
        <v>300</v>
      </c>
      <c r="L23"/>
      <c r="M23"/>
    </row>
    <row r="24" spans="1:13" x14ac:dyDescent="0.25">
      <c r="A24" s="4">
        <v>12471</v>
      </c>
      <c r="B24">
        <v>13716</v>
      </c>
      <c r="C24" s="4">
        <v>14308</v>
      </c>
      <c r="D24" t="s">
        <v>306</v>
      </c>
      <c r="E24" s="4">
        <v>10</v>
      </c>
      <c r="F24" s="25">
        <v>43722.958587962959</v>
      </c>
      <c r="G24">
        <v>0</v>
      </c>
      <c r="H24" s="25"/>
      <c r="I24" s="25"/>
      <c r="J24" s="25" t="s">
        <v>300</v>
      </c>
      <c r="L24"/>
      <c r="M24"/>
    </row>
    <row r="25" spans="1:13" x14ac:dyDescent="0.25">
      <c r="A25" s="4">
        <v>12471</v>
      </c>
      <c r="B25">
        <v>13716</v>
      </c>
      <c r="C25" s="4">
        <v>14308</v>
      </c>
      <c r="D25" t="s">
        <v>306</v>
      </c>
      <c r="E25" s="4">
        <v>8</v>
      </c>
      <c r="F25" s="25">
        <v>43722.95857638889</v>
      </c>
      <c r="G25">
        <v>0</v>
      </c>
      <c r="H25" s="25"/>
      <c r="I25" s="25"/>
      <c r="J25" s="25" t="s">
        <v>300</v>
      </c>
      <c r="L25"/>
      <c r="M25"/>
    </row>
    <row r="26" spans="1:13" x14ac:dyDescent="0.25">
      <c r="A26" s="4">
        <v>12471</v>
      </c>
      <c r="B26">
        <v>13716</v>
      </c>
      <c r="C26" s="4">
        <v>14308</v>
      </c>
      <c r="D26" t="s">
        <v>306</v>
      </c>
      <c r="E26" s="4">
        <v>6</v>
      </c>
      <c r="F26" s="25">
        <v>43722.958564814813</v>
      </c>
      <c r="G26">
        <v>0</v>
      </c>
      <c r="H26" s="25"/>
      <c r="I26" s="25"/>
      <c r="J26" s="25" t="s">
        <v>300</v>
      </c>
      <c r="L26"/>
      <c r="M26"/>
    </row>
    <row r="27" spans="1:13" x14ac:dyDescent="0.25">
      <c r="A27" s="4">
        <v>12471</v>
      </c>
      <c r="B27">
        <v>13716</v>
      </c>
      <c r="C27" s="4">
        <v>14308</v>
      </c>
      <c r="D27" t="s">
        <v>306</v>
      </c>
      <c r="E27" s="4">
        <v>7</v>
      </c>
      <c r="F27" s="25">
        <v>43722.958564814813</v>
      </c>
      <c r="G27">
        <v>0</v>
      </c>
      <c r="H27" s="25"/>
      <c r="I27" s="25"/>
      <c r="J27" s="25" t="s">
        <v>300</v>
      </c>
      <c r="L27"/>
      <c r="M27"/>
    </row>
    <row r="28" spans="1:13" x14ac:dyDescent="0.25">
      <c r="A28" s="4">
        <v>12471</v>
      </c>
      <c r="B28">
        <v>13716</v>
      </c>
      <c r="C28" s="4">
        <v>14308</v>
      </c>
      <c r="D28" t="s">
        <v>306</v>
      </c>
      <c r="E28" s="4">
        <v>5</v>
      </c>
      <c r="F28" s="25">
        <v>43722.958553240744</v>
      </c>
      <c r="G28">
        <v>0</v>
      </c>
      <c r="H28" s="25"/>
      <c r="I28" s="25"/>
      <c r="J28" s="25" t="s">
        <v>300</v>
      </c>
      <c r="L28"/>
      <c r="M28"/>
    </row>
    <row r="29" spans="1:13" x14ac:dyDescent="0.25">
      <c r="A29" s="4">
        <v>12471</v>
      </c>
      <c r="B29">
        <v>13716</v>
      </c>
      <c r="C29" s="4">
        <v>14308</v>
      </c>
      <c r="D29" t="s">
        <v>306</v>
      </c>
      <c r="E29" s="4">
        <v>3</v>
      </c>
      <c r="F29" s="25">
        <v>43722.958541666667</v>
      </c>
      <c r="G29">
        <v>0</v>
      </c>
      <c r="H29" s="25"/>
      <c r="I29" s="25"/>
      <c r="J29" s="25" t="s">
        <v>300</v>
      </c>
      <c r="L29"/>
      <c r="M29"/>
    </row>
    <row r="30" spans="1:13" x14ac:dyDescent="0.25">
      <c r="A30" s="4">
        <v>12471</v>
      </c>
      <c r="B30">
        <v>13716</v>
      </c>
      <c r="C30" s="4">
        <v>14308</v>
      </c>
      <c r="D30" t="s">
        <v>306</v>
      </c>
      <c r="E30" s="4">
        <v>4</v>
      </c>
      <c r="F30" s="25">
        <v>43722.958541666667</v>
      </c>
      <c r="G30">
        <v>0</v>
      </c>
      <c r="H30" s="25"/>
      <c r="I30" s="25"/>
      <c r="J30" s="25" t="s">
        <v>300</v>
      </c>
      <c r="L30"/>
      <c r="M30"/>
    </row>
    <row r="31" spans="1:13" x14ac:dyDescent="0.25">
      <c r="A31" s="4">
        <v>12471</v>
      </c>
      <c r="B31">
        <v>13716</v>
      </c>
      <c r="C31" s="4">
        <v>14308</v>
      </c>
      <c r="D31" t="s">
        <v>306</v>
      </c>
      <c r="E31" s="4">
        <v>1</v>
      </c>
      <c r="F31" s="25">
        <v>43722.95853009259</v>
      </c>
      <c r="G31">
        <v>0</v>
      </c>
      <c r="H31" s="25"/>
      <c r="I31" s="25"/>
      <c r="J31" s="25" t="s">
        <v>300</v>
      </c>
      <c r="L31"/>
      <c r="M31"/>
    </row>
    <row r="32" spans="1:13" x14ac:dyDescent="0.25">
      <c r="A32" s="4">
        <v>12471</v>
      </c>
      <c r="B32">
        <v>13716</v>
      </c>
      <c r="C32" s="4">
        <v>14308</v>
      </c>
      <c r="D32" t="s">
        <v>306</v>
      </c>
      <c r="E32" s="4">
        <v>2</v>
      </c>
      <c r="F32" s="25">
        <v>43722.95853009259</v>
      </c>
      <c r="G32">
        <v>0</v>
      </c>
      <c r="H32" s="25"/>
      <c r="I32" s="25"/>
      <c r="J32" s="25" t="s">
        <v>300</v>
      </c>
      <c r="L32"/>
      <c r="M32"/>
    </row>
    <row r="33" spans="1:13" x14ac:dyDescent="0.25">
      <c r="A33" s="4">
        <v>12471</v>
      </c>
      <c r="B33">
        <v>13716</v>
      </c>
      <c r="C33" s="4">
        <v>14308</v>
      </c>
      <c r="D33" t="s">
        <v>306</v>
      </c>
      <c r="E33" s="4">
        <v>0</v>
      </c>
      <c r="F33" s="25">
        <v>43722.958518518521</v>
      </c>
      <c r="G33">
        <v>0</v>
      </c>
      <c r="H33" s="25"/>
      <c r="I33" s="25"/>
      <c r="J33" s="25" t="s">
        <v>300</v>
      </c>
      <c r="L33"/>
      <c r="M33"/>
    </row>
    <row r="34" spans="1:13" x14ac:dyDescent="0.25">
      <c r="A34" s="4">
        <v>101</v>
      </c>
      <c r="B34">
        <v>13872</v>
      </c>
      <c r="C34" s="4">
        <v>14308</v>
      </c>
      <c r="D34" t="s">
        <v>7</v>
      </c>
      <c r="E34" s="4">
        <v>0</v>
      </c>
      <c r="F34" s="25">
        <v>43722.956250000003</v>
      </c>
      <c r="G34">
        <v>0</v>
      </c>
      <c r="H34" s="25"/>
      <c r="I34" s="25" t="s">
        <v>452</v>
      </c>
      <c r="J34" s="25" t="s">
        <v>300</v>
      </c>
      <c r="L34"/>
      <c r="M34"/>
    </row>
    <row r="35" spans="1:13" x14ac:dyDescent="0.25">
      <c r="A35" s="4">
        <v>11168</v>
      </c>
      <c r="B35">
        <v>13352</v>
      </c>
      <c r="C35" s="4">
        <v>14308</v>
      </c>
      <c r="D35" t="s">
        <v>306</v>
      </c>
      <c r="E35" s="4">
        <v>0</v>
      </c>
      <c r="F35" s="25">
        <v>43722.953912037039</v>
      </c>
      <c r="G35">
        <v>0</v>
      </c>
      <c r="H35" s="25"/>
      <c r="I35" s="25"/>
      <c r="J35" s="25" t="s">
        <v>300</v>
      </c>
      <c r="L35"/>
      <c r="M35"/>
    </row>
    <row r="36" spans="1:13" x14ac:dyDescent="0.25">
      <c r="A36" s="4">
        <v>7723</v>
      </c>
      <c r="B36">
        <v>8924</v>
      </c>
      <c r="C36" s="4">
        <v>14308</v>
      </c>
      <c r="D36" t="s">
        <v>306</v>
      </c>
      <c r="E36" s="4">
        <v>0</v>
      </c>
      <c r="F36" s="25">
        <v>43722.941689814812</v>
      </c>
      <c r="G36">
        <v>0</v>
      </c>
      <c r="H36" s="25"/>
      <c r="I36" s="25"/>
      <c r="J36" s="25" t="s">
        <v>300</v>
      </c>
      <c r="L36"/>
      <c r="M36"/>
    </row>
    <row r="37" spans="1:13" x14ac:dyDescent="0.25">
      <c r="A37" s="4">
        <v>7180</v>
      </c>
      <c r="B37">
        <v>6444</v>
      </c>
      <c r="C37" s="4">
        <v>14308</v>
      </c>
      <c r="D37" t="s">
        <v>306</v>
      </c>
      <c r="E37" s="4">
        <v>0</v>
      </c>
      <c r="F37" s="25">
        <v>43722.939768518518</v>
      </c>
      <c r="G37">
        <v>0</v>
      </c>
      <c r="H37" s="25"/>
      <c r="I37" s="25"/>
      <c r="J37" s="25" t="s">
        <v>300</v>
      </c>
      <c r="L37"/>
      <c r="M37"/>
    </row>
    <row r="38" spans="1:13" x14ac:dyDescent="0.25">
      <c r="A38" s="4">
        <v>6119</v>
      </c>
      <c r="B38">
        <v>4472</v>
      </c>
      <c r="C38" s="4">
        <v>14308</v>
      </c>
      <c r="D38" t="s">
        <v>306</v>
      </c>
      <c r="E38" s="4">
        <v>0</v>
      </c>
      <c r="F38" s="25">
        <v>43722.936006944445</v>
      </c>
      <c r="G38">
        <v>0</v>
      </c>
      <c r="H38" s="25"/>
      <c r="I38" s="25"/>
      <c r="J38" s="25" t="s">
        <v>300</v>
      </c>
      <c r="L38"/>
      <c r="M38"/>
    </row>
    <row r="39" spans="1:13" x14ac:dyDescent="0.25">
      <c r="A39" s="4">
        <v>101</v>
      </c>
      <c r="B39">
        <v>12616</v>
      </c>
      <c r="C39" s="4">
        <v>14308</v>
      </c>
      <c r="D39" t="s">
        <v>7</v>
      </c>
      <c r="E39" s="4">
        <v>0</v>
      </c>
      <c r="F39" s="25">
        <v>43722.932847222219</v>
      </c>
      <c r="G39">
        <v>0</v>
      </c>
      <c r="H39" s="25"/>
      <c r="I39" s="25" t="s">
        <v>452</v>
      </c>
      <c r="J39" s="25" t="s">
        <v>304</v>
      </c>
      <c r="L39"/>
      <c r="M39"/>
    </row>
    <row r="40" spans="1:13" x14ac:dyDescent="0.25">
      <c r="A40" s="4">
        <v>101</v>
      </c>
      <c r="B40">
        <v>6464</v>
      </c>
      <c r="C40" s="4">
        <v>14308</v>
      </c>
      <c r="D40" t="s">
        <v>7</v>
      </c>
      <c r="E40" s="4">
        <v>0</v>
      </c>
      <c r="F40" s="25">
        <v>43722.904282407406</v>
      </c>
      <c r="G40">
        <v>0</v>
      </c>
      <c r="H40" s="25"/>
      <c r="I40" s="25" t="s">
        <v>451</v>
      </c>
      <c r="J40" s="25" t="s">
        <v>304</v>
      </c>
      <c r="L40"/>
      <c r="M40"/>
    </row>
    <row r="41" spans="1:13" x14ac:dyDescent="0.25">
      <c r="A41" s="4">
        <v>29531</v>
      </c>
      <c r="B41">
        <v>14640</v>
      </c>
      <c r="C41" s="4">
        <v>14308</v>
      </c>
      <c r="D41" t="s">
        <v>306</v>
      </c>
      <c r="E41" s="4">
        <v>0</v>
      </c>
      <c r="F41" s="25">
        <v>43722.902812499997</v>
      </c>
      <c r="G41">
        <v>0</v>
      </c>
      <c r="H41" s="25"/>
      <c r="I41" s="25"/>
      <c r="J41" s="25" t="s">
        <v>300</v>
      </c>
      <c r="L41"/>
      <c r="M41"/>
    </row>
    <row r="42" spans="1:13" x14ac:dyDescent="0.25">
      <c r="A42" s="4">
        <v>28894</v>
      </c>
      <c r="B42">
        <v>1295</v>
      </c>
      <c r="C42" s="4">
        <v>14308</v>
      </c>
      <c r="D42" t="s">
        <v>306</v>
      </c>
      <c r="E42" s="4">
        <v>0</v>
      </c>
      <c r="F42" s="25">
        <v>43722.900555555556</v>
      </c>
      <c r="G42">
        <v>0</v>
      </c>
      <c r="H42" s="25"/>
      <c r="I42" s="25"/>
      <c r="J42" s="25" t="s">
        <v>300</v>
      </c>
      <c r="L42"/>
      <c r="M42"/>
    </row>
    <row r="43" spans="1:13" x14ac:dyDescent="0.25">
      <c r="A43" s="4">
        <v>28506</v>
      </c>
      <c r="B43">
        <v>12291</v>
      </c>
      <c r="C43" s="4">
        <v>14308</v>
      </c>
      <c r="D43" t="s">
        <v>306</v>
      </c>
      <c r="E43" s="4">
        <v>0</v>
      </c>
      <c r="F43" s="25">
        <v>43722.899189814816</v>
      </c>
      <c r="G43">
        <v>0</v>
      </c>
      <c r="H43" s="25"/>
      <c r="I43" s="25"/>
      <c r="J43" s="25" t="s">
        <v>300</v>
      </c>
      <c r="L43"/>
      <c r="M43"/>
    </row>
    <row r="44" spans="1:13" x14ac:dyDescent="0.25">
      <c r="A44" s="4">
        <v>27268</v>
      </c>
      <c r="B44">
        <v>12604</v>
      </c>
      <c r="C44" s="4">
        <v>14308</v>
      </c>
      <c r="D44" t="s">
        <v>306</v>
      </c>
      <c r="E44" s="4">
        <v>0</v>
      </c>
      <c r="F44" s="25">
        <v>43722.894803240742</v>
      </c>
      <c r="G44">
        <v>0</v>
      </c>
      <c r="H44" s="25"/>
      <c r="I44" s="25"/>
      <c r="J44" s="25" t="s">
        <v>300</v>
      </c>
      <c r="L44"/>
      <c r="M44"/>
    </row>
    <row r="45" spans="1:13" x14ac:dyDescent="0.25">
      <c r="A45" s="4">
        <v>101</v>
      </c>
      <c r="B45">
        <v>8372</v>
      </c>
      <c r="C45" s="4">
        <v>14308</v>
      </c>
      <c r="D45" t="s">
        <v>7</v>
      </c>
      <c r="E45" s="4">
        <v>0</v>
      </c>
      <c r="F45" s="25">
        <v>43722.892789351848</v>
      </c>
      <c r="G45">
        <v>0</v>
      </c>
      <c r="H45" s="25"/>
      <c r="I45" s="25" t="s">
        <v>333</v>
      </c>
      <c r="J45" s="25" t="s">
        <v>304</v>
      </c>
      <c r="L45"/>
      <c r="M45"/>
    </row>
    <row r="46" spans="1:13" x14ac:dyDescent="0.25">
      <c r="A46" s="4">
        <v>71</v>
      </c>
      <c r="B46">
        <v>1236</v>
      </c>
      <c r="C46" s="4">
        <v>14308</v>
      </c>
      <c r="D46" t="s">
        <v>306</v>
      </c>
      <c r="E46" s="4">
        <v>24</v>
      </c>
      <c r="F46" s="25">
        <v>43721.985613425924</v>
      </c>
      <c r="G46">
        <v>0</v>
      </c>
      <c r="H46" s="25"/>
      <c r="I46" s="25"/>
      <c r="J46" s="25" t="s">
        <v>300</v>
      </c>
      <c r="L46"/>
      <c r="M46"/>
    </row>
    <row r="47" spans="1:13" x14ac:dyDescent="0.25">
      <c r="A47" s="4">
        <v>71</v>
      </c>
      <c r="B47">
        <v>1236</v>
      </c>
      <c r="C47" s="4">
        <v>14308</v>
      </c>
      <c r="D47" t="s">
        <v>306</v>
      </c>
      <c r="E47" s="4">
        <v>22</v>
      </c>
      <c r="F47" s="25">
        <v>43721.985601851855</v>
      </c>
      <c r="G47">
        <v>0</v>
      </c>
      <c r="H47" s="25"/>
      <c r="I47" s="25"/>
      <c r="J47" s="25" t="s">
        <v>300</v>
      </c>
      <c r="L47"/>
      <c r="M47"/>
    </row>
    <row r="48" spans="1:13" x14ac:dyDescent="0.25">
      <c r="A48" s="4">
        <v>71</v>
      </c>
      <c r="B48">
        <v>1236</v>
      </c>
      <c r="C48" s="4">
        <v>14308</v>
      </c>
      <c r="D48" t="s">
        <v>306</v>
      </c>
      <c r="E48" s="4">
        <v>23</v>
      </c>
      <c r="F48" s="25">
        <v>43721.985601851855</v>
      </c>
      <c r="G48">
        <v>0</v>
      </c>
      <c r="H48" s="25"/>
      <c r="I48" s="25"/>
      <c r="J48" s="25" t="s">
        <v>300</v>
      </c>
      <c r="L48"/>
      <c r="M48"/>
    </row>
    <row r="49" spans="1:13" x14ac:dyDescent="0.25">
      <c r="A49" s="4">
        <v>71</v>
      </c>
      <c r="B49">
        <v>1236</v>
      </c>
      <c r="C49" s="4">
        <v>14308</v>
      </c>
      <c r="D49" t="s">
        <v>306</v>
      </c>
      <c r="E49" s="4">
        <v>21</v>
      </c>
      <c r="F49" s="25">
        <v>43721.985590277778</v>
      </c>
      <c r="G49">
        <v>0</v>
      </c>
      <c r="H49" s="25"/>
      <c r="I49" s="25"/>
      <c r="J49" s="25" t="s">
        <v>300</v>
      </c>
      <c r="L49"/>
      <c r="M49"/>
    </row>
    <row r="50" spans="1:13" x14ac:dyDescent="0.25">
      <c r="A50" s="4">
        <v>71</v>
      </c>
      <c r="B50">
        <v>1236</v>
      </c>
      <c r="C50" s="4">
        <v>14308</v>
      </c>
      <c r="D50" t="s">
        <v>306</v>
      </c>
      <c r="E50" s="4">
        <v>19</v>
      </c>
      <c r="F50" s="25">
        <v>43721.985578703701</v>
      </c>
      <c r="G50">
        <v>0</v>
      </c>
      <c r="H50" s="25"/>
      <c r="I50" s="25"/>
      <c r="J50" s="25" t="s">
        <v>300</v>
      </c>
      <c r="L50"/>
      <c r="M50"/>
    </row>
    <row r="51" spans="1:13" x14ac:dyDescent="0.25">
      <c r="A51" s="4">
        <v>71</v>
      </c>
      <c r="B51">
        <v>1236</v>
      </c>
      <c r="C51" s="4">
        <v>14308</v>
      </c>
      <c r="D51" t="s">
        <v>306</v>
      </c>
      <c r="E51" s="4">
        <v>20</v>
      </c>
      <c r="F51" s="25">
        <v>43721.985578703701</v>
      </c>
      <c r="G51">
        <v>0</v>
      </c>
      <c r="H51" s="25"/>
      <c r="I51" s="25"/>
      <c r="J51" s="25" t="s">
        <v>300</v>
      </c>
      <c r="L51"/>
      <c r="M51"/>
    </row>
    <row r="52" spans="1:13" x14ac:dyDescent="0.25">
      <c r="A52" s="4">
        <v>71</v>
      </c>
      <c r="B52">
        <v>1236</v>
      </c>
      <c r="C52" s="4">
        <v>14308</v>
      </c>
      <c r="D52" t="s">
        <v>306</v>
      </c>
      <c r="E52" s="4">
        <v>18</v>
      </c>
      <c r="F52" s="25">
        <v>43721.985567129632</v>
      </c>
      <c r="G52">
        <v>0</v>
      </c>
      <c r="H52" s="25"/>
      <c r="I52" s="25"/>
      <c r="J52" s="25" t="s">
        <v>300</v>
      </c>
      <c r="L52"/>
      <c r="M52"/>
    </row>
    <row r="53" spans="1:13" x14ac:dyDescent="0.25">
      <c r="A53" s="4">
        <v>71</v>
      </c>
      <c r="B53">
        <v>1236</v>
      </c>
      <c r="C53" s="4">
        <v>14308</v>
      </c>
      <c r="D53" t="s">
        <v>306</v>
      </c>
      <c r="E53" s="4">
        <v>16</v>
      </c>
      <c r="F53" s="25">
        <v>43721.985555555555</v>
      </c>
      <c r="G53">
        <v>0</v>
      </c>
      <c r="H53" s="25"/>
      <c r="I53" s="25"/>
      <c r="J53" s="25" t="s">
        <v>300</v>
      </c>
      <c r="L53"/>
      <c r="M53"/>
    </row>
    <row r="54" spans="1:13" x14ac:dyDescent="0.25">
      <c r="A54" s="4">
        <v>71</v>
      </c>
      <c r="B54">
        <v>1236</v>
      </c>
      <c r="C54" s="4">
        <v>14308</v>
      </c>
      <c r="D54" t="s">
        <v>306</v>
      </c>
      <c r="E54" s="4">
        <v>17</v>
      </c>
      <c r="F54" s="25">
        <v>43721.985555555555</v>
      </c>
      <c r="G54">
        <v>0</v>
      </c>
      <c r="H54" s="25"/>
      <c r="I54" s="25"/>
      <c r="J54" s="25" t="s">
        <v>300</v>
      </c>
      <c r="L54"/>
      <c r="M54"/>
    </row>
    <row r="55" spans="1:13" x14ac:dyDescent="0.25">
      <c r="A55" s="4">
        <v>71</v>
      </c>
      <c r="B55">
        <v>1236</v>
      </c>
      <c r="C55" s="4">
        <v>14308</v>
      </c>
      <c r="D55" t="s">
        <v>306</v>
      </c>
      <c r="E55" s="4">
        <v>15</v>
      </c>
      <c r="F55" s="25">
        <v>43721.985543981478</v>
      </c>
      <c r="G55">
        <v>0</v>
      </c>
      <c r="H55" s="25"/>
      <c r="I55" s="25"/>
      <c r="J55" s="25" t="s">
        <v>300</v>
      </c>
      <c r="L55"/>
      <c r="M55"/>
    </row>
    <row r="56" spans="1:13" x14ac:dyDescent="0.25">
      <c r="A56" s="4">
        <v>71</v>
      </c>
      <c r="B56">
        <v>1236</v>
      </c>
      <c r="C56" s="4">
        <v>14308</v>
      </c>
      <c r="D56" t="s">
        <v>306</v>
      </c>
      <c r="E56" s="4">
        <v>13</v>
      </c>
      <c r="F56" s="25">
        <v>43721.985532407409</v>
      </c>
      <c r="G56">
        <v>0</v>
      </c>
      <c r="H56" s="25"/>
      <c r="I56" s="25"/>
      <c r="J56" s="25" t="s">
        <v>300</v>
      </c>
      <c r="L56"/>
      <c r="M56"/>
    </row>
    <row r="57" spans="1:13" x14ac:dyDescent="0.25">
      <c r="A57" s="4">
        <v>71</v>
      </c>
      <c r="B57">
        <v>1236</v>
      </c>
      <c r="C57" s="4">
        <v>14308</v>
      </c>
      <c r="D57" t="s">
        <v>306</v>
      </c>
      <c r="E57" s="4">
        <v>14</v>
      </c>
      <c r="F57" s="25">
        <v>43721.985532407409</v>
      </c>
      <c r="G57">
        <v>0</v>
      </c>
      <c r="H57" s="25"/>
      <c r="I57" s="25"/>
      <c r="J57" s="25" t="s">
        <v>300</v>
      </c>
      <c r="L57"/>
      <c r="M57"/>
    </row>
    <row r="58" spans="1:13" x14ac:dyDescent="0.25">
      <c r="A58" s="4">
        <v>71</v>
      </c>
      <c r="B58">
        <v>1236</v>
      </c>
      <c r="C58" s="4">
        <v>14308</v>
      </c>
      <c r="D58" t="s">
        <v>306</v>
      </c>
      <c r="E58" s="4">
        <v>12</v>
      </c>
      <c r="F58" s="25">
        <v>43721.985520833332</v>
      </c>
      <c r="G58">
        <v>0</v>
      </c>
      <c r="H58" s="25"/>
      <c r="I58" s="25"/>
      <c r="J58" s="25" t="s">
        <v>300</v>
      </c>
      <c r="L58"/>
      <c r="M58"/>
    </row>
    <row r="59" spans="1:13" x14ac:dyDescent="0.25">
      <c r="A59" s="4">
        <v>71</v>
      </c>
      <c r="B59">
        <v>1236</v>
      </c>
      <c r="C59" s="4">
        <v>14308</v>
      </c>
      <c r="D59" t="s">
        <v>306</v>
      </c>
      <c r="E59" s="4">
        <v>10</v>
      </c>
      <c r="F59" s="25">
        <v>43721.985509259262</v>
      </c>
      <c r="G59">
        <v>0</v>
      </c>
      <c r="H59" s="25"/>
      <c r="I59" s="25"/>
      <c r="J59" s="25" t="s">
        <v>300</v>
      </c>
      <c r="L59"/>
      <c r="M59"/>
    </row>
    <row r="60" spans="1:13" x14ac:dyDescent="0.25">
      <c r="A60" s="4">
        <v>71</v>
      </c>
      <c r="B60">
        <v>1236</v>
      </c>
      <c r="C60" s="4">
        <v>14308</v>
      </c>
      <c r="D60" t="s">
        <v>306</v>
      </c>
      <c r="E60" s="4">
        <v>11</v>
      </c>
      <c r="F60" s="25">
        <v>43721.985509259262</v>
      </c>
      <c r="G60">
        <v>0</v>
      </c>
      <c r="H60" s="25"/>
      <c r="I60" s="25"/>
      <c r="J60" s="25" t="s">
        <v>300</v>
      </c>
      <c r="L60"/>
      <c r="M60"/>
    </row>
    <row r="61" spans="1:13" x14ac:dyDescent="0.25">
      <c r="A61" s="4">
        <v>71</v>
      </c>
      <c r="B61">
        <v>1236</v>
      </c>
      <c r="C61" s="4">
        <v>14308</v>
      </c>
      <c r="D61" t="s">
        <v>306</v>
      </c>
      <c r="E61" s="4">
        <v>8</v>
      </c>
      <c r="F61" s="25">
        <v>43721.985497685186</v>
      </c>
      <c r="G61">
        <v>0</v>
      </c>
      <c r="H61" s="25"/>
      <c r="I61" s="25"/>
      <c r="J61" s="25" t="s">
        <v>300</v>
      </c>
      <c r="L61"/>
      <c r="M61"/>
    </row>
    <row r="62" spans="1:13" x14ac:dyDescent="0.25">
      <c r="A62" s="4">
        <v>71</v>
      </c>
      <c r="B62">
        <v>1236</v>
      </c>
      <c r="C62" s="4">
        <v>14308</v>
      </c>
      <c r="D62" t="s">
        <v>306</v>
      </c>
      <c r="E62" s="4">
        <v>9</v>
      </c>
      <c r="F62" s="25">
        <v>43721.985497685186</v>
      </c>
      <c r="G62">
        <v>0</v>
      </c>
      <c r="H62" s="25"/>
      <c r="I62" s="25"/>
      <c r="J62" s="25" t="s">
        <v>300</v>
      </c>
      <c r="L62"/>
      <c r="M62"/>
    </row>
    <row r="63" spans="1:13" x14ac:dyDescent="0.25">
      <c r="A63" s="4">
        <v>71</v>
      </c>
      <c r="B63">
        <v>1236</v>
      </c>
      <c r="C63" s="4">
        <v>14308</v>
      </c>
      <c r="D63" t="s">
        <v>306</v>
      </c>
      <c r="E63" s="4">
        <v>7</v>
      </c>
      <c r="F63" s="25">
        <v>43721.985486111109</v>
      </c>
      <c r="G63">
        <v>0</v>
      </c>
      <c r="H63" s="25"/>
      <c r="I63" s="25"/>
      <c r="J63" s="25" t="s">
        <v>300</v>
      </c>
      <c r="L63"/>
      <c r="M63"/>
    </row>
    <row r="64" spans="1:13" x14ac:dyDescent="0.25">
      <c r="A64" s="4">
        <v>71</v>
      </c>
      <c r="B64">
        <v>1236</v>
      </c>
      <c r="C64" s="4">
        <v>14308</v>
      </c>
      <c r="D64" t="s">
        <v>306</v>
      </c>
      <c r="E64" s="4">
        <v>5</v>
      </c>
      <c r="F64" s="25">
        <v>43721.985474537039</v>
      </c>
      <c r="G64">
        <v>0</v>
      </c>
      <c r="H64" s="25"/>
      <c r="I64" s="25"/>
      <c r="J64" s="25" t="s">
        <v>300</v>
      </c>
      <c r="L64"/>
      <c r="M64"/>
    </row>
    <row r="65" spans="1:13" x14ac:dyDescent="0.25">
      <c r="A65" s="4">
        <v>71</v>
      </c>
      <c r="B65">
        <v>1236</v>
      </c>
      <c r="C65" s="4">
        <v>14308</v>
      </c>
      <c r="D65" t="s">
        <v>306</v>
      </c>
      <c r="E65" s="4">
        <v>6</v>
      </c>
      <c r="F65" s="25">
        <v>43721.985474537039</v>
      </c>
      <c r="G65">
        <v>0</v>
      </c>
      <c r="H65" s="25"/>
      <c r="I65" s="25"/>
      <c r="J65" s="25" t="s">
        <v>300</v>
      </c>
      <c r="L65"/>
      <c r="M65"/>
    </row>
    <row r="66" spans="1:13" x14ac:dyDescent="0.25">
      <c r="A66" s="4">
        <v>71</v>
      </c>
      <c r="B66">
        <v>1236</v>
      </c>
      <c r="C66" s="4">
        <v>14308</v>
      </c>
      <c r="D66" t="s">
        <v>306</v>
      </c>
      <c r="E66" s="4">
        <v>4</v>
      </c>
      <c r="F66" s="25">
        <v>43721.985462962963</v>
      </c>
      <c r="G66">
        <v>0</v>
      </c>
      <c r="H66" s="25"/>
      <c r="I66" s="25"/>
      <c r="J66" s="25" t="s">
        <v>300</v>
      </c>
      <c r="L66"/>
      <c r="M66"/>
    </row>
    <row r="67" spans="1:13" x14ac:dyDescent="0.25">
      <c r="A67" s="4">
        <v>71</v>
      </c>
      <c r="B67">
        <v>1236</v>
      </c>
      <c r="C67" s="4">
        <v>14308</v>
      </c>
      <c r="D67" t="s">
        <v>306</v>
      </c>
      <c r="E67" s="4">
        <v>2</v>
      </c>
      <c r="F67" s="25">
        <v>43721.985451388886</v>
      </c>
      <c r="G67">
        <v>0</v>
      </c>
      <c r="H67" s="25"/>
      <c r="I67" s="25"/>
      <c r="J67" s="25" t="s">
        <v>300</v>
      </c>
      <c r="L67"/>
      <c r="M67"/>
    </row>
    <row r="68" spans="1:13" x14ac:dyDescent="0.25">
      <c r="A68" s="4">
        <v>71</v>
      </c>
      <c r="B68">
        <v>1236</v>
      </c>
      <c r="C68" s="4">
        <v>14308</v>
      </c>
      <c r="D68" t="s">
        <v>306</v>
      </c>
      <c r="E68" s="4">
        <v>3</v>
      </c>
      <c r="F68" s="25">
        <v>43721.985451388886</v>
      </c>
      <c r="G68">
        <v>0</v>
      </c>
      <c r="H68" s="25"/>
      <c r="I68" s="25"/>
      <c r="J68" s="25" t="s">
        <v>300</v>
      </c>
      <c r="L68"/>
      <c r="M68"/>
    </row>
    <row r="69" spans="1:13" x14ac:dyDescent="0.25">
      <c r="A69" s="4">
        <v>71</v>
      </c>
      <c r="B69">
        <v>1236</v>
      </c>
      <c r="C69" s="4">
        <v>14308</v>
      </c>
      <c r="D69" t="s">
        <v>306</v>
      </c>
      <c r="E69" s="4">
        <v>0</v>
      </c>
      <c r="F69" s="25">
        <v>43721.985439814816</v>
      </c>
      <c r="G69">
        <v>0</v>
      </c>
      <c r="H69" s="25"/>
      <c r="I69" s="25"/>
      <c r="J69" s="25" t="s">
        <v>300</v>
      </c>
      <c r="L69"/>
      <c r="M69"/>
    </row>
    <row r="70" spans="1:13" x14ac:dyDescent="0.25">
      <c r="A70" s="4">
        <v>71</v>
      </c>
      <c r="B70">
        <v>1236</v>
      </c>
      <c r="C70" s="4">
        <v>14308</v>
      </c>
      <c r="D70" t="s">
        <v>306</v>
      </c>
      <c r="E70" s="4">
        <v>1</v>
      </c>
      <c r="F70" s="25">
        <v>43721.985439814816</v>
      </c>
      <c r="G70">
        <v>0</v>
      </c>
      <c r="H70" s="25"/>
      <c r="I70" s="25"/>
      <c r="J70" s="25" t="s">
        <v>300</v>
      </c>
      <c r="L70"/>
      <c r="M70"/>
    </row>
    <row r="71" spans="1:13" x14ac:dyDescent="0.25">
      <c r="A71" s="4">
        <v>32166</v>
      </c>
      <c r="B71">
        <v>5276</v>
      </c>
      <c r="C71" s="4">
        <v>14308</v>
      </c>
      <c r="D71" t="s">
        <v>306</v>
      </c>
      <c r="E71" s="4">
        <v>23</v>
      </c>
      <c r="F71" s="25">
        <v>43721.983240740738</v>
      </c>
      <c r="G71">
        <v>0</v>
      </c>
      <c r="H71" s="25"/>
      <c r="I71" s="25"/>
      <c r="J71" s="25" t="s">
        <v>300</v>
      </c>
      <c r="K71" s="4"/>
      <c r="M71"/>
    </row>
    <row r="72" spans="1:13" x14ac:dyDescent="0.25">
      <c r="A72" s="4">
        <v>32166</v>
      </c>
      <c r="B72">
        <v>5276</v>
      </c>
      <c r="C72" s="4">
        <v>14308</v>
      </c>
      <c r="D72" t="s">
        <v>306</v>
      </c>
      <c r="E72" s="4">
        <v>24</v>
      </c>
      <c r="F72" s="25">
        <v>43721.983240740738</v>
      </c>
      <c r="G72">
        <v>0</v>
      </c>
      <c r="H72" s="25"/>
      <c r="I72" s="25"/>
      <c r="J72" s="25" t="s">
        <v>300</v>
      </c>
      <c r="K72" s="4"/>
      <c r="M72"/>
    </row>
    <row r="73" spans="1:13" x14ac:dyDescent="0.25">
      <c r="A73" s="4">
        <v>32166</v>
      </c>
      <c r="B73">
        <v>5276</v>
      </c>
      <c r="C73" s="4">
        <v>14308</v>
      </c>
      <c r="D73" t="s">
        <v>306</v>
      </c>
      <c r="E73" s="4">
        <v>22</v>
      </c>
      <c r="F73" s="25">
        <v>43721.983229166668</v>
      </c>
      <c r="G73">
        <v>0</v>
      </c>
      <c r="H73" s="25"/>
      <c r="I73" s="25"/>
      <c r="J73" s="25" t="s">
        <v>300</v>
      </c>
      <c r="K73" s="4"/>
      <c r="M73"/>
    </row>
    <row r="74" spans="1:13" x14ac:dyDescent="0.25">
      <c r="A74" s="4">
        <v>32166</v>
      </c>
      <c r="B74">
        <v>5276</v>
      </c>
      <c r="C74" s="4">
        <v>14308</v>
      </c>
      <c r="D74" t="s">
        <v>306</v>
      </c>
      <c r="E74" s="4">
        <v>20</v>
      </c>
      <c r="F74" s="25">
        <v>43721.983217592591</v>
      </c>
      <c r="G74">
        <v>0</v>
      </c>
      <c r="H74" s="25"/>
      <c r="I74" s="25"/>
      <c r="J74" s="25" t="s">
        <v>300</v>
      </c>
      <c r="K74" s="4"/>
      <c r="M74"/>
    </row>
    <row r="75" spans="1:13" x14ac:dyDescent="0.25">
      <c r="A75" s="4">
        <v>32166</v>
      </c>
      <c r="B75">
        <v>5276</v>
      </c>
      <c r="C75" s="4">
        <v>14308</v>
      </c>
      <c r="D75" t="s">
        <v>306</v>
      </c>
      <c r="E75" s="4">
        <v>21</v>
      </c>
      <c r="F75" s="25">
        <v>43721.983217592591</v>
      </c>
      <c r="G75">
        <v>0</v>
      </c>
      <c r="H75" s="25"/>
      <c r="I75" s="25"/>
      <c r="J75" s="25" t="s">
        <v>300</v>
      </c>
      <c r="K75" s="4"/>
      <c r="M75"/>
    </row>
    <row r="76" spans="1:13" x14ac:dyDescent="0.25">
      <c r="A76" s="4">
        <v>32166</v>
      </c>
      <c r="B76">
        <v>5276</v>
      </c>
      <c r="C76" s="4">
        <v>14308</v>
      </c>
      <c r="D76" t="s">
        <v>306</v>
      </c>
      <c r="E76" s="4">
        <v>19</v>
      </c>
      <c r="F76" s="25">
        <v>43721.983206018522</v>
      </c>
      <c r="G76">
        <v>0</v>
      </c>
      <c r="H76" s="25"/>
      <c r="I76" s="25"/>
      <c r="J76" s="25" t="s">
        <v>300</v>
      </c>
      <c r="K76" s="4"/>
      <c r="M76"/>
    </row>
    <row r="77" spans="1:13" x14ac:dyDescent="0.25">
      <c r="A77" s="4">
        <v>32166</v>
      </c>
      <c r="B77">
        <v>5276</v>
      </c>
      <c r="C77" s="4">
        <v>14308</v>
      </c>
      <c r="D77" t="s">
        <v>306</v>
      </c>
      <c r="E77" s="4">
        <v>17</v>
      </c>
      <c r="F77" s="25">
        <v>43721.983194444445</v>
      </c>
      <c r="G77">
        <v>0</v>
      </c>
      <c r="H77" s="25"/>
      <c r="I77" s="25"/>
      <c r="J77" s="25" t="s">
        <v>300</v>
      </c>
      <c r="K77" s="4"/>
      <c r="M77"/>
    </row>
    <row r="78" spans="1:13" x14ac:dyDescent="0.25">
      <c r="A78" s="4">
        <v>32166</v>
      </c>
      <c r="B78">
        <v>5276</v>
      </c>
      <c r="C78" s="4">
        <v>14308</v>
      </c>
      <c r="D78" t="s">
        <v>306</v>
      </c>
      <c r="E78" s="4">
        <v>18</v>
      </c>
      <c r="F78" s="25">
        <v>43721.983194444445</v>
      </c>
      <c r="G78">
        <v>0</v>
      </c>
      <c r="H78" s="25"/>
      <c r="I78" s="25"/>
      <c r="J78" s="25" t="s">
        <v>300</v>
      </c>
      <c r="K78" s="4"/>
      <c r="M78"/>
    </row>
    <row r="79" spans="1:13" x14ac:dyDescent="0.25">
      <c r="A79" s="4">
        <v>32166</v>
      </c>
      <c r="B79">
        <v>5276</v>
      </c>
      <c r="C79" s="4">
        <v>14308</v>
      </c>
      <c r="D79" t="s">
        <v>306</v>
      </c>
      <c r="E79" s="4">
        <v>16</v>
      </c>
      <c r="F79" s="25">
        <v>43721.983182870368</v>
      </c>
      <c r="G79">
        <v>0</v>
      </c>
      <c r="H79" s="25"/>
      <c r="I79" s="25"/>
      <c r="J79" s="25" t="s">
        <v>300</v>
      </c>
      <c r="K79" s="4"/>
      <c r="M79"/>
    </row>
    <row r="80" spans="1:13" x14ac:dyDescent="0.25">
      <c r="A80" s="4">
        <v>32166</v>
      </c>
      <c r="B80">
        <v>5276</v>
      </c>
      <c r="C80" s="4">
        <v>14308</v>
      </c>
      <c r="D80" t="s">
        <v>306</v>
      </c>
      <c r="E80" s="4">
        <v>14</v>
      </c>
      <c r="F80" s="25">
        <v>43721.983171296299</v>
      </c>
      <c r="G80">
        <v>0</v>
      </c>
      <c r="H80" s="25"/>
      <c r="I80" s="25"/>
      <c r="J80" s="25" t="s">
        <v>300</v>
      </c>
      <c r="K80" s="4"/>
      <c r="M80"/>
    </row>
    <row r="81" spans="1:13" x14ac:dyDescent="0.25">
      <c r="A81" s="4">
        <v>32166</v>
      </c>
      <c r="B81">
        <v>5276</v>
      </c>
      <c r="C81" s="4">
        <v>14308</v>
      </c>
      <c r="D81" t="s">
        <v>306</v>
      </c>
      <c r="E81" s="4">
        <v>15</v>
      </c>
      <c r="F81" s="25">
        <v>43721.983171296299</v>
      </c>
      <c r="G81">
        <v>0</v>
      </c>
      <c r="H81" s="25"/>
      <c r="I81" s="25"/>
      <c r="J81" s="25" t="s">
        <v>300</v>
      </c>
      <c r="K81" s="4"/>
      <c r="M81"/>
    </row>
    <row r="82" spans="1:13" x14ac:dyDescent="0.25">
      <c r="A82" s="4">
        <v>32166</v>
      </c>
      <c r="B82">
        <v>5276</v>
      </c>
      <c r="C82" s="4">
        <v>14308</v>
      </c>
      <c r="D82" t="s">
        <v>306</v>
      </c>
      <c r="E82" s="4">
        <v>13</v>
      </c>
      <c r="F82" s="25">
        <v>43721.983159722222</v>
      </c>
      <c r="G82">
        <v>0</v>
      </c>
      <c r="H82" s="25"/>
      <c r="I82" s="25"/>
      <c r="J82" s="25" t="s">
        <v>300</v>
      </c>
      <c r="K82" s="4"/>
      <c r="M82"/>
    </row>
    <row r="83" spans="1:13" x14ac:dyDescent="0.25">
      <c r="A83" s="4">
        <v>32166</v>
      </c>
      <c r="B83">
        <v>5276</v>
      </c>
      <c r="C83" s="4">
        <v>14308</v>
      </c>
      <c r="D83" t="s">
        <v>306</v>
      </c>
      <c r="E83" s="4">
        <v>11</v>
      </c>
      <c r="F83" s="25">
        <v>43721.983148148145</v>
      </c>
      <c r="G83">
        <v>0</v>
      </c>
      <c r="H83" s="25"/>
      <c r="I83" s="25"/>
      <c r="J83" s="25" t="s">
        <v>300</v>
      </c>
      <c r="K83" s="4"/>
      <c r="M83"/>
    </row>
    <row r="84" spans="1:13" x14ac:dyDescent="0.25">
      <c r="A84" s="4">
        <v>32166</v>
      </c>
      <c r="B84">
        <v>5276</v>
      </c>
      <c r="C84" s="4">
        <v>14308</v>
      </c>
      <c r="D84" t="s">
        <v>306</v>
      </c>
      <c r="E84" s="4">
        <v>12</v>
      </c>
      <c r="F84" s="25">
        <v>43721.983148148145</v>
      </c>
      <c r="G84">
        <v>0</v>
      </c>
      <c r="H84" s="25"/>
      <c r="I84" s="25"/>
      <c r="J84" s="25" t="s">
        <v>300</v>
      </c>
      <c r="K84" s="4"/>
      <c r="M84"/>
    </row>
    <row r="85" spans="1:13" x14ac:dyDescent="0.25">
      <c r="A85" s="4">
        <v>32166</v>
      </c>
      <c r="B85">
        <v>5276</v>
      </c>
      <c r="C85" s="4">
        <v>14308</v>
      </c>
      <c r="D85" t="s">
        <v>306</v>
      </c>
      <c r="E85" s="4">
        <v>10</v>
      </c>
      <c r="F85" s="25">
        <v>43721.983136574076</v>
      </c>
      <c r="G85">
        <v>0</v>
      </c>
      <c r="H85" s="25"/>
      <c r="I85" s="25"/>
      <c r="J85" s="25" t="s">
        <v>300</v>
      </c>
      <c r="K85" s="4"/>
      <c r="M85"/>
    </row>
    <row r="86" spans="1:13" x14ac:dyDescent="0.25">
      <c r="A86" s="4">
        <v>32166</v>
      </c>
      <c r="B86">
        <v>5276</v>
      </c>
      <c r="C86" s="4">
        <v>14308</v>
      </c>
      <c r="D86" t="s">
        <v>306</v>
      </c>
      <c r="E86" s="4">
        <v>8</v>
      </c>
      <c r="F86" s="25">
        <v>43721.983124999999</v>
      </c>
      <c r="G86">
        <v>0</v>
      </c>
      <c r="H86" s="25"/>
      <c r="I86" s="25"/>
      <c r="J86" s="25" t="s">
        <v>300</v>
      </c>
      <c r="K86" s="4"/>
      <c r="M86"/>
    </row>
    <row r="87" spans="1:13" x14ac:dyDescent="0.25">
      <c r="A87" s="4">
        <v>32166</v>
      </c>
      <c r="B87">
        <v>5276</v>
      </c>
      <c r="C87" s="4">
        <v>14308</v>
      </c>
      <c r="D87" t="s">
        <v>306</v>
      </c>
      <c r="E87" s="4">
        <v>9</v>
      </c>
      <c r="F87" s="25">
        <v>43721.983124999999</v>
      </c>
      <c r="G87">
        <v>0</v>
      </c>
      <c r="H87" s="25"/>
      <c r="I87" s="25"/>
      <c r="J87" s="25" t="s">
        <v>300</v>
      </c>
      <c r="K87" s="4"/>
      <c r="M87"/>
    </row>
    <row r="88" spans="1:13" x14ac:dyDescent="0.25">
      <c r="A88" s="4">
        <v>32166</v>
      </c>
      <c r="B88">
        <v>5276</v>
      </c>
      <c r="C88" s="4">
        <v>14308</v>
      </c>
      <c r="D88" t="s">
        <v>306</v>
      </c>
      <c r="E88" s="4">
        <v>7</v>
      </c>
      <c r="F88" s="25">
        <v>43721.983113425929</v>
      </c>
      <c r="G88">
        <v>0</v>
      </c>
      <c r="H88" s="25"/>
      <c r="I88" s="25"/>
      <c r="J88" s="25" t="s">
        <v>300</v>
      </c>
      <c r="K88" s="4"/>
      <c r="M88"/>
    </row>
    <row r="89" spans="1:13" x14ac:dyDescent="0.25">
      <c r="A89" s="4">
        <v>32166</v>
      </c>
      <c r="B89">
        <v>5276</v>
      </c>
      <c r="C89" s="4">
        <v>14308</v>
      </c>
      <c r="D89" t="s">
        <v>306</v>
      </c>
      <c r="E89" s="4">
        <v>5</v>
      </c>
      <c r="F89" s="25">
        <v>43721.983101851853</v>
      </c>
      <c r="G89">
        <v>0</v>
      </c>
      <c r="H89" s="25"/>
      <c r="I89" s="25"/>
      <c r="J89" s="25" t="s">
        <v>300</v>
      </c>
      <c r="K89" s="4"/>
      <c r="M89"/>
    </row>
    <row r="90" spans="1:13" x14ac:dyDescent="0.25">
      <c r="A90" s="4">
        <v>32166</v>
      </c>
      <c r="B90">
        <v>5276</v>
      </c>
      <c r="C90" s="4">
        <v>14308</v>
      </c>
      <c r="D90" t="s">
        <v>306</v>
      </c>
      <c r="E90" s="4">
        <v>6</v>
      </c>
      <c r="F90" s="25">
        <v>43721.983101851853</v>
      </c>
      <c r="G90">
        <v>0</v>
      </c>
      <c r="H90" s="25"/>
      <c r="I90" s="25"/>
      <c r="J90" s="25" t="s">
        <v>300</v>
      </c>
      <c r="K90" s="4"/>
      <c r="M90"/>
    </row>
    <row r="91" spans="1:13" x14ac:dyDescent="0.25">
      <c r="A91" s="4">
        <v>32166</v>
      </c>
      <c r="B91">
        <v>5276</v>
      </c>
      <c r="C91" s="4">
        <v>14308</v>
      </c>
      <c r="D91" t="s">
        <v>306</v>
      </c>
      <c r="E91" s="4">
        <v>3</v>
      </c>
      <c r="F91" s="25">
        <v>43721.983090277776</v>
      </c>
      <c r="G91">
        <v>0</v>
      </c>
      <c r="H91" s="25"/>
      <c r="I91" s="25"/>
      <c r="J91" s="25" t="s">
        <v>300</v>
      </c>
      <c r="K91" s="4"/>
      <c r="M91"/>
    </row>
    <row r="92" spans="1:13" x14ac:dyDescent="0.25">
      <c r="A92" s="4">
        <v>32166</v>
      </c>
      <c r="B92">
        <v>5276</v>
      </c>
      <c r="C92" s="4">
        <v>14308</v>
      </c>
      <c r="D92" t="s">
        <v>306</v>
      </c>
      <c r="E92" s="4">
        <v>4</v>
      </c>
      <c r="F92" s="25">
        <v>43721.983090277776</v>
      </c>
      <c r="G92">
        <v>0</v>
      </c>
      <c r="H92" s="25"/>
      <c r="I92" s="25"/>
      <c r="J92" s="25" t="s">
        <v>300</v>
      </c>
      <c r="K92" s="4"/>
      <c r="M92"/>
    </row>
    <row r="93" spans="1:13" x14ac:dyDescent="0.25">
      <c r="A93" s="4">
        <v>32166</v>
      </c>
      <c r="B93">
        <v>5276</v>
      </c>
      <c r="C93" s="4">
        <v>14308</v>
      </c>
      <c r="D93" t="s">
        <v>306</v>
      </c>
      <c r="E93" s="4">
        <v>2</v>
      </c>
      <c r="F93" s="25">
        <v>43721.983078703706</v>
      </c>
      <c r="G93">
        <v>0</v>
      </c>
      <c r="H93" s="25"/>
      <c r="I93" s="25"/>
      <c r="J93" s="25" t="s">
        <v>300</v>
      </c>
      <c r="K93" s="4"/>
      <c r="M93"/>
    </row>
    <row r="94" spans="1:13" x14ac:dyDescent="0.25">
      <c r="A94" s="4">
        <v>32166</v>
      </c>
      <c r="B94">
        <v>5276</v>
      </c>
      <c r="C94" s="4">
        <v>14308</v>
      </c>
      <c r="D94" t="s">
        <v>306</v>
      </c>
      <c r="E94" s="4">
        <v>0</v>
      </c>
      <c r="F94" s="25">
        <v>43721.983067129629</v>
      </c>
      <c r="G94">
        <v>0</v>
      </c>
      <c r="H94" s="25"/>
      <c r="I94" s="25"/>
      <c r="J94" s="25" t="s">
        <v>300</v>
      </c>
      <c r="K94" s="4"/>
      <c r="M94"/>
    </row>
    <row r="95" spans="1:13" x14ac:dyDescent="0.25">
      <c r="A95" s="4">
        <v>32166</v>
      </c>
      <c r="B95">
        <v>5276</v>
      </c>
      <c r="C95" s="4">
        <v>14308</v>
      </c>
      <c r="D95" t="s">
        <v>306</v>
      </c>
      <c r="E95" s="4">
        <v>1</v>
      </c>
      <c r="F95" s="25">
        <v>43721.983067129629</v>
      </c>
      <c r="G95">
        <v>0</v>
      </c>
      <c r="H95" s="25"/>
      <c r="I95" s="25"/>
      <c r="J95" s="25" t="s">
        <v>300</v>
      </c>
      <c r="K95" s="4"/>
      <c r="M95"/>
    </row>
    <row r="96" spans="1:13" x14ac:dyDescent="0.25">
      <c r="A96" s="4">
        <v>31748</v>
      </c>
      <c r="B96">
        <v>12744</v>
      </c>
      <c r="C96" s="4">
        <v>14308</v>
      </c>
      <c r="D96" t="s">
        <v>306</v>
      </c>
      <c r="E96" s="4">
        <v>0</v>
      </c>
      <c r="F96" s="25">
        <v>43721.981574074074</v>
      </c>
      <c r="G96">
        <v>0</v>
      </c>
      <c r="H96" s="25"/>
      <c r="I96" s="25"/>
      <c r="J96" s="25" t="s">
        <v>300</v>
      </c>
      <c r="K96" s="4"/>
      <c r="M96"/>
    </row>
    <row r="97" spans="1:13" x14ac:dyDescent="0.25">
      <c r="A97" s="4">
        <v>31131</v>
      </c>
      <c r="B97">
        <v>6896</v>
      </c>
      <c r="C97" s="4">
        <v>14308</v>
      </c>
      <c r="D97" t="s">
        <v>306</v>
      </c>
      <c r="E97" s="4">
        <v>0</v>
      </c>
      <c r="F97" s="25">
        <v>43721.979386574072</v>
      </c>
      <c r="G97">
        <v>0</v>
      </c>
      <c r="H97" s="25"/>
      <c r="I97" s="25"/>
      <c r="J97" s="25" t="s">
        <v>300</v>
      </c>
      <c r="K97" s="4"/>
      <c r="M97"/>
    </row>
    <row r="98" spans="1:13" x14ac:dyDescent="0.25">
      <c r="A98" s="4">
        <v>30540</v>
      </c>
      <c r="B98">
        <v>14864</v>
      </c>
      <c r="C98" s="4">
        <v>14308</v>
      </c>
      <c r="D98" t="s">
        <v>306</v>
      </c>
      <c r="E98" s="4">
        <v>0</v>
      </c>
      <c r="F98" s="25">
        <v>43721.97729166667</v>
      </c>
      <c r="G98">
        <v>0</v>
      </c>
      <c r="H98" s="25"/>
      <c r="I98" s="25"/>
      <c r="J98" s="25" t="s">
        <v>300</v>
      </c>
      <c r="K98" s="4"/>
      <c r="M98"/>
    </row>
    <row r="99" spans="1:13" x14ac:dyDescent="0.25">
      <c r="A99" s="4">
        <v>30050</v>
      </c>
      <c r="B99">
        <v>2608</v>
      </c>
      <c r="C99" s="4">
        <v>14308</v>
      </c>
      <c r="D99" t="s">
        <v>306</v>
      </c>
      <c r="E99" s="4">
        <v>0</v>
      </c>
      <c r="F99" s="25">
        <v>43721.97556712963</v>
      </c>
      <c r="G99">
        <v>0</v>
      </c>
      <c r="H99" s="25"/>
      <c r="I99" s="25"/>
      <c r="J99" s="25" t="s">
        <v>300</v>
      </c>
      <c r="K99" s="4"/>
      <c r="M99"/>
    </row>
    <row r="100" spans="1:13" x14ac:dyDescent="0.25">
      <c r="A100" s="4">
        <v>27670</v>
      </c>
      <c r="B100">
        <v>9500</v>
      </c>
      <c r="C100" s="4">
        <v>14308</v>
      </c>
      <c r="D100" t="s">
        <v>306</v>
      </c>
      <c r="E100" s="4">
        <v>0</v>
      </c>
      <c r="F100" s="25">
        <v>43721.967118055552</v>
      </c>
      <c r="G100">
        <v>0</v>
      </c>
      <c r="H100" s="25"/>
      <c r="I100" s="25"/>
      <c r="J100" s="25" t="s">
        <v>300</v>
      </c>
      <c r="K100" s="4"/>
      <c r="M100"/>
    </row>
    <row r="101" spans="1:13" x14ac:dyDescent="0.25">
      <c r="A101" s="4">
        <v>27412</v>
      </c>
      <c r="B101">
        <v>9316</v>
      </c>
      <c r="C101" s="4">
        <v>14308</v>
      </c>
      <c r="D101" t="s">
        <v>306</v>
      </c>
      <c r="E101" s="4">
        <v>2</v>
      </c>
      <c r="F101" s="25">
        <v>43721.966215277775</v>
      </c>
      <c r="G101">
        <v>0</v>
      </c>
      <c r="H101" s="25"/>
      <c r="I101" s="25"/>
      <c r="J101" s="25" t="s">
        <v>300</v>
      </c>
      <c r="K101" s="4"/>
      <c r="M101"/>
    </row>
    <row r="102" spans="1:13" x14ac:dyDescent="0.25">
      <c r="A102" s="4">
        <v>27412</v>
      </c>
      <c r="B102">
        <v>9316</v>
      </c>
      <c r="C102" s="4">
        <v>14308</v>
      </c>
      <c r="D102" t="s">
        <v>306</v>
      </c>
      <c r="E102" s="4">
        <v>0</v>
      </c>
      <c r="F102" s="25">
        <v>43721.966203703705</v>
      </c>
      <c r="G102">
        <v>0</v>
      </c>
      <c r="H102" s="25"/>
      <c r="I102" s="25"/>
      <c r="J102" s="25" t="s">
        <v>300</v>
      </c>
      <c r="K102" s="4"/>
      <c r="M102"/>
    </row>
    <row r="103" spans="1:13" x14ac:dyDescent="0.25">
      <c r="A103" s="4">
        <v>27412</v>
      </c>
      <c r="B103">
        <v>9316</v>
      </c>
      <c r="C103" s="4">
        <v>14308</v>
      </c>
      <c r="D103" t="s">
        <v>306</v>
      </c>
      <c r="E103" s="4">
        <v>1</v>
      </c>
      <c r="F103" s="25">
        <v>43721.966203703705</v>
      </c>
      <c r="G103">
        <v>0</v>
      </c>
      <c r="H103" s="25"/>
      <c r="I103" s="25"/>
      <c r="J103" s="25" t="s">
        <v>300</v>
      </c>
      <c r="K103" s="4"/>
      <c r="M103"/>
    </row>
    <row r="104" spans="1:13" x14ac:dyDescent="0.25">
      <c r="A104" s="4">
        <v>26941</v>
      </c>
      <c r="B104">
        <v>128</v>
      </c>
      <c r="C104" s="4">
        <v>14308</v>
      </c>
      <c r="D104" t="s">
        <v>306</v>
      </c>
      <c r="E104" s="4">
        <v>1</v>
      </c>
      <c r="F104" s="25">
        <v>43721.964548611111</v>
      </c>
      <c r="G104">
        <v>0</v>
      </c>
      <c r="H104" s="25"/>
      <c r="I104" s="25"/>
      <c r="J104" s="25" t="s">
        <v>300</v>
      </c>
      <c r="K104" s="4"/>
      <c r="M104"/>
    </row>
    <row r="105" spans="1:13" x14ac:dyDescent="0.25">
      <c r="A105" s="4">
        <v>26941</v>
      </c>
      <c r="B105">
        <v>128</v>
      </c>
      <c r="C105" s="4">
        <v>14308</v>
      </c>
      <c r="D105" t="s">
        <v>306</v>
      </c>
      <c r="E105" s="4">
        <v>2</v>
      </c>
      <c r="F105" s="25">
        <v>43721.964548611111</v>
      </c>
      <c r="G105">
        <v>0</v>
      </c>
      <c r="H105" s="25"/>
      <c r="I105" s="25"/>
      <c r="J105" s="25" t="s">
        <v>300</v>
      </c>
      <c r="K105" s="4"/>
      <c r="M105"/>
    </row>
    <row r="106" spans="1:13" x14ac:dyDescent="0.25">
      <c r="A106" s="4">
        <v>26941</v>
      </c>
      <c r="B106">
        <v>128</v>
      </c>
      <c r="C106" s="4">
        <v>14308</v>
      </c>
      <c r="D106" t="s">
        <v>306</v>
      </c>
      <c r="E106" s="4">
        <v>0</v>
      </c>
      <c r="F106" s="25">
        <v>43721.964537037034</v>
      </c>
      <c r="G106">
        <v>0</v>
      </c>
      <c r="H106" s="25"/>
      <c r="I106" s="25"/>
      <c r="J106" s="25" t="s">
        <v>300</v>
      </c>
      <c r="K106" s="4"/>
      <c r="M106"/>
    </row>
    <row r="107" spans="1:13" x14ac:dyDescent="0.25">
      <c r="A107" s="4">
        <v>26683</v>
      </c>
      <c r="B107">
        <v>14008</v>
      </c>
      <c r="C107" s="4">
        <v>14308</v>
      </c>
      <c r="D107" t="s">
        <v>306</v>
      </c>
      <c r="E107" s="4">
        <v>2</v>
      </c>
      <c r="F107" s="25">
        <v>43721.963634259257</v>
      </c>
      <c r="G107">
        <v>0</v>
      </c>
      <c r="H107" s="25"/>
      <c r="I107" s="25"/>
      <c r="J107" s="25" t="s">
        <v>300</v>
      </c>
      <c r="K107" s="4"/>
      <c r="M107"/>
    </row>
    <row r="108" spans="1:13" x14ac:dyDescent="0.25">
      <c r="A108" s="4">
        <v>26683</v>
      </c>
      <c r="B108">
        <v>14008</v>
      </c>
      <c r="C108" s="4">
        <v>14308</v>
      </c>
      <c r="D108" t="s">
        <v>306</v>
      </c>
      <c r="E108" s="4">
        <v>0</v>
      </c>
      <c r="F108" s="25">
        <v>43721.963622685187</v>
      </c>
      <c r="G108">
        <v>0</v>
      </c>
      <c r="H108" s="25"/>
      <c r="I108" s="25"/>
      <c r="J108" s="25" t="s">
        <v>300</v>
      </c>
      <c r="K108" s="4"/>
      <c r="M108"/>
    </row>
    <row r="109" spans="1:13" x14ac:dyDescent="0.25">
      <c r="A109" s="4">
        <v>26683</v>
      </c>
      <c r="B109">
        <v>14008</v>
      </c>
      <c r="C109" s="4">
        <v>14308</v>
      </c>
      <c r="D109" t="s">
        <v>306</v>
      </c>
      <c r="E109" s="4">
        <v>1</v>
      </c>
      <c r="F109" s="25">
        <v>43721.963622685187</v>
      </c>
      <c r="G109">
        <v>0</v>
      </c>
      <c r="H109" s="25"/>
      <c r="I109" s="25"/>
      <c r="J109" s="25" t="s">
        <v>300</v>
      </c>
      <c r="K109" s="4"/>
      <c r="M109"/>
    </row>
    <row r="110" spans="1:13" x14ac:dyDescent="0.25">
      <c r="A110" s="4">
        <v>26040</v>
      </c>
      <c r="B110">
        <v>2336</v>
      </c>
      <c r="C110" s="4">
        <v>14308</v>
      </c>
      <c r="D110" t="s">
        <v>306</v>
      </c>
      <c r="E110" s="4">
        <v>2</v>
      </c>
      <c r="F110" s="25">
        <v>43721.961354166669</v>
      </c>
      <c r="G110">
        <v>0</v>
      </c>
      <c r="H110" s="25"/>
      <c r="I110" s="25"/>
      <c r="J110" s="25" t="s">
        <v>300</v>
      </c>
      <c r="K110" s="4"/>
      <c r="M110"/>
    </row>
    <row r="111" spans="1:13" x14ac:dyDescent="0.25">
      <c r="A111" s="4">
        <v>26040</v>
      </c>
      <c r="B111">
        <v>2336</v>
      </c>
      <c r="C111" s="4">
        <v>14308</v>
      </c>
      <c r="D111" t="s">
        <v>306</v>
      </c>
      <c r="E111" s="4">
        <v>1</v>
      </c>
      <c r="F111" s="25">
        <v>43721.961342592593</v>
      </c>
      <c r="G111">
        <v>0</v>
      </c>
      <c r="H111" s="25"/>
      <c r="I111" s="25"/>
      <c r="J111" s="25" t="s">
        <v>300</v>
      </c>
      <c r="K111" s="4"/>
      <c r="M111"/>
    </row>
    <row r="112" spans="1:13" x14ac:dyDescent="0.25">
      <c r="A112" s="4">
        <v>26040</v>
      </c>
      <c r="B112">
        <v>2336</v>
      </c>
      <c r="C112" s="4">
        <v>14308</v>
      </c>
      <c r="D112" t="s">
        <v>306</v>
      </c>
      <c r="E112" s="4">
        <v>0</v>
      </c>
      <c r="F112" s="25">
        <v>43721.961331018516</v>
      </c>
      <c r="G112">
        <v>0</v>
      </c>
      <c r="H112" s="25"/>
      <c r="I112" s="25"/>
      <c r="J112" s="25" t="s">
        <v>300</v>
      </c>
      <c r="K112" s="4"/>
      <c r="M112"/>
    </row>
    <row r="113" spans="1:13" x14ac:dyDescent="0.25">
      <c r="A113" s="4">
        <v>25873</v>
      </c>
      <c r="B113">
        <v>2464</v>
      </c>
      <c r="C113" s="4">
        <v>14308</v>
      </c>
      <c r="D113" t="s">
        <v>306</v>
      </c>
      <c r="E113" s="4">
        <v>2</v>
      </c>
      <c r="F113" s="25">
        <v>43721.960763888892</v>
      </c>
      <c r="G113">
        <v>0</v>
      </c>
      <c r="H113" s="25"/>
      <c r="I113" s="25"/>
      <c r="J113" s="25" t="s">
        <v>300</v>
      </c>
      <c r="K113" s="4"/>
      <c r="M113"/>
    </row>
    <row r="114" spans="1:13" x14ac:dyDescent="0.25">
      <c r="A114" s="4">
        <v>25873</v>
      </c>
      <c r="B114">
        <v>2464</v>
      </c>
      <c r="C114" s="4">
        <v>14308</v>
      </c>
      <c r="D114" t="s">
        <v>306</v>
      </c>
      <c r="E114" s="4">
        <v>0</v>
      </c>
      <c r="F114" s="25">
        <v>43721.960752314815</v>
      </c>
      <c r="G114">
        <v>0</v>
      </c>
      <c r="H114" s="25"/>
      <c r="I114" s="25"/>
      <c r="J114" s="25" t="s">
        <v>300</v>
      </c>
      <c r="K114" s="4"/>
      <c r="M114"/>
    </row>
    <row r="115" spans="1:13" x14ac:dyDescent="0.25">
      <c r="A115" s="4">
        <v>25873</v>
      </c>
      <c r="B115">
        <v>2464</v>
      </c>
      <c r="C115" s="4">
        <v>14308</v>
      </c>
      <c r="D115" t="s">
        <v>306</v>
      </c>
      <c r="E115" s="4">
        <v>1</v>
      </c>
      <c r="F115" s="25">
        <v>43721.960752314815</v>
      </c>
      <c r="G115">
        <v>0</v>
      </c>
      <c r="H115" s="25"/>
      <c r="I115" s="25"/>
      <c r="J115" s="25" t="s">
        <v>300</v>
      </c>
      <c r="K115" s="4"/>
      <c r="M115"/>
    </row>
    <row r="116" spans="1:13" x14ac:dyDescent="0.25">
      <c r="A116" s="4">
        <v>25344</v>
      </c>
      <c r="B116">
        <v>14544</v>
      </c>
      <c r="C116" s="4">
        <v>14308</v>
      </c>
      <c r="D116" t="s">
        <v>306</v>
      </c>
      <c r="E116" s="4">
        <v>1</v>
      </c>
      <c r="F116" s="25">
        <v>43721.95888888889</v>
      </c>
      <c r="G116">
        <v>0</v>
      </c>
      <c r="H116" s="25"/>
      <c r="I116" s="25"/>
      <c r="J116" s="25" t="s">
        <v>300</v>
      </c>
      <c r="K116" s="4"/>
      <c r="M116"/>
    </row>
    <row r="117" spans="1:13" x14ac:dyDescent="0.25">
      <c r="A117" s="4">
        <v>25344</v>
      </c>
      <c r="B117">
        <v>14544</v>
      </c>
      <c r="C117" s="4">
        <v>14308</v>
      </c>
      <c r="D117" t="s">
        <v>306</v>
      </c>
      <c r="E117" s="4">
        <v>2</v>
      </c>
      <c r="F117" s="25">
        <v>43721.95888888889</v>
      </c>
      <c r="G117">
        <v>0</v>
      </c>
      <c r="H117" s="25"/>
      <c r="I117" s="25"/>
      <c r="J117" s="25" t="s">
        <v>300</v>
      </c>
      <c r="K117" s="4"/>
      <c r="M117"/>
    </row>
    <row r="118" spans="1:13" x14ac:dyDescent="0.25">
      <c r="A118" s="4">
        <v>25344</v>
      </c>
      <c r="B118">
        <v>14544</v>
      </c>
      <c r="C118" s="4">
        <v>14308</v>
      </c>
      <c r="D118" t="s">
        <v>306</v>
      </c>
      <c r="E118" s="4">
        <v>0</v>
      </c>
      <c r="F118" s="25">
        <v>43721.958877314813</v>
      </c>
      <c r="G118">
        <v>0</v>
      </c>
      <c r="H118" s="25"/>
      <c r="I118" s="25"/>
      <c r="J118" s="25" t="s">
        <v>300</v>
      </c>
      <c r="K118" s="4"/>
      <c r="M118"/>
    </row>
    <row r="119" spans="1:13" x14ac:dyDescent="0.25">
      <c r="A119" s="4">
        <v>25044</v>
      </c>
      <c r="B119">
        <v>13608</v>
      </c>
      <c r="C119" s="4">
        <v>14308</v>
      </c>
      <c r="D119" t="s">
        <v>306</v>
      </c>
      <c r="E119" s="4">
        <v>2</v>
      </c>
      <c r="F119" s="25">
        <v>43721.957824074074</v>
      </c>
      <c r="G119">
        <v>0</v>
      </c>
      <c r="H119" s="25"/>
      <c r="I119" s="25"/>
      <c r="J119" s="25" t="s">
        <v>300</v>
      </c>
      <c r="K119" s="4"/>
      <c r="M119"/>
    </row>
    <row r="120" spans="1:13" x14ac:dyDescent="0.25">
      <c r="A120" s="4">
        <v>25044</v>
      </c>
      <c r="B120">
        <v>13608</v>
      </c>
      <c r="C120" s="4">
        <v>14308</v>
      </c>
      <c r="D120" t="s">
        <v>306</v>
      </c>
      <c r="E120" s="4">
        <v>0</v>
      </c>
      <c r="F120" s="25">
        <v>43721.957812499997</v>
      </c>
      <c r="G120">
        <v>0</v>
      </c>
      <c r="H120" s="25"/>
      <c r="I120" s="25"/>
      <c r="J120" s="25" t="s">
        <v>300</v>
      </c>
      <c r="K120" s="4"/>
      <c r="M120"/>
    </row>
    <row r="121" spans="1:13" x14ac:dyDescent="0.25">
      <c r="A121" s="4">
        <v>25044</v>
      </c>
      <c r="B121">
        <v>13608</v>
      </c>
      <c r="C121" s="4">
        <v>14308</v>
      </c>
      <c r="D121" t="s">
        <v>306</v>
      </c>
      <c r="E121" s="4">
        <v>1</v>
      </c>
      <c r="F121" s="25">
        <v>43721.957812499997</v>
      </c>
      <c r="G121">
        <v>0</v>
      </c>
      <c r="H121" s="25"/>
      <c r="I121" s="25"/>
      <c r="J121" s="25" t="s">
        <v>300</v>
      </c>
      <c r="K121" s="4"/>
      <c r="M121"/>
    </row>
    <row r="122" spans="1:13" x14ac:dyDescent="0.25">
      <c r="A122" s="4">
        <v>24450</v>
      </c>
      <c r="B122">
        <v>14176</v>
      </c>
      <c r="C122" s="4">
        <v>14308</v>
      </c>
      <c r="D122" t="s">
        <v>306</v>
      </c>
      <c r="E122" s="4">
        <v>0</v>
      </c>
      <c r="F122" s="25">
        <v>43721.955706018518</v>
      </c>
      <c r="G122">
        <v>0</v>
      </c>
      <c r="H122" s="25"/>
      <c r="I122" s="25"/>
      <c r="J122" s="25" t="s">
        <v>300</v>
      </c>
      <c r="K122" s="4"/>
      <c r="M122"/>
    </row>
    <row r="123" spans="1:13" x14ac:dyDescent="0.25">
      <c r="A123" s="4">
        <v>24221</v>
      </c>
      <c r="B123">
        <v>11258</v>
      </c>
      <c r="C123" s="4">
        <v>14308</v>
      </c>
      <c r="D123" t="s">
        <v>306</v>
      </c>
      <c r="E123" s="4">
        <v>4</v>
      </c>
      <c r="F123" s="25">
        <v>43721.954918981479</v>
      </c>
      <c r="G123">
        <v>0</v>
      </c>
      <c r="H123" s="25"/>
      <c r="I123" s="25"/>
      <c r="J123" s="25" t="s">
        <v>300</v>
      </c>
      <c r="K123" s="4"/>
      <c r="M123"/>
    </row>
    <row r="124" spans="1:13" x14ac:dyDescent="0.25">
      <c r="A124" s="4">
        <v>24221</v>
      </c>
      <c r="B124">
        <v>11258</v>
      </c>
      <c r="C124" s="4">
        <v>14308</v>
      </c>
      <c r="D124" t="s">
        <v>306</v>
      </c>
      <c r="E124" s="4">
        <v>2</v>
      </c>
      <c r="F124" s="25">
        <v>43721.954907407409</v>
      </c>
      <c r="G124">
        <v>0</v>
      </c>
      <c r="H124" s="25"/>
      <c r="I124" s="25"/>
      <c r="J124" s="25" t="s">
        <v>300</v>
      </c>
      <c r="K124" s="4"/>
      <c r="M124"/>
    </row>
    <row r="125" spans="1:13" x14ac:dyDescent="0.25">
      <c r="A125" s="4">
        <v>24221</v>
      </c>
      <c r="B125">
        <v>11258</v>
      </c>
      <c r="C125" s="4">
        <v>14308</v>
      </c>
      <c r="D125" t="s">
        <v>306</v>
      </c>
      <c r="E125" s="4">
        <v>3</v>
      </c>
      <c r="F125" s="25">
        <v>43721.954907407409</v>
      </c>
      <c r="G125">
        <v>0</v>
      </c>
      <c r="H125" s="25"/>
      <c r="I125" s="25"/>
      <c r="J125" s="25" t="s">
        <v>300</v>
      </c>
      <c r="K125" s="4"/>
      <c r="M125"/>
    </row>
    <row r="126" spans="1:13" x14ac:dyDescent="0.25">
      <c r="A126" s="4">
        <v>24221</v>
      </c>
      <c r="B126">
        <v>11258</v>
      </c>
      <c r="C126" s="4">
        <v>14308</v>
      </c>
      <c r="D126" t="s">
        <v>306</v>
      </c>
      <c r="E126" s="4">
        <v>1</v>
      </c>
      <c r="F126" s="25">
        <v>43721.954895833333</v>
      </c>
      <c r="G126">
        <v>0</v>
      </c>
      <c r="H126" s="25"/>
      <c r="I126" s="25"/>
      <c r="J126" s="25" t="s">
        <v>300</v>
      </c>
      <c r="K126" s="4"/>
      <c r="M126"/>
    </row>
    <row r="127" spans="1:13" x14ac:dyDescent="0.25">
      <c r="A127" s="4">
        <v>24221</v>
      </c>
      <c r="B127">
        <v>11258</v>
      </c>
      <c r="C127" s="4">
        <v>14308</v>
      </c>
      <c r="D127" t="s">
        <v>306</v>
      </c>
      <c r="E127" s="4">
        <v>0</v>
      </c>
      <c r="F127" s="25">
        <v>43721.954884259256</v>
      </c>
      <c r="G127">
        <v>0</v>
      </c>
      <c r="H127" s="25"/>
      <c r="I127" s="25"/>
      <c r="J127" s="25" t="s">
        <v>300</v>
      </c>
      <c r="K127" s="4"/>
      <c r="M127"/>
    </row>
    <row r="128" spans="1:13" x14ac:dyDescent="0.25">
      <c r="A128" s="4">
        <v>24032</v>
      </c>
      <c r="B128">
        <v>12084</v>
      </c>
      <c r="C128" s="4">
        <v>14308</v>
      </c>
      <c r="D128" t="s">
        <v>306</v>
      </c>
      <c r="E128" s="4">
        <v>2</v>
      </c>
      <c r="F128" s="25">
        <v>43721.954236111109</v>
      </c>
      <c r="G128">
        <v>0</v>
      </c>
      <c r="H128" s="25"/>
      <c r="I128" s="25"/>
      <c r="J128" s="25" t="s">
        <v>300</v>
      </c>
      <c r="K128" s="4"/>
      <c r="M128"/>
    </row>
    <row r="129" spans="1:13" x14ac:dyDescent="0.25">
      <c r="A129" s="4">
        <v>24032</v>
      </c>
      <c r="B129">
        <v>12084</v>
      </c>
      <c r="C129" s="4">
        <v>14308</v>
      </c>
      <c r="D129" t="s">
        <v>306</v>
      </c>
      <c r="E129" s="4">
        <v>1</v>
      </c>
      <c r="F129" s="25">
        <v>43721.954224537039</v>
      </c>
      <c r="G129">
        <v>0</v>
      </c>
      <c r="H129" s="25"/>
      <c r="I129" s="25"/>
      <c r="J129" s="25" t="s">
        <v>300</v>
      </c>
      <c r="K129" s="4"/>
      <c r="M129"/>
    </row>
    <row r="130" spans="1:13" x14ac:dyDescent="0.25">
      <c r="A130" s="4">
        <v>24032</v>
      </c>
      <c r="B130">
        <v>12084</v>
      </c>
      <c r="C130" s="4">
        <v>14308</v>
      </c>
      <c r="D130" t="s">
        <v>306</v>
      </c>
      <c r="E130" s="4">
        <v>0</v>
      </c>
      <c r="F130" s="25">
        <v>43721.954212962963</v>
      </c>
      <c r="G130">
        <v>0</v>
      </c>
      <c r="H130" s="25"/>
      <c r="I130" s="25"/>
      <c r="J130" s="25" t="s">
        <v>300</v>
      </c>
      <c r="K130" s="4"/>
      <c r="M130"/>
    </row>
    <row r="131" spans="1:13" x14ac:dyDescent="0.25">
      <c r="A131" s="4">
        <v>23868</v>
      </c>
      <c r="B131">
        <v>2616</v>
      </c>
      <c r="C131" s="4">
        <v>14308</v>
      </c>
      <c r="D131" t="s">
        <v>306</v>
      </c>
      <c r="E131" s="4">
        <v>0</v>
      </c>
      <c r="F131" s="25">
        <v>43721.953645833331</v>
      </c>
      <c r="G131">
        <v>0</v>
      </c>
      <c r="H131" s="25"/>
      <c r="I131" s="25"/>
      <c r="J131" s="25" t="s">
        <v>300</v>
      </c>
      <c r="K131" s="4"/>
      <c r="M131"/>
    </row>
    <row r="132" spans="1:13" x14ac:dyDescent="0.25">
      <c r="A132" s="4">
        <v>23868</v>
      </c>
      <c r="B132">
        <v>2616</v>
      </c>
      <c r="C132" s="4">
        <v>14308</v>
      </c>
      <c r="D132" t="s">
        <v>306</v>
      </c>
      <c r="E132" s="4">
        <v>1</v>
      </c>
      <c r="F132" s="25">
        <v>43721.953645833331</v>
      </c>
      <c r="G132">
        <v>0</v>
      </c>
      <c r="H132" s="25"/>
      <c r="I132" s="25"/>
      <c r="J132" s="25" t="s">
        <v>300</v>
      </c>
      <c r="K132" s="4"/>
      <c r="M132"/>
    </row>
    <row r="133" spans="1:13" x14ac:dyDescent="0.25">
      <c r="A133" s="4">
        <v>22899</v>
      </c>
      <c r="B133">
        <v>6816</v>
      </c>
      <c r="C133" s="4">
        <v>14308</v>
      </c>
      <c r="D133" t="s">
        <v>306</v>
      </c>
      <c r="E133" s="4">
        <v>1</v>
      </c>
      <c r="F133" s="25">
        <v>43721.950231481482</v>
      </c>
      <c r="G133">
        <v>0</v>
      </c>
      <c r="H133" s="25"/>
      <c r="I133" s="25"/>
      <c r="J133" s="25" t="s">
        <v>300</v>
      </c>
      <c r="K133" s="4"/>
      <c r="M133"/>
    </row>
    <row r="134" spans="1:13" x14ac:dyDescent="0.25">
      <c r="A134" s="4">
        <v>22899</v>
      </c>
      <c r="B134">
        <v>6816</v>
      </c>
      <c r="C134" s="4">
        <v>14308</v>
      </c>
      <c r="D134" t="s">
        <v>306</v>
      </c>
      <c r="E134" s="4">
        <v>0</v>
      </c>
      <c r="F134" s="25">
        <v>43721.950219907405</v>
      </c>
      <c r="G134">
        <v>0</v>
      </c>
      <c r="H134" s="25"/>
      <c r="I134" s="25"/>
      <c r="J134" s="25" t="s">
        <v>300</v>
      </c>
      <c r="K134" s="4"/>
      <c r="M134"/>
    </row>
    <row r="135" spans="1:13" x14ac:dyDescent="0.25">
      <c r="A135" s="4">
        <v>21664</v>
      </c>
      <c r="B135">
        <v>11388</v>
      </c>
      <c r="C135" s="4">
        <v>14308</v>
      </c>
      <c r="D135" t="s">
        <v>306</v>
      </c>
      <c r="E135" s="4">
        <v>0</v>
      </c>
      <c r="F135" s="25">
        <v>43721.945821759262</v>
      </c>
      <c r="G135">
        <v>0</v>
      </c>
      <c r="H135" s="25"/>
      <c r="I135" s="25"/>
      <c r="J135" s="25" t="s">
        <v>300</v>
      </c>
      <c r="K135" s="4"/>
      <c r="M135"/>
    </row>
    <row r="136" spans="1:13" x14ac:dyDescent="0.25">
      <c r="A136" s="4">
        <v>21540</v>
      </c>
      <c r="B136">
        <v>7699</v>
      </c>
      <c r="C136" s="4">
        <v>14308</v>
      </c>
      <c r="D136" t="s">
        <v>306</v>
      </c>
      <c r="E136" s="4">
        <v>0</v>
      </c>
      <c r="F136" s="25">
        <v>43721.945405092592</v>
      </c>
      <c r="G136">
        <v>0</v>
      </c>
      <c r="H136" s="25"/>
      <c r="I136" s="25"/>
      <c r="J136" s="25" t="s">
        <v>300</v>
      </c>
      <c r="K136" s="4"/>
      <c r="M136"/>
    </row>
    <row r="137" spans="1:13" x14ac:dyDescent="0.25">
      <c r="A137" s="4">
        <v>2985</v>
      </c>
      <c r="B137">
        <v>11280</v>
      </c>
      <c r="C137" s="4">
        <v>14096</v>
      </c>
      <c r="D137" t="s">
        <v>306</v>
      </c>
      <c r="E137" s="4">
        <v>24</v>
      </c>
      <c r="F137" s="25">
        <v>43721.879733796297</v>
      </c>
      <c r="G137">
        <v>0</v>
      </c>
      <c r="H137" s="25"/>
      <c r="I137" s="25"/>
      <c r="J137" s="25" t="s">
        <v>300</v>
      </c>
      <c r="K137" s="4"/>
      <c r="M137"/>
    </row>
    <row r="138" spans="1:13" x14ac:dyDescent="0.25">
      <c r="A138" s="4">
        <v>2985</v>
      </c>
      <c r="B138">
        <v>11280</v>
      </c>
      <c r="C138" s="4">
        <v>14096</v>
      </c>
      <c r="D138" t="s">
        <v>306</v>
      </c>
      <c r="E138" s="4">
        <v>23</v>
      </c>
      <c r="F138" s="25">
        <v>43721.87972222222</v>
      </c>
      <c r="G138">
        <v>0</v>
      </c>
      <c r="H138" s="25"/>
      <c r="I138" s="25"/>
      <c r="J138" s="25" t="s">
        <v>300</v>
      </c>
      <c r="K138" s="4"/>
      <c r="M138"/>
    </row>
    <row r="139" spans="1:13" x14ac:dyDescent="0.25">
      <c r="A139" s="4">
        <v>2985</v>
      </c>
      <c r="B139">
        <v>11280</v>
      </c>
      <c r="C139" s="4">
        <v>14096</v>
      </c>
      <c r="D139" t="s">
        <v>306</v>
      </c>
      <c r="E139" s="4">
        <v>21</v>
      </c>
      <c r="F139" s="25">
        <v>43721.879710648151</v>
      </c>
      <c r="G139">
        <v>0</v>
      </c>
      <c r="H139" s="25"/>
      <c r="I139" s="25"/>
      <c r="J139" s="25" t="s">
        <v>300</v>
      </c>
      <c r="K139" s="4"/>
      <c r="M139"/>
    </row>
    <row r="140" spans="1:13" x14ac:dyDescent="0.25">
      <c r="A140" s="4">
        <v>2985</v>
      </c>
      <c r="B140">
        <v>11280</v>
      </c>
      <c r="C140" s="4">
        <v>14096</v>
      </c>
      <c r="D140" t="s">
        <v>306</v>
      </c>
      <c r="E140" s="4">
        <v>22</v>
      </c>
      <c r="F140" s="25">
        <v>43721.879710648151</v>
      </c>
      <c r="G140">
        <v>0</v>
      </c>
      <c r="H140" s="25"/>
      <c r="I140" s="25"/>
      <c r="J140" s="25" t="s">
        <v>300</v>
      </c>
      <c r="K140" s="4"/>
      <c r="M140"/>
    </row>
    <row r="141" spans="1:13" x14ac:dyDescent="0.25">
      <c r="A141" s="4">
        <v>2985</v>
      </c>
      <c r="B141">
        <v>11280</v>
      </c>
      <c r="C141" s="4">
        <v>14096</v>
      </c>
      <c r="D141" t="s">
        <v>306</v>
      </c>
      <c r="E141" s="4">
        <v>19</v>
      </c>
      <c r="F141" s="25">
        <v>43721.879699074074</v>
      </c>
      <c r="G141">
        <v>0</v>
      </c>
      <c r="H141" s="25"/>
      <c r="I141" s="25"/>
      <c r="J141" s="25" t="s">
        <v>300</v>
      </c>
      <c r="K141" s="4"/>
      <c r="M141"/>
    </row>
    <row r="142" spans="1:13" x14ac:dyDescent="0.25">
      <c r="A142" s="4">
        <v>2985</v>
      </c>
      <c r="B142">
        <v>11280</v>
      </c>
      <c r="C142" s="4">
        <v>14096</v>
      </c>
      <c r="D142" t="s">
        <v>306</v>
      </c>
      <c r="E142" s="4">
        <v>20</v>
      </c>
      <c r="F142" s="25">
        <v>43721.879699074074</v>
      </c>
      <c r="G142">
        <v>0</v>
      </c>
      <c r="H142" s="25"/>
      <c r="I142" s="25"/>
      <c r="J142" s="25" t="s">
        <v>300</v>
      </c>
      <c r="K142" s="4"/>
      <c r="M142"/>
    </row>
    <row r="143" spans="1:13" x14ac:dyDescent="0.25">
      <c r="A143" s="4">
        <v>2985</v>
      </c>
      <c r="B143">
        <v>11280</v>
      </c>
      <c r="C143" s="4">
        <v>14096</v>
      </c>
      <c r="D143" t="s">
        <v>306</v>
      </c>
      <c r="E143" s="4">
        <v>18</v>
      </c>
      <c r="F143" s="25">
        <v>43721.879687499997</v>
      </c>
      <c r="G143">
        <v>0</v>
      </c>
      <c r="H143" s="25"/>
      <c r="I143" s="25"/>
      <c r="J143" s="25" t="s">
        <v>300</v>
      </c>
      <c r="K143" s="4"/>
      <c r="M143"/>
    </row>
    <row r="144" spans="1:13" x14ac:dyDescent="0.25">
      <c r="A144" s="4">
        <v>2985</v>
      </c>
      <c r="B144">
        <v>11280</v>
      </c>
      <c r="C144" s="4">
        <v>14096</v>
      </c>
      <c r="D144" t="s">
        <v>306</v>
      </c>
      <c r="E144" s="4">
        <v>16</v>
      </c>
      <c r="F144" s="25">
        <v>43721.879675925928</v>
      </c>
      <c r="G144">
        <v>0</v>
      </c>
      <c r="H144" s="25"/>
      <c r="I144" s="25"/>
      <c r="J144" s="25" t="s">
        <v>300</v>
      </c>
      <c r="K144" s="4"/>
      <c r="M144"/>
    </row>
    <row r="145" spans="1:13" x14ac:dyDescent="0.25">
      <c r="A145" s="4">
        <v>2985</v>
      </c>
      <c r="B145">
        <v>11280</v>
      </c>
      <c r="C145" s="4">
        <v>14096</v>
      </c>
      <c r="D145" t="s">
        <v>306</v>
      </c>
      <c r="E145" s="4">
        <v>17</v>
      </c>
      <c r="F145" s="25">
        <v>43721.879675925928</v>
      </c>
      <c r="G145">
        <v>0</v>
      </c>
      <c r="H145" s="25"/>
      <c r="I145" s="25"/>
      <c r="J145" s="25" t="s">
        <v>300</v>
      </c>
      <c r="K145" s="4"/>
      <c r="M145"/>
    </row>
    <row r="146" spans="1:13" x14ac:dyDescent="0.25">
      <c r="A146" s="4">
        <v>2985</v>
      </c>
      <c r="B146">
        <v>11280</v>
      </c>
      <c r="C146" s="4">
        <v>14096</v>
      </c>
      <c r="D146" t="s">
        <v>306</v>
      </c>
      <c r="E146" s="4">
        <v>15</v>
      </c>
      <c r="F146" s="25">
        <v>43721.879664351851</v>
      </c>
      <c r="G146">
        <v>0</v>
      </c>
      <c r="H146" s="25"/>
      <c r="I146" s="25"/>
      <c r="J146" s="25" t="s">
        <v>300</v>
      </c>
      <c r="K146" s="4"/>
      <c r="M146"/>
    </row>
    <row r="147" spans="1:13" x14ac:dyDescent="0.25">
      <c r="A147" s="4">
        <v>2985</v>
      </c>
      <c r="B147">
        <v>11280</v>
      </c>
      <c r="C147" s="4">
        <v>14096</v>
      </c>
      <c r="D147" t="s">
        <v>306</v>
      </c>
      <c r="E147" s="4">
        <v>13</v>
      </c>
      <c r="F147" s="25">
        <v>43721.879652777781</v>
      </c>
      <c r="G147">
        <v>0</v>
      </c>
      <c r="H147" s="25"/>
      <c r="I147" s="25"/>
      <c r="J147" s="25" t="s">
        <v>300</v>
      </c>
      <c r="K147" s="4"/>
      <c r="M147"/>
    </row>
    <row r="148" spans="1:13" x14ac:dyDescent="0.25">
      <c r="A148" s="4">
        <v>2985</v>
      </c>
      <c r="B148">
        <v>11280</v>
      </c>
      <c r="C148" s="4">
        <v>14096</v>
      </c>
      <c r="D148" t="s">
        <v>306</v>
      </c>
      <c r="E148" s="4">
        <v>14</v>
      </c>
      <c r="F148" s="25">
        <v>43721.879652777781</v>
      </c>
      <c r="G148">
        <v>0</v>
      </c>
      <c r="H148" s="25"/>
      <c r="I148" s="25"/>
      <c r="J148" s="25" t="s">
        <v>300</v>
      </c>
      <c r="K148" s="4"/>
      <c r="M148"/>
    </row>
    <row r="149" spans="1:13" x14ac:dyDescent="0.25">
      <c r="A149" s="4">
        <v>2985</v>
      </c>
      <c r="B149">
        <v>11280</v>
      </c>
      <c r="C149" s="4">
        <v>14096</v>
      </c>
      <c r="D149" t="s">
        <v>306</v>
      </c>
      <c r="E149" s="4">
        <v>12</v>
      </c>
      <c r="F149" s="25">
        <v>43721.879641203705</v>
      </c>
      <c r="G149">
        <v>0</v>
      </c>
      <c r="H149" s="25"/>
      <c r="I149" s="25"/>
      <c r="J149" s="25" t="s">
        <v>300</v>
      </c>
      <c r="K149" s="4"/>
      <c r="M149"/>
    </row>
    <row r="150" spans="1:13" x14ac:dyDescent="0.25">
      <c r="A150" s="4">
        <v>2985</v>
      </c>
      <c r="B150">
        <v>11280</v>
      </c>
      <c r="C150" s="4">
        <v>14096</v>
      </c>
      <c r="D150" t="s">
        <v>306</v>
      </c>
      <c r="E150" s="4">
        <v>10</v>
      </c>
      <c r="F150" s="25">
        <v>43721.879629629628</v>
      </c>
      <c r="G150">
        <v>0</v>
      </c>
      <c r="H150" s="25"/>
      <c r="I150" s="25"/>
      <c r="J150" s="25" t="s">
        <v>300</v>
      </c>
      <c r="K150" s="4"/>
      <c r="M150"/>
    </row>
    <row r="151" spans="1:13" x14ac:dyDescent="0.25">
      <c r="A151" s="4">
        <v>2985</v>
      </c>
      <c r="B151">
        <v>11280</v>
      </c>
      <c r="C151" s="4">
        <v>14096</v>
      </c>
      <c r="D151" t="s">
        <v>306</v>
      </c>
      <c r="E151" s="4">
        <v>11</v>
      </c>
      <c r="F151" s="25">
        <v>43721.879629629628</v>
      </c>
      <c r="G151">
        <v>0</v>
      </c>
      <c r="H151" s="25"/>
      <c r="I151" s="25"/>
      <c r="J151" s="25" t="s">
        <v>300</v>
      </c>
      <c r="K151" s="4"/>
      <c r="M151"/>
    </row>
    <row r="152" spans="1:13" x14ac:dyDescent="0.25">
      <c r="A152" s="4">
        <v>2985</v>
      </c>
      <c r="B152">
        <v>11280</v>
      </c>
      <c r="C152" s="4">
        <v>14096</v>
      </c>
      <c r="D152" t="s">
        <v>306</v>
      </c>
      <c r="E152" s="4">
        <v>9</v>
      </c>
      <c r="F152" s="25">
        <v>43721.879618055558</v>
      </c>
      <c r="G152">
        <v>0</v>
      </c>
      <c r="H152" s="25"/>
      <c r="I152" s="25"/>
      <c r="J152" s="25" t="s">
        <v>300</v>
      </c>
      <c r="K152" s="4"/>
      <c r="M152"/>
    </row>
    <row r="153" spans="1:13" x14ac:dyDescent="0.25">
      <c r="A153" s="4">
        <v>2985</v>
      </c>
      <c r="B153">
        <v>11280</v>
      </c>
      <c r="C153" s="4">
        <v>14096</v>
      </c>
      <c r="D153" t="s">
        <v>306</v>
      </c>
      <c r="E153" s="4">
        <v>7</v>
      </c>
      <c r="F153" s="25">
        <v>43721.879606481481</v>
      </c>
      <c r="G153">
        <v>0</v>
      </c>
      <c r="H153" s="25"/>
      <c r="I153" s="25"/>
      <c r="J153" s="25" t="s">
        <v>300</v>
      </c>
      <c r="K153" s="4"/>
      <c r="M153"/>
    </row>
    <row r="154" spans="1:13" x14ac:dyDescent="0.25">
      <c r="A154" s="4">
        <v>2985</v>
      </c>
      <c r="B154">
        <v>11280</v>
      </c>
      <c r="C154" s="4">
        <v>14096</v>
      </c>
      <c r="D154" t="s">
        <v>306</v>
      </c>
      <c r="E154" s="4">
        <v>8</v>
      </c>
      <c r="F154" s="25">
        <v>43721.879606481481</v>
      </c>
      <c r="G154">
        <v>0</v>
      </c>
      <c r="H154" s="25"/>
      <c r="I154" s="25"/>
      <c r="J154" s="25" t="s">
        <v>300</v>
      </c>
      <c r="K154" s="4"/>
      <c r="M154"/>
    </row>
    <row r="155" spans="1:13" x14ac:dyDescent="0.25">
      <c r="A155" s="4">
        <v>2985</v>
      </c>
      <c r="B155">
        <v>11280</v>
      </c>
      <c r="C155" s="4">
        <v>14096</v>
      </c>
      <c r="D155" t="s">
        <v>306</v>
      </c>
      <c r="E155" s="4">
        <v>5</v>
      </c>
      <c r="F155" s="25">
        <v>43721.879594907405</v>
      </c>
      <c r="G155">
        <v>0</v>
      </c>
      <c r="H155" s="25"/>
      <c r="I155" s="25"/>
      <c r="J155" s="25" t="s">
        <v>300</v>
      </c>
      <c r="K155" s="4"/>
      <c r="M155"/>
    </row>
    <row r="156" spans="1:13" x14ac:dyDescent="0.25">
      <c r="A156" s="4">
        <v>2985</v>
      </c>
      <c r="B156">
        <v>11280</v>
      </c>
      <c r="C156" s="4">
        <v>14096</v>
      </c>
      <c r="D156" t="s">
        <v>306</v>
      </c>
      <c r="E156" s="4">
        <v>6</v>
      </c>
      <c r="F156" s="25">
        <v>43721.879594907405</v>
      </c>
      <c r="G156">
        <v>0</v>
      </c>
      <c r="H156" s="25"/>
      <c r="I156" s="25"/>
      <c r="J156" s="25" t="s">
        <v>300</v>
      </c>
      <c r="K156" s="4"/>
      <c r="M156"/>
    </row>
    <row r="157" spans="1:13" x14ac:dyDescent="0.25">
      <c r="A157" s="4">
        <v>2985</v>
      </c>
      <c r="B157">
        <v>11280</v>
      </c>
      <c r="C157" s="4">
        <v>14096</v>
      </c>
      <c r="D157" t="s">
        <v>306</v>
      </c>
      <c r="E157" s="4">
        <v>4</v>
      </c>
      <c r="F157" s="25">
        <v>43721.879583333335</v>
      </c>
      <c r="G157">
        <v>0</v>
      </c>
      <c r="H157" s="25"/>
      <c r="I157" s="25"/>
      <c r="J157" s="25" t="s">
        <v>300</v>
      </c>
      <c r="K157" s="4"/>
      <c r="M157"/>
    </row>
    <row r="158" spans="1:13" x14ac:dyDescent="0.25">
      <c r="A158" s="4">
        <v>2985</v>
      </c>
      <c r="B158">
        <v>11280</v>
      </c>
      <c r="C158" s="4">
        <v>14096</v>
      </c>
      <c r="D158" t="s">
        <v>306</v>
      </c>
      <c r="E158" s="4">
        <v>2</v>
      </c>
      <c r="F158" s="25">
        <v>43721.879571759258</v>
      </c>
      <c r="G158">
        <v>0</v>
      </c>
      <c r="H158" s="25"/>
      <c r="I158" s="25"/>
      <c r="J158" s="25" t="s">
        <v>300</v>
      </c>
      <c r="K158" s="4"/>
      <c r="M158"/>
    </row>
    <row r="159" spans="1:13" x14ac:dyDescent="0.25">
      <c r="A159" s="4">
        <v>2985</v>
      </c>
      <c r="B159">
        <v>11280</v>
      </c>
      <c r="C159" s="4">
        <v>14096</v>
      </c>
      <c r="D159" t="s">
        <v>306</v>
      </c>
      <c r="E159" s="4">
        <v>3</v>
      </c>
      <c r="F159" s="25">
        <v>43721.879571759258</v>
      </c>
      <c r="G159">
        <v>0</v>
      </c>
      <c r="H159" s="25"/>
      <c r="I159" s="25"/>
      <c r="J159" s="25" t="s">
        <v>300</v>
      </c>
      <c r="K159" s="4"/>
      <c r="M159"/>
    </row>
    <row r="160" spans="1:13" x14ac:dyDescent="0.25">
      <c r="A160" s="4">
        <v>2985</v>
      </c>
      <c r="B160">
        <v>11280</v>
      </c>
      <c r="C160" s="4">
        <v>14096</v>
      </c>
      <c r="D160" t="s">
        <v>306</v>
      </c>
      <c r="E160" s="4">
        <v>1</v>
      </c>
      <c r="F160" s="25">
        <v>43721.879560185182</v>
      </c>
      <c r="G160">
        <v>0</v>
      </c>
      <c r="H160" s="25"/>
      <c r="I160" s="25"/>
      <c r="J160" s="25" t="s">
        <v>300</v>
      </c>
      <c r="K160" s="4"/>
      <c r="M160"/>
    </row>
    <row r="161" spans="1:13" x14ac:dyDescent="0.25">
      <c r="A161" s="4">
        <v>2985</v>
      </c>
      <c r="B161">
        <v>11280</v>
      </c>
      <c r="C161" s="4">
        <v>14096</v>
      </c>
      <c r="D161" t="s">
        <v>306</v>
      </c>
      <c r="E161" s="4">
        <v>0</v>
      </c>
      <c r="F161" s="25">
        <v>43721.879548611112</v>
      </c>
      <c r="G161">
        <v>0</v>
      </c>
      <c r="H161" s="25"/>
      <c r="I161" s="25"/>
      <c r="J161" s="25" t="s">
        <v>300</v>
      </c>
      <c r="K161" s="4"/>
      <c r="M161"/>
    </row>
    <row r="162" spans="1:13" x14ac:dyDescent="0.25">
      <c r="A162" s="4">
        <v>2345</v>
      </c>
      <c r="B162">
        <v>14484</v>
      </c>
      <c r="C162" s="4">
        <v>14096</v>
      </c>
      <c r="D162" t="s">
        <v>306</v>
      </c>
      <c r="E162" s="4">
        <v>24</v>
      </c>
      <c r="F162" s="25">
        <v>43721.877465277779</v>
      </c>
      <c r="G162">
        <v>0</v>
      </c>
      <c r="H162" s="25"/>
      <c r="I162" s="25"/>
      <c r="J162" s="25" t="s">
        <v>300</v>
      </c>
      <c r="K162" s="4"/>
      <c r="M162"/>
    </row>
    <row r="163" spans="1:13" x14ac:dyDescent="0.25">
      <c r="A163" s="4">
        <v>2345</v>
      </c>
      <c r="B163">
        <v>14484</v>
      </c>
      <c r="C163" s="4">
        <v>14096</v>
      </c>
      <c r="D163" t="s">
        <v>306</v>
      </c>
      <c r="E163" s="4">
        <v>22</v>
      </c>
      <c r="F163" s="25">
        <v>43721.877453703702</v>
      </c>
      <c r="G163">
        <v>0</v>
      </c>
      <c r="H163" s="25"/>
      <c r="I163" s="25"/>
      <c r="J163" s="25" t="s">
        <v>300</v>
      </c>
      <c r="K163" s="4"/>
      <c r="M163"/>
    </row>
    <row r="164" spans="1:13" x14ac:dyDescent="0.25">
      <c r="A164" s="4">
        <v>2345</v>
      </c>
      <c r="B164">
        <v>14484</v>
      </c>
      <c r="C164" s="4">
        <v>14096</v>
      </c>
      <c r="D164" t="s">
        <v>306</v>
      </c>
      <c r="E164" s="4">
        <v>23</v>
      </c>
      <c r="F164" s="25">
        <v>43721.877453703702</v>
      </c>
      <c r="G164">
        <v>0</v>
      </c>
      <c r="H164" s="25"/>
      <c r="I164" s="25"/>
      <c r="J164" s="25" t="s">
        <v>300</v>
      </c>
      <c r="K164" s="4"/>
      <c r="M164"/>
    </row>
    <row r="165" spans="1:13" x14ac:dyDescent="0.25">
      <c r="A165" s="4">
        <v>2345</v>
      </c>
      <c r="B165">
        <v>14484</v>
      </c>
      <c r="C165" s="4">
        <v>14096</v>
      </c>
      <c r="D165" t="s">
        <v>306</v>
      </c>
      <c r="E165" s="4">
        <v>21</v>
      </c>
      <c r="F165" s="25">
        <v>43721.877442129633</v>
      </c>
      <c r="G165">
        <v>0</v>
      </c>
      <c r="H165" s="25"/>
      <c r="I165" s="25"/>
      <c r="J165" s="25" t="s">
        <v>300</v>
      </c>
      <c r="K165" s="4"/>
      <c r="M165"/>
    </row>
    <row r="166" spans="1:13" x14ac:dyDescent="0.25">
      <c r="A166" s="4">
        <v>2345</v>
      </c>
      <c r="B166">
        <v>14484</v>
      </c>
      <c r="C166" s="4">
        <v>14096</v>
      </c>
      <c r="D166" t="s">
        <v>306</v>
      </c>
      <c r="E166" s="4">
        <v>19</v>
      </c>
      <c r="F166" s="25">
        <v>43721.877430555556</v>
      </c>
      <c r="G166">
        <v>0</v>
      </c>
      <c r="H166" s="25"/>
      <c r="I166" s="25"/>
      <c r="J166" s="25" t="s">
        <v>300</v>
      </c>
      <c r="K166" s="4"/>
      <c r="M166"/>
    </row>
    <row r="167" spans="1:13" x14ac:dyDescent="0.25">
      <c r="A167" s="4">
        <v>2345</v>
      </c>
      <c r="B167">
        <v>14484</v>
      </c>
      <c r="C167" s="4">
        <v>14096</v>
      </c>
      <c r="D167" t="s">
        <v>306</v>
      </c>
      <c r="E167" s="4">
        <v>20</v>
      </c>
      <c r="F167" s="25">
        <v>43721.877430555556</v>
      </c>
      <c r="G167">
        <v>0</v>
      </c>
      <c r="H167" s="25"/>
      <c r="I167" s="25"/>
      <c r="J167" s="25" t="s">
        <v>300</v>
      </c>
      <c r="K167" s="4"/>
      <c r="M167"/>
    </row>
    <row r="168" spans="1:13" x14ac:dyDescent="0.25">
      <c r="A168" s="4">
        <v>2345</v>
      </c>
      <c r="B168">
        <v>14484</v>
      </c>
      <c r="C168" s="4">
        <v>14096</v>
      </c>
      <c r="D168" t="s">
        <v>306</v>
      </c>
      <c r="E168" s="4">
        <v>18</v>
      </c>
      <c r="F168" s="25">
        <v>43721.877418981479</v>
      </c>
      <c r="G168">
        <v>0</v>
      </c>
      <c r="H168" s="25"/>
      <c r="I168" s="25"/>
      <c r="J168" s="25" t="s">
        <v>300</v>
      </c>
      <c r="K168" s="4"/>
      <c r="M168"/>
    </row>
    <row r="169" spans="1:13" x14ac:dyDescent="0.25">
      <c r="A169" s="4">
        <v>2345</v>
      </c>
      <c r="B169">
        <v>14484</v>
      </c>
      <c r="C169" s="4">
        <v>14096</v>
      </c>
      <c r="D169" t="s">
        <v>306</v>
      </c>
      <c r="E169" s="4">
        <v>16</v>
      </c>
      <c r="F169" s="25">
        <v>43721.87740740741</v>
      </c>
      <c r="G169">
        <v>0</v>
      </c>
      <c r="H169" s="25"/>
      <c r="I169" s="25"/>
      <c r="J169" s="25" t="s">
        <v>300</v>
      </c>
      <c r="K169" s="4"/>
      <c r="M169"/>
    </row>
    <row r="170" spans="1:13" x14ac:dyDescent="0.25">
      <c r="A170" s="4">
        <v>2345</v>
      </c>
      <c r="B170">
        <v>14484</v>
      </c>
      <c r="C170" s="4">
        <v>14096</v>
      </c>
      <c r="D170" t="s">
        <v>306</v>
      </c>
      <c r="E170" s="4">
        <v>17</v>
      </c>
      <c r="F170" s="25">
        <v>43721.87740740741</v>
      </c>
      <c r="G170">
        <v>0</v>
      </c>
      <c r="H170" s="25"/>
      <c r="I170" s="25"/>
      <c r="J170" s="25" t="s">
        <v>300</v>
      </c>
      <c r="K170" s="4"/>
      <c r="M170"/>
    </row>
    <row r="171" spans="1:13" x14ac:dyDescent="0.25">
      <c r="A171" s="4">
        <v>2345</v>
      </c>
      <c r="B171">
        <v>14484</v>
      </c>
      <c r="C171" s="4">
        <v>14096</v>
      </c>
      <c r="D171" t="s">
        <v>306</v>
      </c>
      <c r="E171" s="4">
        <v>14</v>
      </c>
      <c r="F171" s="25">
        <v>43721.877395833333</v>
      </c>
      <c r="G171">
        <v>0</v>
      </c>
      <c r="H171" s="25"/>
      <c r="I171" s="25"/>
      <c r="J171" s="25" t="s">
        <v>300</v>
      </c>
      <c r="K171" s="4"/>
      <c r="M171"/>
    </row>
    <row r="172" spans="1:13" x14ac:dyDescent="0.25">
      <c r="A172" s="4">
        <v>2345</v>
      </c>
      <c r="B172">
        <v>14484</v>
      </c>
      <c r="C172" s="4">
        <v>14096</v>
      </c>
      <c r="D172" t="s">
        <v>306</v>
      </c>
      <c r="E172" s="4">
        <v>15</v>
      </c>
      <c r="F172" s="25">
        <v>43721.877395833333</v>
      </c>
      <c r="G172">
        <v>0</v>
      </c>
      <c r="H172" s="25"/>
      <c r="I172" s="25"/>
      <c r="J172" s="25" t="s">
        <v>300</v>
      </c>
      <c r="K172" s="4"/>
      <c r="M172"/>
    </row>
    <row r="173" spans="1:13" x14ac:dyDescent="0.25">
      <c r="A173" s="4">
        <v>2345</v>
      </c>
      <c r="B173">
        <v>14484</v>
      </c>
      <c r="C173" s="4">
        <v>14096</v>
      </c>
      <c r="D173" t="s">
        <v>306</v>
      </c>
      <c r="E173" s="4">
        <v>13</v>
      </c>
      <c r="F173" s="25">
        <v>43721.877384259256</v>
      </c>
      <c r="G173">
        <v>0</v>
      </c>
      <c r="H173" s="25"/>
      <c r="I173" s="25"/>
      <c r="J173" s="25" t="s">
        <v>300</v>
      </c>
      <c r="K173" s="4"/>
      <c r="M173"/>
    </row>
    <row r="174" spans="1:13" x14ac:dyDescent="0.25">
      <c r="A174" s="4">
        <v>2345</v>
      </c>
      <c r="B174">
        <v>14484</v>
      </c>
      <c r="C174" s="4">
        <v>14096</v>
      </c>
      <c r="D174" t="s">
        <v>306</v>
      </c>
      <c r="E174" s="4">
        <v>11</v>
      </c>
      <c r="F174" s="25">
        <v>43721.877372685187</v>
      </c>
      <c r="G174">
        <v>0</v>
      </c>
      <c r="H174" s="25"/>
      <c r="I174" s="25"/>
      <c r="J174" s="25" t="s">
        <v>300</v>
      </c>
      <c r="K174" s="4"/>
      <c r="M174"/>
    </row>
    <row r="175" spans="1:13" x14ac:dyDescent="0.25">
      <c r="A175" s="4">
        <v>2345</v>
      </c>
      <c r="B175">
        <v>14484</v>
      </c>
      <c r="C175" s="4">
        <v>14096</v>
      </c>
      <c r="D175" t="s">
        <v>306</v>
      </c>
      <c r="E175" s="4">
        <v>12</v>
      </c>
      <c r="F175" s="25">
        <v>43721.877372685187</v>
      </c>
      <c r="G175">
        <v>0</v>
      </c>
      <c r="H175" s="25"/>
      <c r="I175" s="25"/>
      <c r="J175" s="25" t="s">
        <v>300</v>
      </c>
      <c r="K175" s="4"/>
      <c r="M175"/>
    </row>
    <row r="176" spans="1:13" x14ac:dyDescent="0.25">
      <c r="A176" s="4">
        <v>2345</v>
      </c>
      <c r="B176">
        <v>14484</v>
      </c>
      <c r="C176" s="4">
        <v>14096</v>
      </c>
      <c r="D176" t="s">
        <v>306</v>
      </c>
      <c r="E176" s="4">
        <v>10</v>
      </c>
      <c r="F176" s="25">
        <v>43721.87736111111</v>
      </c>
      <c r="G176">
        <v>0</v>
      </c>
      <c r="H176" s="25"/>
      <c r="I176" s="25"/>
      <c r="J176" s="25" t="s">
        <v>300</v>
      </c>
    </row>
    <row r="177" spans="1:10" x14ac:dyDescent="0.25">
      <c r="A177" s="4">
        <v>2345</v>
      </c>
      <c r="B177">
        <v>14484</v>
      </c>
      <c r="C177" s="4">
        <v>14096</v>
      </c>
      <c r="D177" t="s">
        <v>306</v>
      </c>
      <c r="E177" s="4">
        <v>8</v>
      </c>
      <c r="F177" s="25">
        <v>43721.877349537041</v>
      </c>
      <c r="G177">
        <v>0</v>
      </c>
      <c r="H177" s="25"/>
      <c r="I177" s="25"/>
      <c r="J177" s="25" t="s">
        <v>300</v>
      </c>
    </row>
    <row r="178" spans="1:10" x14ac:dyDescent="0.25">
      <c r="A178" s="4">
        <v>2345</v>
      </c>
      <c r="B178">
        <v>14484</v>
      </c>
      <c r="C178" s="4">
        <v>14096</v>
      </c>
      <c r="D178" t="s">
        <v>306</v>
      </c>
      <c r="E178" s="4">
        <v>9</v>
      </c>
      <c r="F178" s="25">
        <v>43721.877349537041</v>
      </c>
      <c r="G178">
        <v>0</v>
      </c>
      <c r="H178" s="25"/>
      <c r="I178" s="25"/>
      <c r="J178" s="25" t="s">
        <v>300</v>
      </c>
    </row>
    <row r="179" spans="1:10" x14ac:dyDescent="0.25">
      <c r="A179" s="4">
        <v>2345</v>
      </c>
      <c r="B179">
        <v>14484</v>
      </c>
      <c r="C179" s="4">
        <v>14096</v>
      </c>
      <c r="D179" t="s">
        <v>306</v>
      </c>
      <c r="E179" s="4">
        <v>6</v>
      </c>
      <c r="F179" s="25">
        <v>43721.877337962964</v>
      </c>
      <c r="G179">
        <v>0</v>
      </c>
      <c r="H179" s="25"/>
      <c r="I179" s="25"/>
      <c r="J179" s="25" t="s">
        <v>300</v>
      </c>
    </row>
    <row r="180" spans="1:10" x14ac:dyDescent="0.25">
      <c r="A180" s="4">
        <v>2345</v>
      </c>
      <c r="B180">
        <v>14484</v>
      </c>
      <c r="C180" s="4">
        <v>14096</v>
      </c>
      <c r="D180" t="s">
        <v>306</v>
      </c>
      <c r="E180" s="4">
        <v>7</v>
      </c>
      <c r="F180" s="25">
        <v>43721.877337962964</v>
      </c>
      <c r="G180">
        <v>0</v>
      </c>
      <c r="H180" s="25"/>
      <c r="I180" s="25"/>
      <c r="J180" s="25" t="s">
        <v>300</v>
      </c>
    </row>
    <row r="181" spans="1:10" x14ac:dyDescent="0.25">
      <c r="A181" s="4">
        <v>2345</v>
      </c>
      <c r="B181">
        <v>14484</v>
      </c>
      <c r="C181" s="4">
        <v>14096</v>
      </c>
      <c r="D181" t="s">
        <v>306</v>
      </c>
      <c r="E181" s="4">
        <v>5</v>
      </c>
      <c r="F181" s="25">
        <v>43721.877326388887</v>
      </c>
      <c r="G181">
        <v>0</v>
      </c>
      <c r="H181" s="25"/>
      <c r="I181" s="25"/>
      <c r="J181" s="25" t="s">
        <v>300</v>
      </c>
    </row>
    <row r="182" spans="1:10" x14ac:dyDescent="0.25">
      <c r="A182" s="4">
        <v>2345</v>
      </c>
      <c r="B182">
        <v>14484</v>
      </c>
      <c r="C182" s="4">
        <v>14096</v>
      </c>
      <c r="D182" t="s">
        <v>306</v>
      </c>
      <c r="E182" s="4">
        <v>3</v>
      </c>
      <c r="F182" s="25">
        <v>43721.877314814818</v>
      </c>
      <c r="G182">
        <v>0</v>
      </c>
      <c r="H182" s="25"/>
      <c r="I182" s="25"/>
      <c r="J182" s="25" t="s">
        <v>300</v>
      </c>
    </row>
    <row r="183" spans="1:10" x14ac:dyDescent="0.25">
      <c r="A183" s="4">
        <v>2345</v>
      </c>
      <c r="B183">
        <v>14484</v>
      </c>
      <c r="C183" s="4">
        <v>14096</v>
      </c>
      <c r="D183" t="s">
        <v>306</v>
      </c>
      <c r="E183" s="4">
        <v>4</v>
      </c>
      <c r="F183" s="25">
        <v>43721.877314814818</v>
      </c>
      <c r="G183">
        <v>0</v>
      </c>
      <c r="H183" s="25"/>
      <c r="I183" s="25"/>
      <c r="J183" s="25" t="s">
        <v>300</v>
      </c>
    </row>
    <row r="184" spans="1:10" x14ac:dyDescent="0.25">
      <c r="A184" s="4">
        <v>2345</v>
      </c>
      <c r="B184">
        <v>14484</v>
      </c>
      <c r="C184" s="4">
        <v>14096</v>
      </c>
      <c r="D184" t="s">
        <v>306</v>
      </c>
      <c r="E184" s="4">
        <v>2</v>
      </c>
      <c r="F184" s="25">
        <v>43721.877303240741</v>
      </c>
      <c r="G184">
        <v>0</v>
      </c>
      <c r="H184" s="25"/>
      <c r="I184" s="25"/>
      <c r="J184" s="25" t="s">
        <v>300</v>
      </c>
    </row>
    <row r="185" spans="1:10" x14ac:dyDescent="0.25">
      <c r="A185" s="4">
        <v>2345</v>
      </c>
      <c r="B185">
        <v>14484</v>
      </c>
      <c r="C185" s="4">
        <v>14096</v>
      </c>
      <c r="D185" t="s">
        <v>306</v>
      </c>
      <c r="E185" s="4">
        <v>0</v>
      </c>
      <c r="F185" s="25">
        <v>43721.877291666664</v>
      </c>
      <c r="G185">
        <v>0</v>
      </c>
      <c r="H185" s="25"/>
      <c r="I185" s="25"/>
      <c r="J185" s="25" t="s">
        <v>300</v>
      </c>
    </row>
    <row r="186" spans="1:10" x14ac:dyDescent="0.25">
      <c r="A186" s="4">
        <v>2345</v>
      </c>
      <c r="B186">
        <v>14484</v>
      </c>
      <c r="C186" s="4">
        <v>14096</v>
      </c>
      <c r="D186" t="s">
        <v>306</v>
      </c>
      <c r="E186" s="4">
        <v>1</v>
      </c>
      <c r="F186" s="25">
        <v>43721.877291666664</v>
      </c>
      <c r="G186">
        <v>0</v>
      </c>
      <c r="H186" s="25"/>
      <c r="I186" s="25"/>
      <c r="J186" s="25" t="s">
        <v>300</v>
      </c>
    </row>
    <row r="187" spans="1:10" x14ac:dyDescent="0.25">
      <c r="A187" s="4">
        <v>77</v>
      </c>
      <c r="B187">
        <v>8544</v>
      </c>
      <c r="C187" s="4">
        <v>15200</v>
      </c>
      <c r="D187" t="s">
        <v>7</v>
      </c>
      <c r="E187" s="4">
        <v>0</v>
      </c>
      <c r="F187" s="25">
        <v>43721.871168981481</v>
      </c>
      <c r="G187">
        <v>0</v>
      </c>
      <c r="H187" s="25"/>
      <c r="I187" s="25" t="s">
        <v>350</v>
      </c>
      <c r="J187" s="25" t="s">
        <v>304</v>
      </c>
    </row>
    <row r="188" spans="1:10" x14ac:dyDescent="0.25">
      <c r="A188" s="4">
        <v>77</v>
      </c>
      <c r="B188">
        <v>15200</v>
      </c>
      <c r="C188" s="4">
        <v>15200</v>
      </c>
      <c r="D188" t="s">
        <v>7</v>
      </c>
      <c r="E188" s="4">
        <v>0</v>
      </c>
      <c r="F188" s="25">
        <v>43721.870462962965</v>
      </c>
      <c r="G188">
        <v>1</v>
      </c>
      <c r="H188" s="25" t="s">
        <v>321</v>
      </c>
      <c r="I188" s="25"/>
      <c r="J188" s="25" t="s">
        <v>450</v>
      </c>
    </row>
    <row r="189" spans="1:10" x14ac:dyDescent="0.25">
      <c r="A189" s="4">
        <v>30251</v>
      </c>
      <c r="B189">
        <v>10996</v>
      </c>
      <c r="C189" s="4">
        <v>14096</v>
      </c>
      <c r="D189" t="s">
        <v>306</v>
      </c>
      <c r="E189" s="4">
        <v>24</v>
      </c>
      <c r="F189" s="25">
        <v>43721.860231481478</v>
      </c>
      <c r="G189">
        <v>0</v>
      </c>
      <c r="H189" s="25"/>
      <c r="I189" s="25"/>
      <c r="J189" s="25" t="s">
        <v>300</v>
      </c>
    </row>
    <row r="190" spans="1:10" x14ac:dyDescent="0.25">
      <c r="A190" s="4">
        <v>30251</v>
      </c>
      <c r="B190">
        <v>10996</v>
      </c>
      <c r="C190" s="4">
        <v>14096</v>
      </c>
      <c r="D190" t="s">
        <v>306</v>
      </c>
      <c r="E190" s="4">
        <v>23</v>
      </c>
      <c r="F190" s="25">
        <v>43721.860219907408</v>
      </c>
      <c r="G190">
        <v>0</v>
      </c>
      <c r="H190" s="25"/>
      <c r="I190" s="25"/>
      <c r="J190" s="25" t="s">
        <v>300</v>
      </c>
    </row>
    <row r="191" spans="1:10" x14ac:dyDescent="0.25">
      <c r="A191" s="4">
        <v>30251</v>
      </c>
      <c r="B191">
        <v>10996</v>
      </c>
      <c r="C191" s="4">
        <v>14096</v>
      </c>
      <c r="D191" t="s">
        <v>306</v>
      </c>
      <c r="E191" s="4">
        <v>21</v>
      </c>
      <c r="F191" s="25">
        <v>43721.860208333332</v>
      </c>
      <c r="G191">
        <v>0</v>
      </c>
      <c r="H191" s="25"/>
      <c r="I191" s="25"/>
      <c r="J191" s="25" t="s">
        <v>300</v>
      </c>
    </row>
    <row r="192" spans="1:10" x14ac:dyDescent="0.25">
      <c r="A192" s="4">
        <v>30251</v>
      </c>
      <c r="B192">
        <v>10996</v>
      </c>
      <c r="C192" s="4">
        <v>14096</v>
      </c>
      <c r="D192" t="s">
        <v>306</v>
      </c>
      <c r="E192" s="4">
        <v>22</v>
      </c>
      <c r="F192" s="25">
        <v>43721.860208333332</v>
      </c>
      <c r="G192">
        <v>0</v>
      </c>
      <c r="H192" s="25"/>
      <c r="I192" s="25"/>
      <c r="J192" s="25" t="s">
        <v>300</v>
      </c>
    </row>
    <row r="193" spans="1:10" x14ac:dyDescent="0.25">
      <c r="A193" s="4">
        <v>30251</v>
      </c>
      <c r="B193">
        <v>10996</v>
      </c>
      <c r="C193" s="4">
        <v>14096</v>
      </c>
      <c r="D193" t="s">
        <v>306</v>
      </c>
      <c r="E193" s="4">
        <v>20</v>
      </c>
      <c r="F193" s="25">
        <v>43721.860196759262</v>
      </c>
      <c r="G193">
        <v>0</v>
      </c>
      <c r="H193" s="25"/>
      <c r="I193" s="25"/>
      <c r="J193" s="25" t="s">
        <v>300</v>
      </c>
    </row>
    <row r="194" spans="1:10" x14ac:dyDescent="0.25">
      <c r="A194" s="4">
        <v>30251</v>
      </c>
      <c r="B194">
        <v>10996</v>
      </c>
      <c r="C194" s="4">
        <v>14096</v>
      </c>
      <c r="D194" t="s">
        <v>306</v>
      </c>
      <c r="E194" s="4">
        <v>18</v>
      </c>
      <c r="F194" s="25">
        <v>43721.860185185185</v>
      </c>
      <c r="G194">
        <v>0</v>
      </c>
      <c r="H194" s="25"/>
      <c r="I194" s="25"/>
      <c r="J194" s="25" t="s">
        <v>300</v>
      </c>
    </row>
    <row r="195" spans="1:10" x14ac:dyDescent="0.25">
      <c r="A195" s="4">
        <v>30251</v>
      </c>
      <c r="B195">
        <v>10996</v>
      </c>
      <c r="C195" s="4">
        <v>14096</v>
      </c>
      <c r="D195" t="s">
        <v>306</v>
      </c>
      <c r="E195" s="4">
        <v>19</v>
      </c>
      <c r="F195" s="25">
        <v>43721.860185185185</v>
      </c>
      <c r="G195">
        <v>0</v>
      </c>
      <c r="H195" s="25"/>
      <c r="I195" s="25"/>
      <c r="J195" s="25" t="s">
        <v>300</v>
      </c>
    </row>
    <row r="196" spans="1:10" x14ac:dyDescent="0.25">
      <c r="A196" s="4">
        <v>30251</v>
      </c>
      <c r="B196">
        <v>10996</v>
      </c>
      <c r="C196" s="4">
        <v>14096</v>
      </c>
      <c r="D196" t="s">
        <v>306</v>
      </c>
      <c r="E196" s="4">
        <v>17</v>
      </c>
      <c r="F196" s="25">
        <v>43721.860173611109</v>
      </c>
      <c r="G196">
        <v>0</v>
      </c>
      <c r="H196" s="25"/>
      <c r="I196" s="25"/>
      <c r="J196" s="25" t="s">
        <v>300</v>
      </c>
    </row>
    <row r="197" spans="1:10" x14ac:dyDescent="0.25">
      <c r="A197" s="4">
        <v>30251</v>
      </c>
      <c r="B197">
        <v>10996</v>
      </c>
      <c r="C197" s="4">
        <v>14096</v>
      </c>
      <c r="D197" t="s">
        <v>306</v>
      </c>
      <c r="E197" s="4">
        <v>15</v>
      </c>
      <c r="F197" s="25">
        <v>43721.860162037039</v>
      </c>
      <c r="G197">
        <v>0</v>
      </c>
      <c r="H197" s="25"/>
      <c r="I197" s="25"/>
      <c r="J197" s="25" t="s">
        <v>300</v>
      </c>
    </row>
    <row r="198" spans="1:10" x14ac:dyDescent="0.25">
      <c r="A198" s="4">
        <v>30251</v>
      </c>
      <c r="B198">
        <v>10996</v>
      </c>
      <c r="C198" s="4">
        <v>14096</v>
      </c>
      <c r="D198" t="s">
        <v>306</v>
      </c>
      <c r="E198" s="4">
        <v>16</v>
      </c>
      <c r="F198" s="25">
        <v>43721.860162037039</v>
      </c>
      <c r="G198">
        <v>0</v>
      </c>
      <c r="H198" s="25"/>
      <c r="I198" s="25"/>
      <c r="J198" s="25" t="s">
        <v>300</v>
      </c>
    </row>
    <row r="199" spans="1:10" x14ac:dyDescent="0.25">
      <c r="A199" s="4">
        <v>30251</v>
      </c>
      <c r="B199">
        <v>10996</v>
      </c>
      <c r="C199" s="4">
        <v>14096</v>
      </c>
      <c r="D199" t="s">
        <v>306</v>
      </c>
      <c r="E199" s="4">
        <v>14</v>
      </c>
      <c r="F199" s="25">
        <v>43721.860150462962</v>
      </c>
      <c r="G199">
        <v>0</v>
      </c>
      <c r="H199" s="25"/>
      <c r="I199" s="25"/>
      <c r="J199" s="25" t="s">
        <v>300</v>
      </c>
    </row>
    <row r="200" spans="1:10" x14ac:dyDescent="0.25">
      <c r="A200" s="4">
        <v>30251</v>
      </c>
      <c r="B200">
        <v>10996</v>
      </c>
      <c r="C200" s="4">
        <v>14096</v>
      </c>
      <c r="D200" t="s">
        <v>306</v>
      </c>
      <c r="E200" s="4">
        <v>12</v>
      </c>
      <c r="F200" s="25">
        <v>43721.860138888886</v>
      </c>
      <c r="G200">
        <v>0</v>
      </c>
      <c r="H200" s="25"/>
      <c r="I200" s="25"/>
      <c r="J200" s="25" t="s">
        <v>300</v>
      </c>
    </row>
    <row r="201" spans="1:10" x14ac:dyDescent="0.25">
      <c r="A201" s="4">
        <v>30251</v>
      </c>
      <c r="B201">
        <v>10996</v>
      </c>
      <c r="C201" s="4">
        <v>14096</v>
      </c>
      <c r="D201" t="s">
        <v>306</v>
      </c>
      <c r="E201" s="4">
        <v>13</v>
      </c>
      <c r="F201" s="25">
        <v>43721.860138888886</v>
      </c>
      <c r="G201">
        <v>0</v>
      </c>
      <c r="H201" s="25"/>
      <c r="I201" s="25"/>
      <c r="J201" s="25" t="s">
        <v>300</v>
      </c>
    </row>
    <row r="202" spans="1:10" x14ac:dyDescent="0.25">
      <c r="A202" s="4">
        <v>30251</v>
      </c>
      <c r="B202">
        <v>10996</v>
      </c>
      <c r="C202" s="4">
        <v>14096</v>
      </c>
      <c r="D202" t="s">
        <v>306</v>
      </c>
      <c r="E202" s="4">
        <v>11</v>
      </c>
      <c r="F202" s="25">
        <v>43721.860127314816</v>
      </c>
      <c r="G202">
        <v>0</v>
      </c>
      <c r="H202" s="25"/>
      <c r="I202" s="25"/>
      <c r="J202" s="25" t="s">
        <v>300</v>
      </c>
    </row>
    <row r="203" spans="1:10" x14ac:dyDescent="0.25">
      <c r="A203" s="4">
        <v>30251</v>
      </c>
      <c r="B203">
        <v>10996</v>
      </c>
      <c r="C203" s="4">
        <v>14096</v>
      </c>
      <c r="D203" t="s">
        <v>306</v>
      </c>
      <c r="E203" s="4">
        <v>9</v>
      </c>
      <c r="F203" s="25">
        <v>43721.860115740739</v>
      </c>
      <c r="G203">
        <v>0</v>
      </c>
      <c r="H203" s="25"/>
      <c r="I203" s="25"/>
      <c r="J203" s="25" t="s">
        <v>300</v>
      </c>
    </row>
    <row r="204" spans="1:10" x14ac:dyDescent="0.25">
      <c r="A204" s="4">
        <v>30251</v>
      </c>
      <c r="B204">
        <v>10996</v>
      </c>
      <c r="C204" s="4">
        <v>14096</v>
      </c>
      <c r="D204" t="s">
        <v>306</v>
      </c>
      <c r="E204" s="4">
        <v>10</v>
      </c>
      <c r="F204" s="25">
        <v>43721.860115740739</v>
      </c>
      <c r="G204">
        <v>0</v>
      </c>
      <c r="H204" s="25"/>
      <c r="I204" s="25"/>
      <c r="J204" s="25" t="s">
        <v>300</v>
      </c>
    </row>
    <row r="205" spans="1:10" x14ac:dyDescent="0.25">
      <c r="A205" s="4">
        <v>30251</v>
      </c>
      <c r="B205">
        <v>10996</v>
      </c>
      <c r="C205" s="4">
        <v>14096</v>
      </c>
      <c r="D205" t="s">
        <v>306</v>
      </c>
      <c r="E205" s="4">
        <v>7</v>
      </c>
      <c r="F205" s="25">
        <v>43721.86010416667</v>
      </c>
      <c r="G205">
        <v>0</v>
      </c>
      <c r="H205" s="25"/>
      <c r="I205" s="25"/>
      <c r="J205" s="25" t="s">
        <v>300</v>
      </c>
    </row>
    <row r="206" spans="1:10" x14ac:dyDescent="0.25">
      <c r="A206" s="4">
        <v>30251</v>
      </c>
      <c r="B206">
        <v>10996</v>
      </c>
      <c r="C206" s="4">
        <v>14096</v>
      </c>
      <c r="D206" t="s">
        <v>306</v>
      </c>
      <c r="E206" s="4">
        <v>8</v>
      </c>
      <c r="F206" s="25">
        <v>43721.86010416667</v>
      </c>
      <c r="G206">
        <v>0</v>
      </c>
      <c r="H206" s="25"/>
      <c r="I206" s="25"/>
      <c r="J206" s="25" t="s">
        <v>300</v>
      </c>
    </row>
    <row r="207" spans="1:10" x14ac:dyDescent="0.25">
      <c r="A207" s="4">
        <v>30251</v>
      </c>
      <c r="B207">
        <v>10996</v>
      </c>
      <c r="C207" s="4">
        <v>14096</v>
      </c>
      <c r="D207" t="s">
        <v>306</v>
      </c>
      <c r="E207" s="4">
        <v>6</v>
      </c>
      <c r="F207" s="25">
        <v>43721.860092592593</v>
      </c>
      <c r="G207">
        <v>0</v>
      </c>
      <c r="H207" s="25"/>
      <c r="I207" s="25"/>
      <c r="J207" s="25" t="s">
        <v>300</v>
      </c>
    </row>
    <row r="208" spans="1:10" x14ac:dyDescent="0.25">
      <c r="A208" s="4">
        <v>30251</v>
      </c>
      <c r="B208">
        <v>10996</v>
      </c>
      <c r="C208" s="4">
        <v>14096</v>
      </c>
      <c r="D208" t="s">
        <v>306</v>
      </c>
      <c r="E208" s="4">
        <v>4</v>
      </c>
      <c r="F208" s="25">
        <v>43721.860081018516</v>
      </c>
      <c r="G208">
        <v>0</v>
      </c>
      <c r="H208" s="25"/>
      <c r="I208" s="25"/>
      <c r="J208" s="25" t="s">
        <v>300</v>
      </c>
    </row>
    <row r="209" spans="1:10" x14ac:dyDescent="0.25">
      <c r="A209" s="4">
        <v>30251</v>
      </c>
      <c r="B209">
        <v>10996</v>
      </c>
      <c r="C209" s="4">
        <v>14096</v>
      </c>
      <c r="D209" t="s">
        <v>306</v>
      </c>
      <c r="E209" s="4">
        <v>5</v>
      </c>
      <c r="F209" s="25">
        <v>43721.860081018516</v>
      </c>
      <c r="G209">
        <v>0</v>
      </c>
      <c r="H209" s="25"/>
      <c r="I209" s="25"/>
      <c r="J209" s="25" t="s">
        <v>300</v>
      </c>
    </row>
    <row r="210" spans="1:10" x14ac:dyDescent="0.25">
      <c r="A210" s="4">
        <v>30251</v>
      </c>
      <c r="B210">
        <v>10996</v>
      </c>
      <c r="C210" s="4">
        <v>14096</v>
      </c>
      <c r="D210" t="s">
        <v>306</v>
      </c>
      <c r="E210" s="4">
        <v>2</v>
      </c>
      <c r="F210" s="25">
        <v>43721.860069444447</v>
      </c>
      <c r="G210">
        <v>0</v>
      </c>
      <c r="H210" s="25"/>
      <c r="I210" s="25"/>
      <c r="J210" s="25" t="s">
        <v>300</v>
      </c>
    </row>
    <row r="211" spans="1:10" x14ac:dyDescent="0.25">
      <c r="A211" s="4">
        <v>30251</v>
      </c>
      <c r="B211">
        <v>10996</v>
      </c>
      <c r="C211" s="4">
        <v>14096</v>
      </c>
      <c r="D211" t="s">
        <v>306</v>
      </c>
      <c r="E211" s="4">
        <v>3</v>
      </c>
      <c r="F211" s="25">
        <v>43721.860069444447</v>
      </c>
      <c r="G211">
        <v>0</v>
      </c>
      <c r="H211" s="25"/>
      <c r="I211" s="25"/>
      <c r="J211" s="25" t="s">
        <v>300</v>
      </c>
    </row>
    <row r="212" spans="1:10" x14ac:dyDescent="0.25">
      <c r="A212" s="4">
        <v>30251</v>
      </c>
      <c r="B212">
        <v>10996</v>
      </c>
      <c r="C212" s="4">
        <v>14096</v>
      </c>
      <c r="D212" t="s">
        <v>306</v>
      </c>
      <c r="E212" s="4">
        <v>1</v>
      </c>
      <c r="F212" s="25">
        <v>43721.86005787037</v>
      </c>
      <c r="G212">
        <v>0</v>
      </c>
      <c r="H212" s="25"/>
      <c r="I212" s="25"/>
      <c r="J212" s="25" t="s">
        <v>300</v>
      </c>
    </row>
    <row r="213" spans="1:10" x14ac:dyDescent="0.25">
      <c r="A213" s="4">
        <v>30251</v>
      </c>
      <c r="B213">
        <v>10996</v>
      </c>
      <c r="C213" s="4">
        <v>14096</v>
      </c>
      <c r="D213" t="s">
        <v>306</v>
      </c>
      <c r="E213" s="4">
        <v>0</v>
      </c>
      <c r="F213" s="25">
        <v>43721.860046296293</v>
      </c>
      <c r="G213">
        <v>0</v>
      </c>
      <c r="H213" s="25"/>
      <c r="I213" s="25"/>
      <c r="J213" s="25" t="s">
        <v>300</v>
      </c>
    </row>
    <row r="214" spans="1:10" x14ac:dyDescent="0.25">
      <c r="A214" s="4">
        <v>77</v>
      </c>
      <c r="B214">
        <v>3008</v>
      </c>
      <c r="C214" s="4">
        <v>14096</v>
      </c>
      <c r="D214" t="s">
        <v>7</v>
      </c>
      <c r="E214" s="4">
        <v>0</v>
      </c>
      <c r="F214" s="25">
        <v>43721.858402777776</v>
      </c>
      <c r="G214">
        <v>0</v>
      </c>
      <c r="H214" s="25"/>
      <c r="I214" s="25" t="s">
        <v>350</v>
      </c>
      <c r="J214" s="25" t="s">
        <v>300</v>
      </c>
    </row>
    <row r="215" spans="1:10" x14ac:dyDescent="0.25">
      <c r="A215" s="4">
        <v>77</v>
      </c>
      <c r="B215">
        <v>14096</v>
      </c>
      <c r="C215" s="4">
        <v>14096</v>
      </c>
      <c r="D215" t="s">
        <v>7</v>
      </c>
      <c r="E215" s="4">
        <v>0</v>
      </c>
      <c r="F215" s="25">
        <v>43721.85769675926</v>
      </c>
      <c r="G215">
        <v>1</v>
      </c>
      <c r="H215" s="25" t="s">
        <v>321</v>
      </c>
      <c r="I215" s="25"/>
      <c r="J215" s="25" t="s">
        <v>449</v>
      </c>
    </row>
    <row r="216" spans="1:10" x14ac:dyDescent="0.25">
      <c r="A216" s="4">
        <v>26613</v>
      </c>
      <c r="B216">
        <v>11848</v>
      </c>
      <c r="C216" s="4">
        <v>14308</v>
      </c>
      <c r="D216" t="s">
        <v>306</v>
      </c>
      <c r="E216" s="4">
        <v>24</v>
      </c>
      <c r="F216" s="25">
        <v>43721.847418981481</v>
      </c>
      <c r="G216">
        <v>0</v>
      </c>
      <c r="H216" s="25"/>
      <c r="I216" s="25"/>
      <c r="J216" s="25" t="s">
        <v>300</v>
      </c>
    </row>
    <row r="217" spans="1:10" x14ac:dyDescent="0.25">
      <c r="A217" s="4">
        <v>26613</v>
      </c>
      <c r="B217">
        <v>11848</v>
      </c>
      <c r="C217" s="4">
        <v>14308</v>
      </c>
      <c r="D217" t="s">
        <v>306</v>
      </c>
      <c r="E217" s="4">
        <v>22</v>
      </c>
      <c r="F217" s="25">
        <v>43721.847407407404</v>
      </c>
      <c r="G217">
        <v>0</v>
      </c>
      <c r="H217" s="25"/>
      <c r="I217" s="25"/>
      <c r="J217" s="25" t="s">
        <v>300</v>
      </c>
    </row>
    <row r="218" spans="1:10" x14ac:dyDescent="0.25">
      <c r="A218" s="4">
        <v>26613</v>
      </c>
      <c r="B218">
        <v>11848</v>
      </c>
      <c r="C218" s="4">
        <v>14308</v>
      </c>
      <c r="D218" t="s">
        <v>306</v>
      </c>
      <c r="E218" s="4">
        <v>23</v>
      </c>
      <c r="F218" s="25">
        <v>43721.847407407404</v>
      </c>
      <c r="G218">
        <v>0</v>
      </c>
      <c r="H218" s="25"/>
      <c r="I218" s="25"/>
      <c r="J218" s="25" t="s">
        <v>300</v>
      </c>
    </row>
    <row r="219" spans="1:10" x14ac:dyDescent="0.25">
      <c r="A219" s="4">
        <v>26613</v>
      </c>
      <c r="B219">
        <v>11848</v>
      </c>
      <c r="C219" s="4">
        <v>14308</v>
      </c>
      <c r="D219" t="s">
        <v>306</v>
      </c>
      <c r="E219" s="4">
        <v>21</v>
      </c>
      <c r="F219" s="25">
        <v>43721.847395833334</v>
      </c>
      <c r="G219">
        <v>0</v>
      </c>
      <c r="H219" s="25"/>
      <c r="I219" s="25"/>
      <c r="J219" s="25" t="s">
        <v>300</v>
      </c>
    </row>
    <row r="220" spans="1:10" x14ac:dyDescent="0.25">
      <c r="A220" s="4">
        <v>26613</v>
      </c>
      <c r="B220">
        <v>11848</v>
      </c>
      <c r="C220" s="4">
        <v>14308</v>
      </c>
      <c r="D220" t="s">
        <v>306</v>
      </c>
      <c r="E220" s="4">
        <v>19</v>
      </c>
      <c r="F220" s="25">
        <v>43721.847384259258</v>
      </c>
      <c r="G220">
        <v>0</v>
      </c>
      <c r="H220" s="25"/>
      <c r="I220" s="25"/>
      <c r="J220" s="25" t="s">
        <v>300</v>
      </c>
    </row>
    <row r="221" spans="1:10" x14ac:dyDescent="0.25">
      <c r="A221" s="4">
        <v>26613</v>
      </c>
      <c r="B221">
        <v>11848</v>
      </c>
      <c r="C221" s="4">
        <v>14308</v>
      </c>
      <c r="D221" t="s">
        <v>306</v>
      </c>
      <c r="E221" s="4">
        <v>20</v>
      </c>
      <c r="F221" s="25">
        <v>43721.847384259258</v>
      </c>
      <c r="G221">
        <v>0</v>
      </c>
      <c r="H221" s="25"/>
      <c r="I221" s="25"/>
      <c r="J221" s="25" t="s">
        <v>300</v>
      </c>
    </row>
    <row r="222" spans="1:10" x14ac:dyDescent="0.25">
      <c r="A222" s="4">
        <v>26613</v>
      </c>
      <c r="B222">
        <v>11848</v>
      </c>
      <c r="C222" s="4">
        <v>14308</v>
      </c>
      <c r="D222" t="s">
        <v>306</v>
      </c>
      <c r="E222" s="4">
        <v>18</v>
      </c>
      <c r="F222" s="25">
        <v>43721.847372685188</v>
      </c>
      <c r="G222">
        <v>0</v>
      </c>
      <c r="H222" s="25"/>
      <c r="I222" s="25"/>
      <c r="J222" s="25" t="s">
        <v>300</v>
      </c>
    </row>
    <row r="223" spans="1:10" x14ac:dyDescent="0.25">
      <c r="A223" s="4">
        <v>26613</v>
      </c>
      <c r="B223">
        <v>11848</v>
      </c>
      <c r="C223" s="4">
        <v>14308</v>
      </c>
      <c r="D223" t="s">
        <v>306</v>
      </c>
      <c r="E223" s="4">
        <v>16</v>
      </c>
      <c r="F223" s="25">
        <v>43721.847361111111</v>
      </c>
      <c r="G223">
        <v>0</v>
      </c>
      <c r="H223" s="25"/>
      <c r="I223" s="25"/>
      <c r="J223" s="25" t="s">
        <v>300</v>
      </c>
    </row>
    <row r="224" spans="1:10" x14ac:dyDescent="0.25">
      <c r="A224" s="4">
        <v>26613</v>
      </c>
      <c r="B224">
        <v>11848</v>
      </c>
      <c r="C224" s="4">
        <v>14308</v>
      </c>
      <c r="D224" t="s">
        <v>306</v>
      </c>
      <c r="E224" s="4">
        <v>17</v>
      </c>
      <c r="F224" s="25">
        <v>43721.847361111111</v>
      </c>
      <c r="G224">
        <v>0</v>
      </c>
      <c r="H224" s="25"/>
      <c r="I224" s="25"/>
      <c r="J224" s="25" t="s">
        <v>300</v>
      </c>
    </row>
    <row r="225" spans="1:10" x14ac:dyDescent="0.25">
      <c r="A225" s="4">
        <v>26613</v>
      </c>
      <c r="B225">
        <v>11848</v>
      </c>
      <c r="C225" s="4">
        <v>14308</v>
      </c>
      <c r="D225" t="s">
        <v>306</v>
      </c>
      <c r="E225" s="4">
        <v>15</v>
      </c>
      <c r="F225" s="25">
        <v>43721.847349537034</v>
      </c>
      <c r="G225">
        <v>0</v>
      </c>
      <c r="H225" s="25"/>
      <c r="I225" s="25"/>
      <c r="J225" s="25" t="s">
        <v>300</v>
      </c>
    </row>
    <row r="226" spans="1:10" x14ac:dyDescent="0.25">
      <c r="A226" s="4">
        <v>26613</v>
      </c>
      <c r="B226">
        <v>11848</v>
      </c>
      <c r="C226" s="4">
        <v>14308</v>
      </c>
      <c r="D226" t="s">
        <v>306</v>
      </c>
      <c r="E226" s="4">
        <v>13</v>
      </c>
      <c r="F226" s="25">
        <v>43721.847337962965</v>
      </c>
      <c r="G226">
        <v>0</v>
      </c>
      <c r="H226" s="25"/>
      <c r="I226" s="25"/>
      <c r="J226" s="25" t="s">
        <v>300</v>
      </c>
    </row>
    <row r="227" spans="1:10" x14ac:dyDescent="0.25">
      <c r="A227" s="4">
        <v>26613</v>
      </c>
      <c r="B227">
        <v>11848</v>
      </c>
      <c r="C227" s="4">
        <v>14308</v>
      </c>
      <c r="D227" t="s">
        <v>306</v>
      </c>
      <c r="E227" s="4">
        <v>14</v>
      </c>
      <c r="F227" s="25">
        <v>43721.847337962965</v>
      </c>
      <c r="G227">
        <v>0</v>
      </c>
      <c r="H227" s="25"/>
      <c r="I227" s="25"/>
      <c r="J227" s="25" t="s">
        <v>300</v>
      </c>
    </row>
    <row r="228" spans="1:10" x14ac:dyDescent="0.25">
      <c r="A228" s="4">
        <v>26613</v>
      </c>
      <c r="B228">
        <v>11848</v>
      </c>
      <c r="C228" s="4">
        <v>14308</v>
      </c>
      <c r="D228" t="s">
        <v>306</v>
      </c>
      <c r="E228" s="4">
        <v>12</v>
      </c>
      <c r="F228" s="25">
        <v>43721.847326388888</v>
      </c>
      <c r="G228">
        <v>0</v>
      </c>
      <c r="H228" s="25"/>
      <c r="I228" s="25"/>
      <c r="J228" s="25" t="s">
        <v>300</v>
      </c>
    </row>
    <row r="229" spans="1:10" x14ac:dyDescent="0.25">
      <c r="A229" s="4">
        <v>26613</v>
      </c>
      <c r="B229">
        <v>11848</v>
      </c>
      <c r="C229" s="4">
        <v>14308</v>
      </c>
      <c r="D229" t="s">
        <v>306</v>
      </c>
      <c r="E229" s="4">
        <v>10</v>
      </c>
      <c r="F229" s="25">
        <v>43721.847314814811</v>
      </c>
      <c r="G229">
        <v>0</v>
      </c>
      <c r="H229" s="25"/>
      <c r="I229" s="25"/>
      <c r="J229" s="25" t="s">
        <v>300</v>
      </c>
    </row>
    <row r="230" spans="1:10" x14ac:dyDescent="0.25">
      <c r="A230" s="4">
        <v>26613</v>
      </c>
      <c r="B230">
        <v>11848</v>
      </c>
      <c r="C230" s="4">
        <v>14308</v>
      </c>
      <c r="D230" t="s">
        <v>306</v>
      </c>
      <c r="E230" s="4">
        <v>11</v>
      </c>
      <c r="F230" s="25">
        <v>43721.847314814811</v>
      </c>
      <c r="G230">
        <v>0</v>
      </c>
      <c r="H230" s="25"/>
      <c r="I230" s="25"/>
      <c r="J230" s="25" t="s">
        <v>300</v>
      </c>
    </row>
    <row r="231" spans="1:10" x14ac:dyDescent="0.25">
      <c r="A231" s="4">
        <v>26613</v>
      </c>
      <c r="B231">
        <v>11848</v>
      </c>
      <c r="C231" s="4">
        <v>14308</v>
      </c>
      <c r="D231" t="s">
        <v>306</v>
      </c>
      <c r="E231" s="4">
        <v>8</v>
      </c>
      <c r="F231" s="25">
        <v>43721.847303240742</v>
      </c>
      <c r="G231">
        <v>0</v>
      </c>
      <c r="H231" s="25"/>
      <c r="I231" s="25"/>
      <c r="J231" s="25" t="s">
        <v>300</v>
      </c>
    </row>
    <row r="232" spans="1:10" x14ac:dyDescent="0.25">
      <c r="A232" s="4">
        <v>26613</v>
      </c>
      <c r="B232">
        <v>11848</v>
      </c>
      <c r="C232" s="4">
        <v>14308</v>
      </c>
      <c r="D232" t="s">
        <v>306</v>
      </c>
      <c r="E232" s="4">
        <v>9</v>
      </c>
      <c r="F232" s="25">
        <v>43721.847303240742</v>
      </c>
      <c r="G232">
        <v>0</v>
      </c>
      <c r="H232" s="25"/>
      <c r="I232" s="25"/>
      <c r="J232" s="25" t="s">
        <v>300</v>
      </c>
    </row>
    <row r="233" spans="1:10" x14ac:dyDescent="0.25">
      <c r="A233" s="4">
        <v>26613</v>
      </c>
      <c r="B233">
        <v>11848</v>
      </c>
      <c r="C233" s="4">
        <v>14308</v>
      </c>
      <c r="D233" t="s">
        <v>306</v>
      </c>
      <c r="E233" s="4">
        <v>7</v>
      </c>
      <c r="F233" s="25">
        <v>43721.847291666665</v>
      </c>
      <c r="G233">
        <v>0</v>
      </c>
      <c r="H233" s="25"/>
      <c r="I233" s="25"/>
      <c r="J233" s="25" t="s">
        <v>300</v>
      </c>
    </row>
    <row r="234" spans="1:10" x14ac:dyDescent="0.25">
      <c r="A234" s="4">
        <v>26613</v>
      </c>
      <c r="B234">
        <v>11848</v>
      </c>
      <c r="C234" s="4">
        <v>14308</v>
      </c>
      <c r="D234" t="s">
        <v>306</v>
      </c>
      <c r="E234" s="4">
        <v>5</v>
      </c>
      <c r="F234" s="25">
        <v>43721.847280092596</v>
      </c>
      <c r="G234">
        <v>0</v>
      </c>
      <c r="H234" s="25"/>
      <c r="I234" s="25"/>
      <c r="J234" s="25" t="s">
        <v>300</v>
      </c>
    </row>
    <row r="235" spans="1:10" x14ac:dyDescent="0.25">
      <c r="A235" s="4">
        <v>26613</v>
      </c>
      <c r="B235">
        <v>11848</v>
      </c>
      <c r="C235" s="4">
        <v>14308</v>
      </c>
      <c r="D235" t="s">
        <v>306</v>
      </c>
      <c r="E235" s="4">
        <v>6</v>
      </c>
      <c r="F235" s="25">
        <v>43721.847280092596</v>
      </c>
      <c r="G235">
        <v>0</v>
      </c>
      <c r="H235" s="25"/>
      <c r="I235" s="25"/>
      <c r="J235" s="25" t="s">
        <v>300</v>
      </c>
    </row>
    <row r="236" spans="1:10" x14ac:dyDescent="0.25">
      <c r="A236" s="4">
        <v>26613</v>
      </c>
      <c r="B236">
        <v>11848</v>
      </c>
      <c r="C236" s="4">
        <v>14308</v>
      </c>
      <c r="D236" t="s">
        <v>306</v>
      </c>
      <c r="E236" s="4">
        <v>4</v>
      </c>
      <c r="F236" s="25">
        <v>43721.847268518519</v>
      </c>
      <c r="G236">
        <v>0</v>
      </c>
      <c r="H236" s="25"/>
      <c r="I236" s="25"/>
      <c r="J236" s="25" t="s">
        <v>300</v>
      </c>
    </row>
    <row r="237" spans="1:10" x14ac:dyDescent="0.25">
      <c r="A237" s="4">
        <v>26613</v>
      </c>
      <c r="B237">
        <v>11848</v>
      </c>
      <c r="C237" s="4">
        <v>14308</v>
      </c>
      <c r="D237" t="s">
        <v>306</v>
      </c>
      <c r="E237" s="4">
        <v>2</v>
      </c>
      <c r="F237" s="25">
        <v>43721.847256944442</v>
      </c>
      <c r="G237">
        <v>0</v>
      </c>
      <c r="H237" s="25"/>
      <c r="I237" s="25"/>
      <c r="J237" s="25" t="s">
        <v>300</v>
      </c>
    </row>
    <row r="238" spans="1:10" x14ac:dyDescent="0.25">
      <c r="A238" s="4">
        <v>26613</v>
      </c>
      <c r="B238">
        <v>11848</v>
      </c>
      <c r="C238" s="4">
        <v>14308</v>
      </c>
      <c r="D238" t="s">
        <v>306</v>
      </c>
      <c r="E238" s="4">
        <v>3</v>
      </c>
      <c r="F238" s="25">
        <v>43721.847256944442</v>
      </c>
      <c r="G238">
        <v>0</v>
      </c>
      <c r="H238" s="25"/>
      <c r="I238" s="25"/>
      <c r="J238" s="25" t="s">
        <v>300</v>
      </c>
    </row>
    <row r="239" spans="1:10" x14ac:dyDescent="0.25">
      <c r="A239" s="4">
        <v>26613</v>
      </c>
      <c r="B239">
        <v>11848</v>
      </c>
      <c r="C239" s="4">
        <v>14308</v>
      </c>
      <c r="D239" t="s">
        <v>306</v>
      </c>
      <c r="E239" s="4">
        <v>1</v>
      </c>
      <c r="F239" s="25">
        <v>43721.847245370373</v>
      </c>
      <c r="G239">
        <v>0</v>
      </c>
      <c r="H239" s="25"/>
      <c r="I239" s="25"/>
      <c r="J239" s="25" t="s">
        <v>300</v>
      </c>
    </row>
    <row r="240" spans="1:10" x14ac:dyDescent="0.25">
      <c r="A240" s="4">
        <v>26613</v>
      </c>
      <c r="B240">
        <v>11848</v>
      </c>
      <c r="C240" s="4">
        <v>14308</v>
      </c>
      <c r="D240" t="s">
        <v>306</v>
      </c>
      <c r="E240" s="4">
        <v>0</v>
      </c>
      <c r="F240" s="25">
        <v>43721.847233796296</v>
      </c>
      <c r="G240">
        <v>0</v>
      </c>
      <c r="H240" s="25"/>
      <c r="I240" s="25"/>
      <c r="J240" s="25" t="s">
        <v>300</v>
      </c>
    </row>
    <row r="241" spans="1:10" x14ac:dyDescent="0.25">
      <c r="A241" s="4">
        <v>25849</v>
      </c>
      <c r="B241">
        <v>5748</v>
      </c>
      <c r="C241" s="4">
        <v>14308</v>
      </c>
      <c r="D241" t="s">
        <v>306</v>
      </c>
      <c r="E241" s="4">
        <v>0</v>
      </c>
      <c r="F241" s="25">
        <v>43721.844525462962</v>
      </c>
      <c r="G241">
        <v>0</v>
      </c>
      <c r="H241" s="25"/>
      <c r="I241" s="25"/>
      <c r="J241" s="25" t="s">
        <v>300</v>
      </c>
    </row>
    <row r="242" spans="1:10" x14ac:dyDescent="0.25">
      <c r="A242" s="4">
        <v>98</v>
      </c>
      <c r="B242">
        <v>11700</v>
      </c>
      <c r="C242" s="4">
        <v>14308</v>
      </c>
      <c r="D242" t="s">
        <v>7</v>
      </c>
      <c r="E242" s="4">
        <v>0</v>
      </c>
      <c r="F242" s="25">
        <v>43721.837060185186</v>
      </c>
      <c r="G242">
        <v>0</v>
      </c>
      <c r="H242" s="25"/>
      <c r="I242" s="25" t="s">
        <v>445</v>
      </c>
      <c r="J242" s="25" t="s">
        <v>300</v>
      </c>
    </row>
    <row r="243" spans="1:10" x14ac:dyDescent="0.25">
      <c r="A243" s="4">
        <v>98</v>
      </c>
      <c r="B243">
        <v>1600</v>
      </c>
      <c r="C243" s="4">
        <v>14308</v>
      </c>
      <c r="D243" t="s">
        <v>7</v>
      </c>
      <c r="E243" s="4">
        <v>0</v>
      </c>
      <c r="F243" s="25">
        <v>43721.836886574078</v>
      </c>
      <c r="G243">
        <v>0</v>
      </c>
      <c r="H243" s="25"/>
      <c r="I243" s="25" t="s">
        <v>444</v>
      </c>
      <c r="J243" s="25" t="s">
        <v>300</v>
      </c>
    </row>
    <row r="244" spans="1:10" x14ac:dyDescent="0.25">
      <c r="A244" s="4">
        <v>98</v>
      </c>
      <c r="B244">
        <v>13336</v>
      </c>
      <c r="C244" s="4">
        <v>14308</v>
      </c>
      <c r="D244" t="s">
        <v>7</v>
      </c>
      <c r="E244" s="4">
        <v>0</v>
      </c>
      <c r="F244" s="25">
        <v>43721.836712962962</v>
      </c>
      <c r="G244">
        <v>0</v>
      </c>
      <c r="H244" s="25"/>
      <c r="I244" s="25" t="s">
        <v>443</v>
      </c>
      <c r="J244" s="25" t="s">
        <v>300</v>
      </c>
    </row>
    <row r="245" spans="1:10" x14ac:dyDescent="0.25">
      <c r="A245" s="4">
        <v>98</v>
      </c>
      <c r="B245">
        <v>12064</v>
      </c>
      <c r="C245" s="4">
        <v>14308</v>
      </c>
      <c r="D245" t="s">
        <v>7</v>
      </c>
      <c r="E245" s="4">
        <v>0</v>
      </c>
      <c r="F245" s="25">
        <v>43721.836539351854</v>
      </c>
      <c r="G245">
        <v>0</v>
      </c>
      <c r="H245" s="25"/>
      <c r="I245" s="25" t="s">
        <v>442</v>
      </c>
      <c r="J245" s="25" t="s">
        <v>300</v>
      </c>
    </row>
    <row r="246" spans="1:10" x14ac:dyDescent="0.25">
      <c r="A246" s="4">
        <v>98</v>
      </c>
      <c r="B246">
        <v>13307</v>
      </c>
      <c r="C246" s="4">
        <v>14308</v>
      </c>
      <c r="D246" t="s">
        <v>7</v>
      </c>
      <c r="E246" s="4">
        <v>0</v>
      </c>
      <c r="F246" s="25">
        <v>43721.836400462962</v>
      </c>
      <c r="G246">
        <v>0</v>
      </c>
      <c r="H246" s="25"/>
      <c r="I246" s="25" t="s">
        <v>441</v>
      </c>
      <c r="J246" s="25" t="s">
        <v>300</v>
      </c>
    </row>
    <row r="247" spans="1:10" x14ac:dyDescent="0.25">
      <c r="A247" s="4">
        <v>98</v>
      </c>
      <c r="B247">
        <v>13180</v>
      </c>
      <c r="C247" s="4">
        <v>14308</v>
      </c>
      <c r="D247" t="s">
        <v>7</v>
      </c>
      <c r="E247" s="4">
        <v>0</v>
      </c>
      <c r="F247" s="25">
        <v>43721.836238425924</v>
      </c>
      <c r="G247">
        <v>0</v>
      </c>
      <c r="H247" s="25"/>
      <c r="I247" s="25" t="s">
        <v>440</v>
      </c>
      <c r="J247" s="25" t="s">
        <v>304</v>
      </c>
    </row>
    <row r="248" spans="1:10" x14ac:dyDescent="0.25">
      <c r="A248" s="4">
        <v>98</v>
      </c>
      <c r="B248">
        <v>7171</v>
      </c>
      <c r="C248" s="4">
        <v>14308</v>
      </c>
      <c r="D248" t="s">
        <v>7</v>
      </c>
      <c r="E248" s="4">
        <v>0</v>
      </c>
      <c r="F248" s="25">
        <v>43721.836041666669</v>
      </c>
      <c r="G248">
        <v>0</v>
      </c>
      <c r="H248" s="25"/>
      <c r="I248" s="25" t="s">
        <v>439</v>
      </c>
      <c r="J248" s="25" t="s">
        <v>300</v>
      </c>
    </row>
    <row r="249" spans="1:10" x14ac:dyDescent="0.25">
      <c r="A249" s="4">
        <v>98</v>
      </c>
      <c r="B249">
        <v>7808</v>
      </c>
      <c r="C249" s="4">
        <v>14308</v>
      </c>
      <c r="D249" t="s">
        <v>7</v>
      </c>
      <c r="E249" s="4">
        <v>0</v>
      </c>
      <c r="F249" s="25">
        <v>43721.835868055554</v>
      </c>
      <c r="G249">
        <v>0</v>
      </c>
      <c r="H249" s="25"/>
      <c r="I249" s="25" t="s">
        <v>438</v>
      </c>
      <c r="J249" s="25" t="s">
        <v>304</v>
      </c>
    </row>
    <row r="250" spans="1:10" x14ac:dyDescent="0.25">
      <c r="A250" s="4">
        <v>99</v>
      </c>
      <c r="B250">
        <v>3460</v>
      </c>
      <c r="C250" s="4">
        <v>14308</v>
      </c>
      <c r="D250" t="s">
        <v>7</v>
      </c>
      <c r="E250" s="4">
        <v>0</v>
      </c>
      <c r="F250" s="25">
        <v>43721.833472222221</v>
      </c>
      <c r="G250">
        <v>0</v>
      </c>
      <c r="H250" s="25"/>
      <c r="I250" s="25" t="s">
        <v>445</v>
      </c>
      <c r="J250" s="25" t="s">
        <v>300</v>
      </c>
    </row>
    <row r="251" spans="1:10" x14ac:dyDescent="0.25">
      <c r="A251" s="4">
        <v>17410</v>
      </c>
      <c r="B251">
        <v>7592</v>
      </c>
      <c r="C251" s="4">
        <v>14308</v>
      </c>
      <c r="D251" t="s">
        <v>306</v>
      </c>
      <c r="E251" s="4">
        <v>1</v>
      </c>
      <c r="F251" s="25">
        <v>43721.833333333336</v>
      </c>
      <c r="G251">
        <v>0</v>
      </c>
      <c r="H251" s="25"/>
      <c r="I251" s="25"/>
      <c r="J251" s="25" t="s">
        <v>300</v>
      </c>
    </row>
    <row r="252" spans="1:10" x14ac:dyDescent="0.25">
      <c r="A252" s="4">
        <v>99</v>
      </c>
      <c r="B252">
        <v>13583</v>
      </c>
      <c r="C252" s="4">
        <v>14308</v>
      </c>
      <c r="D252" t="s">
        <v>7</v>
      </c>
      <c r="E252" s="4">
        <v>0</v>
      </c>
      <c r="F252" s="25">
        <v>43721.833298611113</v>
      </c>
      <c r="G252">
        <v>0</v>
      </c>
      <c r="H252" s="25"/>
      <c r="I252" s="25" t="s">
        <v>444</v>
      </c>
      <c r="J252" s="25" t="s">
        <v>300</v>
      </c>
    </row>
    <row r="253" spans="1:10" x14ac:dyDescent="0.25">
      <c r="A253" s="4">
        <v>99</v>
      </c>
      <c r="B253">
        <v>2561</v>
      </c>
      <c r="C253" s="4">
        <v>14308</v>
      </c>
      <c r="D253" t="s">
        <v>7</v>
      </c>
      <c r="E253" s="4">
        <v>0</v>
      </c>
      <c r="F253" s="25">
        <v>43721.833032407405</v>
      </c>
      <c r="G253">
        <v>0</v>
      </c>
      <c r="H253" s="25"/>
      <c r="I253" s="25" t="s">
        <v>443</v>
      </c>
      <c r="J253" s="25" t="s">
        <v>300</v>
      </c>
    </row>
    <row r="254" spans="1:10" x14ac:dyDescent="0.25">
      <c r="A254" s="4">
        <v>99</v>
      </c>
      <c r="B254">
        <v>14868</v>
      </c>
      <c r="C254" s="4">
        <v>14308</v>
      </c>
      <c r="D254" t="s">
        <v>7</v>
      </c>
      <c r="E254" s="4">
        <v>0</v>
      </c>
      <c r="F254" s="25">
        <v>43721.832835648151</v>
      </c>
      <c r="G254">
        <v>0</v>
      </c>
      <c r="H254" s="25"/>
      <c r="I254" s="25" t="s">
        <v>442</v>
      </c>
      <c r="J254" s="25" t="s">
        <v>300</v>
      </c>
    </row>
    <row r="255" spans="1:10" x14ac:dyDescent="0.25">
      <c r="A255" s="4">
        <v>99</v>
      </c>
      <c r="B255">
        <v>4900</v>
      </c>
      <c r="C255" s="4">
        <v>14308</v>
      </c>
      <c r="D255" t="s">
        <v>7</v>
      </c>
      <c r="E255" s="4">
        <v>0</v>
      </c>
      <c r="F255" s="25">
        <v>43721.832696759258</v>
      </c>
      <c r="G255">
        <v>0</v>
      </c>
      <c r="H255" s="25"/>
      <c r="I255" s="25" t="s">
        <v>441</v>
      </c>
      <c r="J255" s="25" t="s">
        <v>300</v>
      </c>
    </row>
    <row r="256" spans="1:10" x14ac:dyDescent="0.25">
      <c r="A256" s="4">
        <v>99</v>
      </c>
      <c r="B256">
        <v>5504</v>
      </c>
      <c r="C256" s="4">
        <v>14308</v>
      </c>
      <c r="D256" t="s">
        <v>7</v>
      </c>
      <c r="E256" s="4">
        <v>0</v>
      </c>
      <c r="F256" s="25">
        <v>43721.83253472222</v>
      </c>
      <c r="G256">
        <v>0</v>
      </c>
      <c r="H256" s="25"/>
      <c r="I256" s="25" t="s">
        <v>440</v>
      </c>
      <c r="J256" s="25" t="s">
        <v>300</v>
      </c>
    </row>
    <row r="257" spans="1:10" x14ac:dyDescent="0.25">
      <c r="A257" s="4">
        <v>99</v>
      </c>
      <c r="B257">
        <v>8944</v>
      </c>
      <c r="C257" s="4">
        <v>14308</v>
      </c>
      <c r="D257" t="s">
        <v>7</v>
      </c>
      <c r="E257" s="4">
        <v>0</v>
      </c>
      <c r="F257" s="25">
        <v>43721.832372685189</v>
      </c>
      <c r="G257">
        <v>0</v>
      </c>
      <c r="H257" s="25"/>
      <c r="I257" s="25" t="s">
        <v>439</v>
      </c>
      <c r="J257" s="25" t="s">
        <v>304</v>
      </c>
    </row>
    <row r="258" spans="1:10" x14ac:dyDescent="0.25">
      <c r="A258" s="4">
        <v>99</v>
      </c>
      <c r="B258">
        <v>12467</v>
      </c>
      <c r="C258" s="4">
        <v>14308</v>
      </c>
      <c r="D258" t="s">
        <v>7</v>
      </c>
      <c r="E258" s="4">
        <v>0</v>
      </c>
      <c r="F258" s="25">
        <v>43721.830740740741</v>
      </c>
      <c r="G258">
        <v>0</v>
      </c>
      <c r="H258" s="25"/>
      <c r="I258" s="25" t="s">
        <v>438</v>
      </c>
      <c r="J258" s="25" t="s">
        <v>304</v>
      </c>
    </row>
    <row r="259" spans="1:10" x14ac:dyDescent="0.25">
      <c r="A259" s="4">
        <v>99</v>
      </c>
      <c r="B259">
        <v>8406</v>
      </c>
      <c r="C259" s="4">
        <v>14308</v>
      </c>
      <c r="D259" t="s">
        <v>7</v>
      </c>
      <c r="E259" s="4">
        <v>0</v>
      </c>
      <c r="F259" s="25">
        <v>43721.819016203706</v>
      </c>
      <c r="G259">
        <v>0</v>
      </c>
      <c r="H259" s="25"/>
      <c r="I259" s="25" t="s">
        <v>431</v>
      </c>
      <c r="J259" s="25" t="s">
        <v>304</v>
      </c>
    </row>
    <row r="260" spans="1:10" x14ac:dyDescent="0.25">
      <c r="A260" s="4">
        <v>17410</v>
      </c>
      <c r="B260">
        <v>7592</v>
      </c>
      <c r="C260" s="4">
        <v>14308</v>
      </c>
      <c r="D260" t="s">
        <v>306</v>
      </c>
      <c r="E260" s="4">
        <v>0</v>
      </c>
      <c r="F260" s="25">
        <v>43721.814618055556</v>
      </c>
      <c r="G260">
        <v>0</v>
      </c>
      <c r="H260" s="25"/>
      <c r="I260" s="25"/>
      <c r="J260" s="25" t="s">
        <v>300</v>
      </c>
    </row>
    <row r="261" spans="1:10" x14ac:dyDescent="0.25">
      <c r="A261" s="4">
        <v>8054</v>
      </c>
      <c r="B261">
        <v>5915</v>
      </c>
      <c r="C261" s="4">
        <v>14308</v>
      </c>
      <c r="D261" t="s">
        <v>306</v>
      </c>
      <c r="E261" s="4">
        <v>1</v>
      </c>
      <c r="F261" s="25">
        <v>43721.791666666664</v>
      </c>
      <c r="G261">
        <v>0</v>
      </c>
      <c r="H261" s="25"/>
      <c r="I261" s="25"/>
      <c r="J261" s="25" t="s">
        <v>300</v>
      </c>
    </row>
    <row r="262" spans="1:10" x14ac:dyDescent="0.25">
      <c r="A262" s="4">
        <v>8430</v>
      </c>
      <c r="B262">
        <v>11164</v>
      </c>
      <c r="C262" s="4">
        <v>14308</v>
      </c>
      <c r="D262" t="s">
        <v>306</v>
      </c>
      <c r="E262" s="4">
        <v>24</v>
      </c>
      <c r="F262" s="25">
        <v>43721.78297453704</v>
      </c>
      <c r="G262">
        <v>0</v>
      </c>
      <c r="H262" s="25"/>
      <c r="I262" s="25"/>
      <c r="J262" s="25" t="s">
        <v>300</v>
      </c>
    </row>
    <row r="263" spans="1:10" x14ac:dyDescent="0.25">
      <c r="A263" s="4">
        <v>8430</v>
      </c>
      <c r="B263">
        <v>11164</v>
      </c>
      <c r="C263" s="4">
        <v>14308</v>
      </c>
      <c r="D263" t="s">
        <v>306</v>
      </c>
      <c r="E263" s="4">
        <v>22</v>
      </c>
      <c r="F263" s="25">
        <v>43721.782962962963</v>
      </c>
      <c r="G263">
        <v>0</v>
      </c>
      <c r="H263" s="25"/>
      <c r="I263" s="25"/>
      <c r="J263" s="25" t="s">
        <v>300</v>
      </c>
    </row>
    <row r="264" spans="1:10" x14ac:dyDescent="0.25">
      <c r="A264" s="4">
        <v>8430</v>
      </c>
      <c r="B264">
        <v>11164</v>
      </c>
      <c r="C264" s="4">
        <v>14308</v>
      </c>
      <c r="D264" t="s">
        <v>306</v>
      </c>
      <c r="E264" s="4">
        <v>23</v>
      </c>
      <c r="F264" s="25">
        <v>43721.782962962963</v>
      </c>
      <c r="G264">
        <v>0</v>
      </c>
      <c r="H264" s="25"/>
      <c r="I264" s="25"/>
      <c r="J264" s="25" t="s">
        <v>300</v>
      </c>
    </row>
    <row r="265" spans="1:10" x14ac:dyDescent="0.25">
      <c r="A265" s="4">
        <v>8430</v>
      </c>
      <c r="B265">
        <v>11164</v>
      </c>
      <c r="C265" s="4">
        <v>14308</v>
      </c>
      <c r="D265" t="s">
        <v>306</v>
      </c>
      <c r="E265" s="4">
        <v>21</v>
      </c>
      <c r="F265" s="25">
        <v>43721.782951388886</v>
      </c>
      <c r="G265">
        <v>0</v>
      </c>
      <c r="H265" s="25"/>
      <c r="I265" s="25"/>
      <c r="J265" s="25" t="s">
        <v>300</v>
      </c>
    </row>
    <row r="266" spans="1:10" x14ac:dyDescent="0.25">
      <c r="A266" s="4">
        <v>8430</v>
      </c>
      <c r="B266">
        <v>11164</v>
      </c>
      <c r="C266" s="4">
        <v>14308</v>
      </c>
      <c r="D266" t="s">
        <v>306</v>
      </c>
      <c r="E266" s="4">
        <v>19</v>
      </c>
      <c r="F266" s="25">
        <v>43721.782939814817</v>
      </c>
      <c r="G266">
        <v>0</v>
      </c>
      <c r="H266" s="25"/>
      <c r="I266" s="25"/>
      <c r="J266" s="25" t="s">
        <v>300</v>
      </c>
    </row>
    <row r="267" spans="1:10" x14ac:dyDescent="0.25">
      <c r="A267" s="4">
        <v>8430</v>
      </c>
      <c r="B267">
        <v>11164</v>
      </c>
      <c r="C267" s="4">
        <v>14308</v>
      </c>
      <c r="D267" t="s">
        <v>306</v>
      </c>
      <c r="E267" s="4">
        <v>20</v>
      </c>
      <c r="F267" s="25">
        <v>43721.782939814817</v>
      </c>
      <c r="G267">
        <v>0</v>
      </c>
      <c r="H267" s="25"/>
      <c r="I267" s="25"/>
      <c r="J267" s="25" t="s">
        <v>300</v>
      </c>
    </row>
    <row r="268" spans="1:10" x14ac:dyDescent="0.25">
      <c r="A268" s="4">
        <v>8430</v>
      </c>
      <c r="B268">
        <v>11164</v>
      </c>
      <c r="C268" s="4">
        <v>14308</v>
      </c>
      <c r="D268" t="s">
        <v>306</v>
      </c>
      <c r="E268" s="4">
        <v>18</v>
      </c>
      <c r="F268" s="25">
        <v>43721.78292824074</v>
      </c>
      <c r="G268">
        <v>0</v>
      </c>
      <c r="H268" s="25"/>
      <c r="I268" s="25"/>
      <c r="J268" s="25" t="s">
        <v>300</v>
      </c>
    </row>
    <row r="269" spans="1:10" x14ac:dyDescent="0.25">
      <c r="A269" s="4">
        <v>8430</v>
      </c>
      <c r="B269">
        <v>11164</v>
      </c>
      <c r="C269" s="4">
        <v>14308</v>
      </c>
      <c r="D269" t="s">
        <v>306</v>
      </c>
      <c r="E269" s="4">
        <v>16</v>
      </c>
      <c r="F269" s="25">
        <v>43721.782916666663</v>
      </c>
      <c r="G269">
        <v>0</v>
      </c>
      <c r="H269" s="25"/>
      <c r="I269" s="25"/>
      <c r="J269" s="25" t="s">
        <v>300</v>
      </c>
    </row>
    <row r="270" spans="1:10" x14ac:dyDescent="0.25">
      <c r="A270" s="4">
        <v>8430</v>
      </c>
      <c r="B270">
        <v>11164</v>
      </c>
      <c r="C270" s="4">
        <v>14308</v>
      </c>
      <c r="D270" t="s">
        <v>306</v>
      </c>
      <c r="E270" s="4">
        <v>17</v>
      </c>
      <c r="F270" s="25">
        <v>43721.782916666663</v>
      </c>
      <c r="G270">
        <v>0</v>
      </c>
      <c r="H270" s="25"/>
      <c r="I270" s="25"/>
      <c r="J270" s="25" t="s">
        <v>300</v>
      </c>
    </row>
    <row r="271" spans="1:10" x14ac:dyDescent="0.25">
      <c r="A271" s="4">
        <v>8430</v>
      </c>
      <c r="B271">
        <v>11164</v>
      </c>
      <c r="C271" s="4">
        <v>14308</v>
      </c>
      <c r="D271" t="s">
        <v>306</v>
      </c>
      <c r="E271" s="4">
        <v>15</v>
      </c>
      <c r="F271" s="25">
        <v>43721.782905092594</v>
      </c>
      <c r="G271">
        <v>0</v>
      </c>
      <c r="H271" s="25"/>
      <c r="I271" s="25"/>
      <c r="J271" s="25" t="s">
        <v>300</v>
      </c>
    </row>
    <row r="272" spans="1:10" x14ac:dyDescent="0.25">
      <c r="A272" s="4">
        <v>8430</v>
      </c>
      <c r="B272">
        <v>11164</v>
      </c>
      <c r="C272" s="4">
        <v>14308</v>
      </c>
      <c r="D272" t="s">
        <v>306</v>
      </c>
      <c r="E272" s="4">
        <v>13</v>
      </c>
      <c r="F272" s="25">
        <v>43721.782893518517</v>
      </c>
      <c r="G272">
        <v>0</v>
      </c>
      <c r="H272" s="25"/>
      <c r="I272" s="25"/>
      <c r="J272" s="25" t="s">
        <v>300</v>
      </c>
    </row>
    <row r="273" spans="1:10" x14ac:dyDescent="0.25">
      <c r="A273" s="4">
        <v>8430</v>
      </c>
      <c r="B273">
        <v>11164</v>
      </c>
      <c r="C273" s="4">
        <v>14308</v>
      </c>
      <c r="D273" t="s">
        <v>306</v>
      </c>
      <c r="E273" s="4">
        <v>14</v>
      </c>
      <c r="F273" s="25">
        <v>43721.782893518517</v>
      </c>
      <c r="G273">
        <v>0</v>
      </c>
      <c r="H273" s="25"/>
      <c r="I273" s="25"/>
      <c r="J273" s="25" t="s">
        <v>300</v>
      </c>
    </row>
    <row r="274" spans="1:10" x14ac:dyDescent="0.25">
      <c r="A274" s="4">
        <v>8430</v>
      </c>
      <c r="B274">
        <v>11164</v>
      </c>
      <c r="C274" s="4">
        <v>14308</v>
      </c>
      <c r="D274" t="s">
        <v>306</v>
      </c>
      <c r="E274" s="4">
        <v>11</v>
      </c>
      <c r="F274" s="25">
        <v>43721.782881944448</v>
      </c>
      <c r="G274">
        <v>0</v>
      </c>
      <c r="H274" s="25"/>
      <c r="I274" s="25"/>
      <c r="J274" s="25" t="s">
        <v>300</v>
      </c>
    </row>
    <row r="275" spans="1:10" x14ac:dyDescent="0.25">
      <c r="A275" s="4">
        <v>8430</v>
      </c>
      <c r="B275">
        <v>11164</v>
      </c>
      <c r="C275" s="4">
        <v>14308</v>
      </c>
      <c r="D275" t="s">
        <v>306</v>
      </c>
      <c r="E275" s="4">
        <v>12</v>
      </c>
      <c r="F275" s="25">
        <v>43721.782881944448</v>
      </c>
      <c r="G275">
        <v>0</v>
      </c>
      <c r="H275" s="25"/>
      <c r="I275" s="25"/>
      <c r="J275" s="25" t="s">
        <v>300</v>
      </c>
    </row>
    <row r="276" spans="1:10" x14ac:dyDescent="0.25">
      <c r="A276" s="4">
        <v>8430</v>
      </c>
      <c r="B276">
        <v>11164</v>
      </c>
      <c r="C276" s="4">
        <v>14308</v>
      </c>
      <c r="D276" t="s">
        <v>306</v>
      </c>
      <c r="E276" s="4">
        <v>10</v>
      </c>
      <c r="F276" s="25">
        <v>43721.782870370371</v>
      </c>
      <c r="G276">
        <v>0</v>
      </c>
      <c r="H276" s="25"/>
      <c r="I276" s="25"/>
      <c r="J276" s="25" t="s">
        <v>300</v>
      </c>
    </row>
    <row r="277" spans="1:10" x14ac:dyDescent="0.25">
      <c r="A277" s="4">
        <v>8430</v>
      </c>
      <c r="B277">
        <v>11164</v>
      </c>
      <c r="C277" s="4">
        <v>14308</v>
      </c>
      <c r="D277" t="s">
        <v>306</v>
      </c>
      <c r="E277" s="4">
        <v>8</v>
      </c>
      <c r="F277" s="25">
        <v>43721.782858796294</v>
      </c>
      <c r="G277">
        <v>0</v>
      </c>
      <c r="H277" s="25"/>
      <c r="I277" s="25"/>
      <c r="J277" s="25" t="s">
        <v>300</v>
      </c>
    </row>
    <row r="278" spans="1:10" x14ac:dyDescent="0.25">
      <c r="A278" s="4">
        <v>8430</v>
      </c>
      <c r="B278">
        <v>11164</v>
      </c>
      <c r="C278" s="4">
        <v>14308</v>
      </c>
      <c r="D278" t="s">
        <v>306</v>
      </c>
      <c r="E278" s="4">
        <v>9</v>
      </c>
      <c r="F278" s="25">
        <v>43721.782858796294</v>
      </c>
      <c r="G278">
        <v>0</v>
      </c>
      <c r="H278" s="25"/>
      <c r="I278" s="25"/>
      <c r="J278" s="25" t="s">
        <v>300</v>
      </c>
    </row>
    <row r="279" spans="1:10" x14ac:dyDescent="0.25">
      <c r="A279" s="4">
        <v>8430</v>
      </c>
      <c r="B279">
        <v>11164</v>
      </c>
      <c r="C279" s="4">
        <v>14308</v>
      </c>
      <c r="D279" t="s">
        <v>306</v>
      </c>
      <c r="E279" s="4">
        <v>7</v>
      </c>
      <c r="F279" s="25">
        <v>43721.782847222225</v>
      </c>
      <c r="G279">
        <v>0</v>
      </c>
      <c r="H279" s="25"/>
      <c r="I279" s="25"/>
      <c r="J279" s="25" t="s">
        <v>300</v>
      </c>
    </row>
    <row r="280" spans="1:10" x14ac:dyDescent="0.25">
      <c r="A280" s="4">
        <v>8430</v>
      </c>
      <c r="B280">
        <v>11164</v>
      </c>
      <c r="C280" s="4">
        <v>14308</v>
      </c>
      <c r="D280" t="s">
        <v>306</v>
      </c>
      <c r="E280" s="4">
        <v>5</v>
      </c>
      <c r="F280" s="25">
        <v>43721.782835648148</v>
      </c>
      <c r="G280">
        <v>0</v>
      </c>
      <c r="H280" s="25"/>
      <c r="I280" s="25"/>
      <c r="J280" s="25" t="s">
        <v>300</v>
      </c>
    </row>
    <row r="281" spans="1:10" x14ac:dyDescent="0.25">
      <c r="A281" s="4">
        <v>8430</v>
      </c>
      <c r="B281">
        <v>11164</v>
      </c>
      <c r="C281" s="4">
        <v>14308</v>
      </c>
      <c r="D281" t="s">
        <v>306</v>
      </c>
      <c r="E281" s="4">
        <v>6</v>
      </c>
      <c r="F281" s="25">
        <v>43721.782835648148</v>
      </c>
      <c r="G281">
        <v>0</v>
      </c>
      <c r="H281" s="25"/>
      <c r="I281" s="25"/>
      <c r="J281" s="25" t="s">
        <v>300</v>
      </c>
    </row>
    <row r="282" spans="1:10" x14ac:dyDescent="0.25">
      <c r="A282" s="4">
        <v>8430</v>
      </c>
      <c r="B282">
        <v>11164</v>
      </c>
      <c r="C282" s="4">
        <v>14308</v>
      </c>
      <c r="D282" t="s">
        <v>306</v>
      </c>
      <c r="E282" s="4">
        <v>4</v>
      </c>
      <c r="F282" s="25">
        <v>43721.782824074071</v>
      </c>
      <c r="G282">
        <v>0</v>
      </c>
      <c r="H282" s="25"/>
      <c r="I282" s="25"/>
      <c r="J282" s="25" t="s">
        <v>300</v>
      </c>
    </row>
    <row r="283" spans="1:10" x14ac:dyDescent="0.25">
      <c r="A283" s="4">
        <v>8430</v>
      </c>
      <c r="B283">
        <v>11164</v>
      </c>
      <c r="C283" s="4">
        <v>14308</v>
      </c>
      <c r="D283" t="s">
        <v>306</v>
      </c>
      <c r="E283" s="4">
        <v>2</v>
      </c>
      <c r="F283" s="25">
        <v>43721.782812500001</v>
      </c>
      <c r="G283">
        <v>0</v>
      </c>
      <c r="H283" s="25"/>
      <c r="I283" s="25"/>
      <c r="J283" s="25" t="s">
        <v>300</v>
      </c>
    </row>
    <row r="284" spans="1:10" x14ac:dyDescent="0.25">
      <c r="A284" s="4">
        <v>8430</v>
      </c>
      <c r="B284">
        <v>11164</v>
      </c>
      <c r="C284" s="4">
        <v>14308</v>
      </c>
      <c r="D284" t="s">
        <v>306</v>
      </c>
      <c r="E284" s="4">
        <v>3</v>
      </c>
      <c r="F284" s="25">
        <v>43721.782812500001</v>
      </c>
      <c r="G284">
        <v>0</v>
      </c>
      <c r="H284" s="25"/>
      <c r="I284" s="25"/>
      <c r="J284" s="25" t="s">
        <v>300</v>
      </c>
    </row>
    <row r="285" spans="1:10" x14ac:dyDescent="0.25">
      <c r="A285" s="4">
        <v>8430</v>
      </c>
      <c r="B285">
        <v>11164</v>
      </c>
      <c r="C285" s="4">
        <v>14308</v>
      </c>
      <c r="D285" t="s">
        <v>306</v>
      </c>
      <c r="E285" s="4">
        <v>1</v>
      </c>
      <c r="F285" s="25">
        <v>43721.782800925925</v>
      </c>
      <c r="G285">
        <v>0</v>
      </c>
      <c r="H285" s="25"/>
      <c r="I285" s="25"/>
      <c r="J285" s="25" t="s">
        <v>300</v>
      </c>
    </row>
    <row r="286" spans="1:10" x14ac:dyDescent="0.25">
      <c r="A286" s="4">
        <v>8430</v>
      </c>
      <c r="B286">
        <v>11164</v>
      </c>
      <c r="C286" s="4">
        <v>14308</v>
      </c>
      <c r="D286" t="s">
        <v>306</v>
      </c>
      <c r="E286" s="4">
        <v>0</v>
      </c>
      <c r="F286" s="25">
        <v>43721.782789351855</v>
      </c>
      <c r="G286">
        <v>0</v>
      </c>
      <c r="H286" s="25"/>
      <c r="I286" s="25"/>
      <c r="J286" s="25" t="s">
        <v>300</v>
      </c>
    </row>
    <row r="287" spans="1:10" x14ac:dyDescent="0.25">
      <c r="A287" s="4">
        <v>8054</v>
      </c>
      <c r="B287">
        <v>5915</v>
      </c>
      <c r="C287" s="4">
        <v>14308</v>
      </c>
      <c r="D287" t="s">
        <v>306</v>
      </c>
      <c r="E287" s="4">
        <v>0</v>
      </c>
      <c r="F287" s="25">
        <v>43721.781469907408</v>
      </c>
      <c r="G287">
        <v>0</v>
      </c>
      <c r="H287" s="25"/>
      <c r="I287" s="25"/>
      <c r="J287" s="25" t="s">
        <v>300</v>
      </c>
    </row>
    <row r="288" spans="1:10" x14ac:dyDescent="0.25">
      <c r="A288" s="4">
        <v>6428</v>
      </c>
      <c r="B288">
        <v>5916</v>
      </c>
      <c r="C288" s="4">
        <v>14308</v>
      </c>
      <c r="D288" t="s">
        <v>306</v>
      </c>
      <c r="E288" s="4">
        <v>0</v>
      </c>
      <c r="F288" s="25">
        <v>43721.775706018518</v>
      </c>
      <c r="G288">
        <v>0</v>
      </c>
      <c r="H288" s="25"/>
      <c r="I288" s="25"/>
      <c r="J288" s="25" t="s">
        <v>300</v>
      </c>
    </row>
    <row r="289" spans="1:10" x14ac:dyDescent="0.25">
      <c r="A289" s="4">
        <v>1637</v>
      </c>
      <c r="B289">
        <v>11259</v>
      </c>
      <c r="C289" s="4">
        <v>14308</v>
      </c>
      <c r="D289" t="s">
        <v>306</v>
      </c>
      <c r="E289" s="4">
        <v>24</v>
      </c>
      <c r="F289" s="25">
        <v>43721.758900462963</v>
      </c>
      <c r="G289">
        <v>0</v>
      </c>
      <c r="H289" s="25"/>
      <c r="I289" s="25"/>
      <c r="J289" s="25" t="s">
        <v>300</v>
      </c>
    </row>
    <row r="290" spans="1:10" x14ac:dyDescent="0.25">
      <c r="A290" s="4">
        <v>1637</v>
      </c>
      <c r="B290">
        <v>11259</v>
      </c>
      <c r="C290" s="4">
        <v>14308</v>
      </c>
      <c r="D290" t="s">
        <v>306</v>
      </c>
      <c r="E290" s="4">
        <v>23</v>
      </c>
      <c r="F290" s="25">
        <v>43721.758888888886</v>
      </c>
      <c r="G290">
        <v>0</v>
      </c>
      <c r="H290" s="25"/>
      <c r="I290" s="25"/>
      <c r="J290" s="25" t="s">
        <v>300</v>
      </c>
    </row>
    <row r="291" spans="1:10" x14ac:dyDescent="0.25">
      <c r="A291" s="4">
        <v>1637</v>
      </c>
      <c r="B291">
        <v>11259</v>
      </c>
      <c r="C291" s="4">
        <v>14308</v>
      </c>
      <c r="D291" t="s">
        <v>306</v>
      </c>
      <c r="E291" s="4">
        <v>21</v>
      </c>
      <c r="F291" s="25">
        <v>43721.758877314816</v>
      </c>
      <c r="G291">
        <v>0</v>
      </c>
      <c r="H291" s="25"/>
      <c r="I291" s="25"/>
      <c r="J291" s="25" t="s">
        <v>300</v>
      </c>
    </row>
    <row r="292" spans="1:10" x14ac:dyDescent="0.25">
      <c r="A292" s="4">
        <v>1637</v>
      </c>
      <c r="B292">
        <v>11259</v>
      </c>
      <c r="C292" s="4">
        <v>14308</v>
      </c>
      <c r="D292" t="s">
        <v>306</v>
      </c>
      <c r="E292" s="4">
        <v>22</v>
      </c>
      <c r="F292" s="25">
        <v>43721.758877314816</v>
      </c>
      <c r="G292">
        <v>0</v>
      </c>
      <c r="H292" s="25"/>
      <c r="I292" s="25"/>
      <c r="J292" s="25" t="s">
        <v>300</v>
      </c>
    </row>
    <row r="293" spans="1:10" x14ac:dyDescent="0.25">
      <c r="A293" s="4">
        <v>1637</v>
      </c>
      <c r="B293">
        <v>11259</v>
      </c>
      <c r="C293" s="4">
        <v>14308</v>
      </c>
      <c r="D293" t="s">
        <v>306</v>
      </c>
      <c r="E293" s="4">
        <v>20</v>
      </c>
      <c r="F293" s="25">
        <v>43721.75886574074</v>
      </c>
      <c r="G293">
        <v>0</v>
      </c>
      <c r="H293" s="25"/>
      <c r="I293" s="25"/>
      <c r="J293" s="25" t="s">
        <v>300</v>
      </c>
    </row>
    <row r="294" spans="1:10" x14ac:dyDescent="0.25">
      <c r="A294" s="4">
        <v>1637</v>
      </c>
      <c r="B294">
        <v>11259</v>
      </c>
      <c r="C294" s="4">
        <v>14308</v>
      </c>
      <c r="D294" t="s">
        <v>306</v>
      </c>
      <c r="E294" s="4">
        <v>18</v>
      </c>
      <c r="F294" s="25">
        <v>43721.75885416667</v>
      </c>
      <c r="G294">
        <v>0</v>
      </c>
      <c r="H294" s="25"/>
      <c r="I294" s="25"/>
      <c r="J294" s="25" t="s">
        <v>300</v>
      </c>
    </row>
    <row r="295" spans="1:10" x14ac:dyDescent="0.25">
      <c r="A295" s="4">
        <v>1637</v>
      </c>
      <c r="B295">
        <v>11259</v>
      </c>
      <c r="C295" s="4">
        <v>14308</v>
      </c>
      <c r="D295" t="s">
        <v>306</v>
      </c>
      <c r="E295" s="4">
        <v>19</v>
      </c>
      <c r="F295" s="25">
        <v>43721.75885416667</v>
      </c>
      <c r="G295">
        <v>0</v>
      </c>
      <c r="H295" s="25"/>
      <c r="I295" s="25"/>
      <c r="J295" s="25" t="s">
        <v>300</v>
      </c>
    </row>
    <row r="296" spans="1:10" x14ac:dyDescent="0.25">
      <c r="A296" s="4">
        <v>1637</v>
      </c>
      <c r="B296">
        <v>11259</v>
      </c>
      <c r="C296" s="4">
        <v>14308</v>
      </c>
      <c r="D296" t="s">
        <v>306</v>
      </c>
      <c r="E296" s="4">
        <v>16</v>
      </c>
      <c r="F296" s="25">
        <v>43721.758842592593</v>
      </c>
      <c r="G296">
        <v>0</v>
      </c>
      <c r="H296" s="25"/>
      <c r="I296" s="25"/>
      <c r="J296" s="25" t="s">
        <v>300</v>
      </c>
    </row>
    <row r="297" spans="1:10" x14ac:dyDescent="0.25">
      <c r="A297" s="4">
        <v>1637</v>
      </c>
      <c r="B297">
        <v>11259</v>
      </c>
      <c r="C297" s="4">
        <v>14308</v>
      </c>
      <c r="D297" t="s">
        <v>306</v>
      </c>
      <c r="E297" s="4">
        <v>17</v>
      </c>
      <c r="F297" s="25">
        <v>43721.758842592593</v>
      </c>
      <c r="G297">
        <v>0</v>
      </c>
      <c r="H297" s="25"/>
      <c r="I297" s="25"/>
      <c r="J297" s="25" t="s">
        <v>300</v>
      </c>
    </row>
    <row r="298" spans="1:10" x14ac:dyDescent="0.25">
      <c r="A298" s="4">
        <v>1637</v>
      </c>
      <c r="B298">
        <v>11259</v>
      </c>
      <c r="C298" s="4">
        <v>14308</v>
      </c>
      <c r="D298" t="s">
        <v>306</v>
      </c>
      <c r="E298" s="4">
        <v>15</v>
      </c>
      <c r="F298" s="25">
        <v>43721.758831018517</v>
      </c>
      <c r="G298">
        <v>0</v>
      </c>
      <c r="H298" s="25"/>
      <c r="I298" s="25"/>
      <c r="J298" s="25" t="s">
        <v>300</v>
      </c>
    </row>
    <row r="299" spans="1:10" x14ac:dyDescent="0.25">
      <c r="A299" s="4">
        <v>1637</v>
      </c>
      <c r="B299">
        <v>11259</v>
      </c>
      <c r="C299" s="4">
        <v>14308</v>
      </c>
      <c r="D299" t="s">
        <v>306</v>
      </c>
      <c r="E299" s="4">
        <v>13</v>
      </c>
      <c r="F299" s="25">
        <v>43721.758819444447</v>
      </c>
      <c r="G299">
        <v>0</v>
      </c>
      <c r="H299" s="25"/>
      <c r="I299" s="25"/>
      <c r="J299" s="25" t="s">
        <v>300</v>
      </c>
    </row>
    <row r="300" spans="1:10" x14ac:dyDescent="0.25">
      <c r="A300" s="4">
        <v>1637</v>
      </c>
      <c r="B300">
        <v>11259</v>
      </c>
      <c r="C300" s="4">
        <v>14308</v>
      </c>
      <c r="D300" t="s">
        <v>306</v>
      </c>
      <c r="E300" s="4">
        <v>14</v>
      </c>
      <c r="F300" s="25">
        <v>43721.758819444447</v>
      </c>
      <c r="G300">
        <v>0</v>
      </c>
      <c r="H300" s="25"/>
      <c r="I300" s="25"/>
      <c r="J300" s="25" t="s">
        <v>300</v>
      </c>
    </row>
    <row r="301" spans="1:10" x14ac:dyDescent="0.25">
      <c r="A301" s="4">
        <v>1637</v>
      </c>
      <c r="B301">
        <v>11259</v>
      </c>
      <c r="C301" s="4">
        <v>14308</v>
      </c>
      <c r="D301" t="s">
        <v>306</v>
      </c>
      <c r="E301" s="4">
        <v>12</v>
      </c>
      <c r="F301" s="25">
        <v>43721.75880787037</v>
      </c>
      <c r="G301">
        <v>0</v>
      </c>
      <c r="H301" s="25"/>
      <c r="I301" s="25"/>
      <c r="J301" s="25" t="s">
        <v>300</v>
      </c>
    </row>
    <row r="302" spans="1:10" x14ac:dyDescent="0.25">
      <c r="A302" s="4">
        <v>1637</v>
      </c>
      <c r="B302">
        <v>11259</v>
      </c>
      <c r="C302" s="4">
        <v>14308</v>
      </c>
      <c r="D302" t="s">
        <v>306</v>
      </c>
      <c r="E302" s="4">
        <v>10</v>
      </c>
      <c r="F302" s="25">
        <v>43721.758796296293</v>
      </c>
      <c r="G302">
        <v>0</v>
      </c>
      <c r="H302" s="25"/>
      <c r="I302" s="25"/>
      <c r="J302" s="25" t="s">
        <v>300</v>
      </c>
    </row>
    <row r="303" spans="1:10" x14ac:dyDescent="0.25">
      <c r="A303" s="4">
        <v>1637</v>
      </c>
      <c r="B303">
        <v>11259</v>
      </c>
      <c r="C303" s="4">
        <v>14308</v>
      </c>
      <c r="D303" t="s">
        <v>306</v>
      </c>
      <c r="E303" s="4">
        <v>11</v>
      </c>
      <c r="F303" s="25">
        <v>43721.758796296293</v>
      </c>
      <c r="G303">
        <v>0</v>
      </c>
      <c r="H303" s="25"/>
      <c r="I303" s="25"/>
      <c r="J303" s="25" t="s">
        <v>300</v>
      </c>
    </row>
    <row r="304" spans="1:10" x14ac:dyDescent="0.25">
      <c r="A304" s="4">
        <v>1637</v>
      </c>
      <c r="B304">
        <v>11259</v>
      </c>
      <c r="C304" s="4">
        <v>14308</v>
      </c>
      <c r="D304" t="s">
        <v>306</v>
      </c>
      <c r="E304" s="4">
        <v>8</v>
      </c>
      <c r="F304" s="25">
        <v>43721.758784722224</v>
      </c>
      <c r="G304">
        <v>0</v>
      </c>
      <c r="H304" s="25"/>
      <c r="I304" s="25"/>
      <c r="J304" s="25" t="s">
        <v>300</v>
      </c>
    </row>
    <row r="305" spans="1:10" x14ac:dyDescent="0.25">
      <c r="A305" s="4">
        <v>1637</v>
      </c>
      <c r="B305">
        <v>11259</v>
      </c>
      <c r="C305" s="4">
        <v>14308</v>
      </c>
      <c r="D305" t="s">
        <v>306</v>
      </c>
      <c r="E305" s="4">
        <v>9</v>
      </c>
      <c r="F305" s="25">
        <v>43721.758784722224</v>
      </c>
      <c r="G305">
        <v>0</v>
      </c>
      <c r="H305" s="25"/>
      <c r="I305" s="25"/>
      <c r="J305" s="25" t="s">
        <v>300</v>
      </c>
    </row>
    <row r="306" spans="1:10" x14ac:dyDescent="0.25">
      <c r="A306" s="4">
        <v>1637</v>
      </c>
      <c r="B306">
        <v>11259</v>
      </c>
      <c r="C306" s="4">
        <v>14308</v>
      </c>
      <c r="D306" t="s">
        <v>306</v>
      </c>
      <c r="E306" s="4">
        <v>7</v>
      </c>
      <c r="F306" s="25">
        <v>43721.758773148147</v>
      </c>
      <c r="G306">
        <v>0</v>
      </c>
      <c r="H306" s="25"/>
      <c r="I306" s="25"/>
      <c r="J306" s="25" t="s">
        <v>300</v>
      </c>
    </row>
    <row r="307" spans="1:10" x14ac:dyDescent="0.25">
      <c r="A307" s="4">
        <v>1637</v>
      </c>
      <c r="B307">
        <v>11259</v>
      </c>
      <c r="C307" s="4">
        <v>14308</v>
      </c>
      <c r="D307" t="s">
        <v>306</v>
      </c>
      <c r="E307" s="4">
        <v>5</v>
      </c>
      <c r="F307" s="25">
        <v>43721.758761574078</v>
      </c>
      <c r="G307">
        <v>0</v>
      </c>
      <c r="H307" s="25"/>
      <c r="I307" s="25"/>
      <c r="J307" s="25" t="s">
        <v>300</v>
      </c>
    </row>
    <row r="308" spans="1:10" x14ac:dyDescent="0.25">
      <c r="A308" s="4">
        <v>1637</v>
      </c>
      <c r="B308">
        <v>11259</v>
      </c>
      <c r="C308" s="4">
        <v>14308</v>
      </c>
      <c r="D308" t="s">
        <v>306</v>
      </c>
      <c r="E308" s="4">
        <v>6</v>
      </c>
      <c r="F308" s="25">
        <v>43721.758761574078</v>
      </c>
      <c r="G308">
        <v>0</v>
      </c>
      <c r="H308" s="25"/>
      <c r="I308" s="25"/>
      <c r="J308" s="25" t="s">
        <v>300</v>
      </c>
    </row>
    <row r="309" spans="1:10" x14ac:dyDescent="0.25">
      <c r="A309" s="4">
        <v>1637</v>
      </c>
      <c r="B309">
        <v>11259</v>
      </c>
      <c r="C309" s="4">
        <v>14308</v>
      </c>
      <c r="D309" t="s">
        <v>306</v>
      </c>
      <c r="E309" s="4">
        <v>4</v>
      </c>
      <c r="F309" s="25">
        <v>43721.758750000001</v>
      </c>
      <c r="G309">
        <v>0</v>
      </c>
      <c r="H309" s="25"/>
      <c r="I309" s="25"/>
      <c r="J309" s="25" t="s">
        <v>300</v>
      </c>
    </row>
    <row r="310" spans="1:10" x14ac:dyDescent="0.25">
      <c r="A310" s="4">
        <v>1637</v>
      </c>
      <c r="B310">
        <v>11259</v>
      </c>
      <c r="C310" s="4">
        <v>14308</v>
      </c>
      <c r="D310" t="s">
        <v>306</v>
      </c>
      <c r="E310" s="4">
        <v>2</v>
      </c>
      <c r="F310" s="25">
        <v>43721.758738425924</v>
      </c>
      <c r="G310">
        <v>0</v>
      </c>
      <c r="H310" s="25"/>
      <c r="I310" s="25"/>
      <c r="J310" s="25" t="s">
        <v>300</v>
      </c>
    </row>
    <row r="311" spans="1:10" x14ac:dyDescent="0.25">
      <c r="A311" s="4">
        <v>1637</v>
      </c>
      <c r="B311">
        <v>11259</v>
      </c>
      <c r="C311" s="4">
        <v>14308</v>
      </c>
      <c r="D311" t="s">
        <v>306</v>
      </c>
      <c r="E311" s="4">
        <v>3</v>
      </c>
      <c r="F311" s="25">
        <v>43721.758738425924</v>
      </c>
      <c r="G311">
        <v>0</v>
      </c>
      <c r="H311" s="25"/>
      <c r="I311" s="25"/>
      <c r="J311" s="25" t="s">
        <v>300</v>
      </c>
    </row>
    <row r="312" spans="1:10" x14ac:dyDescent="0.25">
      <c r="A312" s="4">
        <v>1637</v>
      </c>
      <c r="B312">
        <v>11259</v>
      </c>
      <c r="C312" s="4">
        <v>14308</v>
      </c>
      <c r="D312" t="s">
        <v>306</v>
      </c>
      <c r="E312" s="4">
        <v>0</v>
      </c>
      <c r="F312" s="25">
        <v>43721.758726851855</v>
      </c>
      <c r="G312">
        <v>0</v>
      </c>
      <c r="H312" s="25"/>
      <c r="I312" s="25"/>
      <c r="J312" s="25" t="s">
        <v>300</v>
      </c>
    </row>
    <row r="313" spans="1:10" x14ac:dyDescent="0.25">
      <c r="A313" s="4">
        <v>1637</v>
      </c>
      <c r="B313">
        <v>11259</v>
      </c>
      <c r="C313" s="4">
        <v>14308</v>
      </c>
      <c r="D313" t="s">
        <v>306</v>
      </c>
      <c r="E313" s="4">
        <v>1</v>
      </c>
      <c r="F313" s="25">
        <v>43721.758726851855</v>
      </c>
      <c r="G313">
        <v>0</v>
      </c>
      <c r="H313" s="25"/>
      <c r="I313" s="25"/>
      <c r="J313" s="25" t="s">
        <v>300</v>
      </c>
    </row>
    <row r="314" spans="1:10" x14ac:dyDescent="0.25">
      <c r="A314" s="4">
        <v>29824</v>
      </c>
      <c r="B314">
        <v>3344</v>
      </c>
      <c r="C314" s="4">
        <v>14308</v>
      </c>
      <c r="D314" t="s">
        <v>306</v>
      </c>
      <c r="E314" s="4">
        <v>24</v>
      </c>
      <c r="F314" s="25">
        <v>43721.742662037039</v>
      </c>
      <c r="G314">
        <v>0</v>
      </c>
      <c r="H314" s="25"/>
      <c r="I314" s="25"/>
      <c r="J314" s="25" t="s">
        <v>300</v>
      </c>
    </row>
    <row r="315" spans="1:10" x14ac:dyDescent="0.25">
      <c r="A315" s="4">
        <v>29824</v>
      </c>
      <c r="B315">
        <v>3344</v>
      </c>
      <c r="C315" s="4">
        <v>14308</v>
      </c>
      <c r="D315" t="s">
        <v>306</v>
      </c>
      <c r="E315" s="4">
        <v>23</v>
      </c>
      <c r="F315" s="25">
        <v>43721.742650462962</v>
      </c>
      <c r="G315">
        <v>0</v>
      </c>
      <c r="H315" s="25"/>
      <c r="I315" s="25"/>
      <c r="J315" s="25" t="s">
        <v>300</v>
      </c>
    </row>
    <row r="316" spans="1:10" x14ac:dyDescent="0.25">
      <c r="A316" s="4">
        <v>29824</v>
      </c>
      <c r="B316">
        <v>3344</v>
      </c>
      <c r="C316" s="4">
        <v>14308</v>
      </c>
      <c r="D316" t="s">
        <v>306</v>
      </c>
      <c r="E316" s="4">
        <v>21</v>
      </c>
      <c r="F316" s="25">
        <v>43721.742638888885</v>
      </c>
      <c r="G316">
        <v>0</v>
      </c>
      <c r="H316" s="25"/>
      <c r="I316" s="25"/>
      <c r="J316" s="25" t="s">
        <v>300</v>
      </c>
    </row>
    <row r="317" spans="1:10" x14ac:dyDescent="0.25">
      <c r="A317" s="4">
        <v>29824</v>
      </c>
      <c r="B317">
        <v>3344</v>
      </c>
      <c r="C317" s="4">
        <v>14308</v>
      </c>
      <c r="D317" t="s">
        <v>306</v>
      </c>
      <c r="E317" s="4">
        <v>22</v>
      </c>
      <c r="F317" s="25">
        <v>43721.742638888885</v>
      </c>
      <c r="G317">
        <v>0</v>
      </c>
      <c r="H317" s="25"/>
      <c r="I317" s="25"/>
      <c r="J317" s="25" t="s">
        <v>300</v>
      </c>
    </row>
    <row r="318" spans="1:10" x14ac:dyDescent="0.25">
      <c r="A318" s="4">
        <v>29824</v>
      </c>
      <c r="B318">
        <v>3344</v>
      </c>
      <c r="C318" s="4">
        <v>14308</v>
      </c>
      <c r="D318" t="s">
        <v>306</v>
      </c>
      <c r="E318" s="4">
        <v>20</v>
      </c>
      <c r="F318" s="25">
        <v>43721.742627314816</v>
      </c>
      <c r="G318">
        <v>0</v>
      </c>
      <c r="H318" s="25"/>
      <c r="I318" s="25"/>
      <c r="J318" s="25" t="s">
        <v>300</v>
      </c>
    </row>
    <row r="319" spans="1:10" x14ac:dyDescent="0.25">
      <c r="A319" s="4">
        <v>29824</v>
      </c>
      <c r="B319">
        <v>3344</v>
      </c>
      <c r="C319" s="4">
        <v>14308</v>
      </c>
      <c r="D319" t="s">
        <v>306</v>
      </c>
      <c r="E319" s="4">
        <v>18</v>
      </c>
      <c r="F319" s="25">
        <v>43721.742615740739</v>
      </c>
      <c r="G319">
        <v>0</v>
      </c>
      <c r="H319" s="25"/>
      <c r="I319" s="25"/>
      <c r="J319" s="25" t="s">
        <v>300</v>
      </c>
    </row>
    <row r="320" spans="1:10" x14ac:dyDescent="0.25">
      <c r="A320" s="4">
        <v>29824</v>
      </c>
      <c r="B320">
        <v>3344</v>
      </c>
      <c r="C320" s="4">
        <v>14308</v>
      </c>
      <c r="D320" t="s">
        <v>306</v>
      </c>
      <c r="E320" s="4">
        <v>19</v>
      </c>
      <c r="F320" s="25">
        <v>43721.742615740739</v>
      </c>
      <c r="G320">
        <v>0</v>
      </c>
      <c r="H320" s="25"/>
      <c r="I320" s="25"/>
      <c r="J320" s="25" t="s">
        <v>300</v>
      </c>
    </row>
    <row r="321" spans="1:10" x14ac:dyDescent="0.25">
      <c r="A321" s="4">
        <v>29824</v>
      </c>
      <c r="B321">
        <v>3344</v>
      </c>
      <c r="C321" s="4">
        <v>14308</v>
      </c>
      <c r="D321" t="s">
        <v>306</v>
      </c>
      <c r="E321" s="4">
        <v>17</v>
      </c>
      <c r="F321" s="25">
        <v>43721.742604166669</v>
      </c>
      <c r="G321">
        <v>0</v>
      </c>
      <c r="H321" s="25"/>
      <c r="I321" s="25"/>
      <c r="J321" s="25" t="s">
        <v>300</v>
      </c>
    </row>
    <row r="322" spans="1:10" x14ac:dyDescent="0.25">
      <c r="A322" s="4">
        <v>29824</v>
      </c>
      <c r="B322">
        <v>3344</v>
      </c>
      <c r="C322" s="4">
        <v>14308</v>
      </c>
      <c r="D322" t="s">
        <v>306</v>
      </c>
      <c r="E322" s="4">
        <v>15</v>
      </c>
      <c r="F322" s="25">
        <v>43721.742592592593</v>
      </c>
      <c r="G322">
        <v>0</v>
      </c>
      <c r="H322" s="25"/>
      <c r="I322" s="25"/>
      <c r="J322" s="25" t="s">
        <v>300</v>
      </c>
    </row>
    <row r="323" spans="1:10" x14ac:dyDescent="0.25">
      <c r="A323" s="4">
        <v>29824</v>
      </c>
      <c r="B323">
        <v>3344</v>
      </c>
      <c r="C323" s="4">
        <v>14308</v>
      </c>
      <c r="D323" t="s">
        <v>306</v>
      </c>
      <c r="E323" s="4">
        <v>16</v>
      </c>
      <c r="F323" s="25">
        <v>43721.742592592593</v>
      </c>
      <c r="G323">
        <v>0</v>
      </c>
      <c r="H323" s="25"/>
      <c r="I323" s="25"/>
      <c r="J323" s="25" t="s">
        <v>300</v>
      </c>
    </row>
    <row r="324" spans="1:10" x14ac:dyDescent="0.25">
      <c r="A324" s="4">
        <v>29824</v>
      </c>
      <c r="B324">
        <v>3344</v>
      </c>
      <c r="C324" s="4">
        <v>14308</v>
      </c>
      <c r="D324" t="s">
        <v>306</v>
      </c>
      <c r="E324" s="4">
        <v>14</v>
      </c>
      <c r="F324" s="25">
        <v>43721.742581018516</v>
      </c>
      <c r="G324">
        <v>0</v>
      </c>
      <c r="H324" s="25"/>
      <c r="I324" s="25"/>
      <c r="J324" s="25" t="s">
        <v>300</v>
      </c>
    </row>
    <row r="325" spans="1:10" x14ac:dyDescent="0.25">
      <c r="A325" s="4">
        <v>29824</v>
      </c>
      <c r="B325">
        <v>3344</v>
      </c>
      <c r="C325" s="4">
        <v>14308</v>
      </c>
      <c r="D325" t="s">
        <v>306</v>
      </c>
      <c r="E325" s="4">
        <v>12</v>
      </c>
      <c r="F325" s="25">
        <v>43721.742569444446</v>
      </c>
      <c r="G325">
        <v>0</v>
      </c>
      <c r="H325" s="25"/>
      <c r="I325" s="25"/>
      <c r="J325" s="25" t="s">
        <v>300</v>
      </c>
    </row>
    <row r="326" spans="1:10" x14ac:dyDescent="0.25">
      <c r="A326" s="4">
        <v>29824</v>
      </c>
      <c r="B326">
        <v>3344</v>
      </c>
      <c r="C326" s="4">
        <v>14308</v>
      </c>
      <c r="D326" t="s">
        <v>306</v>
      </c>
      <c r="E326" s="4">
        <v>13</v>
      </c>
      <c r="F326" s="25">
        <v>43721.742569444446</v>
      </c>
      <c r="G326">
        <v>0</v>
      </c>
      <c r="H326" s="25"/>
      <c r="I326" s="25"/>
      <c r="J326" s="25" t="s">
        <v>300</v>
      </c>
    </row>
    <row r="327" spans="1:10" x14ac:dyDescent="0.25">
      <c r="A327" s="4">
        <v>29824</v>
      </c>
      <c r="B327">
        <v>3344</v>
      </c>
      <c r="C327" s="4">
        <v>14308</v>
      </c>
      <c r="D327" t="s">
        <v>306</v>
      </c>
      <c r="E327" s="4">
        <v>11</v>
      </c>
      <c r="F327" s="25">
        <v>43721.74255787037</v>
      </c>
      <c r="G327">
        <v>0</v>
      </c>
      <c r="H327" s="25"/>
      <c r="I327" s="25"/>
      <c r="J327" s="25" t="s">
        <v>300</v>
      </c>
    </row>
    <row r="328" spans="1:10" x14ac:dyDescent="0.25">
      <c r="A328" s="4">
        <v>29824</v>
      </c>
      <c r="B328">
        <v>3344</v>
      </c>
      <c r="C328" s="4">
        <v>14308</v>
      </c>
      <c r="D328" t="s">
        <v>306</v>
      </c>
      <c r="E328" s="4">
        <v>9</v>
      </c>
      <c r="F328" s="25">
        <v>43721.742546296293</v>
      </c>
      <c r="G328">
        <v>0</v>
      </c>
      <c r="H328" s="25"/>
      <c r="I328" s="25"/>
      <c r="J328" s="25" t="s">
        <v>300</v>
      </c>
    </row>
    <row r="329" spans="1:10" x14ac:dyDescent="0.25">
      <c r="A329" s="4">
        <v>29824</v>
      </c>
      <c r="B329">
        <v>3344</v>
      </c>
      <c r="C329" s="4">
        <v>14308</v>
      </c>
      <c r="D329" t="s">
        <v>306</v>
      </c>
      <c r="E329" s="4">
        <v>10</v>
      </c>
      <c r="F329" s="25">
        <v>43721.742546296293</v>
      </c>
      <c r="G329">
        <v>0</v>
      </c>
      <c r="H329" s="25"/>
      <c r="I329" s="25"/>
      <c r="J329" s="25" t="s">
        <v>300</v>
      </c>
    </row>
    <row r="330" spans="1:10" x14ac:dyDescent="0.25">
      <c r="A330" s="4">
        <v>29824</v>
      </c>
      <c r="B330">
        <v>3344</v>
      </c>
      <c r="C330" s="4">
        <v>14308</v>
      </c>
      <c r="D330" t="s">
        <v>306</v>
      </c>
      <c r="E330" s="4">
        <v>7</v>
      </c>
      <c r="F330" s="25">
        <v>43721.742534722223</v>
      </c>
      <c r="G330">
        <v>0</v>
      </c>
      <c r="H330" s="25"/>
      <c r="I330" s="25"/>
      <c r="J330" s="25" t="s">
        <v>300</v>
      </c>
    </row>
    <row r="331" spans="1:10" x14ac:dyDescent="0.25">
      <c r="A331" s="4">
        <v>29824</v>
      </c>
      <c r="B331">
        <v>3344</v>
      </c>
      <c r="C331" s="4">
        <v>14308</v>
      </c>
      <c r="D331" t="s">
        <v>306</v>
      </c>
      <c r="E331" s="4">
        <v>8</v>
      </c>
      <c r="F331" s="25">
        <v>43721.742534722223</v>
      </c>
      <c r="G331">
        <v>0</v>
      </c>
      <c r="H331" s="25"/>
      <c r="I331" s="25"/>
      <c r="J331" s="25" t="s">
        <v>300</v>
      </c>
    </row>
    <row r="332" spans="1:10" x14ac:dyDescent="0.25">
      <c r="A332" s="4">
        <v>29824</v>
      </c>
      <c r="B332">
        <v>3344</v>
      </c>
      <c r="C332" s="4">
        <v>14308</v>
      </c>
      <c r="D332" t="s">
        <v>306</v>
      </c>
      <c r="E332" s="4">
        <v>6</v>
      </c>
      <c r="F332" s="25">
        <v>43721.742523148147</v>
      </c>
      <c r="G332">
        <v>0</v>
      </c>
      <c r="H332" s="25"/>
      <c r="I332" s="25"/>
      <c r="J332" s="25" t="s">
        <v>300</v>
      </c>
    </row>
    <row r="333" spans="1:10" x14ac:dyDescent="0.25">
      <c r="A333" s="4">
        <v>29824</v>
      </c>
      <c r="B333">
        <v>3344</v>
      </c>
      <c r="C333" s="4">
        <v>14308</v>
      </c>
      <c r="D333" t="s">
        <v>306</v>
      </c>
      <c r="E333" s="4">
        <v>4</v>
      </c>
      <c r="F333" s="25">
        <v>43721.742511574077</v>
      </c>
      <c r="G333">
        <v>0</v>
      </c>
      <c r="H333" s="25"/>
      <c r="I333" s="25"/>
      <c r="J333" s="25" t="s">
        <v>300</v>
      </c>
    </row>
    <row r="334" spans="1:10" x14ac:dyDescent="0.25">
      <c r="A334" s="4">
        <v>29824</v>
      </c>
      <c r="B334">
        <v>3344</v>
      </c>
      <c r="C334" s="4">
        <v>14308</v>
      </c>
      <c r="D334" t="s">
        <v>306</v>
      </c>
      <c r="E334" s="4">
        <v>5</v>
      </c>
      <c r="F334" s="25">
        <v>43721.742511574077</v>
      </c>
      <c r="G334">
        <v>0</v>
      </c>
      <c r="H334" s="25"/>
      <c r="I334" s="25"/>
      <c r="J334" s="25" t="s">
        <v>300</v>
      </c>
    </row>
    <row r="335" spans="1:10" x14ac:dyDescent="0.25">
      <c r="A335" s="4">
        <v>29824</v>
      </c>
      <c r="B335">
        <v>3344</v>
      </c>
      <c r="C335" s="4">
        <v>14308</v>
      </c>
      <c r="D335" t="s">
        <v>306</v>
      </c>
      <c r="E335" s="4">
        <v>3</v>
      </c>
      <c r="F335" s="25">
        <v>43721.7425</v>
      </c>
      <c r="G335">
        <v>0</v>
      </c>
      <c r="H335" s="25"/>
      <c r="I335" s="25"/>
      <c r="J335" s="25" t="s">
        <v>300</v>
      </c>
    </row>
    <row r="336" spans="1:10" x14ac:dyDescent="0.25">
      <c r="A336" s="4">
        <v>29824</v>
      </c>
      <c r="B336">
        <v>3344</v>
      </c>
      <c r="C336" s="4">
        <v>14308</v>
      </c>
      <c r="D336" t="s">
        <v>306</v>
      </c>
      <c r="E336" s="4">
        <v>1</v>
      </c>
      <c r="F336" s="25">
        <v>43721.742488425924</v>
      </c>
      <c r="G336">
        <v>0</v>
      </c>
      <c r="H336" s="25"/>
      <c r="I336" s="25"/>
      <c r="J336" s="25" t="s">
        <v>300</v>
      </c>
    </row>
    <row r="337" spans="1:10" x14ac:dyDescent="0.25">
      <c r="A337" s="4">
        <v>29824</v>
      </c>
      <c r="B337">
        <v>3344</v>
      </c>
      <c r="C337" s="4">
        <v>14308</v>
      </c>
      <c r="D337" t="s">
        <v>306</v>
      </c>
      <c r="E337" s="4">
        <v>2</v>
      </c>
      <c r="F337" s="25">
        <v>43721.742488425924</v>
      </c>
      <c r="G337">
        <v>0</v>
      </c>
      <c r="H337" s="25"/>
      <c r="I337" s="25"/>
      <c r="J337" s="25" t="s">
        <v>300</v>
      </c>
    </row>
    <row r="338" spans="1:10" x14ac:dyDescent="0.25">
      <c r="A338" s="4">
        <v>29824</v>
      </c>
      <c r="B338">
        <v>3344</v>
      </c>
      <c r="C338" s="4">
        <v>14308</v>
      </c>
      <c r="D338" t="s">
        <v>306</v>
      </c>
      <c r="E338" s="4">
        <v>0</v>
      </c>
      <c r="F338" s="25">
        <v>43721.742476851854</v>
      </c>
      <c r="G338">
        <v>0</v>
      </c>
      <c r="H338" s="25"/>
      <c r="I338" s="25"/>
      <c r="J338" s="25" t="s">
        <v>300</v>
      </c>
    </row>
    <row r="339" spans="1:10" x14ac:dyDescent="0.25">
      <c r="A339" s="4">
        <v>29719</v>
      </c>
      <c r="B339">
        <v>13584</v>
      </c>
      <c r="C339" s="4">
        <v>14308</v>
      </c>
      <c r="D339" t="s">
        <v>306</v>
      </c>
      <c r="E339" s="4">
        <v>0</v>
      </c>
      <c r="F339" s="25">
        <v>43721.742118055554</v>
      </c>
      <c r="G339">
        <v>0</v>
      </c>
      <c r="H339" s="25"/>
      <c r="I339" s="25"/>
      <c r="J339" s="25" t="s">
        <v>300</v>
      </c>
    </row>
    <row r="340" spans="1:10" x14ac:dyDescent="0.25">
      <c r="A340" s="4">
        <v>28220</v>
      </c>
      <c r="B340">
        <v>3276</v>
      </c>
      <c r="C340" s="4">
        <v>14308</v>
      </c>
      <c r="D340" t="s">
        <v>306</v>
      </c>
      <c r="E340" s="4">
        <v>24</v>
      </c>
      <c r="F340" s="25">
        <v>43721.736990740741</v>
      </c>
      <c r="G340">
        <v>0</v>
      </c>
      <c r="H340" s="25"/>
      <c r="I340" s="25"/>
      <c r="J340" s="25" t="s">
        <v>300</v>
      </c>
    </row>
    <row r="341" spans="1:10" x14ac:dyDescent="0.25">
      <c r="A341" s="4">
        <v>28220</v>
      </c>
      <c r="B341">
        <v>3276</v>
      </c>
      <c r="C341" s="4">
        <v>14308</v>
      </c>
      <c r="D341" t="s">
        <v>306</v>
      </c>
      <c r="E341" s="4">
        <v>22</v>
      </c>
      <c r="F341" s="25">
        <v>43721.736979166664</v>
      </c>
      <c r="G341">
        <v>0</v>
      </c>
      <c r="H341" s="25"/>
      <c r="I341" s="25"/>
      <c r="J341" s="25" t="s">
        <v>300</v>
      </c>
    </row>
    <row r="342" spans="1:10" x14ac:dyDescent="0.25">
      <c r="A342" s="4">
        <v>28220</v>
      </c>
      <c r="B342">
        <v>3276</v>
      </c>
      <c r="C342" s="4">
        <v>14308</v>
      </c>
      <c r="D342" t="s">
        <v>306</v>
      </c>
      <c r="E342" s="4">
        <v>23</v>
      </c>
      <c r="F342" s="25">
        <v>43721.736979166664</v>
      </c>
      <c r="G342">
        <v>0</v>
      </c>
      <c r="H342" s="25"/>
      <c r="I342" s="25"/>
      <c r="J342" s="25" t="s">
        <v>300</v>
      </c>
    </row>
    <row r="343" spans="1:10" x14ac:dyDescent="0.25">
      <c r="A343" s="4">
        <v>28220</v>
      </c>
      <c r="B343">
        <v>3276</v>
      </c>
      <c r="C343" s="4">
        <v>14308</v>
      </c>
      <c r="D343" t="s">
        <v>306</v>
      </c>
      <c r="E343" s="4">
        <v>21</v>
      </c>
      <c r="F343" s="25">
        <v>43721.736967592595</v>
      </c>
      <c r="G343">
        <v>0</v>
      </c>
      <c r="H343" s="25"/>
      <c r="I343" s="25"/>
      <c r="J343" s="25" t="s">
        <v>300</v>
      </c>
    </row>
    <row r="344" spans="1:10" x14ac:dyDescent="0.25">
      <c r="A344" s="4">
        <v>28220</v>
      </c>
      <c r="B344">
        <v>3276</v>
      </c>
      <c r="C344" s="4">
        <v>14308</v>
      </c>
      <c r="D344" t="s">
        <v>306</v>
      </c>
      <c r="E344" s="4">
        <v>19</v>
      </c>
      <c r="F344" s="25">
        <v>43721.736956018518</v>
      </c>
      <c r="G344">
        <v>0</v>
      </c>
      <c r="H344" s="25"/>
      <c r="I344" s="25"/>
      <c r="J344" s="25" t="s">
        <v>300</v>
      </c>
    </row>
    <row r="345" spans="1:10" x14ac:dyDescent="0.25">
      <c r="A345" s="4">
        <v>28220</v>
      </c>
      <c r="B345">
        <v>3276</v>
      </c>
      <c r="C345" s="4">
        <v>14308</v>
      </c>
      <c r="D345" t="s">
        <v>306</v>
      </c>
      <c r="E345" s="4">
        <v>20</v>
      </c>
      <c r="F345" s="25">
        <v>43721.736956018518</v>
      </c>
      <c r="G345">
        <v>0</v>
      </c>
      <c r="H345" s="25"/>
      <c r="I345" s="25"/>
      <c r="J345" s="25" t="s">
        <v>300</v>
      </c>
    </row>
    <row r="346" spans="1:10" x14ac:dyDescent="0.25">
      <c r="A346" s="4">
        <v>28220</v>
      </c>
      <c r="B346">
        <v>3276</v>
      </c>
      <c r="C346" s="4">
        <v>14308</v>
      </c>
      <c r="D346" t="s">
        <v>306</v>
      </c>
      <c r="E346" s="4">
        <v>18</v>
      </c>
      <c r="F346" s="25">
        <v>43721.736944444441</v>
      </c>
      <c r="G346">
        <v>0</v>
      </c>
      <c r="H346" s="25"/>
      <c r="I346" s="25"/>
      <c r="J346" s="25" t="s">
        <v>300</v>
      </c>
    </row>
    <row r="347" spans="1:10" x14ac:dyDescent="0.25">
      <c r="A347" s="4">
        <v>28220</v>
      </c>
      <c r="B347">
        <v>3276</v>
      </c>
      <c r="C347" s="4">
        <v>14308</v>
      </c>
      <c r="D347" t="s">
        <v>306</v>
      </c>
      <c r="E347" s="4">
        <v>16</v>
      </c>
      <c r="F347" s="25">
        <v>43721.736932870372</v>
      </c>
      <c r="G347">
        <v>0</v>
      </c>
      <c r="H347" s="25"/>
      <c r="I347" s="25"/>
      <c r="J347" s="25" t="s">
        <v>300</v>
      </c>
    </row>
    <row r="348" spans="1:10" x14ac:dyDescent="0.25">
      <c r="A348" s="4">
        <v>28220</v>
      </c>
      <c r="B348">
        <v>3276</v>
      </c>
      <c r="C348" s="4">
        <v>14308</v>
      </c>
      <c r="D348" t="s">
        <v>306</v>
      </c>
      <c r="E348" s="4">
        <v>17</v>
      </c>
      <c r="F348" s="25">
        <v>43721.736932870372</v>
      </c>
      <c r="G348">
        <v>0</v>
      </c>
      <c r="H348" s="25"/>
      <c r="I348" s="25"/>
      <c r="J348" s="25" t="s">
        <v>300</v>
      </c>
    </row>
    <row r="349" spans="1:10" x14ac:dyDescent="0.25">
      <c r="A349" s="4">
        <v>28220</v>
      </c>
      <c r="B349">
        <v>3276</v>
      </c>
      <c r="C349" s="4">
        <v>14308</v>
      </c>
      <c r="D349" t="s">
        <v>306</v>
      </c>
      <c r="E349" s="4">
        <v>15</v>
      </c>
      <c r="F349" s="25">
        <v>43721.736921296295</v>
      </c>
      <c r="G349">
        <v>0</v>
      </c>
      <c r="H349" s="25"/>
      <c r="I349" s="25"/>
      <c r="J349" s="25" t="s">
        <v>300</v>
      </c>
    </row>
    <row r="350" spans="1:10" x14ac:dyDescent="0.25">
      <c r="A350" s="4">
        <v>28220</v>
      </c>
      <c r="B350">
        <v>3276</v>
      </c>
      <c r="C350" s="4">
        <v>14308</v>
      </c>
      <c r="D350" t="s">
        <v>306</v>
      </c>
      <c r="E350" s="4">
        <v>13</v>
      </c>
      <c r="F350" s="25">
        <v>43721.736909722225</v>
      </c>
      <c r="G350">
        <v>0</v>
      </c>
      <c r="H350" s="25"/>
      <c r="I350" s="25"/>
      <c r="J350" s="25" t="s">
        <v>300</v>
      </c>
    </row>
    <row r="351" spans="1:10" x14ac:dyDescent="0.25">
      <c r="A351" s="4">
        <v>28220</v>
      </c>
      <c r="B351">
        <v>3276</v>
      </c>
      <c r="C351" s="4">
        <v>14308</v>
      </c>
      <c r="D351" t="s">
        <v>306</v>
      </c>
      <c r="E351" s="4">
        <v>14</v>
      </c>
      <c r="F351" s="25">
        <v>43721.736909722225</v>
      </c>
      <c r="G351">
        <v>0</v>
      </c>
      <c r="H351" s="25"/>
      <c r="I351" s="25"/>
      <c r="J351" s="25" t="s">
        <v>300</v>
      </c>
    </row>
    <row r="352" spans="1:10" x14ac:dyDescent="0.25">
      <c r="A352" s="4">
        <v>28220</v>
      </c>
      <c r="B352">
        <v>3276</v>
      </c>
      <c r="C352" s="4">
        <v>14308</v>
      </c>
      <c r="D352" t="s">
        <v>306</v>
      </c>
      <c r="E352" s="4">
        <v>12</v>
      </c>
      <c r="F352" s="25">
        <v>43721.736898148149</v>
      </c>
      <c r="G352">
        <v>0</v>
      </c>
      <c r="H352" s="25"/>
      <c r="I352" s="25"/>
      <c r="J352" s="25" t="s">
        <v>300</v>
      </c>
    </row>
    <row r="353" spans="1:10" x14ac:dyDescent="0.25">
      <c r="A353" s="4">
        <v>28220</v>
      </c>
      <c r="B353">
        <v>3276</v>
      </c>
      <c r="C353" s="4">
        <v>14308</v>
      </c>
      <c r="D353" t="s">
        <v>306</v>
      </c>
      <c r="E353" s="4">
        <v>10</v>
      </c>
      <c r="F353" s="25">
        <v>43721.736886574072</v>
      </c>
      <c r="G353">
        <v>0</v>
      </c>
      <c r="H353" s="25"/>
      <c r="I353" s="25"/>
      <c r="J353" s="25" t="s">
        <v>300</v>
      </c>
    </row>
    <row r="354" spans="1:10" x14ac:dyDescent="0.25">
      <c r="A354" s="4">
        <v>28220</v>
      </c>
      <c r="B354">
        <v>3276</v>
      </c>
      <c r="C354" s="4">
        <v>14308</v>
      </c>
      <c r="D354" t="s">
        <v>306</v>
      </c>
      <c r="E354" s="4">
        <v>11</v>
      </c>
      <c r="F354" s="25">
        <v>43721.736886574072</v>
      </c>
      <c r="G354">
        <v>0</v>
      </c>
      <c r="H354" s="25"/>
      <c r="I354" s="25"/>
      <c r="J354" s="25" t="s">
        <v>300</v>
      </c>
    </row>
    <row r="355" spans="1:10" x14ac:dyDescent="0.25">
      <c r="A355" s="4">
        <v>28220</v>
      </c>
      <c r="B355">
        <v>3276</v>
      </c>
      <c r="C355" s="4">
        <v>14308</v>
      </c>
      <c r="D355" t="s">
        <v>306</v>
      </c>
      <c r="E355" s="4">
        <v>9</v>
      </c>
      <c r="F355" s="25">
        <v>43721.736875000002</v>
      </c>
      <c r="G355">
        <v>0</v>
      </c>
      <c r="H355" s="25"/>
      <c r="I355" s="25"/>
      <c r="J355" s="25" t="s">
        <v>300</v>
      </c>
    </row>
    <row r="356" spans="1:10" x14ac:dyDescent="0.25">
      <c r="A356" s="4">
        <v>28220</v>
      </c>
      <c r="B356">
        <v>3276</v>
      </c>
      <c r="C356" s="4">
        <v>14308</v>
      </c>
      <c r="D356" t="s">
        <v>306</v>
      </c>
      <c r="E356" s="4">
        <v>7</v>
      </c>
      <c r="F356" s="25">
        <v>43721.736863425926</v>
      </c>
      <c r="G356">
        <v>0</v>
      </c>
      <c r="H356" s="25"/>
      <c r="I356" s="25"/>
      <c r="J356" s="25" t="s">
        <v>300</v>
      </c>
    </row>
    <row r="357" spans="1:10" x14ac:dyDescent="0.25">
      <c r="A357" s="4">
        <v>28220</v>
      </c>
      <c r="B357">
        <v>3276</v>
      </c>
      <c r="C357" s="4">
        <v>14308</v>
      </c>
      <c r="D357" t="s">
        <v>306</v>
      </c>
      <c r="E357" s="4">
        <v>8</v>
      </c>
      <c r="F357" s="25">
        <v>43721.736863425926</v>
      </c>
      <c r="G357">
        <v>0</v>
      </c>
      <c r="H357" s="25"/>
      <c r="I357" s="25"/>
      <c r="J357" s="25" t="s">
        <v>300</v>
      </c>
    </row>
    <row r="358" spans="1:10" x14ac:dyDescent="0.25">
      <c r="A358" s="4">
        <v>28220</v>
      </c>
      <c r="B358">
        <v>3276</v>
      </c>
      <c r="C358" s="4">
        <v>14308</v>
      </c>
      <c r="D358" t="s">
        <v>306</v>
      </c>
      <c r="E358" s="4">
        <v>6</v>
      </c>
      <c r="F358" s="25">
        <v>43721.736851851849</v>
      </c>
      <c r="G358">
        <v>0</v>
      </c>
      <c r="H358" s="25"/>
      <c r="I358" s="25"/>
      <c r="J358" s="25" t="s">
        <v>300</v>
      </c>
    </row>
    <row r="359" spans="1:10" x14ac:dyDescent="0.25">
      <c r="A359" s="4">
        <v>28220</v>
      </c>
      <c r="B359">
        <v>3276</v>
      </c>
      <c r="C359" s="4">
        <v>14308</v>
      </c>
      <c r="D359" t="s">
        <v>306</v>
      </c>
      <c r="E359" s="4">
        <v>4</v>
      </c>
      <c r="F359" s="25">
        <v>43721.736840277779</v>
      </c>
      <c r="G359">
        <v>0</v>
      </c>
      <c r="H359" s="25"/>
      <c r="I359" s="25"/>
      <c r="J359" s="25" t="s">
        <v>300</v>
      </c>
    </row>
    <row r="360" spans="1:10" x14ac:dyDescent="0.25">
      <c r="A360" s="4">
        <v>28220</v>
      </c>
      <c r="B360">
        <v>3276</v>
      </c>
      <c r="C360" s="4">
        <v>14308</v>
      </c>
      <c r="D360" t="s">
        <v>306</v>
      </c>
      <c r="E360" s="4">
        <v>5</v>
      </c>
      <c r="F360" s="25">
        <v>43721.736840277779</v>
      </c>
      <c r="G360">
        <v>0</v>
      </c>
      <c r="H360" s="25"/>
      <c r="I360" s="25"/>
      <c r="J360" s="25" t="s">
        <v>300</v>
      </c>
    </row>
    <row r="361" spans="1:10" x14ac:dyDescent="0.25">
      <c r="A361" s="4">
        <v>28220</v>
      </c>
      <c r="B361">
        <v>3276</v>
      </c>
      <c r="C361" s="4">
        <v>14308</v>
      </c>
      <c r="D361" t="s">
        <v>306</v>
      </c>
      <c r="E361" s="4">
        <v>3</v>
      </c>
      <c r="F361" s="25">
        <v>43721.736828703702</v>
      </c>
      <c r="G361">
        <v>0</v>
      </c>
      <c r="H361" s="25"/>
      <c r="I361" s="25"/>
      <c r="J361" s="25" t="s">
        <v>300</v>
      </c>
    </row>
    <row r="362" spans="1:10" x14ac:dyDescent="0.25">
      <c r="A362" s="4">
        <v>28220</v>
      </c>
      <c r="B362">
        <v>3276</v>
      </c>
      <c r="C362" s="4">
        <v>14308</v>
      </c>
      <c r="D362" t="s">
        <v>306</v>
      </c>
      <c r="E362" s="4">
        <v>1</v>
      </c>
      <c r="F362" s="25">
        <v>43721.736817129633</v>
      </c>
      <c r="G362">
        <v>0</v>
      </c>
      <c r="H362" s="25"/>
      <c r="I362" s="25"/>
      <c r="J362" s="25" t="s">
        <v>300</v>
      </c>
    </row>
    <row r="363" spans="1:10" x14ac:dyDescent="0.25">
      <c r="A363" s="4">
        <v>28220</v>
      </c>
      <c r="B363">
        <v>3276</v>
      </c>
      <c r="C363" s="4">
        <v>14308</v>
      </c>
      <c r="D363" t="s">
        <v>306</v>
      </c>
      <c r="E363" s="4">
        <v>2</v>
      </c>
      <c r="F363" s="25">
        <v>43721.736817129633</v>
      </c>
      <c r="G363">
        <v>0</v>
      </c>
      <c r="H363" s="25"/>
      <c r="I363" s="25"/>
      <c r="J363" s="25" t="s">
        <v>300</v>
      </c>
    </row>
    <row r="364" spans="1:10" x14ac:dyDescent="0.25">
      <c r="A364" s="4">
        <v>28220</v>
      </c>
      <c r="B364">
        <v>3276</v>
      </c>
      <c r="C364" s="4">
        <v>14308</v>
      </c>
      <c r="D364" t="s">
        <v>306</v>
      </c>
      <c r="E364" s="4">
        <v>0</v>
      </c>
      <c r="F364" s="25">
        <v>43721.736805555556</v>
      </c>
      <c r="G364">
        <v>0</v>
      </c>
      <c r="H364" s="25"/>
      <c r="I364" s="25"/>
      <c r="J364" s="25" t="s">
        <v>300</v>
      </c>
    </row>
    <row r="365" spans="1:10" x14ac:dyDescent="0.25">
      <c r="A365" s="4">
        <v>27515</v>
      </c>
      <c r="B365">
        <v>4940</v>
      </c>
      <c r="C365" s="4">
        <v>14308</v>
      </c>
      <c r="D365" t="s">
        <v>306</v>
      </c>
      <c r="E365" s="4">
        <v>24</v>
      </c>
      <c r="F365" s="25">
        <v>43721.734490740739</v>
      </c>
      <c r="G365">
        <v>0</v>
      </c>
      <c r="H365" s="25"/>
      <c r="I365" s="25"/>
      <c r="J365" s="25" t="s">
        <v>300</v>
      </c>
    </row>
    <row r="366" spans="1:10" x14ac:dyDescent="0.25">
      <c r="A366" s="4">
        <v>27515</v>
      </c>
      <c r="B366">
        <v>4940</v>
      </c>
      <c r="C366" s="4">
        <v>14308</v>
      </c>
      <c r="D366" t="s">
        <v>306</v>
      </c>
      <c r="E366" s="4">
        <v>22</v>
      </c>
      <c r="F366" s="25">
        <v>43721.734479166669</v>
      </c>
      <c r="G366">
        <v>0</v>
      </c>
      <c r="H366" s="25"/>
      <c r="I366" s="25"/>
      <c r="J366" s="25" t="s">
        <v>300</v>
      </c>
    </row>
    <row r="367" spans="1:10" x14ac:dyDescent="0.25">
      <c r="A367" s="4">
        <v>27515</v>
      </c>
      <c r="B367">
        <v>4940</v>
      </c>
      <c r="C367" s="4">
        <v>14308</v>
      </c>
      <c r="D367" t="s">
        <v>306</v>
      </c>
      <c r="E367" s="4">
        <v>23</v>
      </c>
      <c r="F367" s="25">
        <v>43721.734479166669</v>
      </c>
      <c r="G367">
        <v>0</v>
      </c>
      <c r="H367" s="25"/>
      <c r="I367" s="25"/>
      <c r="J367" s="25" t="s">
        <v>300</v>
      </c>
    </row>
    <row r="368" spans="1:10" x14ac:dyDescent="0.25">
      <c r="A368" s="4">
        <v>27515</v>
      </c>
      <c r="B368">
        <v>4940</v>
      </c>
      <c r="C368" s="4">
        <v>14308</v>
      </c>
      <c r="D368" t="s">
        <v>306</v>
      </c>
      <c r="E368" s="4">
        <v>21</v>
      </c>
      <c r="F368" s="25">
        <v>43721.734467592592</v>
      </c>
      <c r="G368">
        <v>0</v>
      </c>
      <c r="H368" s="25"/>
      <c r="I368" s="25"/>
      <c r="J368" s="25" t="s">
        <v>300</v>
      </c>
    </row>
    <row r="369" spans="1:10" x14ac:dyDescent="0.25">
      <c r="A369" s="4">
        <v>27515</v>
      </c>
      <c r="B369">
        <v>4940</v>
      </c>
      <c r="C369" s="4">
        <v>14308</v>
      </c>
      <c r="D369" t="s">
        <v>306</v>
      </c>
      <c r="E369" s="4">
        <v>20</v>
      </c>
      <c r="F369" s="25">
        <v>43721.734456018516</v>
      </c>
      <c r="G369">
        <v>0</v>
      </c>
      <c r="H369" s="25"/>
      <c r="I369" s="25"/>
      <c r="J369" s="25" t="s">
        <v>300</v>
      </c>
    </row>
    <row r="370" spans="1:10" x14ac:dyDescent="0.25">
      <c r="A370" s="4">
        <v>27515</v>
      </c>
      <c r="B370">
        <v>4940</v>
      </c>
      <c r="C370" s="4">
        <v>14308</v>
      </c>
      <c r="D370" t="s">
        <v>306</v>
      </c>
      <c r="E370" s="4">
        <v>18</v>
      </c>
      <c r="F370" s="25">
        <v>43721.734444444446</v>
      </c>
      <c r="G370">
        <v>0</v>
      </c>
      <c r="H370" s="25"/>
      <c r="I370" s="25"/>
      <c r="J370" s="25" t="s">
        <v>300</v>
      </c>
    </row>
    <row r="371" spans="1:10" x14ac:dyDescent="0.25">
      <c r="A371" s="4">
        <v>27515</v>
      </c>
      <c r="B371">
        <v>4940</v>
      </c>
      <c r="C371" s="4">
        <v>14308</v>
      </c>
      <c r="D371" t="s">
        <v>306</v>
      </c>
      <c r="E371" s="4">
        <v>19</v>
      </c>
      <c r="F371" s="25">
        <v>43721.734444444446</v>
      </c>
      <c r="G371">
        <v>0</v>
      </c>
      <c r="H371" s="25"/>
      <c r="I371" s="25"/>
      <c r="J371" s="25" t="s">
        <v>300</v>
      </c>
    </row>
    <row r="372" spans="1:10" x14ac:dyDescent="0.25">
      <c r="A372" s="4">
        <v>27515</v>
      </c>
      <c r="B372">
        <v>4940</v>
      </c>
      <c r="C372" s="4">
        <v>14308</v>
      </c>
      <c r="D372" t="s">
        <v>306</v>
      </c>
      <c r="E372" s="4">
        <v>17</v>
      </c>
      <c r="F372" s="25">
        <v>43721.734432870369</v>
      </c>
      <c r="G372">
        <v>0</v>
      </c>
      <c r="H372" s="25"/>
      <c r="I372" s="25"/>
      <c r="J372" s="25" t="s">
        <v>300</v>
      </c>
    </row>
    <row r="373" spans="1:10" x14ac:dyDescent="0.25">
      <c r="A373" s="4">
        <v>27515</v>
      </c>
      <c r="B373">
        <v>4940</v>
      </c>
      <c r="C373" s="4">
        <v>14308</v>
      </c>
      <c r="D373" t="s">
        <v>306</v>
      </c>
      <c r="E373" s="4">
        <v>15</v>
      </c>
      <c r="F373" s="25">
        <v>43721.7344212963</v>
      </c>
      <c r="G373">
        <v>0</v>
      </c>
      <c r="H373" s="25"/>
      <c r="I373" s="25"/>
      <c r="J373" s="25" t="s">
        <v>300</v>
      </c>
    </row>
    <row r="374" spans="1:10" x14ac:dyDescent="0.25">
      <c r="A374" s="4">
        <v>27515</v>
      </c>
      <c r="B374">
        <v>4940</v>
      </c>
      <c r="C374" s="4">
        <v>14308</v>
      </c>
      <c r="D374" t="s">
        <v>306</v>
      </c>
      <c r="E374" s="4">
        <v>16</v>
      </c>
      <c r="F374" s="25">
        <v>43721.7344212963</v>
      </c>
      <c r="G374">
        <v>0</v>
      </c>
      <c r="H374" s="25"/>
      <c r="I374" s="25"/>
      <c r="J374" s="25" t="s">
        <v>300</v>
      </c>
    </row>
    <row r="375" spans="1:10" x14ac:dyDescent="0.25">
      <c r="A375" s="4">
        <v>27515</v>
      </c>
      <c r="B375">
        <v>4940</v>
      </c>
      <c r="C375" s="4">
        <v>14308</v>
      </c>
      <c r="D375" t="s">
        <v>306</v>
      </c>
      <c r="E375" s="4">
        <v>14</v>
      </c>
      <c r="F375" s="25">
        <v>43721.734409722223</v>
      </c>
      <c r="G375">
        <v>0</v>
      </c>
      <c r="H375" s="25"/>
      <c r="I375" s="25"/>
      <c r="J375" s="25" t="s">
        <v>300</v>
      </c>
    </row>
    <row r="376" spans="1:10" x14ac:dyDescent="0.25">
      <c r="A376" s="4">
        <v>27515</v>
      </c>
      <c r="B376">
        <v>4940</v>
      </c>
      <c r="C376" s="4">
        <v>14308</v>
      </c>
      <c r="D376" t="s">
        <v>306</v>
      </c>
      <c r="E376" s="4">
        <v>12</v>
      </c>
      <c r="F376" s="25">
        <v>43721.734398148146</v>
      </c>
      <c r="G376">
        <v>0</v>
      </c>
      <c r="H376" s="25"/>
      <c r="I376" s="25"/>
      <c r="J376" s="25" t="s">
        <v>300</v>
      </c>
    </row>
    <row r="377" spans="1:10" x14ac:dyDescent="0.25">
      <c r="A377" s="4">
        <v>27515</v>
      </c>
      <c r="B377">
        <v>4940</v>
      </c>
      <c r="C377" s="4">
        <v>14308</v>
      </c>
      <c r="D377" t="s">
        <v>306</v>
      </c>
      <c r="E377" s="4">
        <v>13</v>
      </c>
      <c r="F377" s="25">
        <v>43721.734398148146</v>
      </c>
      <c r="G377">
        <v>0</v>
      </c>
      <c r="H377" s="25"/>
      <c r="I377" s="25"/>
      <c r="J377" s="25" t="s">
        <v>300</v>
      </c>
    </row>
    <row r="378" spans="1:10" x14ac:dyDescent="0.25">
      <c r="A378" s="4">
        <v>27515</v>
      </c>
      <c r="B378">
        <v>4940</v>
      </c>
      <c r="C378" s="4">
        <v>14308</v>
      </c>
      <c r="D378" t="s">
        <v>306</v>
      </c>
      <c r="E378" s="4">
        <v>11</v>
      </c>
      <c r="F378" s="25">
        <v>43721.734386574077</v>
      </c>
      <c r="G378">
        <v>0</v>
      </c>
      <c r="H378" s="25"/>
      <c r="I378" s="25"/>
      <c r="J378" s="25" t="s">
        <v>300</v>
      </c>
    </row>
    <row r="379" spans="1:10" x14ac:dyDescent="0.25">
      <c r="A379" s="4">
        <v>27515</v>
      </c>
      <c r="B379">
        <v>4940</v>
      </c>
      <c r="C379" s="4">
        <v>14308</v>
      </c>
      <c r="D379" t="s">
        <v>306</v>
      </c>
      <c r="E379" s="4">
        <v>9</v>
      </c>
      <c r="F379" s="25">
        <v>43721.734375</v>
      </c>
      <c r="G379">
        <v>0</v>
      </c>
      <c r="H379" s="25"/>
      <c r="I379" s="25"/>
      <c r="J379" s="25" t="s">
        <v>300</v>
      </c>
    </row>
    <row r="380" spans="1:10" x14ac:dyDescent="0.25">
      <c r="A380" s="4">
        <v>27515</v>
      </c>
      <c r="B380">
        <v>4940</v>
      </c>
      <c r="C380" s="4">
        <v>14308</v>
      </c>
      <c r="D380" t="s">
        <v>306</v>
      </c>
      <c r="E380" s="4">
        <v>10</v>
      </c>
      <c r="F380" s="25">
        <v>43721.734375</v>
      </c>
      <c r="G380">
        <v>0</v>
      </c>
      <c r="H380" s="25"/>
      <c r="I380" s="25"/>
      <c r="J380" s="25" t="s">
        <v>300</v>
      </c>
    </row>
    <row r="381" spans="1:10" x14ac:dyDescent="0.25">
      <c r="A381" s="4">
        <v>27515</v>
      </c>
      <c r="B381">
        <v>4940</v>
      </c>
      <c r="C381" s="4">
        <v>14308</v>
      </c>
      <c r="D381" t="s">
        <v>306</v>
      </c>
      <c r="E381" s="4">
        <v>8</v>
      </c>
      <c r="F381" s="25">
        <v>43721.734363425923</v>
      </c>
      <c r="G381">
        <v>0</v>
      </c>
      <c r="H381" s="25"/>
      <c r="I381" s="25"/>
      <c r="J381" s="25" t="s">
        <v>300</v>
      </c>
    </row>
    <row r="382" spans="1:10" x14ac:dyDescent="0.25">
      <c r="A382" s="4">
        <v>27515</v>
      </c>
      <c r="B382">
        <v>4940</v>
      </c>
      <c r="C382" s="4">
        <v>14308</v>
      </c>
      <c r="D382" t="s">
        <v>306</v>
      </c>
      <c r="E382" s="4">
        <v>6</v>
      </c>
      <c r="F382" s="25">
        <v>43721.734351851854</v>
      </c>
      <c r="G382">
        <v>0</v>
      </c>
      <c r="H382" s="25"/>
      <c r="I382" s="25"/>
      <c r="J382" s="25" t="s">
        <v>300</v>
      </c>
    </row>
    <row r="383" spans="1:10" x14ac:dyDescent="0.25">
      <c r="A383" s="4">
        <v>27515</v>
      </c>
      <c r="B383">
        <v>4940</v>
      </c>
      <c r="C383" s="4">
        <v>14308</v>
      </c>
      <c r="D383" t="s">
        <v>306</v>
      </c>
      <c r="E383" s="4">
        <v>7</v>
      </c>
      <c r="F383" s="25">
        <v>43721.734351851854</v>
      </c>
      <c r="G383">
        <v>0</v>
      </c>
      <c r="H383" s="25"/>
      <c r="I383" s="25"/>
      <c r="J383" s="25" t="s">
        <v>300</v>
      </c>
    </row>
    <row r="384" spans="1:10" x14ac:dyDescent="0.25">
      <c r="A384" s="4">
        <v>27515</v>
      </c>
      <c r="B384">
        <v>4940</v>
      </c>
      <c r="C384" s="4">
        <v>14308</v>
      </c>
      <c r="D384" t="s">
        <v>306</v>
      </c>
      <c r="E384" s="4">
        <v>5</v>
      </c>
      <c r="F384" s="25">
        <v>43721.734340277777</v>
      </c>
      <c r="G384">
        <v>0</v>
      </c>
      <c r="H384" s="25"/>
      <c r="I384" s="25"/>
      <c r="J384" s="25" t="s">
        <v>300</v>
      </c>
    </row>
    <row r="385" spans="1:10" x14ac:dyDescent="0.25">
      <c r="A385" s="4">
        <v>27515</v>
      </c>
      <c r="B385">
        <v>4940</v>
      </c>
      <c r="C385" s="4">
        <v>14308</v>
      </c>
      <c r="D385" t="s">
        <v>306</v>
      </c>
      <c r="E385" s="4">
        <v>3</v>
      </c>
      <c r="F385" s="25">
        <v>43721.7343287037</v>
      </c>
      <c r="G385">
        <v>0</v>
      </c>
      <c r="H385" s="25"/>
      <c r="I385" s="25"/>
      <c r="J385" s="25" t="s">
        <v>300</v>
      </c>
    </row>
    <row r="386" spans="1:10" x14ac:dyDescent="0.25">
      <c r="A386" s="4">
        <v>27515</v>
      </c>
      <c r="B386">
        <v>4940</v>
      </c>
      <c r="C386" s="4">
        <v>14308</v>
      </c>
      <c r="D386" t="s">
        <v>306</v>
      </c>
      <c r="E386" s="4">
        <v>4</v>
      </c>
      <c r="F386" s="25">
        <v>43721.7343287037</v>
      </c>
      <c r="G386">
        <v>0</v>
      </c>
      <c r="H386" s="25"/>
      <c r="I386" s="25"/>
      <c r="J386" s="25" t="s">
        <v>300</v>
      </c>
    </row>
    <row r="387" spans="1:10" x14ac:dyDescent="0.25">
      <c r="A387" s="4">
        <v>27515</v>
      </c>
      <c r="B387">
        <v>4940</v>
      </c>
      <c r="C387" s="4">
        <v>14308</v>
      </c>
      <c r="D387" t="s">
        <v>306</v>
      </c>
      <c r="E387" s="4">
        <v>2</v>
      </c>
      <c r="F387" s="25">
        <v>43721.734317129631</v>
      </c>
      <c r="G387">
        <v>0</v>
      </c>
      <c r="H387" s="25"/>
      <c r="I387" s="25"/>
      <c r="J387" s="25" t="s">
        <v>300</v>
      </c>
    </row>
    <row r="388" spans="1:10" x14ac:dyDescent="0.25">
      <c r="A388" s="4">
        <v>27515</v>
      </c>
      <c r="B388">
        <v>4940</v>
      </c>
      <c r="C388" s="4">
        <v>14308</v>
      </c>
      <c r="D388" t="s">
        <v>306</v>
      </c>
      <c r="E388" s="4">
        <v>0</v>
      </c>
      <c r="F388" s="25">
        <v>43721.734305555554</v>
      </c>
      <c r="G388">
        <v>0</v>
      </c>
      <c r="H388" s="25"/>
      <c r="I388" s="25"/>
      <c r="J388" s="25" t="s">
        <v>300</v>
      </c>
    </row>
    <row r="389" spans="1:10" x14ac:dyDescent="0.25">
      <c r="A389" s="4">
        <v>27515</v>
      </c>
      <c r="B389">
        <v>4940</v>
      </c>
      <c r="C389" s="4">
        <v>14308</v>
      </c>
      <c r="D389" t="s">
        <v>306</v>
      </c>
      <c r="E389" s="4">
        <v>1</v>
      </c>
      <c r="F389" s="25">
        <v>43721.734305555554</v>
      </c>
      <c r="G389">
        <v>0</v>
      </c>
      <c r="H389" s="25"/>
      <c r="I389" s="25"/>
      <c r="J389" s="25" t="s">
        <v>300</v>
      </c>
    </row>
    <row r="390" spans="1:10" x14ac:dyDescent="0.25">
      <c r="A390" s="4">
        <v>99</v>
      </c>
      <c r="B390">
        <v>14804</v>
      </c>
      <c r="C390" s="4">
        <v>14308</v>
      </c>
      <c r="D390" t="s">
        <v>7</v>
      </c>
      <c r="E390" s="4">
        <v>0</v>
      </c>
      <c r="F390" s="25">
        <v>43721.729143518518</v>
      </c>
      <c r="G390">
        <v>0</v>
      </c>
      <c r="H390" s="25"/>
      <c r="I390" s="25" t="s">
        <v>350</v>
      </c>
      <c r="J390" s="25" t="s">
        <v>304</v>
      </c>
    </row>
    <row r="391" spans="1:10" x14ac:dyDescent="0.25">
      <c r="A391" s="4">
        <v>99</v>
      </c>
      <c r="B391">
        <v>6948</v>
      </c>
      <c r="C391" s="4">
        <v>14308</v>
      </c>
      <c r="D391" t="s">
        <v>7</v>
      </c>
      <c r="E391" s="4">
        <v>0</v>
      </c>
      <c r="F391" s="25">
        <v>43721.72519675926</v>
      </c>
      <c r="G391">
        <v>0</v>
      </c>
      <c r="H391" s="25"/>
      <c r="I391" s="25" t="s">
        <v>347</v>
      </c>
      <c r="J391" s="25" t="s">
        <v>304</v>
      </c>
    </row>
    <row r="392" spans="1:10" x14ac:dyDescent="0.25">
      <c r="A392" s="4">
        <v>32321</v>
      </c>
      <c r="B392">
        <v>4567</v>
      </c>
      <c r="C392" s="4">
        <v>14308</v>
      </c>
      <c r="D392" t="s">
        <v>306</v>
      </c>
      <c r="E392" s="4">
        <v>5</v>
      </c>
      <c r="F392" s="25">
        <v>43721.708333333336</v>
      </c>
      <c r="G392">
        <v>0</v>
      </c>
      <c r="H392" s="25"/>
      <c r="I392" s="25"/>
      <c r="J392" s="25" t="s">
        <v>300</v>
      </c>
    </row>
    <row r="393" spans="1:10" x14ac:dyDescent="0.25">
      <c r="A393" s="4">
        <v>32321</v>
      </c>
      <c r="B393">
        <v>4567</v>
      </c>
      <c r="C393" s="4">
        <v>14308</v>
      </c>
      <c r="D393" t="s">
        <v>306</v>
      </c>
      <c r="E393" s="4">
        <v>4</v>
      </c>
      <c r="F393" s="25">
        <v>43721.666655092595</v>
      </c>
      <c r="G393">
        <v>0</v>
      </c>
      <c r="H393" s="25"/>
      <c r="I393" s="25"/>
      <c r="J393" s="25" t="s">
        <v>300</v>
      </c>
    </row>
    <row r="394" spans="1:10" x14ac:dyDescent="0.25">
      <c r="A394" s="4">
        <v>32321</v>
      </c>
      <c r="B394">
        <v>4567</v>
      </c>
      <c r="C394" s="4">
        <v>14308</v>
      </c>
      <c r="D394" t="s">
        <v>306</v>
      </c>
      <c r="E394" s="4">
        <v>3</v>
      </c>
      <c r="F394" s="25">
        <v>43721.625</v>
      </c>
      <c r="G394">
        <v>0</v>
      </c>
      <c r="H394" s="25"/>
      <c r="I394" s="25"/>
      <c r="J394" s="25" t="s">
        <v>300</v>
      </c>
    </row>
    <row r="395" spans="1:10" x14ac:dyDescent="0.25">
      <c r="A395" s="4">
        <v>32321</v>
      </c>
      <c r="B395">
        <v>4567</v>
      </c>
      <c r="C395" s="4">
        <v>14308</v>
      </c>
      <c r="D395" t="s">
        <v>306</v>
      </c>
      <c r="E395" s="4">
        <v>2</v>
      </c>
      <c r="F395" s="25">
        <v>43721.583333333336</v>
      </c>
      <c r="G395">
        <v>0</v>
      </c>
      <c r="H395" s="25"/>
      <c r="I395" s="25"/>
      <c r="J395" s="25" t="s">
        <v>300</v>
      </c>
    </row>
    <row r="396" spans="1:10" x14ac:dyDescent="0.25">
      <c r="A396" s="4">
        <v>10783</v>
      </c>
      <c r="B396">
        <v>12591</v>
      </c>
      <c r="C396" s="4">
        <v>14308</v>
      </c>
      <c r="D396" t="s">
        <v>306</v>
      </c>
      <c r="E396" s="4">
        <v>23</v>
      </c>
      <c r="F396" s="25">
        <v>43721.559062499997</v>
      </c>
      <c r="G396">
        <v>0</v>
      </c>
      <c r="H396" s="25"/>
      <c r="I396" s="25"/>
      <c r="J396" s="25" t="s">
        <v>300</v>
      </c>
    </row>
    <row r="397" spans="1:10" x14ac:dyDescent="0.25">
      <c r="A397" s="4">
        <v>10783</v>
      </c>
      <c r="B397">
        <v>12591</v>
      </c>
      <c r="C397" s="4">
        <v>14308</v>
      </c>
      <c r="D397" t="s">
        <v>306</v>
      </c>
      <c r="E397" s="4">
        <v>24</v>
      </c>
      <c r="F397" s="25">
        <v>43721.559062499997</v>
      </c>
      <c r="G397">
        <v>0</v>
      </c>
      <c r="H397" s="25"/>
      <c r="I397" s="25"/>
      <c r="J397" s="25" t="s">
        <v>300</v>
      </c>
    </row>
    <row r="398" spans="1:10" x14ac:dyDescent="0.25">
      <c r="A398" s="4">
        <v>10783</v>
      </c>
      <c r="B398">
        <v>12591</v>
      </c>
      <c r="C398" s="4">
        <v>14308</v>
      </c>
      <c r="D398" t="s">
        <v>306</v>
      </c>
      <c r="E398" s="4">
        <v>22</v>
      </c>
      <c r="F398" s="25">
        <v>43721.559050925927</v>
      </c>
      <c r="G398">
        <v>0</v>
      </c>
      <c r="H398" s="25"/>
      <c r="I398" s="25"/>
      <c r="J398" s="25" t="s">
        <v>300</v>
      </c>
    </row>
    <row r="399" spans="1:10" x14ac:dyDescent="0.25">
      <c r="A399" s="4">
        <v>10783</v>
      </c>
      <c r="B399">
        <v>12591</v>
      </c>
      <c r="C399" s="4">
        <v>14308</v>
      </c>
      <c r="D399" t="s">
        <v>306</v>
      </c>
      <c r="E399" s="4">
        <v>21</v>
      </c>
      <c r="F399" s="25">
        <v>43721.559039351851</v>
      </c>
      <c r="G399">
        <v>0</v>
      </c>
      <c r="H399" s="25"/>
      <c r="I399" s="25"/>
      <c r="J399" s="25" t="s">
        <v>300</v>
      </c>
    </row>
    <row r="400" spans="1:10" x14ac:dyDescent="0.25">
      <c r="A400" s="4">
        <v>10783</v>
      </c>
      <c r="B400">
        <v>12591</v>
      </c>
      <c r="C400" s="4">
        <v>14308</v>
      </c>
      <c r="D400" t="s">
        <v>306</v>
      </c>
      <c r="E400" s="4">
        <v>19</v>
      </c>
      <c r="F400" s="25">
        <v>43721.559027777781</v>
      </c>
      <c r="G400">
        <v>0</v>
      </c>
      <c r="H400" s="25"/>
      <c r="I400" s="25"/>
      <c r="J400" s="25" t="s">
        <v>300</v>
      </c>
    </row>
    <row r="401" spans="1:10" x14ac:dyDescent="0.25">
      <c r="A401" s="4">
        <v>10783</v>
      </c>
      <c r="B401">
        <v>12591</v>
      </c>
      <c r="C401" s="4">
        <v>14308</v>
      </c>
      <c r="D401" t="s">
        <v>306</v>
      </c>
      <c r="E401" s="4">
        <v>20</v>
      </c>
      <c r="F401" s="25">
        <v>43721.559027777781</v>
      </c>
      <c r="G401">
        <v>0</v>
      </c>
      <c r="H401" s="25"/>
      <c r="I401" s="25"/>
      <c r="J401" s="25" t="s">
        <v>300</v>
      </c>
    </row>
    <row r="402" spans="1:10" x14ac:dyDescent="0.25">
      <c r="A402" s="4">
        <v>10783</v>
      </c>
      <c r="B402">
        <v>12591</v>
      </c>
      <c r="C402" s="4">
        <v>14308</v>
      </c>
      <c r="D402" t="s">
        <v>306</v>
      </c>
      <c r="E402" s="4">
        <v>18</v>
      </c>
      <c r="F402" s="25">
        <v>43721.559016203704</v>
      </c>
      <c r="G402">
        <v>0</v>
      </c>
      <c r="H402" s="25"/>
      <c r="I402" s="25"/>
      <c r="J402" s="25" t="s">
        <v>300</v>
      </c>
    </row>
    <row r="403" spans="1:10" x14ac:dyDescent="0.25">
      <c r="A403" s="4">
        <v>10783</v>
      </c>
      <c r="B403">
        <v>12591</v>
      </c>
      <c r="C403" s="4">
        <v>14308</v>
      </c>
      <c r="D403" t="s">
        <v>306</v>
      </c>
      <c r="E403" s="4">
        <v>16</v>
      </c>
      <c r="F403" s="25">
        <v>43721.559004629627</v>
      </c>
      <c r="G403">
        <v>0</v>
      </c>
      <c r="H403" s="25"/>
      <c r="I403" s="25"/>
      <c r="J403" s="25" t="s">
        <v>300</v>
      </c>
    </row>
    <row r="404" spans="1:10" x14ac:dyDescent="0.25">
      <c r="A404" s="4">
        <v>10783</v>
      </c>
      <c r="B404">
        <v>12591</v>
      </c>
      <c r="C404" s="4">
        <v>14308</v>
      </c>
      <c r="D404" t="s">
        <v>306</v>
      </c>
      <c r="E404" s="4">
        <v>17</v>
      </c>
      <c r="F404" s="25">
        <v>43721.559004629627</v>
      </c>
      <c r="G404">
        <v>0</v>
      </c>
      <c r="H404" s="25"/>
      <c r="I404" s="25"/>
      <c r="J404" s="25" t="s">
        <v>300</v>
      </c>
    </row>
    <row r="405" spans="1:10" x14ac:dyDescent="0.25">
      <c r="A405" s="4">
        <v>10783</v>
      </c>
      <c r="B405">
        <v>12591</v>
      </c>
      <c r="C405" s="4">
        <v>14308</v>
      </c>
      <c r="D405" t="s">
        <v>306</v>
      </c>
      <c r="E405" s="4">
        <v>15</v>
      </c>
      <c r="F405" s="25">
        <v>43721.558993055558</v>
      </c>
      <c r="G405">
        <v>0</v>
      </c>
      <c r="H405" s="25"/>
      <c r="I405" s="25"/>
      <c r="J405" s="25" t="s">
        <v>300</v>
      </c>
    </row>
    <row r="406" spans="1:10" x14ac:dyDescent="0.25">
      <c r="A406" s="4">
        <v>10783</v>
      </c>
      <c r="B406">
        <v>12591</v>
      </c>
      <c r="C406" s="4">
        <v>14308</v>
      </c>
      <c r="D406" t="s">
        <v>306</v>
      </c>
      <c r="E406" s="4">
        <v>14</v>
      </c>
      <c r="F406" s="25">
        <v>43721.558981481481</v>
      </c>
      <c r="G406">
        <v>0</v>
      </c>
      <c r="H406" s="25"/>
      <c r="I406" s="25"/>
      <c r="J406" s="25" t="s">
        <v>300</v>
      </c>
    </row>
    <row r="407" spans="1:10" x14ac:dyDescent="0.25">
      <c r="A407" s="4">
        <v>10783</v>
      </c>
      <c r="B407">
        <v>12591</v>
      </c>
      <c r="C407" s="4">
        <v>14308</v>
      </c>
      <c r="D407" t="s">
        <v>306</v>
      </c>
      <c r="E407" s="4">
        <v>12</v>
      </c>
      <c r="F407" s="25">
        <v>43721.558969907404</v>
      </c>
      <c r="G407">
        <v>0</v>
      </c>
      <c r="H407" s="25"/>
      <c r="I407" s="25"/>
      <c r="J407" s="25" t="s">
        <v>300</v>
      </c>
    </row>
    <row r="408" spans="1:10" x14ac:dyDescent="0.25">
      <c r="A408" s="4">
        <v>10783</v>
      </c>
      <c r="B408">
        <v>12591</v>
      </c>
      <c r="C408" s="4">
        <v>14308</v>
      </c>
      <c r="D408" t="s">
        <v>306</v>
      </c>
      <c r="E408" s="4">
        <v>13</v>
      </c>
      <c r="F408" s="25">
        <v>43721.558969907404</v>
      </c>
      <c r="G408">
        <v>0</v>
      </c>
      <c r="H408" s="25"/>
      <c r="I408" s="25"/>
      <c r="J408" s="25" t="s">
        <v>300</v>
      </c>
    </row>
    <row r="409" spans="1:10" x14ac:dyDescent="0.25">
      <c r="A409" s="4">
        <v>10783</v>
      </c>
      <c r="B409">
        <v>12591</v>
      </c>
      <c r="C409" s="4">
        <v>14308</v>
      </c>
      <c r="D409" t="s">
        <v>306</v>
      </c>
      <c r="E409" s="4">
        <v>11</v>
      </c>
      <c r="F409" s="25">
        <v>43721.558958333335</v>
      </c>
      <c r="G409">
        <v>0</v>
      </c>
      <c r="H409" s="25"/>
      <c r="I409" s="25"/>
      <c r="J409" s="25" t="s">
        <v>300</v>
      </c>
    </row>
    <row r="410" spans="1:10" x14ac:dyDescent="0.25">
      <c r="A410" s="4">
        <v>10783</v>
      </c>
      <c r="B410">
        <v>12591</v>
      </c>
      <c r="C410" s="4">
        <v>14308</v>
      </c>
      <c r="D410" t="s">
        <v>306</v>
      </c>
      <c r="E410" s="4">
        <v>9</v>
      </c>
      <c r="F410" s="25">
        <v>43721.558946759258</v>
      </c>
      <c r="G410">
        <v>0</v>
      </c>
      <c r="H410" s="25"/>
      <c r="I410" s="25"/>
      <c r="J410" s="25" t="s">
        <v>300</v>
      </c>
    </row>
    <row r="411" spans="1:10" x14ac:dyDescent="0.25">
      <c r="A411" s="4">
        <v>10783</v>
      </c>
      <c r="B411">
        <v>12591</v>
      </c>
      <c r="C411" s="4">
        <v>14308</v>
      </c>
      <c r="D411" t="s">
        <v>306</v>
      </c>
      <c r="E411" s="4">
        <v>10</v>
      </c>
      <c r="F411" s="25">
        <v>43721.558946759258</v>
      </c>
      <c r="G411">
        <v>0</v>
      </c>
      <c r="H411" s="25"/>
      <c r="I411" s="25"/>
      <c r="J411" s="25" t="s">
        <v>300</v>
      </c>
    </row>
    <row r="412" spans="1:10" x14ac:dyDescent="0.25">
      <c r="A412" s="4">
        <v>10783</v>
      </c>
      <c r="B412">
        <v>12591</v>
      </c>
      <c r="C412" s="4">
        <v>14308</v>
      </c>
      <c r="D412" t="s">
        <v>306</v>
      </c>
      <c r="E412" s="4">
        <v>8</v>
      </c>
      <c r="F412" s="25">
        <v>43721.558935185189</v>
      </c>
      <c r="G412">
        <v>0</v>
      </c>
      <c r="H412" s="25"/>
      <c r="I412" s="25"/>
      <c r="J412" s="25" t="s">
        <v>300</v>
      </c>
    </row>
    <row r="413" spans="1:10" x14ac:dyDescent="0.25">
      <c r="A413" s="4">
        <v>10783</v>
      </c>
      <c r="B413">
        <v>12591</v>
      </c>
      <c r="C413" s="4">
        <v>14308</v>
      </c>
      <c r="D413" t="s">
        <v>306</v>
      </c>
      <c r="E413" s="4">
        <v>6</v>
      </c>
      <c r="F413" s="25">
        <v>43721.558923611112</v>
      </c>
      <c r="G413">
        <v>0</v>
      </c>
      <c r="H413" s="25"/>
      <c r="I413" s="25"/>
      <c r="J413" s="25" t="s">
        <v>300</v>
      </c>
    </row>
    <row r="414" spans="1:10" x14ac:dyDescent="0.25">
      <c r="A414" s="4">
        <v>10783</v>
      </c>
      <c r="B414">
        <v>12591</v>
      </c>
      <c r="C414" s="4">
        <v>14308</v>
      </c>
      <c r="D414" t="s">
        <v>306</v>
      </c>
      <c r="E414" s="4">
        <v>7</v>
      </c>
      <c r="F414" s="25">
        <v>43721.558923611112</v>
      </c>
      <c r="G414">
        <v>0</v>
      </c>
      <c r="H414" s="25"/>
      <c r="I414" s="25"/>
      <c r="J414" s="25" t="s">
        <v>300</v>
      </c>
    </row>
    <row r="415" spans="1:10" x14ac:dyDescent="0.25">
      <c r="A415" s="4">
        <v>10783</v>
      </c>
      <c r="B415">
        <v>12591</v>
      </c>
      <c r="C415" s="4">
        <v>14308</v>
      </c>
      <c r="D415" t="s">
        <v>306</v>
      </c>
      <c r="E415" s="4">
        <v>5</v>
      </c>
      <c r="F415" s="25">
        <v>43721.558912037035</v>
      </c>
      <c r="G415">
        <v>0</v>
      </c>
      <c r="H415" s="25"/>
      <c r="I415" s="25"/>
      <c r="J415" s="25" t="s">
        <v>300</v>
      </c>
    </row>
    <row r="416" spans="1:10" x14ac:dyDescent="0.25">
      <c r="A416" s="4">
        <v>10783</v>
      </c>
      <c r="B416">
        <v>12591</v>
      </c>
      <c r="C416" s="4">
        <v>14308</v>
      </c>
      <c r="D416" t="s">
        <v>306</v>
      </c>
      <c r="E416" s="4">
        <v>4</v>
      </c>
      <c r="F416" s="25">
        <v>43721.558900462966</v>
      </c>
      <c r="G416">
        <v>0</v>
      </c>
      <c r="H416" s="25"/>
      <c r="I416" s="25"/>
      <c r="J416" s="25" t="s">
        <v>300</v>
      </c>
    </row>
    <row r="417" spans="1:10" x14ac:dyDescent="0.25">
      <c r="A417" s="4">
        <v>10783</v>
      </c>
      <c r="B417">
        <v>12591</v>
      </c>
      <c r="C417" s="4">
        <v>14308</v>
      </c>
      <c r="D417" t="s">
        <v>306</v>
      </c>
      <c r="E417" s="4">
        <v>2</v>
      </c>
      <c r="F417" s="25">
        <v>43721.558888888889</v>
      </c>
      <c r="G417">
        <v>0</v>
      </c>
      <c r="H417" s="25"/>
      <c r="I417" s="25"/>
      <c r="J417" s="25" t="s">
        <v>300</v>
      </c>
    </row>
    <row r="418" spans="1:10" x14ac:dyDescent="0.25">
      <c r="A418" s="4">
        <v>10783</v>
      </c>
      <c r="B418">
        <v>12591</v>
      </c>
      <c r="C418" s="4">
        <v>14308</v>
      </c>
      <c r="D418" t="s">
        <v>306</v>
      </c>
      <c r="E418" s="4">
        <v>3</v>
      </c>
      <c r="F418" s="25">
        <v>43721.558888888889</v>
      </c>
      <c r="G418">
        <v>0</v>
      </c>
      <c r="H418" s="25"/>
      <c r="I418" s="25"/>
      <c r="J418" s="25" t="s">
        <v>300</v>
      </c>
    </row>
    <row r="419" spans="1:10" x14ac:dyDescent="0.25">
      <c r="A419" s="4">
        <v>10783</v>
      </c>
      <c r="B419">
        <v>12591</v>
      </c>
      <c r="C419" s="4">
        <v>14308</v>
      </c>
      <c r="D419" t="s">
        <v>306</v>
      </c>
      <c r="E419" s="4">
        <v>1</v>
      </c>
      <c r="F419" s="25">
        <v>43721.558877314812</v>
      </c>
      <c r="G419">
        <v>0</v>
      </c>
      <c r="H419" s="25"/>
      <c r="I419" s="25"/>
      <c r="J419" s="25" t="s">
        <v>300</v>
      </c>
    </row>
    <row r="420" spans="1:10" x14ac:dyDescent="0.25">
      <c r="A420" s="4">
        <v>10783</v>
      </c>
      <c r="B420">
        <v>12591</v>
      </c>
      <c r="C420" s="4">
        <v>14308</v>
      </c>
      <c r="D420" t="s">
        <v>306</v>
      </c>
      <c r="E420" s="4">
        <v>0</v>
      </c>
      <c r="F420" s="25">
        <v>43721.558865740742</v>
      </c>
      <c r="G420">
        <v>0</v>
      </c>
      <c r="H420" s="25"/>
      <c r="I420" s="25"/>
      <c r="J420" s="25" t="s">
        <v>300</v>
      </c>
    </row>
    <row r="421" spans="1:10" x14ac:dyDescent="0.25">
      <c r="A421" s="4">
        <v>32321</v>
      </c>
      <c r="B421">
        <v>4567</v>
      </c>
      <c r="C421" s="4">
        <v>14308</v>
      </c>
      <c r="D421" t="s">
        <v>306</v>
      </c>
      <c r="E421" s="4">
        <v>1</v>
      </c>
      <c r="F421" s="25">
        <v>43721.541666666664</v>
      </c>
      <c r="G421">
        <v>0</v>
      </c>
      <c r="H421" s="25"/>
      <c r="I421" s="25"/>
      <c r="J421" s="25" t="s">
        <v>300</v>
      </c>
    </row>
    <row r="422" spans="1:10" x14ac:dyDescent="0.25">
      <c r="A422" s="4">
        <v>32321</v>
      </c>
      <c r="B422">
        <v>4567</v>
      </c>
      <c r="C422" s="4">
        <v>14308</v>
      </c>
      <c r="D422" t="s">
        <v>306</v>
      </c>
      <c r="E422" s="4">
        <v>0</v>
      </c>
      <c r="F422" s="25">
        <v>43721.519062500003</v>
      </c>
      <c r="G422">
        <v>0</v>
      </c>
      <c r="H422" s="25"/>
      <c r="I422" s="25"/>
      <c r="J422" s="25" t="s">
        <v>300</v>
      </c>
    </row>
    <row r="423" spans="1:10" x14ac:dyDescent="0.25">
      <c r="A423" s="4">
        <v>31995</v>
      </c>
      <c r="B423">
        <v>4568</v>
      </c>
      <c r="C423" s="4">
        <v>14308</v>
      </c>
      <c r="D423" t="s">
        <v>306</v>
      </c>
      <c r="E423" s="4">
        <v>0</v>
      </c>
      <c r="F423" s="25">
        <v>43721.517905092594</v>
      </c>
      <c r="G423">
        <v>0</v>
      </c>
      <c r="H423" s="25"/>
      <c r="I423" s="25"/>
      <c r="J423" s="25" t="s">
        <v>300</v>
      </c>
    </row>
    <row r="424" spans="1:10" x14ac:dyDescent="0.25">
      <c r="A424" s="4">
        <v>30933</v>
      </c>
      <c r="B424">
        <v>12592</v>
      </c>
      <c r="C424" s="4">
        <v>14308</v>
      </c>
      <c r="D424" t="s">
        <v>306</v>
      </c>
      <c r="E424" s="4">
        <v>24</v>
      </c>
      <c r="F424" s="25">
        <v>43721.514317129629</v>
      </c>
      <c r="G424">
        <v>0</v>
      </c>
      <c r="H424" s="25"/>
      <c r="I424" s="25"/>
      <c r="J424" s="25" t="s">
        <v>300</v>
      </c>
    </row>
    <row r="425" spans="1:10" x14ac:dyDescent="0.25">
      <c r="A425" s="4">
        <v>30933</v>
      </c>
      <c r="B425">
        <v>12592</v>
      </c>
      <c r="C425" s="4">
        <v>14308</v>
      </c>
      <c r="D425" t="s">
        <v>306</v>
      </c>
      <c r="E425" s="4">
        <v>23</v>
      </c>
      <c r="F425" s="25">
        <v>43721.514305555553</v>
      </c>
      <c r="G425">
        <v>0</v>
      </c>
      <c r="H425" s="25"/>
      <c r="I425" s="25"/>
      <c r="J425" s="25" t="s">
        <v>300</v>
      </c>
    </row>
    <row r="426" spans="1:10" x14ac:dyDescent="0.25">
      <c r="A426" s="4">
        <v>30933</v>
      </c>
      <c r="B426">
        <v>12592</v>
      </c>
      <c r="C426" s="4">
        <v>14308</v>
      </c>
      <c r="D426" t="s">
        <v>306</v>
      </c>
      <c r="E426" s="4">
        <v>21</v>
      </c>
      <c r="F426" s="25">
        <v>43721.514293981483</v>
      </c>
      <c r="G426">
        <v>0</v>
      </c>
      <c r="H426" s="25"/>
      <c r="I426" s="25"/>
      <c r="J426" s="25" t="s">
        <v>300</v>
      </c>
    </row>
    <row r="427" spans="1:10" x14ac:dyDescent="0.25">
      <c r="A427" s="4">
        <v>30933</v>
      </c>
      <c r="B427">
        <v>12592</v>
      </c>
      <c r="C427" s="4">
        <v>14308</v>
      </c>
      <c r="D427" t="s">
        <v>306</v>
      </c>
      <c r="E427" s="4">
        <v>22</v>
      </c>
      <c r="F427" s="25">
        <v>43721.514293981483</v>
      </c>
      <c r="G427">
        <v>0</v>
      </c>
      <c r="H427" s="25"/>
      <c r="I427" s="25"/>
      <c r="J427" s="25" t="s">
        <v>300</v>
      </c>
    </row>
    <row r="428" spans="1:10" x14ac:dyDescent="0.25">
      <c r="A428" s="4">
        <v>30933</v>
      </c>
      <c r="B428">
        <v>12592</v>
      </c>
      <c r="C428" s="4">
        <v>14308</v>
      </c>
      <c r="D428" t="s">
        <v>306</v>
      </c>
      <c r="E428" s="4">
        <v>19</v>
      </c>
      <c r="F428" s="25">
        <v>43721.514282407406</v>
      </c>
      <c r="G428">
        <v>0</v>
      </c>
      <c r="H428" s="25"/>
      <c r="I428" s="25"/>
      <c r="J428" s="25" t="s">
        <v>300</v>
      </c>
    </row>
    <row r="429" spans="1:10" x14ac:dyDescent="0.25">
      <c r="A429" s="4">
        <v>30933</v>
      </c>
      <c r="B429">
        <v>12592</v>
      </c>
      <c r="C429" s="4">
        <v>14308</v>
      </c>
      <c r="D429" t="s">
        <v>306</v>
      </c>
      <c r="E429" s="4">
        <v>20</v>
      </c>
      <c r="F429" s="25">
        <v>43721.514282407406</v>
      </c>
      <c r="G429">
        <v>0</v>
      </c>
      <c r="H429" s="25"/>
      <c r="I429" s="25"/>
      <c r="J429" s="25" t="s">
        <v>300</v>
      </c>
    </row>
    <row r="430" spans="1:10" x14ac:dyDescent="0.25">
      <c r="A430" s="4">
        <v>30933</v>
      </c>
      <c r="B430">
        <v>12592</v>
      </c>
      <c r="C430" s="4">
        <v>14308</v>
      </c>
      <c r="D430" t="s">
        <v>306</v>
      </c>
      <c r="E430" s="4">
        <v>18</v>
      </c>
      <c r="F430" s="25">
        <v>43721.514270833337</v>
      </c>
      <c r="G430">
        <v>0</v>
      </c>
      <c r="H430" s="25"/>
      <c r="I430" s="25"/>
      <c r="J430" s="25" t="s">
        <v>300</v>
      </c>
    </row>
    <row r="431" spans="1:10" x14ac:dyDescent="0.25">
      <c r="A431" s="4">
        <v>30933</v>
      </c>
      <c r="B431">
        <v>12592</v>
      </c>
      <c r="C431" s="4">
        <v>14308</v>
      </c>
      <c r="D431" t="s">
        <v>306</v>
      </c>
      <c r="E431" s="4">
        <v>16</v>
      </c>
      <c r="F431" s="25">
        <v>43721.51425925926</v>
      </c>
      <c r="G431">
        <v>0</v>
      </c>
      <c r="H431" s="25"/>
      <c r="I431" s="25"/>
      <c r="J431" s="25" t="s">
        <v>300</v>
      </c>
    </row>
    <row r="432" spans="1:10" x14ac:dyDescent="0.25">
      <c r="A432" s="4">
        <v>30933</v>
      </c>
      <c r="B432">
        <v>12592</v>
      </c>
      <c r="C432" s="4">
        <v>14308</v>
      </c>
      <c r="D432" t="s">
        <v>306</v>
      </c>
      <c r="E432" s="4">
        <v>17</v>
      </c>
      <c r="F432" s="25">
        <v>43721.51425925926</v>
      </c>
      <c r="G432">
        <v>0</v>
      </c>
      <c r="H432" s="25"/>
      <c r="I432" s="25"/>
      <c r="J432" s="25" t="s">
        <v>300</v>
      </c>
    </row>
    <row r="433" spans="1:10" x14ac:dyDescent="0.25">
      <c r="A433" s="4">
        <v>30933</v>
      </c>
      <c r="B433">
        <v>12592</v>
      </c>
      <c r="C433" s="4">
        <v>14308</v>
      </c>
      <c r="D433" t="s">
        <v>306</v>
      </c>
      <c r="E433" s="4">
        <v>15</v>
      </c>
      <c r="F433" s="25">
        <v>43721.514247685183</v>
      </c>
      <c r="G433">
        <v>0</v>
      </c>
      <c r="H433" s="25"/>
      <c r="I433" s="25"/>
      <c r="J433" s="25" t="s">
        <v>300</v>
      </c>
    </row>
    <row r="434" spans="1:10" x14ac:dyDescent="0.25">
      <c r="A434" s="4">
        <v>30933</v>
      </c>
      <c r="B434">
        <v>12592</v>
      </c>
      <c r="C434" s="4">
        <v>14308</v>
      </c>
      <c r="D434" t="s">
        <v>306</v>
      </c>
      <c r="E434" s="4">
        <v>13</v>
      </c>
      <c r="F434" s="25">
        <v>43721.514236111114</v>
      </c>
      <c r="G434">
        <v>0</v>
      </c>
      <c r="H434" s="25"/>
      <c r="I434" s="25"/>
      <c r="J434" s="25" t="s">
        <v>300</v>
      </c>
    </row>
    <row r="435" spans="1:10" x14ac:dyDescent="0.25">
      <c r="A435" s="4">
        <v>30933</v>
      </c>
      <c r="B435">
        <v>12592</v>
      </c>
      <c r="C435" s="4">
        <v>14308</v>
      </c>
      <c r="D435" t="s">
        <v>306</v>
      </c>
      <c r="E435" s="4">
        <v>14</v>
      </c>
      <c r="F435" s="25">
        <v>43721.514236111114</v>
      </c>
      <c r="G435">
        <v>0</v>
      </c>
      <c r="H435" s="25"/>
      <c r="I435" s="25"/>
      <c r="J435" s="25" t="s">
        <v>300</v>
      </c>
    </row>
    <row r="436" spans="1:10" x14ac:dyDescent="0.25">
      <c r="A436" s="4">
        <v>30933</v>
      </c>
      <c r="B436">
        <v>12592</v>
      </c>
      <c r="C436" s="4">
        <v>14308</v>
      </c>
      <c r="D436" t="s">
        <v>306</v>
      </c>
      <c r="E436" s="4">
        <v>12</v>
      </c>
      <c r="F436" s="25">
        <v>43721.514224537037</v>
      </c>
      <c r="G436">
        <v>0</v>
      </c>
      <c r="H436" s="25"/>
      <c r="I436" s="25"/>
      <c r="J436" s="25" t="s">
        <v>300</v>
      </c>
    </row>
    <row r="437" spans="1:10" x14ac:dyDescent="0.25">
      <c r="A437" s="4">
        <v>30933</v>
      </c>
      <c r="B437">
        <v>12592</v>
      </c>
      <c r="C437" s="4">
        <v>14308</v>
      </c>
      <c r="D437" t="s">
        <v>306</v>
      </c>
      <c r="E437" s="4">
        <v>10</v>
      </c>
      <c r="F437" s="25">
        <v>43721.51421296296</v>
      </c>
      <c r="G437">
        <v>0</v>
      </c>
      <c r="H437" s="25"/>
      <c r="I437" s="25"/>
      <c r="J437" s="25" t="s">
        <v>300</v>
      </c>
    </row>
    <row r="438" spans="1:10" x14ac:dyDescent="0.25">
      <c r="A438" s="4">
        <v>30933</v>
      </c>
      <c r="B438">
        <v>12592</v>
      </c>
      <c r="C438" s="4">
        <v>14308</v>
      </c>
      <c r="D438" t="s">
        <v>306</v>
      </c>
      <c r="E438" s="4">
        <v>11</v>
      </c>
      <c r="F438" s="25">
        <v>43721.51421296296</v>
      </c>
      <c r="G438">
        <v>0</v>
      </c>
      <c r="H438" s="25"/>
      <c r="I438" s="25"/>
      <c r="J438" s="25" t="s">
        <v>300</v>
      </c>
    </row>
    <row r="439" spans="1:10" x14ac:dyDescent="0.25">
      <c r="A439" s="4">
        <v>30933</v>
      </c>
      <c r="B439">
        <v>12592</v>
      </c>
      <c r="C439" s="4">
        <v>14308</v>
      </c>
      <c r="D439" t="s">
        <v>306</v>
      </c>
      <c r="E439" s="4">
        <v>9</v>
      </c>
      <c r="F439" s="25">
        <v>43721.514201388891</v>
      </c>
      <c r="G439">
        <v>0</v>
      </c>
      <c r="H439" s="25"/>
      <c r="I439" s="25"/>
      <c r="J439" s="25" t="s">
        <v>300</v>
      </c>
    </row>
    <row r="440" spans="1:10" x14ac:dyDescent="0.25">
      <c r="A440" s="4">
        <v>30933</v>
      </c>
      <c r="B440">
        <v>12592</v>
      </c>
      <c r="C440" s="4">
        <v>14308</v>
      </c>
      <c r="D440" t="s">
        <v>306</v>
      </c>
      <c r="E440" s="4">
        <v>7</v>
      </c>
      <c r="F440" s="25">
        <v>43721.514189814814</v>
      </c>
      <c r="G440">
        <v>0</v>
      </c>
      <c r="H440" s="25"/>
      <c r="I440" s="25"/>
      <c r="J440" s="25" t="s">
        <v>300</v>
      </c>
    </row>
    <row r="441" spans="1:10" x14ac:dyDescent="0.25">
      <c r="A441" s="4">
        <v>30933</v>
      </c>
      <c r="B441">
        <v>12592</v>
      </c>
      <c r="C441" s="4">
        <v>14308</v>
      </c>
      <c r="D441" t="s">
        <v>306</v>
      </c>
      <c r="E441" s="4">
        <v>8</v>
      </c>
      <c r="F441" s="25">
        <v>43721.514189814814</v>
      </c>
      <c r="G441">
        <v>0</v>
      </c>
      <c r="H441" s="25"/>
      <c r="I441" s="25"/>
      <c r="J441" s="25" t="s">
        <v>300</v>
      </c>
    </row>
    <row r="442" spans="1:10" x14ac:dyDescent="0.25">
      <c r="A442" s="4">
        <v>30933</v>
      </c>
      <c r="B442">
        <v>12592</v>
      </c>
      <c r="C442" s="4">
        <v>14308</v>
      </c>
      <c r="D442" t="s">
        <v>306</v>
      </c>
      <c r="E442" s="4">
        <v>5</v>
      </c>
      <c r="F442" s="25">
        <v>43721.514178240737</v>
      </c>
      <c r="G442">
        <v>0</v>
      </c>
      <c r="H442" s="25"/>
      <c r="I442" s="25"/>
      <c r="J442" s="25" t="s">
        <v>300</v>
      </c>
    </row>
    <row r="443" spans="1:10" x14ac:dyDescent="0.25">
      <c r="A443" s="4">
        <v>30933</v>
      </c>
      <c r="B443">
        <v>12592</v>
      </c>
      <c r="C443" s="4">
        <v>14308</v>
      </c>
      <c r="D443" t="s">
        <v>306</v>
      </c>
      <c r="E443" s="4">
        <v>6</v>
      </c>
      <c r="F443" s="25">
        <v>43721.514178240737</v>
      </c>
      <c r="G443">
        <v>0</v>
      </c>
      <c r="H443" s="25"/>
      <c r="I443" s="25"/>
      <c r="J443" s="25" t="s">
        <v>300</v>
      </c>
    </row>
    <row r="444" spans="1:10" x14ac:dyDescent="0.25">
      <c r="A444" s="4">
        <v>30933</v>
      </c>
      <c r="B444">
        <v>12592</v>
      </c>
      <c r="C444" s="4">
        <v>14308</v>
      </c>
      <c r="D444" t="s">
        <v>306</v>
      </c>
      <c r="E444" s="4">
        <v>4</v>
      </c>
      <c r="F444" s="25">
        <v>43721.514166666668</v>
      </c>
      <c r="G444">
        <v>0</v>
      </c>
      <c r="H444" s="25"/>
      <c r="I444" s="25"/>
      <c r="J444" s="25" t="s">
        <v>300</v>
      </c>
    </row>
    <row r="445" spans="1:10" x14ac:dyDescent="0.25">
      <c r="A445" s="4">
        <v>30933</v>
      </c>
      <c r="B445">
        <v>12592</v>
      </c>
      <c r="C445" s="4">
        <v>14308</v>
      </c>
      <c r="D445" t="s">
        <v>306</v>
      </c>
      <c r="E445" s="4">
        <v>2</v>
      </c>
      <c r="F445" s="25">
        <v>43721.514155092591</v>
      </c>
      <c r="G445">
        <v>0</v>
      </c>
      <c r="H445" s="25"/>
      <c r="I445" s="25"/>
      <c r="J445" s="25" t="s">
        <v>300</v>
      </c>
    </row>
    <row r="446" spans="1:10" x14ac:dyDescent="0.25">
      <c r="A446" s="4">
        <v>30933</v>
      </c>
      <c r="B446">
        <v>12592</v>
      </c>
      <c r="C446" s="4">
        <v>14308</v>
      </c>
      <c r="D446" t="s">
        <v>306</v>
      </c>
      <c r="E446" s="4">
        <v>3</v>
      </c>
      <c r="F446" s="25">
        <v>43721.514155092591</v>
      </c>
      <c r="G446">
        <v>0</v>
      </c>
      <c r="H446" s="25"/>
      <c r="I446" s="25"/>
      <c r="J446" s="25" t="s">
        <v>300</v>
      </c>
    </row>
    <row r="447" spans="1:10" x14ac:dyDescent="0.25">
      <c r="A447" s="4">
        <v>30933</v>
      </c>
      <c r="B447">
        <v>12592</v>
      </c>
      <c r="C447" s="4">
        <v>14308</v>
      </c>
      <c r="D447" t="s">
        <v>306</v>
      </c>
      <c r="E447" s="4">
        <v>1</v>
      </c>
      <c r="F447" s="25">
        <v>43721.514143518521</v>
      </c>
      <c r="G447">
        <v>0</v>
      </c>
      <c r="H447" s="25"/>
      <c r="I447" s="25"/>
      <c r="J447" s="25" t="s">
        <v>300</v>
      </c>
    </row>
    <row r="448" spans="1:10" x14ac:dyDescent="0.25">
      <c r="A448" s="4">
        <v>30933</v>
      </c>
      <c r="B448">
        <v>12592</v>
      </c>
      <c r="C448" s="4">
        <v>14308</v>
      </c>
      <c r="D448" t="s">
        <v>306</v>
      </c>
      <c r="E448" s="4">
        <v>0</v>
      </c>
      <c r="F448" s="25">
        <v>43721.514131944445</v>
      </c>
      <c r="G448">
        <v>0</v>
      </c>
      <c r="H448" s="25"/>
      <c r="I448" s="25"/>
      <c r="J448" s="25" t="s">
        <v>300</v>
      </c>
    </row>
    <row r="449" spans="1:10" x14ac:dyDescent="0.25">
      <c r="A449" s="4">
        <v>30035</v>
      </c>
      <c r="B449">
        <v>4569</v>
      </c>
      <c r="C449" s="4">
        <v>14308</v>
      </c>
      <c r="D449" t="s">
        <v>306</v>
      </c>
      <c r="E449" s="4">
        <v>0</v>
      </c>
      <c r="F449" s="25">
        <v>43721.510960648149</v>
      </c>
      <c r="G449">
        <v>0</v>
      </c>
      <c r="H449" s="25"/>
      <c r="I449" s="25"/>
      <c r="J449" s="25" t="s">
        <v>300</v>
      </c>
    </row>
    <row r="450" spans="1:10" x14ac:dyDescent="0.25">
      <c r="A450" s="4">
        <v>29503</v>
      </c>
      <c r="B450">
        <v>4570</v>
      </c>
      <c r="C450" s="4">
        <v>14308</v>
      </c>
      <c r="D450" t="s">
        <v>306</v>
      </c>
      <c r="E450" s="4">
        <v>0</v>
      </c>
      <c r="F450" s="25">
        <v>43721.509074074071</v>
      </c>
      <c r="G450">
        <v>0</v>
      </c>
      <c r="H450" s="25"/>
      <c r="I450" s="25"/>
      <c r="J450" s="25" t="s">
        <v>300</v>
      </c>
    </row>
    <row r="451" spans="1:10" x14ac:dyDescent="0.25">
      <c r="A451" s="4">
        <v>28834</v>
      </c>
      <c r="B451">
        <v>4571</v>
      </c>
      <c r="C451" s="4">
        <v>14308</v>
      </c>
      <c r="D451" t="s">
        <v>306</v>
      </c>
      <c r="E451" s="4">
        <v>0</v>
      </c>
      <c r="F451" s="25">
        <v>43721.506701388891</v>
      </c>
      <c r="G451">
        <v>0</v>
      </c>
      <c r="H451" s="25"/>
      <c r="I451" s="25"/>
      <c r="J451" s="25" t="s">
        <v>300</v>
      </c>
    </row>
    <row r="452" spans="1:10" x14ac:dyDescent="0.25">
      <c r="A452" s="4">
        <v>21329</v>
      </c>
      <c r="B452">
        <v>4572</v>
      </c>
      <c r="C452" s="4">
        <v>14308</v>
      </c>
      <c r="D452" t="s">
        <v>306</v>
      </c>
      <c r="E452" s="4">
        <v>1</v>
      </c>
      <c r="F452" s="25">
        <v>43721.5</v>
      </c>
      <c r="G452">
        <v>0</v>
      </c>
      <c r="H452" s="25"/>
      <c r="I452" s="25"/>
      <c r="J452" s="25" t="s">
        <v>300</v>
      </c>
    </row>
    <row r="453" spans="1:10" x14ac:dyDescent="0.25">
      <c r="A453" s="4">
        <v>21329</v>
      </c>
      <c r="B453">
        <v>4572</v>
      </c>
      <c r="C453" s="4">
        <v>14308</v>
      </c>
      <c r="D453" t="s">
        <v>306</v>
      </c>
      <c r="E453" s="4">
        <v>0</v>
      </c>
      <c r="F453" s="25">
        <v>43721.480104166665</v>
      </c>
      <c r="G453">
        <v>0</v>
      </c>
      <c r="H453" s="25"/>
      <c r="I453" s="25"/>
      <c r="J453" s="25" t="s">
        <v>300</v>
      </c>
    </row>
    <row r="454" spans="1:10" x14ac:dyDescent="0.25">
      <c r="A454" s="4">
        <v>99</v>
      </c>
      <c r="B454">
        <v>12096</v>
      </c>
      <c r="C454" s="4">
        <v>14308</v>
      </c>
      <c r="D454" t="s">
        <v>7</v>
      </c>
      <c r="E454" s="4">
        <v>0</v>
      </c>
      <c r="F454" s="25">
        <v>43721.475717592592</v>
      </c>
      <c r="G454">
        <v>0</v>
      </c>
      <c r="H454" s="25"/>
      <c r="I454" s="25" t="s">
        <v>350</v>
      </c>
      <c r="J454" s="25" t="s">
        <v>300</v>
      </c>
    </row>
    <row r="455" spans="1:10" x14ac:dyDescent="0.25">
      <c r="A455" s="4">
        <v>19847</v>
      </c>
      <c r="B455">
        <v>12536</v>
      </c>
      <c r="C455" s="4">
        <v>14308</v>
      </c>
      <c r="D455" t="s">
        <v>306</v>
      </c>
      <c r="E455" s="4">
        <v>0</v>
      </c>
      <c r="F455" s="25">
        <v>43721.474849537037</v>
      </c>
      <c r="G455">
        <v>0</v>
      </c>
      <c r="H455" s="25"/>
      <c r="I455" s="25"/>
      <c r="J455" s="25" t="s">
        <v>300</v>
      </c>
    </row>
    <row r="456" spans="1:10" x14ac:dyDescent="0.25">
      <c r="A456" s="4">
        <v>99</v>
      </c>
      <c r="B456">
        <v>8292</v>
      </c>
      <c r="C456" s="4">
        <v>14308</v>
      </c>
      <c r="D456" t="s">
        <v>7</v>
      </c>
      <c r="E456" s="4">
        <v>0</v>
      </c>
      <c r="F456" s="25">
        <v>43721.468807870369</v>
      </c>
      <c r="G456">
        <v>0</v>
      </c>
      <c r="H456" s="25"/>
      <c r="I456" s="25" t="s">
        <v>333</v>
      </c>
      <c r="J456" s="25" t="s">
        <v>304</v>
      </c>
    </row>
    <row r="457" spans="1:10" x14ac:dyDescent="0.25">
      <c r="A457" s="4">
        <v>31353</v>
      </c>
      <c r="B457">
        <v>1036</v>
      </c>
      <c r="C457" s="4">
        <v>14308</v>
      </c>
      <c r="D457" t="s">
        <v>306</v>
      </c>
      <c r="E457" s="4">
        <v>4</v>
      </c>
      <c r="F457" s="25">
        <v>43720.833344907405</v>
      </c>
      <c r="G457">
        <v>0</v>
      </c>
      <c r="H457" s="25"/>
      <c r="I457" s="25"/>
      <c r="J457" s="25" t="s">
        <v>300</v>
      </c>
    </row>
    <row r="458" spans="1:10" x14ac:dyDescent="0.25">
      <c r="A458" s="4">
        <v>31353</v>
      </c>
      <c r="B458">
        <v>1036</v>
      </c>
      <c r="C458" s="4">
        <v>14308</v>
      </c>
      <c r="D458" t="s">
        <v>306</v>
      </c>
      <c r="E458" s="4">
        <v>3</v>
      </c>
      <c r="F458" s="25">
        <v>43720.791678240741</v>
      </c>
      <c r="G458">
        <v>0</v>
      </c>
      <c r="H458" s="25"/>
      <c r="I458" s="25"/>
      <c r="J458" s="25" t="s">
        <v>300</v>
      </c>
    </row>
    <row r="459" spans="1:10" x14ac:dyDescent="0.25">
      <c r="A459" s="4">
        <v>31353</v>
      </c>
      <c r="B459">
        <v>1036</v>
      </c>
      <c r="C459" s="4">
        <v>14308</v>
      </c>
      <c r="D459" t="s">
        <v>306</v>
      </c>
      <c r="E459" s="4">
        <v>2</v>
      </c>
      <c r="F459" s="25">
        <v>43720.750381944446</v>
      </c>
      <c r="G459">
        <v>0</v>
      </c>
      <c r="H459" s="25"/>
      <c r="I459" s="25"/>
      <c r="J459" s="25" t="s">
        <v>300</v>
      </c>
    </row>
    <row r="460" spans="1:10" x14ac:dyDescent="0.25">
      <c r="A460" s="4">
        <v>31353</v>
      </c>
      <c r="B460">
        <v>1036</v>
      </c>
      <c r="C460" s="4">
        <v>14308</v>
      </c>
      <c r="D460" t="s">
        <v>306</v>
      </c>
      <c r="E460" s="4">
        <v>1</v>
      </c>
      <c r="F460" s="25">
        <v>43720.708298611113</v>
      </c>
      <c r="G460">
        <v>0</v>
      </c>
      <c r="H460" s="25"/>
      <c r="I460" s="25"/>
      <c r="J460" s="25" t="s">
        <v>300</v>
      </c>
    </row>
    <row r="461" spans="1:10" x14ac:dyDescent="0.25">
      <c r="A461" s="4">
        <v>31353</v>
      </c>
      <c r="B461">
        <v>1036</v>
      </c>
      <c r="C461" s="4">
        <v>14308</v>
      </c>
      <c r="D461" t="s">
        <v>306</v>
      </c>
      <c r="E461" s="4">
        <v>0</v>
      </c>
      <c r="F461" s="25">
        <v>43720.702627314815</v>
      </c>
      <c r="G461">
        <v>0</v>
      </c>
      <c r="H461" s="25"/>
      <c r="I461" s="25"/>
      <c r="J461" s="25" t="s">
        <v>300</v>
      </c>
    </row>
    <row r="462" spans="1:10" x14ac:dyDescent="0.25">
      <c r="A462" s="4">
        <v>27558</v>
      </c>
      <c r="B462">
        <v>6844</v>
      </c>
      <c r="C462" s="4">
        <v>14308</v>
      </c>
      <c r="D462" t="s">
        <v>306</v>
      </c>
      <c r="E462" s="4">
        <v>24</v>
      </c>
      <c r="F462" s="25">
        <v>43720.689351851855</v>
      </c>
      <c r="G462">
        <v>0</v>
      </c>
      <c r="H462" s="25"/>
      <c r="I462" s="25"/>
      <c r="J462" s="25" t="s">
        <v>300</v>
      </c>
    </row>
    <row r="463" spans="1:10" x14ac:dyDescent="0.25">
      <c r="A463" s="4">
        <v>27558</v>
      </c>
      <c r="B463">
        <v>6844</v>
      </c>
      <c r="C463" s="4">
        <v>14308</v>
      </c>
      <c r="D463" t="s">
        <v>306</v>
      </c>
      <c r="E463" s="4">
        <v>23</v>
      </c>
      <c r="F463" s="25">
        <v>43720.689340277779</v>
      </c>
      <c r="G463">
        <v>0</v>
      </c>
      <c r="H463" s="25"/>
      <c r="I463" s="25"/>
      <c r="J463" s="25" t="s">
        <v>300</v>
      </c>
    </row>
    <row r="464" spans="1:10" x14ac:dyDescent="0.25">
      <c r="A464" s="4">
        <v>27558</v>
      </c>
      <c r="B464">
        <v>6844</v>
      </c>
      <c r="C464" s="4">
        <v>14308</v>
      </c>
      <c r="D464" t="s">
        <v>306</v>
      </c>
      <c r="E464" s="4">
        <v>21</v>
      </c>
      <c r="F464" s="25">
        <v>43720.689328703702</v>
      </c>
      <c r="G464">
        <v>0</v>
      </c>
      <c r="H464" s="25"/>
      <c r="I464" s="25"/>
      <c r="J464" s="25" t="s">
        <v>300</v>
      </c>
    </row>
    <row r="465" spans="1:10" x14ac:dyDescent="0.25">
      <c r="A465" s="4">
        <v>27558</v>
      </c>
      <c r="B465">
        <v>6844</v>
      </c>
      <c r="C465" s="4">
        <v>14308</v>
      </c>
      <c r="D465" t="s">
        <v>306</v>
      </c>
      <c r="E465" s="4">
        <v>22</v>
      </c>
      <c r="F465" s="25">
        <v>43720.689328703702</v>
      </c>
      <c r="G465">
        <v>0</v>
      </c>
      <c r="H465" s="25"/>
      <c r="I465" s="25"/>
      <c r="J465" s="25" t="s">
        <v>300</v>
      </c>
    </row>
    <row r="466" spans="1:10" x14ac:dyDescent="0.25">
      <c r="A466" s="4">
        <v>27558</v>
      </c>
      <c r="B466">
        <v>6844</v>
      </c>
      <c r="C466" s="4">
        <v>14308</v>
      </c>
      <c r="D466" t="s">
        <v>306</v>
      </c>
      <c r="E466" s="4">
        <v>19</v>
      </c>
      <c r="F466" s="25">
        <v>43720.689317129632</v>
      </c>
      <c r="G466">
        <v>0</v>
      </c>
      <c r="H466" s="25"/>
      <c r="I466" s="25"/>
      <c r="J466" s="25" t="s">
        <v>300</v>
      </c>
    </row>
    <row r="467" spans="1:10" x14ac:dyDescent="0.25">
      <c r="A467" s="4">
        <v>27558</v>
      </c>
      <c r="B467">
        <v>6844</v>
      </c>
      <c r="C467" s="4">
        <v>14308</v>
      </c>
      <c r="D467" t="s">
        <v>306</v>
      </c>
      <c r="E467" s="4">
        <v>20</v>
      </c>
      <c r="F467" s="25">
        <v>43720.689317129632</v>
      </c>
      <c r="G467">
        <v>0</v>
      </c>
      <c r="H467" s="25"/>
      <c r="I467" s="25"/>
      <c r="J467" s="25" t="s">
        <v>300</v>
      </c>
    </row>
    <row r="468" spans="1:10" x14ac:dyDescent="0.25">
      <c r="A468" s="4">
        <v>27558</v>
      </c>
      <c r="B468">
        <v>6844</v>
      </c>
      <c r="C468" s="4">
        <v>14308</v>
      </c>
      <c r="D468" t="s">
        <v>306</v>
      </c>
      <c r="E468" s="4">
        <v>18</v>
      </c>
      <c r="F468" s="25">
        <v>43720.689305555556</v>
      </c>
      <c r="G468">
        <v>0</v>
      </c>
      <c r="H468" s="25"/>
      <c r="I468" s="25"/>
      <c r="J468" s="25" t="s">
        <v>300</v>
      </c>
    </row>
    <row r="469" spans="1:10" x14ac:dyDescent="0.25">
      <c r="A469" s="4">
        <v>27558</v>
      </c>
      <c r="B469">
        <v>6844</v>
      </c>
      <c r="C469" s="4">
        <v>14308</v>
      </c>
      <c r="D469" t="s">
        <v>306</v>
      </c>
      <c r="E469" s="4">
        <v>16</v>
      </c>
      <c r="F469" s="25">
        <v>43720.689293981479</v>
      </c>
      <c r="G469">
        <v>0</v>
      </c>
      <c r="H469" s="25"/>
      <c r="I469" s="25"/>
      <c r="J469" s="25" t="s">
        <v>300</v>
      </c>
    </row>
    <row r="470" spans="1:10" x14ac:dyDescent="0.25">
      <c r="A470" s="4">
        <v>27558</v>
      </c>
      <c r="B470">
        <v>6844</v>
      </c>
      <c r="C470" s="4">
        <v>14308</v>
      </c>
      <c r="D470" t="s">
        <v>306</v>
      </c>
      <c r="E470" s="4">
        <v>17</v>
      </c>
      <c r="F470" s="25">
        <v>43720.689293981479</v>
      </c>
      <c r="G470">
        <v>0</v>
      </c>
      <c r="H470" s="25"/>
      <c r="I470" s="25"/>
      <c r="J470" s="25" t="s">
        <v>300</v>
      </c>
    </row>
    <row r="471" spans="1:10" x14ac:dyDescent="0.25">
      <c r="A471" s="4">
        <v>27558</v>
      </c>
      <c r="B471">
        <v>6844</v>
      </c>
      <c r="C471" s="4">
        <v>14308</v>
      </c>
      <c r="D471" t="s">
        <v>306</v>
      </c>
      <c r="E471" s="4">
        <v>15</v>
      </c>
      <c r="F471" s="25">
        <v>43720.689282407409</v>
      </c>
      <c r="G471">
        <v>0</v>
      </c>
      <c r="H471" s="25"/>
      <c r="I471" s="25"/>
      <c r="J471" s="25" t="s">
        <v>300</v>
      </c>
    </row>
    <row r="472" spans="1:10" x14ac:dyDescent="0.25">
      <c r="A472" s="4">
        <v>27558</v>
      </c>
      <c r="B472">
        <v>6844</v>
      </c>
      <c r="C472" s="4">
        <v>14308</v>
      </c>
      <c r="D472" t="s">
        <v>306</v>
      </c>
      <c r="E472" s="4">
        <v>13</v>
      </c>
      <c r="F472" s="25">
        <v>43720.689270833333</v>
      </c>
      <c r="G472">
        <v>0</v>
      </c>
      <c r="H472" s="25"/>
      <c r="I472" s="25"/>
      <c r="J472" s="25" t="s">
        <v>300</v>
      </c>
    </row>
    <row r="473" spans="1:10" x14ac:dyDescent="0.25">
      <c r="A473" s="4">
        <v>27558</v>
      </c>
      <c r="B473">
        <v>6844</v>
      </c>
      <c r="C473" s="4">
        <v>14308</v>
      </c>
      <c r="D473" t="s">
        <v>306</v>
      </c>
      <c r="E473" s="4">
        <v>14</v>
      </c>
      <c r="F473" s="25">
        <v>43720.689270833333</v>
      </c>
      <c r="G473">
        <v>0</v>
      </c>
      <c r="H473" s="25"/>
      <c r="I473" s="25"/>
      <c r="J473" s="25" t="s">
        <v>300</v>
      </c>
    </row>
    <row r="474" spans="1:10" x14ac:dyDescent="0.25">
      <c r="A474" s="4">
        <v>27558</v>
      </c>
      <c r="B474">
        <v>6844</v>
      </c>
      <c r="C474" s="4">
        <v>14308</v>
      </c>
      <c r="D474" t="s">
        <v>306</v>
      </c>
      <c r="E474" s="4">
        <v>12</v>
      </c>
      <c r="F474" s="25">
        <v>43720.689259259256</v>
      </c>
      <c r="G474">
        <v>0</v>
      </c>
      <c r="H474" s="25"/>
      <c r="I474" s="25"/>
      <c r="J474" s="25" t="s">
        <v>300</v>
      </c>
    </row>
    <row r="475" spans="1:10" x14ac:dyDescent="0.25">
      <c r="A475" s="4">
        <v>27558</v>
      </c>
      <c r="B475">
        <v>6844</v>
      </c>
      <c r="C475" s="4">
        <v>14308</v>
      </c>
      <c r="D475" t="s">
        <v>306</v>
      </c>
      <c r="E475" s="4">
        <v>10</v>
      </c>
      <c r="F475" s="25">
        <v>43720.689247685186</v>
      </c>
      <c r="G475">
        <v>0</v>
      </c>
      <c r="H475" s="25"/>
      <c r="I475" s="25"/>
      <c r="J475" s="25" t="s">
        <v>300</v>
      </c>
    </row>
    <row r="476" spans="1:10" x14ac:dyDescent="0.25">
      <c r="A476" s="4">
        <v>27558</v>
      </c>
      <c r="B476">
        <v>6844</v>
      </c>
      <c r="C476" s="4">
        <v>14308</v>
      </c>
      <c r="D476" t="s">
        <v>306</v>
      </c>
      <c r="E476" s="4">
        <v>11</v>
      </c>
      <c r="F476" s="25">
        <v>43720.689247685186</v>
      </c>
      <c r="G476">
        <v>0</v>
      </c>
      <c r="H476" s="25"/>
      <c r="I476" s="25"/>
      <c r="J476" s="25" t="s">
        <v>300</v>
      </c>
    </row>
    <row r="477" spans="1:10" x14ac:dyDescent="0.25">
      <c r="A477" s="4">
        <v>27558</v>
      </c>
      <c r="B477">
        <v>6844</v>
      </c>
      <c r="C477" s="4">
        <v>14308</v>
      </c>
      <c r="D477" t="s">
        <v>306</v>
      </c>
      <c r="E477" s="4">
        <v>8</v>
      </c>
      <c r="F477" s="25">
        <v>43720.689236111109</v>
      </c>
      <c r="G477">
        <v>0</v>
      </c>
      <c r="H477" s="25"/>
      <c r="I477" s="25"/>
      <c r="J477" s="25" t="s">
        <v>300</v>
      </c>
    </row>
    <row r="478" spans="1:10" x14ac:dyDescent="0.25">
      <c r="A478" s="4">
        <v>27558</v>
      </c>
      <c r="B478">
        <v>6844</v>
      </c>
      <c r="C478" s="4">
        <v>14308</v>
      </c>
      <c r="D478" t="s">
        <v>306</v>
      </c>
      <c r="E478" s="4">
        <v>9</v>
      </c>
      <c r="F478" s="25">
        <v>43720.689236111109</v>
      </c>
      <c r="G478">
        <v>0</v>
      </c>
      <c r="H478" s="25"/>
      <c r="I478" s="25"/>
      <c r="J478" s="25" t="s">
        <v>300</v>
      </c>
    </row>
    <row r="479" spans="1:10" x14ac:dyDescent="0.25">
      <c r="A479" s="4">
        <v>27558</v>
      </c>
      <c r="B479">
        <v>6844</v>
      </c>
      <c r="C479" s="4">
        <v>14308</v>
      </c>
      <c r="D479" t="s">
        <v>306</v>
      </c>
      <c r="E479" s="4">
        <v>7</v>
      </c>
      <c r="F479" s="25">
        <v>43720.68922453704</v>
      </c>
      <c r="G479">
        <v>0</v>
      </c>
      <c r="H479" s="25"/>
      <c r="I479" s="25"/>
      <c r="J479" s="25" t="s">
        <v>300</v>
      </c>
    </row>
    <row r="480" spans="1:10" x14ac:dyDescent="0.25">
      <c r="A480" s="4">
        <v>27558</v>
      </c>
      <c r="B480">
        <v>6844</v>
      </c>
      <c r="C480" s="4">
        <v>14308</v>
      </c>
      <c r="D480" t="s">
        <v>306</v>
      </c>
      <c r="E480" s="4">
        <v>5</v>
      </c>
      <c r="F480" s="25">
        <v>43720.689212962963</v>
      </c>
      <c r="G480">
        <v>0</v>
      </c>
      <c r="H480" s="25"/>
      <c r="I480" s="25"/>
      <c r="J480" s="25" t="s">
        <v>300</v>
      </c>
    </row>
    <row r="481" spans="1:10" x14ac:dyDescent="0.25">
      <c r="A481" s="4">
        <v>27558</v>
      </c>
      <c r="B481">
        <v>6844</v>
      </c>
      <c r="C481" s="4">
        <v>14308</v>
      </c>
      <c r="D481" t="s">
        <v>306</v>
      </c>
      <c r="E481" s="4">
        <v>6</v>
      </c>
      <c r="F481" s="25">
        <v>43720.689212962963</v>
      </c>
      <c r="G481">
        <v>0</v>
      </c>
      <c r="H481" s="25"/>
      <c r="I481" s="25"/>
      <c r="J481" s="25" t="s">
        <v>300</v>
      </c>
    </row>
    <row r="482" spans="1:10" x14ac:dyDescent="0.25">
      <c r="A482" s="4">
        <v>27558</v>
      </c>
      <c r="B482">
        <v>6844</v>
      </c>
      <c r="C482" s="4">
        <v>14308</v>
      </c>
      <c r="D482" t="s">
        <v>306</v>
      </c>
      <c r="E482" s="4">
        <v>4</v>
      </c>
      <c r="F482" s="25">
        <v>43720.689201388886</v>
      </c>
      <c r="G482">
        <v>0</v>
      </c>
      <c r="H482" s="25"/>
      <c r="I482" s="25"/>
      <c r="J482" s="25" t="s">
        <v>300</v>
      </c>
    </row>
    <row r="483" spans="1:10" x14ac:dyDescent="0.25">
      <c r="A483" s="4">
        <v>27558</v>
      </c>
      <c r="B483">
        <v>6844</v>
      </c>
      <c r="C483" s="4">
        <v>14308</v>
      </c>
      <c r="D483" t="s">
        <v>306</v>
      </c>
      <c r="E483" s="4">
        <v>2</v>
      </c>
      <c r="F483" s="25">
        <v>43720.689189814817</v>
      </c>
      <c r="G483">
        <v>0</v>
      </c>
      <c r="H483" s="25"/>
      <c r="I483" s="25"/>
      <c r="J483" s="25" t="s">
        <v>300</v>
      </c>
    </row>
    <row r="484" spans="1:10" x14ac:dyDescent="0.25">
      <c r="A484" s="4">
        <v>27558</v>
      </c>
      <c r="B484">
        <v>6844</v>
      </c>
      <c r="C484" s="4">
        <v>14308</v>
      </c>
      <c r="D484" t="s">
        <v>306</v>
      </c>
      <c r="E484" s="4">
        <v>3</v>
      </c>
      <c r="F484" s="25">
        <v>43720.689189814817</v>
      </c>
      <c r="G484">
        <v>0</v>
      </c>
      <c r="H484" s="25"/>
      <c r="I484" s="25"/>
      <c r="J484" s="25" t="s">
        <v>300</v>
      </c>
    </row>
    <row r="485" spans="1:10" x14ac:dyDescent="0.25">
      <c r="A485" s="4">
        <v>27558</v>
      </c>
      <c r="B485">
        <v>6844</v>
      </c>
      <c r="C485" s="4">
        <v>14308</v>
      </c>
      <c r="D485" t="s">
        <v>306</v>
      </c>
      <c r="E485" s="4">
        <v>1</v>
      </c>
      <c r="F485" s="25">
        <v>43720.68917824074</v>
      </c>
      <c r="G485">
        <v>0</v>
      </c>
      <c r="H485" s="25"/>
      <c r="I485" s="25"/>
      <c r="J485" s="25" t="s">
        <v>300</v>
      </c>
    </row>
    <row r="486" spans="1:10" x14ac:dyDescent="0.25">
      <c r="A486" s="4">
        <v>27558</v>
      </c>
      <c r="B486">
        <v>6844</v>
      </c>
      <c r="C486" s="4">
        <v>14308</v>
      </c>
      <c r="D486" t="s">
        <v>306</v>
      </c>
      <c r="E486" s="4">
        <v>0</v>
      </c>
      <c r="F486" s="25">
        <v>43720.689166666663</v>
      </c>
      <c r="G486">
        <v>0</v>
      </c>
      <c r="H486" s="25"/>
      <c r="I486" s="25"/>
      <c r="J486" s="25" t="s">
        <v>300</v>
      </c>
    </row>
    <row r="487" spans="1:10" x14ac:dyDescent="0.25">
      <c r="A487" s="4">
        <v>25008</v>
      </c>
      <c r="B487">
        <v>10648</v>
      </c>
      <c r="C487" s="4">
        <v>14308</v>
      </c>
      <c r="D487" t="s">
        <v>306</v>
      </c>
      <c r="E487" s="4">
        <v>0</v>
      </c>
      <c r="F487" s="25">
        <v>43720.680138888885</v>
      </c>
      <c r="G487">
        <v>0</v>
      </c>
      <c r="H487" s="25"/>
      <c r="I487" s="25"/>
      <c r="J487" s="25" t="s">
        <v>300</v>
      </c>
    </row>
    <row r="488" spans="1:10" x14ac:dyDescent="0.25">
      <c r="A488" s="4">
        <v>23029</v>
      </c>
      <c r="B488">
        <v>7636</v>
      </c>
      <c r="C488" s="4">
        <v>14308</v>
      </c>
      <c r="D488" t="s">
        <v>306</v>
      </c>
      <c r="E488" s="4">
        <v>24</v>
      </c>
      <c r="F488" s="25">
        <v>43720.673298611109</v>
      </c>
      <c r="G488">
        <v>0</v>
      </c>
      <c r="H488" s="25"/>
      <c r="I488" s="25"/>
      <c r="J488" s="25" t="s">
        <v>300</v>
      </c>
    </row>
    <row r="489" spans="1:10" x14ac:dyDescent="0.25">
      <c r="A489" s="4">
        <v>23029</v>
      </c>
      <c r="B489">
        <v>7636</v>
      </c>
      <c r="C489" s="4">
        <v>14308</v>
      </c>
      <c r="D489" t="s">
        <v>306</v>
      </c>
      <c r="E489" s="4">
        <v>22</v>
      </c>
      <c r="F489" s="25">
        <v>43720.67328703704</v>
      </c>
      <c r="G489">
        <v>0</v>
      </c>
      <c r="H489" s="25"/>
      <c r="I489" s="25"/>
      <c r="J489" s="25" t="s">
        <v>300</v>
      </c>
    </row>
    <row r="490" spans="1:10" x14ac:dyDescent="0.25">
      <c r="A490" s="4">
        <v>23029</v>
      </c>
      <c r="B490">
        <v>7636</v>
      </c>
      <c r="C490" s="4">
        <v>14308</v>
      </c>
      <c r="D490" t="s">
        <v>306</v>
      </c>
      <c r="E490" s="4">
        <v>23</v>
      </c>
      <c r="F490" s="25">
        <v>43720.67328703704</v>
      </c>
      <c r="G490">
        <v>0</v>
      </c>
      <c r="H490" s="25"/>
      <c r="I490" s="25"/>
      <c r="J490" s="25" t="s">
        <v>300</v>
      </c>
    </row>
    <row r="491" spans="1:10" x14ac:dyDescent="0.25">
      <c r="A491" s="4">
        <v>23029</v>
      </c>
      <c r="B491">
        <v>7636</v>
      </c>
      <c r="C491" s="4">
        <v>14308</v>
      </c>
      <c r="D491" t="s">
        <v>306</v>
      </c>
      <c r="E491" s="4">
        <v>21</v>
      </c>
      <c r="F491" s="25">
        <v>43720.673275462963</v>
      </c>
      <c r="G491">
        <v>0</v>
      </c>
      <c r="H491" s="25"/>
      <c r="I491" s="25"/>
      <c r="J491" s="25" t="s">
        <v>300</v>
      </c>
    </row>
    <row r="492" spans="1:10" x14ac:dyDescent="0.25">
      <c r="A492" s="4">
        <v>23029</v>
      </c>
      <c r="B492">
        <v>7636</v>
      </c>
      <c r="C492" s="4">
        <v>14308</v>
      </c>
      <c r="D492" t="s">
        <v>306</v>
      </c>
      <c r="E492" s="4">
        <v>19</v>
      </c>
      <c r="F492" s="25">
        <v>43720.673263888886</v>
      </c>
      <c r="G492">
        <v>0</v>
      </c>
      <c r="H492" s="25"/>
      <c r="I492" s="25"/>
      <c r="J492" s="25" t="s">
        <v>300</v>
      </c>
    </row>
    <row r="493" spans="1:10" x14ac:dyDescent="0.25">
      <c r="A493" s="4">
        <v>23029</v>
      </c>
      <c r="B493">
        <v>7636</v>
      </c>
      <c r="C493" s="4">
        <v>14308</v>
      </c>
      <c r="D493" t="s">
        <v>306</v>
      </c>
      <c r="E493" s="4">
        <v>20</v>
      </c>
      <c r="F493" s="25">
        <v>43720.673263888886</v>
      </c>
      <c r="G493">
        <v>0</v>
      </c>
      <c r="H493" s="25"/>
      <c r="I493" s="25"/>
      <c r="J493" s="25" t="s">
        <v>300</v>
      </c>
    </row>
    <row r="494" spans="1:10" x14ac:dyDescent="0.25">
      <c r="A494" s="4">
        <v>23029</v>
      </c>
      <c r="B494">
        <v>7636</v>
      </c>
      <c r="C494" s="4">
        <v>14308</v>
      </c>
      <c r="D494" t="s">
        <v>306</v>
      </c>
      <c r="E494" s="4">
        <v>18</v>
      </c>
      <c r="F494" s="25">
        <v>43720.673252314817</v>
      </c>
      <c r="G494">
        <v>0</v>
      </c>
      <c r="H494" s="25"/>
      <c r="I494" s="25"/>
      <c r="J494" s="25" t="s">
        <v>300</v>
      </c>
    </row>
    <row r="495" spans="1:10" x14ac:dyDescent="0.25">
      <c r="A495" s="4">
        <v>23029</v>
      </c>
      <c r="B495">
        <v>7636</v>
      </c>
      <c r="C495" s="4">
        <v>14308</v>
      </c>
      <c r="D495" t="s">
        <v>306</v>
      </c>
      <c r="E495" s="4">
        <v>16</v>
      </c>
      <c r="F495" s="25">
        <v>43720.67324074074</v>
      </c>
      <c r="G495">
        <v>0</v>
      </c>
      <c r="H495" s="25"/>
      <c r="I495" s="25"/>
      <c r="J495" s="25" t="s">
        <v>300</v>
      </c>
    </row>
    <row r="496" spans="1:10" x14ac:dyDescent="0.25">
      <c r="A496" s="4">
        <v>23029</v>
      </c>
      <c r="B496">
        <v>7636</v>
      </c>
      <c r="C496" s="4">
        <v>14308</v>
      </c>
      <c r="D496" t="s">
        <v>306</v>
      </c>
      <c r="E496" s="4">
        <v>17</v>
      </c>
      <c r="F496" s="25">
        <v>43720.67324074074</v>
      </c>
      <c r="G496">
        <v>0</v>
      </c>
      <c r="H496" s="25"/>
      <c r="I496" s="25"/>
      <c r="J496" s="25" t="s">
        <v>300</v>
      </c>
    </row>
    <row r="497" spans="1:10" x14ac:dyDescent="0.25">
      <c r="A497" s="4">
        <v>23029</v>
      </c>
      <c r="B497">
        <v>7636</v>
      </c>
      <c r="C497" s="4">
        <v>14308</v>
      </c>
      <c r="D497" t="s">
        <v>306</v>
      </c>
      <c r="E497" s="4">
        <v>15</v>
      </c>
      <c r="F497" s="25">
        <v>43720.673229166663</v>
      </c>
      <c r="G497">
        <v>0</v>
      </c>
      <c r="H497" s="25"/>
      <c r="I497" s="25"/>
      <c r="J497" s="25" t="s">
        <v>300</v>
      </c>
    </row>
    <row r="498" spans="1:10" x14ac:dyDescent="0.25">
      <c r="A498" s="4">
        <v>23029</v>
      </c>
      <c r="B498">
        <v>7636</v>
      </c>
      <c r="C498" s="4">
        <v>14308</v>
      </c>
      <c r="D498" t="s">
        <v>306</v>
      </c>
      <c r="E498" s="4">
        <v>13</v>
      </c>
      <c r="F498" s="25">
        <v>43720.673217592594</v>
      </c>
      <c r="G498">
        <v>0</v>
      </c>
      <c r="H498" s="25"/>
      <c r="I498" s="25"/>
      <c r="J498" s="25" t="s">
        <v>300</v>
      </c>
    </row>
    <row r="499" spans="1:10" x14ac:dyDescent="0.25">
      <c r="A499" s="4">
        <v>23029</v>
      </c>
      <c r="B499">
        <v>7636</v>
      </c>
      <c r="C499" s="4">
        <v>14308</v>
      </c>
      <c r="D499" t="s">
        <v>306</v>
      </c>
      <c r="E499" s="4">
        <v>14</v>
      </c>
      <c r="F499" s="25">
        <v>43720.673217592594</v>
      </c>
      <c r="G499">
        <v>0</v>
      </c>
      <c r="H499" s="25"/>
      <c r="I499" s="25"/>
      <c r="J499" s="25" t="s">
        <v>300</v>
      </c>
    </row>
    <row r="500" spans="1:10" x14ac:dyDescent="0.25">
      <c r="A500" s="4">
        <v>23029</v>
      </c>
      <c r="B500">
        <v>7636</v>
      </c>
      <c r="C500" s="4">
        <v>14308</v>
      </c>
      <c r="D500" t="s">
        <v>306</v>
      </c>
      <c r="E500" s="4">
        <v>12</v>
      </c>
      <c r="F500" s="25">
        <v>43720.673206018517</v>
      </c>
      <c r="G500">
        <v>0</v>
      </c>
      <c r="H500" s="25"/>
      <c r="I500" s="25"/>
      <c r="J500" s="25" t="s">
        <v>300</v>
      </c>
    </row>
    <row r="501" spans="1:10" x14ac:dyDescent="0.25">
      <c r="A501" s="4">
        <v>23029</v>
      </c>
      <c r="B501">
        <v>7636</v>
      </c>
      <c r="C501" s="4">
        <v>14308</v>
      </c>
      <c r="D501" t="s">
        <v>306</v>
      </c>
      <c r="E501" s="4">
        <v>10</v>
      </c>
      <c r="F501" s="25">
        <v>43720.673194444447</v>
      </c>
      <c r="G501">
        <v>0</v>
      </c>
      <c r="H501" s="25"/>
      <c r="I501" s="25"/>
      <c r="J501" s="25" t="s">
        <v>300</v>
      </c>
    </row>
    <row r="502" spans="1:10" x14ac:dyDescent="0.25">
      <c r="A502" s="4">
        <v>23029</v>
      </c>
      <c r="B502">
        <v>7636</v>
      </c>
      <c r="C502" s="4">
        <v>14308</v>
      </c>
      <c r="D502" t="s">
        <v>306</v>
      </c>
      <c r="E502" s="4">
        <v>11</v>
      </c>
      <c r="F502" s="25">
        <v>43720.673194444447</v>
      </c>
      <c r="G502">
        <v>0</v>
      </c>
      <c r="H502" s="25"/>
      <c r="I502" s="25"/>
      <c r="J502" s="25" t="s">
        <v>300</v>
      </c>
    </row>
    <row r="503" spans="1:10" x14ac:dyDescent="0.25">
      <c r="A503" s="4">
        <v>23029</v>
      </c>
      <c r="B503">
        <v>7636</v>
      </c>
      <c r="C503" s="4">
        <v>14308</v>
      </c>
      <c r="D503" t="s">
        <v>306</v>
      </c>
      <c r="E503" s="4">
        <v>8</v>
      </c>
      <c r="F503" s="25">
        <v>43720.673182870371</v>
      </c>
      <c r="G503">
        <v>0</v>
      </c>
      <c r="H503" s="25"/>
      <c r="I503" s="25"/>
      <c r="J503" s="25" t="s">
        <v>300</v>
      </c>
    </row>
    <row r="504" spans="1:10" x14ac:dyDescent="0.25">
      <c r="A504" s="4">
        <v>23029</v>
      </c>
      <c r="B504">
        <v>7636</v>
      </c>
      <c r="C504" s="4">
        <v>14308</v>
      </c>
      <c r="D504" t="s">
        <v>306</v>
      </c>
      <c r="E504" s="4">
        <v>9</v>
      </c>
      <c r="F504" s="25">
        <v>43720.673182870371</v>
      </c>
      <c r="G504">
        <v>0</v>
      </c>
      <c r="H504" s="25"/>
      <c r="I504" s="25"/>
      <c r="J504" s="25" t="s">
        <v>300</v>
      </c>
    </row>
    <row r="505" spans="1:10" x14ac:dyDescent="0.25">
      <c r="A505" s="4">
        <v>23029</v>
      </c>
      <c r="B505">
        <v>7636</v>
      </c>
      <c r="C505" s="4">
        <v>14308</v>
      </c>
      <c r="D505" t="s">
        <v>306</v>
      </c>
      <c r="E505" s="4">
        <v>7</v>
      </c>
      <c r="F505" s="25">
        <v>43720.673171296294</v>
      </c>
      <c r="G505">
        <v>0</v>
      </c>
      <c r="H505" s="25"/>
      <c r="I505" s="25"/>
      <c r="J505" s="25" t="s">
        <v>300</v>
      </c>
    </row>
    <row r="506" spans="1:10" x14ac:dyDescent="0.25">
      <c r="A506" s="4">
        <v>23029</v>
      </c>
      <c r="B506">
        <v>7636</v>
      </c>
      <c r="C506" s="4">
        <v>14308</v>
      </c>
      <c r="D506" t="s">
        <v>306</v>
      </c>
      <c r="E506" s="4">
        <v>5</v>
      </c>
      <c r="F506" s="25">
        <v>43720.673159722224</v>
      </c>
      <c r="G506">
        <v>0</v>
      </c>
      <c r="H506" s="25"/>
      <c r="I506" s="25"/>
      <c r="J506" s="25" t="s">
        <v>300</v>
      </c>
    </row>
    <row r="507" spans="1:10" x14ac:dyDescent="0.25">
      <c r="A507" s="4">
        <v>23029</v>
      </c>
      <c r="B507">
        <v>7636</v>
      </c>
      <c r="C507" s="4">
        <v>14308</v>
      </c>
      <c r="D507" t="s">
        <v>306</v>
      </c>
      <c r="E507" s="4">
        <v>6</v>
      </c>
      <c r="F507" s="25">
        <v>43720.673159722224</v>
      </c>
      <c r="G507">
        <v>0</v>
      </c>
      <c r="H507" s="25"/>
      <c r="I507" s="25"/>
      <c r="J507" s="25" t="s">
        <v>300</v>
      </c>
    </row>
    <row r="508" spans="1:10" x14ac:dyDescent="0.25">
      <c r="A508" s="4">
        <v>23029</v>
      </c>
      <c r="B508">
        <v>7636</v>
      </c>
      <c r="C508" s="4">
        <v>14308</v>
      </c>
      <c r="D508" t="s">
        <v>306</v>
      </c>
      <c r="E508" s="4">
        <v>4</v>
      </c>
      <c r="F508" s="25">
        <v>43720.673148148147</v>
      </c>
      <c r="G508">
        <v>0</v>
      </c>
      <c r="H508" s="25"/>
      <c r="I508" s="25"/>
      <c r="J508" s="25" t="s">
        <v>300</v>
      </c>
    </row>
    <row r="509" spans="1:10" x14ac:dyDescent="0.25">
      <c r="A509" s="4">
        <v>23029</v>
      </c>
      <c r="B509">
        <v>7636</v>
      </c>
      <c r="C509" s="4">
        <v>14308</v>
      </c>
      <c r="D509" t="s">
        <v>306</v>
      </c>
      <c r="E509" s="4">
        <v>2</v>
      </c>
      <c r="F509" s="25">
        <v>43720.673136574071</v>
      </c>
      <c r="G509">
        <v>0</v>
      </c>
      <c r="H509" s="25"/>
      <c r="I509" s="25"/>
      <c r="J509" s="25" t="s">
        <v>300</v>
      </c>
    </row>
    <row r="510" spans="1:10" x14ac:dyDescent="0.25">
      <c r="A510" s="4">
        <v>23029</v>
      </c>
      <c r="B510">
        <v>7636</v>
      </c>
      <c r="C510" s="4">
        <v>14308</v>
      </c>
      <c r="D510" t="s">
        <v>306</v>
      </c>
      <c r="E510" s="4">
        <v>3</v>
      </c>
      <c r="F510" s="25">
        <v>43720.673136574071</v>
      </c>
      <c r="G510">
        <v>0</v>
      </c>
      <c r="H510" s="25"/>
      <c r="I510" s="25"/>
      <c r="J510" s="25" t="s">
        <v>300</v>
      </c>
    </row>
    <row r="511" spans="1:10" x14ac:dyDescent="0.25">
      <c r="A511" s="4">
        <v>23029</v>
      </c>
      <c r="B511">
        <v>7636</v>
      </c>
      <c r="C511" s="4">
        <v>14308</v>
      </c>
      <c r="D511" t="s">
        <v>306</v>
      </c>
      <c r="E511" s="4">
        <v>0</v>
      </c>
      <c r="F511" s="25">
        <v>43720.673125000001</v>
      </c>
      <c r="G511">
        <v>0</v>
      </c>
      <c r="H511" s="25"/>
      <c r="I511" s="25"/>
      <c r="J511" s="25" t="s">
        <v>300</v>
      </c>
    </row>
    <row r="512" spans="1:10" x14ac:dyDescent="0.25">
      <c r="A512" s="4">
        <v>23029</v>
      </c>
      <c r="B512">
        <v>7636</v>
      </c>
      <c r="C512" s="4">
        <v>14308</v>
      </c>
      <c r="D512" t="s">
        <v>306</v>
      </c>
      <c r="E512" s="4">
        <v>1</v>
      </c>
      <c r="F512" s="25">
        <v>43720.673125000001</v>
      </c>
      <c r="G512">
        <v>0</v>
      </c>
      <c r="H512" s="25"/>
      <c r="I512" s="25"/>
      <c r="J512" s="25" t="s">
        <v>300</v>
      </c>
    </row>
    <row r="513" spans="1:10" x14ac:dyDescent="0.25">
      <c r="A513" s="4">
        <v>23921</v>
      </c>
      <c r="B513">
        <v>11594</v>
      </c>
      <c r="C513" s="4">
        <v>14308</v>
      </c>
      <c r="D513" t="s">
        <v>306</v>
      </c>
      <c r="E513" s="4">
        <v>0</v>
      </c>
      <c r="F513" s="25">
        <v>43719.980497685188</v>
      </c>
      <c r="G513">
        <v>0</v>
      </c>
      <c r="H513" s="25"/>
      <c r="I513" s="25"/>
      <c r="J513" s="25" t="s">
        <v>300</v>
      </c>
    </row>
    <row r="514" spans="1:10" x14ac:dyDescent="0.25">
      <c r="A514" s="4">
        <v>21224</v>
      </c>
      <c r="B514">
        <v>11595</v>
      </c>
      <c r="C514" s="4">
        <v>14308</v>
      </c>
      <c r="D514" t="s">
        <v>306</v>
      </c>
      <c r="E514" s="4">
        <v>0</v>
      </c>
      <c r="F514" s="25">
        <v>43719.978576388887</v>
      </c>
      <c r="G514">
        <v>0</v>
      </c>
      <c r="H514" s="25"/>
      <c r="I514" s="25"/>
      <c r="J514" s="25" t="s">
        <v>300</v>
      </c>
    </row>
    <row r="515" spans="1:10" x14ac:dyDescent="0.25">
      <c r="A515" s="4">
        <v>18102</v>
      </c>
      <c r="B515">
        <v>11596</v>
      </c>
      <c r="C515" s="4">
        <v>14308</v>
      </c>
      <c r="D515" t="s">
        <v>306</v>
      </c>
      <c r="E515" s="4">
        <v>0</v>
      </c>
      <c r="F515" s="25">
        <v>43719.969363425924</v>
      </c>
      <c r="G515">
        <v>0</v>
      </c>
      <c r="H515" s="25"/>
      <c r="I515" s="25"/>
      <c r="J515" s="25" t="s">
        <v>300</v>
      </c>
    </row>
    <row r="516" spans="1:10" x14ac:dyDescent="0.25">
      <c r="A516" s="4">
        <v>28895</v>
      </c>
      <c r="B516">
        <v>13892</v>
      </c>
      <c r="C516" s="4">
        <v>14308</v>
      </c>
      <c r="D516" t="s">
        <v>306</v>
      </c>
      <c r="E516" s="4">
        <v>24</v>
      </c>
      <c r="F516" s="25">
        <v>43719.649016203701</v>
      </c>
      <c r="G516">
        <v>0</v>
      </c>
      <c r="H516" s="25"/>
      <c r="I516" s="25"/>
      <c r="J516" s="25" t="s">
        <v>300</v>
      </c>
    </row>
    <row r="517" spans="1:10" x14ac:dyDescent="0.25">
      <c r="A517" s="4">
        <v>28895</v>
      </c>
      <c r="B517">
        <v>13892</v>
      </c>
      <c r="C517" s="4">
        <v>14308</v>
      </c>
      <c r="D517" t="s">
        <v>306</v>
      </c>
      <c r="E517" s="4">
        <v>23</v>
      </c>
      <c r="F517" s="25">
        <v>43719.649004629631</v>
      </c>
      <c r="G517">
        <v>0</v>
      </c>
      <c r="H517" s="25"/>
      <c r="I517" s="25"/>
      <c r="J517" s="25" t="s">
        <v>300</v>
      </c>
    </row>
    <row r="518" spans="1:10" x14ac:dyDescent="0.25">
      <c r="A518" s="4">
        <v>28895</v>
      </c>
      <c r="B518">
        <v>13892</v>
      </c>
      <c r="C518" s="4">
        <v>14308</v>
      </c>
      <c r="D518" t="s">
        <v>306</v>
      </c>
      <c r="E518" s="4">
        <v>21</v>
      </c>
      <c r="F518" s="25">
        <v>43719.648993055554</v>
      </c>
      <c r="G518">
        <v>0</v>
      </c>
      <c r="H518" s="25"/>
      <c r="I518" s="25"/>
      <c r="J518" s="25" t="s">
        <v>300</v>
      </c>
    </row>
    <row r="519" spans="1:10" x14ac:dyDescent="0.25">
      <c r="A519" s="4">
        <v>28895</v>
      </c>
      <c r="B519">
        <v>13892</v>
      </c>
      <c r="C519" s="4">
        <v>14308</v>
      </c>
      <c r="D519" t="s">
        <v>306</v>
      </c>
      <c r="E519" s="4">
        <v>22</v>
      </c>
      <c r="F519" s="25">
        <v>43719.648993055554</v>
      </c>
      <c r="G519">
        <v>0</v>
      </c>
      <c r="H519" s="25"/>
      <c r="I519" s="25"/>
      <c r="J519" s="25" t="s">
        <v>300</v>
      </c>
    </row>
    <row r="520" spans="1:10" x14ac:dyDescent="0.25">
      <c r="A520" s="4">
        <v>28895</v>
      </c>
      <c r="B520">
        <v>13892</v>
      </c>
      <c r="C520" s="4">
        <v>14308</v>
      </c>
      <c r="D520" t="s">
        <v>306</v>
      </c>
      <c r="E520" s="4">
        <v>20</v>
      </c>
      <c r="F520" s="25">
        <v>43719.648981481485</v>
      </c>
      <c r="G520">
        <v>0</v>
      </c>
      <c r="H520" s="25"/>
      <c r="I520" s="25"/>
      <c r="J520" s="25" t="s">
        <v>300</v>
      </c>
    </row>
    <row r="521" spans="1:10" x14ac:dyDescent="0.25">
      <c r="A521" s="4">
        <v>28895</v>
      </c>
      <c r="B521">
        <v>13892</v>
      </c>
      <c r="C521" s="4">
        <v>14308</v>
      </c>
      <c r="D521" t="s">
        <v>306</v>
      </c>
      <c r="E521" s="4">
        <v>18</v>
      </c>
      <c r="F521" s="25">
        <v>43719.648969907408</v>
      </c>
      <c r="G521">
        <v>0</v>
      </c>
      <c r="H521" s="25"/>
      <c r="I521" s="25"/>
      <c r="J521" s="25" t="s">
        <v>300</v>
      </c>
    </row>
    <row r="522" spans="1:10" x14ac:dyDescent="0.25">
      <c r="A522" s="4">
        <v>28895</v>
      </c>
      <c r="B522">
        <v>13892</v>
      </c>
      <c r="C522" s="4">
        <v>14308</v>
      </c>
      <c r="D522" t="s">
        <v>306</v>
      </c>
      <c r="E522" s="4">
        <v>19</v>
      </c>
      <c r="F522" s="25">
        <v>43719.648969907408</v>
      </c>
      <c r="G522">
        <v>0</v>
      </c>
      <c r="H522" s="25"/>
      <c r="I522" s="25"/>
      <c r="J522" s="25" t="s">
        <v>300</v>
      </c>
    </row>
    <row r="523" spans="1:10" x14ac:dyDescent="0.25">
      <c r="A523" s="4">
        <v>28895</v>
      </c>
      <c r="B523">
        <v>13892</v>
      </c>
      <c r="C523" s="4">
        <v>14308</v>
      </c>
      <c r="D523" t="s">
        <v>306</v>
      </c>
      <c r="E523" s="4">
        <v>17</v>
      </c>
      <c r="F523" s="25">
        <v>43719.648958333331</v>
      </c>
      <c r="G523">
        <v>0</v>
      </c>
      <c r="H523" s="25"/>
      <c r="I523" s="25"/>
      <c r="J523" s="25" t="s">
        <v>300</v>
      </c>
    </row>
    <row r="524" spans="1:10" x14ac:dyDescent="0.25">
      <c r="A524" s="4">
        <v>28895</v>
      </c>
      <c r="B524">
        <v>13892</v>
      </c>
      <c r="C524" s="4">
        <v>14308</v>
      </c>
      <c r="D524" t="s">
        <v>306</v>
      </c>
      <c r="E524" s="4">
        <v>15</v>
      </c>
      <c r="F524" s="25">
        <v>43719.648946759262</v>
      </c>
      <c r="G524">
        <v>0</v>
      </c>
      <c r="H524" s="25"/>
      <c r="I524" s="25"/>
      <c r="J524" s="25" t="s">
        <v>300</v>
      </c>
    </row>
    <row r="525" spans="1:10" x14ac:dyDescent="0.25">
      <c r="A525" s="4">
        <v>28895</v>
      </c>
      <c r="B525">
        <v>13892</v>
      </c>
      <c r="C525" s="4">
        <v>14308</v>
      </c>
      <c r="D525" t="s">
        <v>306</v>
      </c>
      <c r="E525" s="4">
        <v>16</v>
      </c>
      <c r="F525" s="25">
        <v>43719.648946759262</v>
      </c>
      <c r="G525">
        <v>0</v>
      </c>
      <c r="H525" s="25"/>
      <c r="I525" s="25"/>
      <c r="J525" s="25" t="s">
        <v>300</v>
      </c>
    </row>
    <row r="526" spans="1:10" x14ac:dyDescent="0.25">
      <c r="A526" s="4">
        <v>28895</v>
      </c>
      <c r="B526">
        <v>13892</v>
      </c>
      <c r="C526" s="4">
        <v>14308</v>
      </c>
      <c r="D526" t="s">
        <v>306</v>
      </c>
      <c r="E526" s="4">
        <v>13</v>
      </c>
      <c r="F526" s="25">
        <v>43719.648935185185</v>
      </c>
      <c r="G526">
        <v>0</v>
      </c>
      <c r="H526" s="25"/>
      <c r="I526" s="25"/>
      <c r="J526" s="25" t="s">
        <v>300</v>
      </c>
    </row>
    <row r="527" spans="1:10" x14ac:dyDescent="0.25">
      <c r="A527" s="4">
        <v>28895</v>
      </c>
      <c r="B527">
        <v>13892</v>
      </c>
      <c r="C527" s="4">
        <v>14308</v>
      </c>
      <c r="D527" t="s">
        <v>306</v>
      </c>
      <c r="E527" s="4">
        <v>14</v>
      </c>
      <c r="F527" s="25">
        <v>43719.648935185185</v>
      </c>
      <c r="G527">
        <v>0</v>
      </c>
      <c r="H527" s="25"/>
      <c r="I527" s="25"/>
      <c r="J527" s="25" t="s">
        <v>300</v>
      </c>
    </row>
    <row r="528" spans="1:10" x14ac:dyDescent="0.25">
      <c r="A528" s="4">
        <v>28895</v>
      </c>
      <c r="B528">
        <v>13892</v>
      </c>
      <c r="C528" s="4">
        <v>14308</v>
      </c>
      <c r="D528" t="s">
        <v>306</v>
      </c>
      <c r="E528" s="4">
        <v>12</v>
      </c>
      <c r="F528" s="25">
        <v>43719.648923611108</v>
      </c>
      <c r="G528">
        <v>0</v>
      </c>
      <c r="H528" s="25"/>
      <c r="I528" s="25"/>
      <c r="J528" s="25" t="s">
        <v>300</v>
      </c>
    </row>
    <row r="529" spans="1:10" x14ac:dyDescent="0.25">
      <c r="A529" s="4">
        <v>28895</v>
      </c>
      <c r="B529">
        <v>13892</v>
      </c>
      <c r="C529" s="4">
        <v>14308</v>
      </c>
      <c r="D529" t="s">
        <v>306</v>
      </c>
      <c r="E529" s="4">
        <v>10</v>
      </c>
      <c r="F529" s="25">
        <v>43719.648912037039</v>
      </c>
      <c r="G529">
        <v>0</v>
      </c>
      <c r="H529" s="25"/>
      <c r="I529" s="25"/>
      <c r="J529" s="25" t="s">
        <v>300</v>
      </c>
    </row>
    <row r="530" spans="1:10" x14ac:dyDescent="0.25">
      <c r="A530" s="4">
        <v>28895</v>
      </c>
      <c r="B530">
        <v>13892</v>
      </c>
      <c r="C530" s="4">
        <v>14308</v>
      </c>
      <c r="D530" t="s">
        <v>306</v>
      </c>
      <c r="E530" s="4">
        <v>11</v>
      </c>
      <c r="F530" s="25">
        <v>43719.648912037039</v>
      </c>
      <c r="G530">
        <v>0</v>
      </c>
      <c r="H530" s="25"/>
      <c r="I530" s="25"/>
      <c r="J530" s="25" t="s">
        <v>300</v>
      </c>
    </row>
    <row r="531" spans="1:10" x14ac:dyDescent="0.25">
      <c r="A531" s="4">
        <v>28895</v>
      </c>
      <c r="B531">
        <v>13892</v>
      </c>
      <c r="C531" s="4">
        <v>14308</v>
      </c>
      <c r="D531" t="s">
        <v>306</v>
      </c>
      <c r="E531" s="4">
        <v>9</v>
      </c>
      <c r="F531" s="25">
        <v>43719.648900462962</v>
      </c>
      <c r="G531">
        <v>0</v>
      </c>
      <c r="H531" s="25"/>
      <c r="I531" s="25"/>
      <c r="J531" s="25" t="s">
        <v>300</v>
      </c>
    </row>
    <row r="532" spans="1:10" x14ac:dyDescent="0.25">
      <c r="A532" s="4">
        <v>28895</v>
      </c>
      <c r="B532">
        <v>13892</v>
      </c>
      <c r="C532" s="4">
        <v>14308</v>
      </c>
      <c r="D532" t="s">
        <v>306</v>
      </c>
      <c r="E532" s="4">
        <v>7</v>
      </c>
      <c r="F532" s="25">
        <v>43719.648888888885</v>
      </c>
      <c r="G532">
        <v>0</v>
      </c>
      <c r="H532" s="25"/>
      <c r="I532" s="25"/>
      <c r="J532" s="25" t="s">
        <v>300</v>
      </c>
    </row>
    <row r="533" spans="1:10" x14ac:dyDescent="0.25">
      <c r="A533" s="4">
        <v>28895</v>
      </c>
      <c r="B533">
        <v>13892</v>
      </c>
      <c r="C533" s="4">
        <v>14308</v>
      </c>
      <c r="D533" t="s">
        <v>306</v>
      </c>
      <c r="E533" s="4">
        <v>8</v>
      </c>
      <c r="F533" s="25">
        <v>43719.648888888885</v>
      </c>
      <c r="G533">
        <v>0</v>
      </c>
      <c r="H533" s="25"/>
      <c r="I533" s="25"/>
      <c r="J533" s="25" t="s">
        <v>300</v>
      </c>
    </row>
    <row r="534" spans="1:10" x14ac:dyDescent="0.25">
      <c r="A534" s="4">
        <v>28895</v>
      </c>
      <c r="B534">
        <v>13892</v>
      </c>
      <c r="C534" s="4">
        <v>14308</v>
      </c>
      <c r="D534" t="s">
        <v>306</v>
      </c>
      <c r="E534" s="4">
        <v>6</v>
      </c>
      <c r="F534" s="25">
        <v>43719.648877314816</v>
      </c>
      <c r="G534">
        <v>0</v>
      </c>
      <c r="H534" s="25"/>
      <c r="I534" s="25"/>
      <c r="J534" s="25" t="s">
        <v>300</v>
      </c>
    </row>
    <row r="535" spans="1:10" x14ac:dyDescent="0.25">
      <c r="A535" s="4">
        <v>28895</v>
      </c>
      <c r="B535">
        <v>13892</v>
      </c>
      <c r="C535" s="4">
        <v>14308</v>
      </c>
      <c r="D535" t="s">
        <v>306</v>
      </c>
      <c r="E535" s="4">
        <v>4</v>
      </c>
      <c r="F535" s="25">
        <v>43719.648865740739</v>
      </c>
      <c r="G535">
        <v>0</v>
      </c>
      <c r="H535" s="25"/>
      <c r="I535" s="25"/>
      <c r="J535" s="25" t="s">
        <v>300</v>
      </c>
    </row>
    <row r="536" spans="1:10" x14ac:dyDescent="0.25">
      <c r="A536" s="4">
        <v>28895</v>
      </c>
      <c r="B536">
        <v>13892</v>
      </c>
      <c r="C536" s="4">
        <v>14308</v>
      </c>
      <c r="D536" t="s">
        <v>306</v>
      </c>
      <c r="E536" s="4">
        <v>5</v>
      </c>
      <c r="F536" s="25">
        <v>43719.648865740739</v>
      </c>
      <c r="G536">
        <v>0</v>
      </c>
      <c r="H536" s="25"/>
      <c r="I536" s="25"/>
      <c r="J536" s="25" t="s">
        <v>300</v>
      </c>
    </row>
    <row r="537" spans="1:10" x14ac:dyDescent="0.25">
      <c r="A537" s="4">
        <v>28895</v>
      </c>
      <c r="B537">
        <v>13892</v>
      </c>
      <c r="C537" s="4">
        <v>14308</v>
      </c>
      <c r="D537" t="s">
        <v>306</v>
      </c>
      <c r="E537" s="4">
        <v>3</v>
      </c>
      <c r="F537" s="25">
        <v>43719.648854166669</v>
      </c>
      <c r="G537">
        <v>0</v>
      </c>
      <c r="H537" s="25"/>
      <c r="I537" s="25"/>
      <c r="J537" s="25" t="s">
        <v>300</v>
      </c>
    </row>
    <row r="538" spans="1:10" x14ac:dyDescent="0.25">
      <c r="A538" s="4">
        <v>28895</v>
      </c>
      <c r="B538">
        <v>13892</v>
      </c>
      <c r="C538" s="4">
        <v>14308</v>
      </c>
      <c r="D538" t="s">
        <v>306</v>
      </c>
      <c r="E538" s="4">
        <v>1</v>
      </c>
      <c r="F538" s="25">
        <v>43719.648842592593</v>
      </c>
      <c r="G538">
        <v>0</v>
      </c>
      <c r="H538" s="25"/>
      <c r="I538" s="25"/>
      <c r="J538" s="25" t="s">
        <v>300</v>
      </c>
    </row>
    <row r="539" spans="1:10" x14ac:dyDescent="0.25">
      <c r="A539" s="4">
        <v>28895</v>
      </c>
      <c r="B539">
        <v>13892</v>
      </c>
      <c r="C539" s="4">
        <v>14308</v>
      </c>
      <c r="D539" t="s">
        <v>306</v>
      </c>
      <c r="E539" s="4">
        <v>2</v>
      </c>
      <c r="F539" s="25">
        <v>43719.648842592593</v>
      </c>
      <c r="G539">
        <v>0</v>
      </c>
      <c r="H539" s="25"/>
      <c r="I539" s="25"/>
      <c r="J539" s="25" t="s">
        <v>300</v>
      </c>
    </row>
    <row r="540" spans="1:10" x14ac:dyDescent="0.25">
      <c r="A540" s="4">
        <v>28895</v>
      </c>
      <c r="B540">
        <v>13892</v>
      </c>
      <c r="C540" s="4">
        <v>14308</v>
      </c>
      <c r="D540" t="s">
        <v>306</v>
      </c>
      <c r="E540" s="4">
        <v>0</v>
      </c>
      <c r="F540" s="25">
        <v>43719.648831018516</v>
      </c>
      <c r="G540">
        <v>0</v>
      </c>
      <c r="H540" s="25"/>
      <c r="I540" s="25"/>
      <c r="J540" s="25" t="s">
        <v>300</v>
      </c>
    </row>
    <row r="541" spans="1:10" x14ac:dyDescent="0.25">
      <c r="A541" s="4">
        <v>26387</v>
      </c>
      <c r="B541">
        <v>4180</v>
      </c>
      <c r="C541" s="4">
        <v>14308</v>
      </c>
      <c r="D541" t="s">
        <v>306</v>
      </c>
      <c r="E541" s="4">
        <v>24</v>
      </c>
      <c r="F541" s="25">
        <v>43719.641597222224</v>
      </c>
      <c r="G541">
        <v>0</v>
      </c>
      <c r="H541" s="25"/>
      <c r="I541" s="25"/>
      <c r="J541" s="25" t="s">
        <v>300</v>
      </c>
    </row>
    <row r="542" spans="1:10" x14ac:dyDescent="0.25">
      <c r="A542" s="4">
        <v>26387</v>
      </c>
      <c r="B542">
        <v>4180</v>
      </c>
      <c r="C542" s="4">
        <v>14308</v>
      </c>
      <c r="D542" t="s">
        <v>306</v>
      </c>
      <c r="E542" s="4">
        <v>23</v>
      </c>
      <c r="F542" s="25">
        <v>43719.641585648147</v>
      </c>
      <c r="G542">
        <v>0</v>
      </c>
      <c r="H542" s="25"/>
      <c r="I542" s="25"/>
      <c r="J542" s="25" t="s">
        <v>300</v>
      </c>
    </row>
    <row r="543" spans="1:10" x14ac:dyDescent="0.25">
      <c r="A543" s="4">
        <v>26387</v>
      </c>
      <c r="B543">
        <v>4180</v>
      </c>
      <c r="C543" s="4">
        <v>14308</v>
      </c>
      <c r="D543" t="s">
        <v>306</v>
      </c>
      <c r="E543" s="4">
        <v>21</v>
      </c>
      <c r="F543" s="25">
        <v>43719.641574074078</v>
      </c>
      <c r="G543">
        <v>0</v>
      </c>
      <c r="H543" s="25"/>
      <c r="I543" s="25"/>
      <c r="J543" s="25" t="s">
        <v>300</v>
      </c>
    </row>
    <row r="544" spans="1:10" x14ac:dyDescent="0.25">
      <c r="A544" s="4">
        <v>26387</v>
      </c>
      <c r="B544">
        <v>4180</v>
      </c>
      <c r="C544" s="4">
        <v>14308</v>
      </c>
      <c r="D544" t="s">
        <v>306</v>
      </c>
      <c r="E544" s="4">
        <v>22</v>
      </c>
      <c r="F544" s="25">
        <v>43719.641574074078</v>
      </c>
      <c r="G544">
        <v>0</v>
      </c>
      <c r="H544" s="25"/>
      <c r="I544" s="25"/>
      <c r="J544" s="25" t="s">
        <v>300</v>
      </c>
    </row>
    <row r="545" spans="1:10" x14ac:dyDescent="0.25">
      <c r="A545" s="4">
        <v>26387</v>
      </c>
      <c r="B545">
        <v>4180</v>
      </c>
      <c r="C545" s="4">
        <v>14308</v>
      </c>
      <c r="D545" t="s">
        <v>306</v>
      </c>
      <c r="E545" s="4">
        <v>20</v>
      </c>
      <c r="F545" s="25">
        <v>43719.641562500001</v>
      </c>
      <c r="G545">
        <v>0</v>
      </c>
      <c r="H545" s="25"/>
      <c r="I545" s="25"/>
      <c r="J545" s="25" t="s">
        <v>300</v>
      </c>
    </row>
    <row r="546" spans="1:10" x14ac:dyDescent="0.25">
      <c r="A546" s="4">
        <v>26387</v>
      </c>
      <c r="B546">
        <v>4180</v>
      </c>
      <c r="C546" s="4">
        <v>14308</v>
      </c>
      <c r="D546" t="s">
        <v>306</v>
      </c>
      <c r="E546" s="4">
        <v>18</v>
      </c>
      <c r="F546" s="25">
        <v>43719.641550925924</v>
      </c>
      <c r="G546">
        <v>0</v>
      </c>
      <c r="H546" s="25"/>
      <c r="I546" s="25"/>
      <c r="J546" s="25" t="s">
        <v>300</v>
      </c>
    </row>
    <row r="547" spans="1:10" x14ac:dyDescent="0.25">
      <c r="A547" s="4">
        <v>26387</v>
      </c>
      <c r="B547">
        <v>4180</v>
      </c>
      <c r="C547" s="4">
        <v>14308</v>
      </c>
      <c r="D547" t="s">
        <v>306</v>
      </c>
      <c r="E547" s="4">
        <v>19</v>
      </c>
      <c r="F547" s="25">
        <v>43719.641550925924</v>
      </c>
      <c r="G547">
        <v>0</v>
      </c>
      <c r="H547" s="25"/>
      <c r="I547" s="25"/>
      <c r="J547" s="25" t="s">
        <v>300</v>
      </c>
    </row>
    <row r="548" spans="1:10" x14ac:dyDescent="0.25">
      <c r="A548" s="4">
        <v>26387</v>
      </c>
      <c r="B548">
        <v>4180</v>
      </c>
      <c r="C548" s="4">
        <v>14308</v>
      </c>
      <c r="D548" t="s">
        <v>306</v>
      </c>
      <c r="E548" s="4">
        <v>17</v>
      </c>
      <c r="F548" s="25">
        <v>43719.641539351855</v>
      </c>
      <c r="G548">
        <v>0</v>
      </c>
      <c r="H548" s="25"/>
      <c r="I548" s="25"/>
      <c r="J548" s="25" t="s">
        <v>300</v>
      </c>
    </row>
    <row r="549" spans="1:10" x14ac:dyDescent="0.25">
      <c r="A549" s="4">
        <v>26387</v>
      </c>
      <c r="B549">
        <v>4180</v>
      </c>
      <c r="C549" s="4">
        <v>14308</v>
      </c>
      <c r="D549" t="s">
        <v>306</v>
      </c>
      <c r="E549" s="4">
        <v>15</v>
      </c>
      <c r="F549" s="25">
        <v>43719.641527777778</v>
      </c>
      <c r="G549">
        <v>0</v>
      </c>
      <c r="H549" s="25"/>
      <c r="I549" s="25"/>
      <c r="J549" s="25" t="s">
        <v>300</v>
      </c>
    </row>
    <row r="550" spans="1:10" x14ac:dyDescent="0.25">
      <c r="A550" s="4">
        <v>26387</v>
      </c>
      <c r="B550">
        <v>4180</v>
      </c>
      <c r="C550" s="4">
        <v>14308</v>
      </c>
      <c r="D550" t="s">
        <v>306</v>
      </c>
      <c r="E550" s="4">
        <v>16</v>
      </c>
      <c r="F550" s="25">
        <v>43719.641527777778</v>
      </c>
      <c r="G550">
        <v>0</v>
      </c>
      <c r="H550" s="25"/>
      <c r="I550" s="25"/>
      <c r="J550" s="25" t="s">
        <v>300</v>
      </c>
    </row>
    <row r="551" spans="1:10" x14ac:dyDescent="0.25">
      <c r="A551" s="4">
        <v>26387</v>
      </c>
      <c r="B551">
        <v>4180</v>
      </c>
      <c r="C551" s="4">
        <v>14308</v>
      </c>
      <c r="D551" t="s">
        <v>306</v>
      </c>
      <c r="E551" s="4">
        <v>14</v>
      </c>
      <c r="F551" s="25">
        <v>43719.641516203701</v>
      </c>
      <c r="G551">
        <v>0</v>
      </c>
      <c r="H551" s="25"/>
      <c r="I551" s="25"/>
      <c r="J551" s="25" t="s">
        <v>300</v>
      </c>
    </row>
    <row r="552" spans="1:10" x14ac:dyDescent="0.25">
      <c r="A552" s="4">
        <v>26387</v>
      </c>
      <c r="B552">
        <v>4180</v>
      </c>
      <c r="C552" s="4">
        <v>14308</v>
      </c>
      <c r="D552" t="s">
        <v>306</v>
      </c>
      <c r="E552" s="4">
        <v>12</v>
      </c>
      <c r="F552" s="25">
        <v>43719.641504629632</v>
      </c>
      <c r="G552">
        <v>0</v>
      </c>
      <c r="H552" s="25"/>
      <c r="I552" s="25"/>
      <c r="J552" s="25" t="s">
        <v>300</v>
      </c>
    </row>
    <row r="553" spans="1:10" x14ac:dyDescent="0.25">
      <c r="A553" s="4">
        <v>26387</v>
      </c>
      <c r="B553">
        <v>4180</v>
      </c>
      <c r="C553" s="4">
        <v>14308</v>
      </c>
      <c r="D553" t="s">
        <v>306</v>
      </c>
      <c r="E553" s="4">
        <v>13</v>
      </c>
      <c r="F553" s="25">
        <v>43719.641504629632</v>
      </c>
      <c r="G553">
        <v>0</v>
      </c>
      <c r="H553" s="25"/>
      <c r="I553" s="25"/>
      <c r="J553" s="25" t="s">
        <v>300</v>
      </c>
    </row>
    <row r="554" spans="1:10" x14ac:dyDescent="0.25">
      <c r="A554" s="4">
        <v>26387</v>
      </c>
      <c r="B554">
        <v>4180</v>
      </c>
      <c r="C554" s="4">
        <v>14308</v>
      </c>
      <c r="D554" t="s">
        <v>306</v>
      </c>
      <c r="E554" s="4">
        <v>11</v>
      </c>
      <c r="F554" s="25">
        <v>43719.641493055555</v>
      </c>
      <c r="G554">
        <v>0</v>
      </c>
      <c r="H554" s="25"/>
      <c r="I554" s="25"/>
      <c r="J554" s="25" t="s">
        <v>300</v>
      </c>
    </row>
    <row r="555" spans="1:10" x14ac:dyDescent="0.25">
      <c r="A555" s="4">
        <v>26387</v>
      </c>
      <c r="B555">
        <v>4180</v>
      </c>
      <c r="C555" s="4">
        <v>14308</v>
      </c>
      <c r="D555" t="s">
        <v>306</v>
      </c>
      <c r="E555" s="4">
        <v>9</v>
      </c>
      <c r="F555" s="25">
        <v>43719.641481481478</v>
      </c>
      <c r="G555">
        <v>0</v>
      </c>
      <c r="H555" s="25"/>
      <c r="I555" s="25"/>
      <c r="J555" s="25" t="s">
        <v>300</v>
      </c>
    </row>
    <row r="556" spans="1:10" x14ac:dyDescent="0.25">
      <c r="A556" s="4">
        <v>26387</v>
      </c>
      <c r="B556">
        <v>4180</v>
      </c>
      <c r="C556" s="4">
        <v>14308</v>
      </c>
      <c r="D556" t="s">
        <v>306</v>
      </c>
      <c r="E556" s="4">
        <v>10</v>
      </c>
      <c r="F556" s="25">
        <v>43719.641481481478</v>
      </c>
      <c r="G556">
        <v>0</v>
      </c>
      <c r="H556" s="25"/>
      <c r="I556" s="25"/>
      <c r="J556" s="25" t="s">
        <v>300</v>
      </c>
    </row>
    <row r="557" spans="1:10" x14ac:dyDescent="0.25">
      <c r="A557" s="4">
        <v>26387</v>
      </c>
      <c r="B557">
        <v>4180</v>
      </c>
      <c r="C557" s="4">
        <v>14308</v>
      </c>
      <c r="D557" t="s">
        <v>306</v>
      </c>
      <c r="E557" s="4">
        <v>8</v>
      </c>
      <c r="F557" s="25">
        <v>43719.641469907408</v>
      </c>
      <c r="G557">
        <v>0</v>
      </c>
      <c r="H557" s="25"/>
      <c r="I557" s="25"/>
      <c r="J557" s="25" t="s">
        <v>300</v>
      </c>
    </row>
    <row r="558" spans="1:10" x14ac:dyDescent="0.25">
      <c r="A558" s="4">
        <v>26387</v>
      </c>
      <c r="B558">
        <v>4180</v>
      </c>
      <c r="C558" s="4">
        <v>14308</v>
      </c>
      <c r="D558" t="s">
        <v>306</v>
      </c>
      <c r="E558" s="4">
        <v>6</v>
      </c>
      <c r="F558" s="25">
        <v>43719.641458333332</v>
      </c>
      <c r="G558">
        <v>0</v>
      </c>
      <c r="H558" s="25"/>
      <c r="I558" s="25"/>
      <c r="J558" s="25" t="s">
        <v>300</v>
      </c>
    </row>
    <row r="559" spans="1:10" x14ac:dyDescent="0.25">
      <c r="A559" s="4">
        <v>26387</v>
      </c>
      <c r="B559">
        <v>4180</v>
      </c>
      <c r="C559" s="4">
        <v>14308</v>
      </c>
      <c r="D559" t="s">
        <v>306</v>
      </c>
      <c r="E559" s="4">
        <v>7</v>
      </c>
      <c r="F559" s="25">
        <v>43719.641458333332</v>
      </c>
      <c r="G559">
        <v>0</v>
      </c>
      <c r="H559" s="25"/>
      <c r="I559" s="25"/>
      <c r="J559" s="25" t="s">
        <v>300</v>
      </c>
    </row>
    <row r="560" spans="1:10" x14ac:dyDescent="0.25">
      <c r="A560" s="4">
        <v>26387</v>
      </c>
      <c r="B560">
        <v>4180</v>
      </c>
      <c r="C560" s="4">
        <v>14308</v>
      </c>
      <c r="D560" t="s">
        <v>306</v>
      </c>
      <c r="E560" s="4">
        <v>5</v>
      </c>
      <c r="F560" s="25">
        <v>43719.641446759262</v>
      </c>
      <c r="G560">
        <v>0</v>
      </c>
      <c r="H560" s="25"/>
      <c r="I560" s="25"/>
      <c r="J560" s="25" t="s">
        <v>300</v>
      </c>
    </row>
    <row r="561" spans="1:10" x14ac:dyDescent="0.25">
      <c r="A561" s="4">
        <v>26387</v>
      </c>
      <c r="B561">
        <v>4180</v>
      </c>
      <c r="C561" s="4">
        <v>14308</v>
      </c>
      <c r="D561" t="s">
        <v>306</v>
      </c>
      <c r="E561" s="4">
        <v>3</v>
      </c>
      <c r="F561" s="25">
        <v>43719.641435185185</v>
      </c>
      <c r="G561">
        <v>0</v>
      </c>
      <c r="H561" s="25"/>
      <c r="I561" s="25"/>
      <c r="J561" s="25" t="s">
        <v>300</v>
      </c>
    </row>
    <row r="562" spans="1:10" x14ac:dyDescent="0.25">
      <c r="A562" s="4">
        <v>26387</v>
      </c>
      <c r="B562">
        <v>4180</v>
      </c>
      <c r="C562" s="4">
        <v>14308</v>
      </c>
      <c r="D562" t="s">
        <v>306</v>
      </c>
      <c r="E562" s="4">
        <v>4</v>
      </c>
      <c r="F562" s="25">
        <v>43719.641435185185</v>
      </c>
      <c r="G562">
        <v>0</v>
      </c>
      <c r="H562" s="25"/>
      <c r="I562" s="25"/>
      <c r="J562" s="25" t="s">
        <v>300</v>
      </c>
    </row>
    <row r="563" spans="1:10" x14ac:dyDescent="0.25">
      <c r="A563" s="4">
        <v>26387</v>
      </c>
      <c r="B563">
        <v>4180</v>
      </c>
      <c r="C563" s="4">
        <v>14308</v>
      </c>
      <c r="D563" t="s">
        <v>306</v>
      </c>
      <c r="E563" s="4">
        <v>2</v>
      </c>
      <c r="F563" s="25">
        <v>43719.641423611109</v>
      </c>
      <c r="G563">
        <v>0</v>
      </c>
      <c r="H563" s="25"/>
      <c r="I563" s="25"/>
      <c r="J563" s="25" t="s">
        <v>300</v>
      </c>
    </row>
    <row r="564" spans="1:10" x14ac:dyDescent="0.25">
      <c r="A564" s="4">
        <v>26387</v>
      </c>
      <c r="B564">
        <v>4180</v>
      </c>
      <c r="C564" s="4">
        <v>14308</v>
      </c>
      <c r="D564" t="s">
        <v>306</v>
      </c>
      <c r="E564" s="4">
        <v>1</v>
      </c>
      <c r="F564" s="25">
        <v>43719.641412037039</v>
      </c>
      <c r="G564">
        <v>0</v>
      </c>
      <c r="H564" s="25"/>
      <c r="I564" s="25"/>
      <c r="J564" s="25" t="s">
        <v>300</v>
      </c>
    </row>
    <row r="565" spans="1:10" x14ac:dyDescent="0.25">
      <c r="A565" s="4">
        <v>26387</v>
      </c>
      <c r="B565">
        <v>4180</v>
      </c>
      <c r="C565" s="4">
        <v>14308</v>
      </c>
      <c r="D565" t="s">
        <v>306</v>
      </c>
      <c r="E565" s="4">
        <v>0</v>
      </c>
      <c r="F565" s="25">
        <v>43719.641400462962</v>
      </c>
      <c r="G565">
        <v>0</v>
      </c>
      <c r="H565" s="25"/>
      <c r="I565" s="25"/>
      <c r="J565" s="25" t="s">
        <v>300</v>
      </c>
    </row>
    <row r="566" spans="1:10" x14ac:dyDescent="0.25">
      <c r="A566" s="4">
        <v>23134</v>
      </c>
      <c r="B566">
        <v>11744</v>
      </c>
      <c r="C566" s="4">
        <v>14308</v>
      </c>
      <c r="D566" t="s">
        <v>306</v>
      </c>
      <c r="E566" s="4">
        <v>24</v>
      </c>
      <c r="F566" s="25">
        <v>43719.629479166666</v>
      </c>
      <c r="G566">
        <v>0</v>
      </c>
      <c r="H566" s="25"/>
      <c r="I566" s="25"/>
      <c r="J566" s="25" t="s">
        <v>300</v>
      </c>
    </row>
    <row r="567" spans="1:10" x14ac:dyDescent="0.25">
      <c r="A567" s="4">
        <v>23134</v>
      </c>
      <c r="B567">
        <v>11744</v>
      </c>
      <c r="C567" s="4">
        <v>14308</v>
      </c>
      <c r="D567" t="s">
        <v>306</v>
      </c>
      <c r="E567" s="4">
        <v>23</v>
      </c>
      <c r="F567" s="25">
        <v>43719.629467592589</v>
      </c>
      <c r="G567">
        <v>0</v>
      </c>
      <c r="H567" s="25"/>
      <c r="I567" s="25"/>
      <c r="J567" s="25" t="s">
        <v>300</v>
      </c>
    </row>
    <row r="568" spans="1:10" x14ac:dyDescent="0.25">
      <c r="A568" s="4">
        <v>23134</v>
      </c>
      <c r="B568">
        <v>11744</v>
      </c>
      <c r="C568" s="4">
        <v>14308</v>
      </c>
      <c r="D568" t="s">
        <v>306</v>
      </c>
      <c r="E568" s="4">
        <v>22</v>
      </c>
      <c r="F568" s="25">
        <v>43719.62945601852</v>
      </c>
      <c r="G568">
        <v>0</v>
      </c>
      <c r="H568" s="25"/>
      <c r="I568" s="25"/>
      <c r="J568" s="25" t="s">
        <v>300</v>
      </c>
    </row>
    <row r="569" spans="1:10" x14ac:dyDescent="0.25">
      <c r="A569" s="4">
        <v>23134</v>
      </c>
      <c r="B569">
        <v>11744</v>
      </c>
      <c r="C569" s="4">
        <v>14308</v>
      </c>
      <c r="D569" t="s">
        <v>306</v>
      </c>
      <c r="E569" s="4">
        <v>20</v>
      </c>
      <c r="F569" s="25">
        <v>43719.629444444443</v>
      </c>
      <c r="G569">
        <v>0</v>
      </c>
      <c r="H569" s="25"/>
      <c r="I569" s="25"/>
      <c r="J569" s="25" t="s">
        <v>300</v>
      </c>
    </row>
    <row r="570" spans="1:10" x14ac:dyDescent="0.25">
      <c r="A570" s="4">
        <v>23134</v>
      </c>
      <c r="B570">
        <v>11744</v>
      </c>
      <c r="C570" s="4">
        <v>14308</v>
      </c>
      <c r="D570" t="s">
        <v>306</v>
      </c>
      <c r="E570" s="4">
        <v>21</v>
      </c>
      <c r="F570" s="25">
        <v>43719.629444444443</v>
      </c>
      <c r="G570">
        <v>0</v>
      </c>
      <c r="H570" s="25"/>
      <c r="I570" s="25"/>
      <c r="J570" s="25" t="s">
        <v>300</v>
      </c>
    </row>
    <row r="571" spans="1:10" x14ac:dyDescent="0.25">
      <c r="A571" s="4">
        <v>23134</v>
      </c>
      <c r="B571">
        <v>11744</v>
      </c>
      <c r="C571" s="4">
        <v>14308</v>
      </c>
      <c r="D571" t="s">
        <v>306</v>
      </c>
      <c r="E571" s="4">
        <v>19</v>
      </c>
      <c r="F571" s="25">
        <v>43719.629432870373</v>
      </c>
      <c r="G571">
        <v>0</v>
      </c>
      <c r="H571" s="25"/>
      <c r="I571" s="25"/>
      <c r="J571" s="25" t="s">
        <v>300</v>
      </c>
    </row>
    <row r="572" spans="1:10" x14ac:dyDescent="0.25">
      <c r="A572" s="4">
        <v>23134</v>
      </c>
      <c r="B572">
        <v>11744</v>
      </c>
      <c r="C572" s="4">
        <v>14308</v>
      </c>
      <c r="D572" t="s">
        <v>306</v>
      </c>
      <c r="E572" s="4">
        <v>17</v>
      </c>
      <c r="F572" s="25">
        <v>43719.629421296297</v>
      </c>
      <c r="G572">
        <v>0</v>
      </c>
      <c r="H572" s="25"/>
      <c r="I572" s="25"/>
      <c r="J572" s="25" t="s">
        <v>300</v>
      </c>
    </row>
    <row r="573" spans="1:10" x14ac:dyDescent="0.25">
      <c r="A573" s="4">
        <v>23134</v>
      </c>
      <c r="B573">
        <v>11744</v>
      </c>
      <c r="C573" s="4">
        <v>14308</v>
      </c>
      <c r="D573" t="s">
        <v>306</v>
      </c>
      <c r="E573" s="4">
        <v>18</v>
      </c>
      <c r="F573" s="25">
        <v>43719.629421296297</v>
      </c>
      <c r="G573">
        <v>0</v>
      </c>
      <c r="H573" s="25"/>
      <c r="I573" s="25"/>
      <c r="J573" s="25" t="s">
        <v>300</v>
      </c>
    </row>
    <row r="574" spans="1:10" x14ac:dyDescent="0.25">
      <c r="A574" s="4">
        <v>23134</v>
      </c>
      <c r="B574">
        <v>11744</v>
      </c>
      <c r="C574" s="4">
        <v>14308</v>
      </c>
      <c r="D574" t="s">
        <v>306</v>
      </c>
      <c r="E574" s="4">
        <v>16</v>
      </c>
      <c r="F574" s="25">
        <v>43719.62940972222</v>
      </c>
      <c r="G574">
        <v>0</v>
      </c>
      <c r="H574" s="25"/>
      <c r="I574" s="25"/>
      <c r="J574" s="25" t="s">
        <v>300</v>
      </c>
    </row>
    <row r="575" spans="1:10" x14ac:dyDescent="0.25">
      <c r="A575" s="4">
        <v>23134</v>
      </c>
      <c r="B575">
        <v>11744</v>
      </c>
      <c r="C575" s="4">
        <v>14308</v>
      </c>
      <c r="D575" t="s">
        <v>306</v>
      </c>
      <c r="E575" s="4">
        <v>14</v>
      </c>
      <c r="F575" s="25">
        <v>43719.62939814815</v>
      </c>
      <c r="G575">
        <v>0</v>
      </c>
      <c r="H575" s="25"/>
      <c r="I575" s="25"/>
      <c r="J575" s="25" t="s">
        <v>300</v>
      </c>
    </row>
    <row r="576" spans="1:10" x14ac:dyDescent="0.25">
      <c r="A576" s="4">
        <v>23134</v>
      </c>
      <c r="B576">
        <v>11744</v>
      </c>
      <c r="C576" s="4">
        <v>14308</v>
      </c>
      <c r="D576" t="s">
        <v>306</v>
      </c>
      <c r="E576" s="4">
        <v>15</v>
      </c>
      <c r="F576" s="25">
        <v>43719.62939814815</v>
      </c>
      <c r="G576">
        <v>0</v>
      </c>
      <c r="H576" s="25"/>
      <c r="I576" s="25"/>
      <c r="J576" s="25" t="s">
        <v>300</v>
      </c>
    </row>
    <row r="577" spans="1:10" x14ac:dyDescent="0.25">
      <c r="A577" s="4">
        <v>23134</v>
      </c>
      <c r="B577">
        <v>11744</v>
      </c>
      <c r="C577" s="4">
        <v>14308</v>
      </c>
      <c r="D577" t="s">
        <v>306</v>
      </c>
      <c r="E577" s="4">
        <v>13</v>
      </c>
      <c r="F577" s="25">
        <v>43719.629386574074</v>
      </c>
      <c r="G577">
        <v>0</v>
      </c>
      <c r="H577" s="25"/>
      <c r="I577" s="25"/>
      <c r="J577" s="25" t="s">
        <v>300</v>
      </c>
    </row>
    <row r="578" spans="1:10" x14ac:dyDescent="0.25">
      <c r="A578" s="4">
        <v>23134</v>
      </c>
      <c r="B578">
        <v>11744</v>
      </c>
      <c r="C578" s="4">
        <v>14308</v>
      </c>
      <c r="D578" t="s">
        <v>306</v>
      </c>
      <c r="E578" s="4">
        <v>11</v>
      </c>
      <c r="F578" s="25">
        <v>43719.629374999997</v>
      </c>
      <c r="G578">
        <v>0</v>
      </c>
      <c r="H578" s="25"/>
      <c r="I578" s="25"/>
      <c r="J578" s="25" t="s">
        <v>300</v>
      </c>
    </row>
    <row r="579" spans="1:10" x14ac:dyDescent="0.25">
      <c r="A579" s="4">
        <v>23134</v>
      </c>
      <c r="B579">
        <v>11744</v>
      </c>
      <c r="C579" s="4">
        <v>14308</v>
      </c>
      <c r="D579" t="s">
        <v>306</v>
      </c>
      <c r="E579" s="4">
        <v>12</v>
      </c>
      <c r="F579" s="25">
        <v>43719.629374999997</v>
      </c>
      <c r="G579">
        <v>0</v>
      </c>
      <c r="H579" s="25"/>
      <c r="I579" s="25"/>
      <c r="J579" s="25" t="s">
        <v>300</v>
      </c>
    </row>
    <row r="580" spans="1:10" x14ac:dyDescent="0.25">
      <c r="A580" s="4">
        <v>23134</v>
      </c>
      <c r="B580">
        <v>11744</v>
      </c>
      <c r="C580" s="4">
        <v>14308</v>
      </c>
      <c r="D580" t="s">
        <v>306</v>
      </c>
      <c r="E580" s="4">
        <v>10</v>
      </c>
      <c r="F580" s="25">
        <v>43719.629363425927</v>
      </c>
      <c r="G580">
        <v>0</v>
      </c>
      <c r="H580" s="25"/>
      <c r="I580" s="25"/>
      <c r="J580" s="25" t="s">
        <v>300</v>
      </c>
    </row>
    <row r="581" spans="1:10" x14ac:dyDescent="0.25">
      <c r="A581" s="4">
        <v>23134</v>
      </c>
      <c r="B581">
        <v>11744</v>
      </c>
      <c r="C581" s="4">
        <v>14308</v>
      </c>
      <c r="D581" t="s">
        <v>306</v>
      </c>
      <c r="E581" s="4">
        <v>9</v>
      </c>
      <c r="F581" s="25">
        <v>43719.629351851851</v>
      </c>
      <c r="G581">
        <v>0</v>
      </c>
      <c r="H581" s="25"/>
      <c r="I581" s="25"/>
      <c r="J581" s="25" t="s">
        <v>300</v>
      </c>
    </row>
    <row r="582" spans="1:10" x14ac:dyDescent="0.25">
      <c r="A582" s="4">
        <v>23134</v>
      </c>
      <c r="B582">
        <v>11744</v>
      </c>
      <c r="C582" s="4">
        <v>14308</v>
      </c>
      <c r="D582" t="s">
        <v>306</v>
      </c>
      <c r="E582" s="4">
        <v>7</v>
      </c>
      <c r="F582" s="25">
        <v>43719.629340277781</v>
      </c>
      <c r="G582">
        <v>0</v>
      </c>
      <c r="H582" s="25"/>
      <c r="I582" s="25"/>
      <c r="J582" s="25" t="s">
        <v>300</v>
      </c>
    </row>
    <row r="583" spans="1:10" x14ac:dyDescent="0.25">
      <c r="A583" s="4">
        <v>23134</v>
      </c>
      <c r="B583">
        <v>11744</v>
      </c>
      <c r="C583" s="4">
        <v>14308</v>
      </c>
      <c r="D583" t="s">
        <v>306</v>
      </c>
      <c r="E583" s="4">
        <v>8</v>
      </c>
      <c r="F583" s="25">
        <v>43719.629340277781</v>
      </c>
      <c r="G583">
        <v>0</v>
      </c>
      <c r="H583" s="25"/>
      <c r="I583" s="25"/>
      <c r="J583" s="25" t="s">
        <v>300</v>
      </c>
    </row>
    <row r="584" spans="1:10" x14ac:dyDescent="0.25">
      <c r="A584" s="4">
        <v>23134</v>
      </c>
      <c r="B584">
        <v>11744</v>
      </c>
      <c r="C584" s="4">
        <v>14308</v>
      </c>
      <c r="D584" t="s">
        <v>306</v>
      </c>
      <c r="E584" s="4">
        <v>6</v>
      </c>
      <c r="F584" s="25">
        <v>43719.629328703704</v>
      </c>
      <c r="G584">
        <v>0</v>
      </c>
      <c r="H584" s="25"/>
      <c r="I584" s="25"/>
      <c r="J584" s="25" t="s">
        <v>300</v>
      </c>
    </row>
    <row r="585" spans="1:10" x14ac:dyDescent="0.25">
      <c r="A585" s="4">
        <v>23134</v>
      </c>
      <c r="B585">
        <v>11744</v>
      </c>
      <c r="C585" s="4">
        <v>14308</v>
      </c>
      <c r="D585" t="s">
        <v>306</v>
      </c>
      <c r="E585" s="4">
        <v>5</v>
      </c>
      <c r="F585" s="25">
        <v>43719.629317129627</v>
      </c>
      <c r="G585">
        <v>0</v>
      </c>
      <c r="H585" s="25"/>
      <c r="I585" s="25"/>
      <c r="J585" s="25" t="s">
        <v>300</v>
      </c>
    </row>
    <row r="586" spans="1:10" x14ac:dyDescent="0.25">
      <c r="A586" s="4">
        <v>23134</v>
      </c>
      <c r="B586">
        <v>11744</v>
      </c>
      <c r="C586" s="4">
        <v>14308</v>
      </c>
      <c r="D586" t="s">
        <v>306</v>
      </c>
      <c r="E586" s="4">
        <v>3</v>
      </c>
      <c r="F586" s="25">
        <v>43719.629305555558</v>
      </c>
      <c r="G586">
        <v>0</v>
      </c>
      <c r="H586" s="25"/>
      <c r="I586" s="25"/>
      <c r="J586" s="25" t="s">
        <v>300</v>
      </c>
    </row>
    <row r="587" spans="1:10" x14ac:dyDescent="0.25">
      <c r="A587" s="4">
        <v>23134</v>
      </c>
      <c r="B587">
        <v>11744</v>
      </c>
      <c r="C587" s="4">
        <v>14308</v>
      </c>
      <c r="D587" t="s">
        <v>306</v>
      </c>
      <c r="E587" s="4">
        <v>4</v>
      </c>
      <c r="F587" s="25">
        <v>43719.629305555558</v>
      </c>
      <c r="G587">
        <v>0</v>
      </c>
      <c r="H587" s="25"/>
      <c r="I587" s="25"/>
      <c r="J587" s="25" t="s">
        <v>300</v>
      </c>
    </row>
    <row r="588" spans="1:10" x14ac:dyDescent="0.25">
      <c r="A588" s="4">
        <v>23134</v>
      </c>
      <c r="B588">
        <v>11744</v>
      </c>
      <c r="C588" s="4">
        <v>14308</v>
      </c>
      <c r="D588" t="s">
        <v>306</v>
      </c>
      <c r="E588" s="4">
        <v>2</v>
      </c>
      <c r="F588" s="25">
        <v>43719.629293981481</v>
      </c>
      <c r="G588">
        <v>0</v>
      </c>
      <c r="H588" s="25"/>
      <c r="I588" s="25"/>
      <c r="J588" s="25" t="s">
        <v>300</v>
      </c>
    </row>
    <row r="589" spans="1:10" x14ac:dyDescent="0.25">
      <c r="A589" s="4">
        <v>23134</v>
      </c>
      <c r="B589">
        <v>11744</v>
      </c>
      <c r="C589" s="4">
        <v>14308</v>
      </c>
      <c r="D589" t="s">
        <v>306</v>
      </c>
      <c r="E589" s="4">
        <v>1</v>
      </c>
      <c r="F589" s="25">
        <v>43719.629282407404</v>
      </c>
      <c r="G589">
        <v>0</v>
      </c>
      <c r="H589" s="25"/>
      <c r="I589" s="25"/>
      <c r="J589" s="25" t="s">
        <v>300</v>
      </c>
    </row>
    <row r="590" spans="1:10" x14ac:dyDescent="0.25">
      <c r="A590" s="4">
        <v>23134</v>
      </c>
      <c r="B590">
        <v>11744</v>
      </c>
      <c r="C590" s="4">
        <v>14308</v>
      </c>
      <c r="D590" t="s">
        <v>306</v>
      </c>
      <c r="E590" s="4">
        <v>0</v>
      </c>
      <c r="F590" s="25">
        <v>43719.629270833335</v>
      </c>
      <c r="G590">
        <v>0</v>
      </c>
      <c r="H590" s="25"/>
      <c r="I590" s="25"/>
      <c r="J590" s="25" t="s">
        <v>300</v>
      </c>
    </row>
    <row r="591" spans="1:10" x14ac:dyDescent="0.25">
      <c r="A591" s="4">
        <v>20186</v>
      </c>
      <c r="B591">
        <v>7624</v>
      </c>
      <c r="C591" s="4">
        <v>14308</v>
      </c>
      <c r="D591" t="s">
        <v>306</v>
      </c>
      <c r="E591" s="4">
        <v>24</v>
      </c>
      <c r="F591" s="25">
        <v>43719.619050925925</v>
      </c>
      <c r="G591">
        <v>0</v>
      </c>
      <c r="H591" s="25"/>
      <c r="I591" s="25"/>
      <c r="J591" s="25" t="s">
        <v>300</v>
      </c>
    </row>
    <row r="592" spans="1:10" x14ac:dyDescent="0.25">
      <c r="A592" s="4">
        <v>20186</v>
      </c>
      <c r="B592">
        <v>7624</v>
      </c>
      <c r="C592" s="4">
        <v>14308</v>
      </c>
      <c r="D592" t="s">
        <v>306</v>
      </c>
      <c r="E592" s="4">
        <v>22</v>
      </c>
      <c r="F592" s="25">
        <v>43719.619039351855</v>
      </c>
      <c r="G592">
        <v>0</v>
      </c>
      <c r="H592" s="25"/>
      <c r="I592" s="25"/>
      <c r="J592" s="25" t="s">
        <v>300</v>
      </c>
    </row>
    <row r="593" spans="1:10" x14ac:dyDescent="0.25">
      <c r="A593" s="4">
        <v>20186</v>
      </c>
      <c r="B593">
        <v>7624</v>
      </c>
      <c r="C593" s="4">
        <v>14308</v>
      </c>
      <c r="D593" t="s">
        <v>306</v>
      </c>
      <c r="E593" s="4">
        <v>23</v>
      </c>
      <c r="F593" s="25">
        <v>43719.619039351855</v>
      </c>
      <c r="G593">
        <v>0</v>
      </c>
      <c r="H593" s="25"/>
      <c r="I593" s="25"/>
      <c r="J593" s="25" t="s">
        <v>300</v>
      </c>
    </row>
    <row r="594" spans="1:10" x14ac:dyDescent="0.25">
      <c r="A594" s="4">
        <v>20186</v>
      </c>
      <c r="B594">
        <v>7624</v>
      </c>
      <c r="C594" s="4">
        <v>14308</v>
      </c>
      <c r="D594" t="s">
        <v>306</v>
      </c>
      <c r="E594" s="4">
        <v>21</v>
      </c>
      <c r="F594" s="25">
        <v>43719.619027777779</v>
      </c>
      <c r="G594">
        <v>0</v>
      </c>
      <c r="H594" s="25"/>
      <c r="I594" s="25"/>
      <c r="J594" s="25" t="s">
        <v>300</v>
      </c>
    </row>
    <row r="595" spans="1:10" x14ac:dyDescent="0.25">
      <c r="A595" s="4">
        <v>20186</v>
      </c>
      <c r="B595">
        <v>7624</v>
      </c>
      <c r="C595" s="4">
        <v>14308</v>
      </c>
      <c r="D595" t="s">
        <v>306</v>
      </c>
      <c r="E595" s="4">
        <v>19</v>
      </c>
      <c r="F595" s="25">
        <v>43719.619016203702</v>
      </c>
      <c r="G595">
        <v>0</v>
      </c>
      <c r="H595" s="25"/>
      <c r="I595" s="25"/>
      <c r="J595" s="25" t="s">
        <v>300</v>
      </c>
    </row>
    <row r="596" spans="1:10" x14ac:dyDescent="0.25">
      <c r="A596" s="4">
        <v>20186</v>
      </c>
      <c r="B596">
        <v>7624</v>
      </c>
      <c r="C596" s="4">
        <v>14308</v>
      </c>
      <c r="D596" t="s">
        <v>306</v>
      </c>
      <c r="E596" s="4">
        <v>20</v>
      </c>
      <c r="F596" s="25">
        <v>43719.619016203702</v>
      </c>
      <c r="G596">
        <v>0</v>
      </c>
      <c r="H596" s="25"/>
      <c r="I596" s="25"/>
      <c r="J596" s="25" t="s">
        <v>300</v>
      </c>
    </row>
    <row r="597" spans="1:10" x14ac:dyDescent="0.25">
      <c r="A597" s="4">
        <v>20186</v>
      </c>
      <c r="B597">
        <v>7624</v>
      </c>
      <c r="C597" s="4">
        <v>14308</v>
      </c>
      <c r="D597" t="s">
        <v>306</v>
      </c>
      <c r="E597" s="4">
        <v>18</v>
      </c>
      <c r="F597" s="25">
        <v>43719.619004629632</v>
      </c>
      <c r="G597">
        <v>0</v>
      </c>
      <c r="H597" s="25"/>
      <c r="I597" s="25"/>
      <c r="J597" s="25" t="s">
        <v>300</v>
      </c>
    </row>
    <row r="598" spans="1:10" x14ac:dyDescent="0.25">
      <c r="A598" s="4">
        <v>20186</v>
      </c>
      <c r="B598">
        <v>7624</v>
      </c>
      <c r="C598" s="4">
        <v>14308</v>
      </c>
      <c r="D598" t="s">
        <v>306</v>
      </c>
      <c r="E598" s="4">
        <v>16</v>
      </c>
      <c r="F598" s="25">
        <v>43719.618993055556</v>
      </c>
      <c r="G598">
        <v>0</v>
      </c>
      <c r="H598" s="25"/>
      <c r="I598" s="25"/>
      <c r="J598" s="25" t="s">
        <v>300</v>
      </c>
    </row>
    <row r="599" spans="1:10" x14ac:dyDescent="0.25">
      <c r="A599" s="4">
        <v>20186</v>
      </c>
      <c r="B599">
        <v>7624</v>
      </c>
      <c r="C599" s="4">
        <v>14308</v>
      </c>
      <c r="D599" t="s">
        <v>306</v>
      </c>
      <c r="E599" s="4">
        <v>17</v>
      </c>
      <c r="F599" s="25">
        <v>43719.618993055556</v>
      </c>
      <c r="G599">
        <v>0</v>
      </c>
      <c r="H599" s="25"/>
      <c r="I599" s="25"/>
      <c r="J599" s="25" t="s">
        <v>300</v>
      </c>
    </row>
    <row r="600" spans="1:10" x14ac:dyDescent="0.25">
      <c r="A600" s="4">
        <v>20186</v>
      </c>
      <c r="B600">
        <v>7624</v>
      </c>
      <c r="C600" s="4">
        <v>14308</v>
      </c>
      <c r="D600" t="s">
        <v>306</v>
      </c>
      <c r="E600" s="4">
        <v>15</v>
      </c>
      <c r="F600" s="25">
        <v>43719.618981481479</v>
      </c>
      <c r="G600">
        <v>0</v>
      </c>
      <c r="H600" s="25"/>
      <c r="I600" s="25"/>
      <c r="J600" s="25" t="s">
        <v>300</v>
      </c>
    </row>
    <row r="601" spans="1:10" x14ac:dyDescent="0.25">
      <c r="A601" s="4">
        <v>20186</v>
      </c>
      <c r="B601">
        <v>7624</v>
      </c>
      <c r="C601" s="4">
        <v>14308</v>
      </c>
      <c r="D601" t="s">
        <v>306</v>
      </c>
      <c r="E601" s="4">
        <v>13</v>
      </c>
      <c r="F601" s="25">
        <v>43719.618969907409</v>
      </c>
      <c r="G601">
        <v>0</v>
      </c>
      <c r="H601" s="25"/>
      <c r="I601" s="25"/>
      <c r="J601" s="25" t="s">
        <v>300</v>
      </c>
    </row>
    <row r="602" spans="1:10" x14ac:dyDescent="0.25">
      <c r="A602" s="4">
        <v>20186</v>
      </c>
      <c r="B602">
        <v>7624</v>
      </c>
      <c r="C602" s="4">
        <v>14308</v>
      </c>
      <c r="D602" t="s">
        <v>306</v>
      </c>
      <c r="E602" s="4">
        <v>14</v>
      </c>
      <c r="F602" s="25">
        <v>43719.618969907409</v>
      </c>
      <c r="G602">
        <v>0</v>
      </c>
      <c r="H602" s="25"/>
      <c r="I602" s="25"/>
      <c r="J602" s="25" t="s">
        <v>300</v>
      </c>
    </row>
    <row r="603" spans="1:10" x14ac:dyDescent="0.25">
      <c r="A603" s="4">
        <v>20186</v>
      </c>
      <c r="B603">
        <v>7624</v>
      </c>
      <c r="C603" s="4">
        <v>14308</v>
      </c>
      <c r="D603" t="s">
        <v>306</v>
      </c>
      <c r="E603" s="4">
        <v>12</v>
      </c>
      <c r="F603" s="25">
        <v>43719.618958333333</v>
      </c>
      <c r="G603">
        <v>0</v>
      </c>
      <c r="H603" s="25"/>
      <c r="I603" s="25"/>
      <c r="J603" s="25" t="s">
        <v>300</v>
      </c>
    </row>
    <row r="604" spans="1:10" x14ac:dyDescent="0.25">
      <c r="A604" s="4">
        <v>20186</v>
      </c>
      <c r="B604">
        <v>7624</v>
      </c>
      <c r="C604" s="4">
        <v>14308</v>
      </c>
      <c r="D604" t="s">
        <v>306</v>
      </c>
      <c r="E604" s="4">
        <v>10</v>
      </c>
      <c r="F604" s="25">
        <v>43719.618946759256</v>
      </c>
      <c r="G604">
        <v>0</v>
      </c>
      <c r="H604" s="25"/>
      <c r="I604" s="25"/>
      <c r="J604" s="25" t="s">
        <v>300</v>
      </c>
    </row>
    <row r="605" spans="1:10" x14ac:dyDescent="0.25">
      <c r="A605" s="4">
        <v>20186</v>
      </c>
      <c r="B605">
        <v>7624</v>
      </c>
      <c r="C605" s="4">
        <v>14308</v>
      </c>
      <c r="D605" t="s">
        <v>306</v>
      </c>
      <c r="E605" s="4">
        <v>11</v>
      </c>
      <c r="F605" s="25">
        <v>43719.618946759256</v>
      </c>
      <c r="G605">
        <v>0</v>
      </c>
      <c r="H605" s="25"/>
      <c r="I605" s="25"/>
      <c r="J605" s="25" t="s">
        <v>300</v>
      </c>
    </row>
    <row r="606" spans="1:10" x14ac:dyDescent="0.25">
      <c r="A606" s="4">
        <v>20186</v>
      </c>
      <c r="B606">
        <v>7624</v>
      </c>
      <c r="C606" s="4">
        <v>14308</v>
      </c>
      <c r="D606" t="s">
        <v>306</v>
      </c>
      <c r="E606" s="4">
        <v>9</v>
      </c>
      <c r="F606" s="25">
        <v>43719.618935185186</v>
      </c>
      <c r="G606">
        <v>0</v>
      </c>
      <c r="H606" s="25"/>
      <c r="I606" s="25"/>
      <c r="J606" s="25" t="s">
        <v>300</v>
      </c>
    </row>
    <row r="607" spans="1:10" x14ac:dyDescent="0.25">
      <c r="A607" s="4">
        <v>20186</v>
      </c>
      <c r="B607">
        <v>7624</v>
      </c>
      <c r="C607" s="4">
        <v>14308</v>
      </c>
      <c r="D607" t="s">
        <v>306</v>
      </c>
      <c r="E607" s="4">
        <v>7</v>
      </c>
      <c r="F607" s="25">
        <v>43719.618923611109</v>
      </c>
      <c r="G607">
        <v>0</v>
      </c>
      <c r="H607" s="25"/>
      <c r="I607" s="25"/>
      <c r="J607" s="25" t="s">
        <v>300</v>
      </c>
    </row>
    <row r="608" spans="1:10" x14ac:dyDescent="0.25">
      <c r="A608" s="4">
        <v>20186</v>
      </c>
      <c r="B608">
        <v>7624</v>
      </c>
      <c r="C608" s="4">
        <v>14308</v>
      </c>
      <c r="D608" t="s">
        <v>306</v>
      </c>
      <c r="E608" s="4">
        <v>8</v>
      </c>
      <c r="F608" s="25">
        <v>43719.618923611109</v>
      </c>
      <c r="G608">
        <v>0</v>
      </c>
      <c r="H608" s="25"/>
      <c r="I608" s="25"/>
      <c r="J608" s="25" t="s">
        <v>300</v>
      </c>
    </row>
    <row r="609" spans="1:10" x14ac:dyDescent="0.25">
      <c r="A609" s="4">
        <v>20186</v>
      </c>
      <c r="B609">
        <v>7624</v>
      </c>
      <c r="C609" s="4">
        <v>14308</v>
      </c>
      <c r="D609" t="s">
        <v>306</v>
      </c>
      <c r="E609" s="4">
        <v>6</v>
      </c>
      <c r="F609" s="25">
        <v>43719.61891203704</v>
      </c>
      <c r="G609">
        <v>0</v>
      </c>
      <c r="H609" s="25"/>
      <c r="I609" s="25"/>
      <c r="J609" s="25" t="s">
        <v>300</v>
      </c>
    </row>
    <row r="610" spans="1:10" x14ac:dyDescent="0.25">
      <c r="A610" s="4">
        <v>20186</v>
      </c>
      <c r="B610">
        <v>7624</v>
      </c>
      <c r="C610" s="4">
        <v>14308</v>
      </c>
      <c r="D610" t="s">
        <v>306</v>
      </c>
      <c r="E610" s="4">
        <v>4</v>
      </c>
      <c r="F610" s="25">
        <v>43719.618900462963</v>
      </c>
      <c r="G610">
        <v>0</v>
      </c>
      <c r="H610" s="25"/>
      <c r="I610" s="25"/>
      <c r="J610" s="25" t="s">
        <v>300</v>
      </c>
    </row>
    <row r="611" spans="1:10" x14ac:dyDescent="0.25">
      <c r="A611" s="4">
        <v>20186</v>
      </c>
      <c r="B611">
        <v>7624</v>
      </c>
      <c r="C611" s="4">
        <v>14308</v>
      </c>
      <c r="D611" t="s">
        <v>306</v>
      </c>
      <c r="E611" s="4">
        <v>5</v>
      </c>
      <c r="F611" s="25">
        <v>43719.618900462963</v>
      </c>
      <c r="G611">
        <v>0</v>
      </c>
      <c r="H611" s="25"/>
      <c r="I611" s="25"/>
      <c r="J611" s="25" t="s">
        <v>300</v>
      </c>
    </row>
    <row r="612" spans="1:10" x14ac:dyDescent="0.25">
      <c r="A612" s="4">
        <v>20186</v>
      </c>
      <c r="B612">
        <v>7624</v>
      </c>
      <c r="C612" s="4">
        <v>14308</v>
      </c>
      <c r="D612" t="s">
        <v>306</v>
      </c>
      <c r="E612" s="4">
        <v>3</v>
      </c>
      <c r="F612" s="25">
        <v>43719.618888888886</v>
      </c>
      <c r="G612">
        <v>0</v>
      </c>
      <c r="H612" s="25"/>
      <c r="I612" s="25"/>
      <c r="J612" s="25" t="s">
        <v>300</v>
      </c>
    </row>
    <row r="613" spans="1:10" x14ac:dyDescent="0.25">
      <c r="A613" s="4">
        <v>20186</v>
      </c>
      <c r="B613">
        <v>7624</v>
      </c>
      <c r="C613" s="4">
        <v>14308</v>
      </c>
      <c r="D613" t="s">
        <v>306</v>
      </c>
      <c r="E613" s="4">
        <v>1</v>
      </c>
      <c r="F613" s="25">
        <v>43719.618877314817</v>
      </c>
      <c r="G613">
        <v>0</v>
      </c>
      <c r="H613" s="25"/>
      <c r="I613" s="25"/>
      <c r="J613" s="25" t="s">
        <v>300</v>
      </c>
    </row>
    <row r="614" spans="1:10" x14ac:dyDescent="0.25">
      <c r="A614" s="4">
        <v>20186</v>
      </c>
      <c r="B614">
        <v>7624</v>
      </c>
      <c r="C614" s="4">
        <v>14308</v>
      </c>
      <c r="D614" t="s">
        <v>306</v>
      </c>
      <c r="E614" s="4">
        <v>2</v>
      </c>
      <c r="F614" s="25">
        <v>43719.618877314817</v>
      </c>
      <c r="G614">
        <v>0</v>
      </c>
      <c r="H614" s="25"/>
      <c r="I614" s="25"/>
      <c r="J614" s="25" t="s">
        <v>300</v>
      </c>
    </row>
    <row r="615" spans="1:10" x14ac:dyDescent="0.25">
      <c r="A615" s="4">
        <v>20186</v>
      </c>
      <c r="B615">
        <v>7624</v>
      </c>
      <c r="C615" s="4">
        <v>14308</v>
      </c>
      <c r="D615" t="s">
        <v>306</v>
      </c>
      <c r="E615" s="4">
        <v>0</v>
      </c>
      <c r="F615" s="25">
        <v>43719.61886574074</v>
      </c>
      <c r="G615">
        <v>0</v>
      </c>
      <c r="H615" s="25"/>
      <c r="I615" s="25"/>
      <c r="J615" s="25" t="s">
        <v>300</v>
      </c>
    </row>
    <row r="616" spans="1:10" x14ac:dyDescent="0.25">
      <c r="A616" s="4">
        <v>21643</v>
      </c>
      <c r="B616">
        <v>9888</v>
      </c>
      <c r="C616" s="4">
        <v>13796</v>
      </c>
      <c r="D616" t="s">
        <v>306</v>
      </c>
      <c r="E616" s="4">
        <v>24</v>
      </c>
      <c r="F616" s="25">
        <v>43719.51284722222</v>
      </c>
      <c r="G616">
        <v>0</v>
      </c>
      <c r="H616" s="25"/>
      <c r="I616" s="25"/>
      <c r="J616" s="25" t="s">
        <v>300</v>
      </c>
    </row>
    <row r="617" spans="1:10" x14ac:dyDescent="0.25">
      <c r="A617" s="4">
        <v>21643</v>
      </c>
      <c r="B617">
        <v>9888</v>
      </c>
      <c r="C617" s="4">
        <v>13796</v>
      </c>
      <c r="D617" t="s">
        <v>306</v>
      </c>
      <c r="E617" s="4">
        <v>22</v>
      </c>
      <c r="F617" s="25">
        <v>43719.512835648151</v>
      </c>
      <c r="G617">
        <v>0</v>
      </c>
      <c r="H617" s="25"/>
      <c r="I617" s="25"/>
      <c r="J617" s="25" t="s">
        <v>300</v>
      </c>
    </row>
    <row r="618" spans="1:10" x14ac:dyDescent="0.25">
      <c r="A618" s="4">
        <v>21643</v>
      </c>
      <c r="B618">
        <v>9888</v>
      </c>
      <c r="C618" s="4">
        <v>13796</v>
      </c>
      <c r="D618" t="s">
        <v>306</v>
      </c>
      <c r="E618" s="4">
        <v>23</v>
      </c>
      <c r="F618" s="25">
        <v>43719.512835648151</v>
      </c>
      <c r="G618">
        <v>0</v>
      </c>
      <c r="H618" s="25"/>
      <c r="I618" s="25"/>
      <c r="J618" s="25" t="s">
        <v>300</v>
      </c>
    </row>
    <row r="619" spans="1:10" x14ac:dyDescent="0.25">
      <c r="A619" s="4">
        <v>21643</v>
      </c>
      <c r="B619">
        <v>9888</v>
      </c>
      <c r="C619" s="4">
        <v>13796</v>
      </c>
      <c r="D619" t="s">
        <v>306</v>
      </c>
      <c r="E619" s="4">
        <v>21</v>
      </c>
      <c r="F619" s="25">
        <v>43719.512824074074</v>
      </c>
      <c r="G619">
        <v>0</v>
      </c>
      <c r="H619" s="25"/>
      <c r="I619" s="25"/>
      <c r="J619" s="25" t="s">
        <v>300</v>
      </c>
    </row>
    <row r="620" spans="1:10" x14ac:dyDescent="0.25">
      <c r="A620" s="4">
        <v>21643</v>
      </c>
      <c r="B620">
        <v>9888</v>
      </c>
      <c r="C620" s="4">
        <v>13796</v>
      </c>
      <c r="D620" t="s">
        <v>306</v>
      </c>
      <c r="E620" s="4">
        <v>19</v>
      </c>
      <c r="F620" s="25">
        <v>43719.512812499997</v>
      </c>
      <c r="G620">
        <v>0</v>
      </c>
      <c r="H620" s="25"/>
      <c r="I620" s="25"/>
      <c r="J620" s="25" t="s">
        <v>300</v>
      </c>
    </row>
    <row r="621" spans="1:10" x14ac:dyDescent="0.25">
      <c r="A621" s="4">
        <v>21643</v>
      </c>
      <c r="B621">
        <v>9888</v>
      </c>
      <c r="C621" s="4">
        <v>13796</v>
      </c>
      <c r="D621" t="s">
        <v>306</v>
      </c>
      <c r="E621" s="4">
        <v>20</v>
      </c>
      <c r="F621" s="25">
        <v>43719.512812499997</v>
      </c>
      <c r="G621">
        <v>0</v>
      </c>
      <c r="H621" s="25"/>
      <c r="I621" s="25"/>
      <c r="J621" s="25" t="s">
        <v>300</v>
      </c>
    </row>
    <row r="622" spans="1:10" x14ac:dyDescent="0.25">
      <c r="A622" s="4">
        <v>21643</v>
      </c>
      <c r="B622">
        <v>9888</v>
      </c>
      <c r="C622" s="4">
        <v>13796</v>
      </c>
      <c r="D622" t="s">
        <v>306</v>
      </c>
      <c r="E622" s="4">
        <v>18</v>
      </c>
      <c r="F622" s="25">
        <v>43719.512800925928</v>
      </c>
      <c r="G622">
        <v>0</v>
      </c>
      <c r="H622" s="25"/>
      <c r="I622" s="25"/>
      <c r="J622" s="25" t="s">
        <v>300</v>
      </c>
    </row>
    <row r="623" spans="1:10" x14ac:dyDescent="0.25">
      <c r="A623" s="4">
        <v>21643</v>
      </c>
      <c r="B623">
        <v>9888</v>
      </c>
      <c r="C623" s="4">
        <v>13796</v>
      </c>
      <c r="D623" t="s">
        <v>306</v>
      </c>
      <c r="E623" s="4">
        <v>16</v>
      </c>
      <c r="F623" s="25">
        <v>43719.512789351851</v>
      </c>
      <c r="G623">
        <v>0</v>
      </c>
      <c r="H623" s="25"/>
      <c r="I623" s="25"/>
      <c r="J623" s="25" t="s">
        <v>300</v>
      </c>
    </row>
    <row r="624" spans="1:10" x14ac:dyDescent="0.25">
      <c r="A624" s="4">
        <v>21643</v>
      </c>
      <c r="B624">
        <v>9888</v>
      </c>
      <c r="C624" s="4">
        <v>13796</v>
      </c>
      <c r="D624" t="s">
        <v>306</v>
      </c>
      <c r="E624" s="4">
        <v>17</v>
      </c>
      <c r="F624" s="25">
        <v>43719.512789351851</v>
      </c>
      <c r="G624">
        <v>0</v>
      </c>
      <c r="H624" s="25"/>
      <c r="I624" s="25"/>
      <c r="J624" s="25" t="s">
        <v>300</v>
      </c>
    </row>
    <row r="625" spans="1:10" x14ac:dyDescent="0.25">
      <c r="A625" s="4">
        <v>21643</v>
      </c>
      <c r="B625">
        <v>9888</v>
      </c>
      <c r="C625" s="4">
        <v>13796</v>
      </c>
      <c r="D625" t="s">
        <v>306</v>
      </c>
      <c r="E625" s="4">
        <v>15</v>
      </c>
      <c r="F625" s="25">
        <v>43719.512777777774</v>
      </c>
      <c r="G625">
        <v>0</v>
      </c>
      <c r="H625" s="25"/>
      <c r="I625" s="25"/>
      <c r="J625" s="25" t="s">
        <v>300</v>
      </c>
    </row>
    <row r="626" spans="1:10" x14ac:dyDescent="0.25">
      <c r="A626" s="4">
        <v>21643</v>
      </c>
      <c r="B626">
        <v>9888</v>
      </c>
      <c r="C626" s="4">
        <v>13796</v>
      </c>
      <c r="D626" t="s">
        <v>306</v>
      </c>
      <c r="E626" s="4">
        <v>13</v>
      </c>
      <c r="F626" s="25">
        <v>43719.512766203705</v>
      </c>
      <c r="G626">
        <v>0</v>
      </c>
      <c r="H626" s="25"/>
      <c r="I626" s="25"/>
      <c r="J626" s="25" t="s">
        <v>300</v>
      </c>
    </row>
    <row r="627" spans="1:10" x14ac:dyDescent="0.25">
      <c r="A627" s="4">
        <v>21643</v>
      </c>
      <c r="B627">
        <v>9888</v>
      </c>
      <c r="C627" s="4">
        <v>13796</v>
      </c>
      <c r="D627" t="s">
        <v>306</v>
      </c>
      <c r="E627" s="4">
        <v>14</v>
      </c>
      <c r="F627" s="25">
        <v>43719.512766203705</v>
      </c>
      <c r="G627">
        <v>0</v>
      </c>
      <c r="H627" s="25"/>
      <c r="I627" s="25"/>
      <c r="J627" s="25" t="s">
        <v>300</v>
      </c>
    </row>
    <row r="628" spans="1:10" x14ac:dyDescent="0.25">
      <c r="A628" s="4">
        <v>21643</v>
      </c>
      <c r="B628">
        <v>9888</v>
      </c>
      <c r="C628" s="4">
        <v>13796</v>
      </c>
      <c r="D628" t="s">
        <v>306</v>
      </c>
      <c r="E628" s="4">
        <v>12</v>
      </c>
      <c r="F628" s="25">
        <v>43719.512754629628</v>
      </c>
      <c r="G628">
        <v>0</v>
      </c>
      <c r="H628" s="25"/>
      <c r="I628" s="25"/>
      <c r="J628" s="25" t="s">
        <v>300</v>
      </c>
    </row>
    <row r="629" spans="1:10" x14ac:dyDescent="0.25">
      <c r="A629" s="4">
        <v>21643</v>
      </c>
      <c r="B629">
        <v>9888</v>
      </c>
      <c r="C629" s="4">
        <v>13796</v>
      </c>
      <c r="D629" t="s">
        <v>306</v>
      </c>
      <c r="E629" s="4">
        <v>10</v>
      </c>
      <c r="F629" s="25">
        <v>43719.512743055559</v>
      </c>
      <c r="G629">
        <v>0</v>
      </c>
      <c r="H629" s="25"/>
      <c r="I629" s="25"/>
      <c r="J629" s="25" t="s">
        <v>300</v>
      </c>
    </row>
    <row r="630" spans="1:10" x14ac:dyDescent="0.25">
      <c r="A630" s="4">
        <v>21643</v>
      </c>
      <c r="B630">
        <v>9888</v>
      </c>
      <c r="C630" s="4">
        <v>13796</v>
      </c>
      <c r="D630" t="s">
        <v>306</v>
      </c>
      <c r="E630" s="4">
        <v>11</v>
      </c>
      <c r="F630" s="25">
        <v>43719.512743055559</v>
      </c>
      <c r="G630">
        <v>0</v>
      </c>
      <c r="H630" s="25"/>
      <c r="I630" s="25"/>
      <c r="J630" s="25" t="s">
        <v>300</v>
      </c>
    </row>
    <row r="631" spans="1:10" x14ac:dyDescent="0.25">
      <c r="A631" s="4">
        <v>21643</v>
      </c>
      <c r="B631">
        <v>9888</v>
      </c>
      <c r="C631" s="4">
        <v>13796</v>
      </c>
      <c r="D631" t="s">
        <v>306</v>
      </c>
      <c r="E631" s="4">
        <v>9</v>
      </c>
      <c r="F631" s="25">
        <v>43719.512731481482</v>
      </c>
      <c r="G631">
        <v>0</v>
      </c>
      <c r="H631" s="25"/>
      <c r="I631" s="25"/>
      <c r="J631" s="25" t="s">
        <v>300</v>
      </c>
    </row>
    <row r="632" spans="1:10" x14ac:dyDescent="0.25">
      <c r="A632" s="4">
        <v>21643</v>
      </c>
      <c r="B632">
        <v>9888</v>
      </c>
      <c r="C632" s="4">
        <v>13796</v>
      </c>
      <c r="D632" t="s">
        <v>306</v>
      </c>
      <c r="E632" s="4">
        <v>7</v>
      </c>
      <c r="F632" s="25">
        <v>43719.512719907405</v>
      </c>
      <c r="G632">
        <v>0</v>
      </c>
      <c r="H632" s="25"/>
      <c r="I632" s="25"/>
      <c r="J632" s="25" t="s">
        <v>300</v>
      </c>
    </row>
    <row r="633" spans="1:10" x14ac:dyDescent="0.25">
      <c r="A633" s="4">
        <v>21643</v>
      </c>
      <c r="B633">
        <v>9888</v>
      </c>
      <c r="C633" s="4">
        <v>13796</v>
      </c>
      <c r="D633" t="s">
        <v>306</v>
      </c>
      <c r="E633" s="4">
        <v>8</v>
      </c>
      <c r="F633" s="25">
        <v>43719.512719907405</v>
      </c>
      <c r="G633">
        <v>0</v>
      </c>
      <c r="H633" s="25"/>
      <c r="I633" s="25"/>
      <c r="J633" s="25" t="s">
        <v>300</v>
      </c>
    </row>
    <row r="634" spans="1:10" x14ac:dyDescent="0.25">
      <c r="A634" s="4">
        <v>21643</v>
      </c>
      <c r="B634">
        <v>9888</v>
      </c>
      <c r="C634" s="4">
        <v>13796</v>
      </c>
      <c r="D634" t="s">
        <v>306</v>
      </c>
      <c r="E634" s="4">
        <v>5</v>
      </c>
      <c r="F634" s="25">
        <v>43719.512708333335</v>
      </c>
      <c r="G634">
        <v>0</v>
      </c>
      <c r="H634" s="25"/>
      <c r="I634" s="25"/>
      <c r="J634" s="25" t="s">
        <v>300</v>
      </c>
    </row>
    <row r="635" spans="1:10" x14ac:dyDescent="0.25">
      <c r="A635" s="4">
        <v>21643</v>
      </c>
      <c r="B635">
        <v>9888</v>
      </c>
      <c r="C635" s="4">
        <v>13796</v>
      </c>
      <c r="D635" t="s">
        <v>306</v>
      </c>
      <c r="E635" s="4">
        <v>6</v>
      </c>
      <c r="F635" s="25">
        <v>43719.512708333335</v>
      </c>
      <c r="G635">
        <v>0</v>
      </c>
      <c r="H635" s="25"/>
      <c r="I635" s="25"/>
      <c r="J635" s="25" t="s">
        <v>300</v>
      </c>
    </row>
    <row r="636" spans="1:10" x14ac:dyDescent="0.25">
      <c r="A636" s="4">
        <v>21643</v>
      </c>
      <c r="B636">
        <v>9888</v>
      </c>
      <c r="C636" s="4">
        <v>13796</v>
      </c>
      <c r="D636" t="s">
        <v>306</v>
      </c>
      <c r="E636" s="4">
        <v>4</v>
      </c>
      <c r="F636" s="25">
        <v>43719.512696759259</v>
      </c>
      <c r="G636">
        <v>0</v>
      </c>
      <c r="H636" s="25"/>
      <c r="I636" s="25"/>
      <c r="J636" s="25" t="s">
        <v>300</v>
      </c>
    </row>
    <row r="637" spans="1:10" x14ac:dyDescent="0.25">
      <c r="A637" s="4">
        <v>21643</v>
      </c>
      <c r="B637">
        <v>9888</v>
      </c>
      <c r="C637" s="4">
        <v>13796</v>
      </c>
      <c r="D637" t="s">
        <v>306</v>
      </c>
      <c r="E637" s="4">
        <v>3</v>
      </c>
      <c r="F637" s="25">
        <v>43719.512685185182</v>
      </c>
      <c r="G637">
        <v>0</v>
      </c>
      <c r="H637" s="25"/>
      <c r="I637" s="25"/>
      <c r="J637" s="25" t="s">
        <v>300</v>
      </c>
    </row>
    <row r="638" spans="1:10" x14ac:dyDescent="0.25">
      <c r="A638" s="4">
        <v>21643</v>
      </c>
      <c r="B638">
        <v>9888</v>
      </c>
      <c r="C638" s="4">
        <v>13796</v>
      </c>
      <c r="D638" t="s">
        <v>306</v>
      </c>
      <c r="E638" s="4">
        <v>1</v>
      </c>
      <c r="F638" s="25">
        <v>43719.512673611112</v>
      </c>
      <c r="G638">
        <v>0</v>
      </c>
      <c r="H638" s="25"/>
      <c r="I638" s="25"/>
      <c r="J638" s="25" t="s">
        <v>300</v>
      </c>
    </row>
    <row r="639" spans="1:10" x14ac:dyDescent="0.25">
      <c r="A639" s="4">
        <v>21643</v>
      </c>
      <c r="B639">
        <v>9888</v>
      </c>
      <c r="C639" s="4">
        <v>13796</v>
      </c>
      <c r="D639" t="s">
        <v>306</v>
      </c>
      <c r="E639" s="4">
        <v>2</v>
      </c>
      <c r="F639" s="25">
        <v>43719.512673611112</v>
      </c>
      <c r="G639">
        <v>0</v>
      </c>
      <c r="H639" s="25"/>
      <c r="I639" s="25"/>
      <c r="J639" s="25" t="s">
        <v>300</v>
      </c>
    </row>
    <row r="640" spans="1:10" x14ac:dyDescent="0.25">
      <c r="A640" s="4">
        <v>21643</v>
      </c>
      <c r="B640">
        <v>9888</v>
      </c>
      <c r="C640" s="4">
        <v>13796</v>
      </c>
      <c r="D640" t="s">
        <v>306</v>
      </c>
      <c r="E640" s="4">
        <v>0</v>
      </c>
      <c r="F640" s="25">
        <v>43719.512662037036</v>
      </c>
      <c r="G640">
        <v>0</v>
      </c>
      <c r="H640" s="25"/>
      <c r="I640" s="25"/>
      <c r="J640" s="25" t="s">
        <v>300</v>
      </c>
    </row>
    <row r="641" spans="1:10" x14ac:dyDescent="0.25">
      <c r="A641" s="4">
        <v>9590</v>
      </c>
      <c r="B641">
        <v>9404</v>
      </c>
      <c r="C641" s="4">
        <v>14308</v>
      </c>
      <c r="D641" t="s">
        <v>306</v>
      </c>
      <c r="E641" s="4">
        <v>24</v>
      </c>
      <c r="F641" s="25">
        <v>43719.464317129627</v>
      </c>
      <c r="G641">
        <v>0</v>
      </c>
      <c r="H641" s="25"/>
      <c r="I641" s="25"/>
      <c r="J641" s="25" t="s">
        <v>300</v>
      </c>
    </row>
    <row r="642" spans="1:10" x14ac:dyDescent="0.25">
      <c r="A642" s="4">
        <v>9590</v>
      </c>
      <c r="B642">
        <v>9404</v>
      </c>
      <c r="C642" s="4">
        <v>14308</v>
      </c>
      <c r="D642" t="s">
        <v>306</v>
      </c>
      <c r="E642" s="4">
        <v>23</v>
      </c>
      <c r="F642" s="25">
        <v>43719.464305555557</v>
      </c>
      <c r="G642">
        <v>0</v>
      </c>
      <c r="H642" s="25"/>
      <c r="I642" s="25"/>
      <c r="J642" s="25" t="s">
        <v>300</v>
      </c>
    </row>
    <row r="643" spans="1:10" x14ac:dyDescent="0.25">
      <c r="A643" s="4">
        <v>9590</v>
      </c>
      <c r="B643">
        <v>9404</v>
      </c>
      <c r="C643" s="4">
        <v>14308</v>
      </c>
      <c r="D643" t="s">
        <v>306</v>
      </c>
      <c r="E643" s="4">
        <v>21</v>
      </c>
      <c r="F643" s="25">
        <v>43719.46429398148</v>
      </c>
      <c r="G643">
        <v>0</v>
      </c>
      <c r="H643" s="25"/>
      <c r="I643" s="25"/>
      <c r="J643" s="25" t="s">
        <v>300</v>
      </c>
    </row>
    <row r="644" spans="1:10" x14ac:dyDescent="0.25">
      <c r="A644" s="4">
        <v>9590</v>
      </c>
      <c r="B644">
        <v>9404</v>
      </c>
      <c r="C644" s="4">
        <v>14308</v>
      </c>
      <c r="D644" t="s">
        <v>306</v>
      </c>
      <c r="E644" s="4">
        <v>22</v>
      </c>
      <c r="F644" s="25">
        <v>43719.46429398148</v>
      </c>
      <c r="G644">
        <v>0</v>
      </c>
      <c r="H644" s="25"/>
      <c r="I644" s="25"/>
      <c r="J644" s="25" t="s">
        <v>300</v>
      </c>
    </row>
    <row r="645" spans="1:10" x14ac:dyDescent="0.25">
      <c r="A645" s="4">
        <v>9590</v>
      </c>
      <c r="B645">
        <v>9404</v>
      </c>
      <c r="C645" s="4">
        <v>14308</v>
      </c>
      <c r="D645" t="s">
        <v>306</v>
      </c>
      <c r="E645" s="4">
        <v>20</v>
      </c>
      <c r="F645" s="25">
        <v>43719.464282407411</v>
      </c>
      <c r="G645">
        <v>0</v>
      </c>
      <c r="H645" s="25"/>
      <c r="I645" s="25"/>
      <c r="J645" s="25" t="s">
        <v>300</v>
      </c>
    </row>
    <row r="646" spans="1:10" x14ac:dyDescent="0.25">
      <c r="A646" s="4">
        <v>9590</v>
      </c>
      <c r="B646">
        <v>9404</v>
      </c>
      <c r="C646" s="4">
        <v>14308</v>
      </c>
      <c r="D646" t="s">
        <v>306</v>
      </c>
      <c r="E646" s="4">
        <v>18</v>
      </c>
      <c r="F646" s="25">
        <v>43719.464270833334</v>
      </c>
      <c r="G646">
        <v>0</v>
      </c>
      <c r="H646" s="25"/>
      <c r="I646" s="25"/>
      <c r="J646" s="25" t="s">
        <v>300</v>
      </c>
    </row>
    <row r="647" spans="1:10" x14ac:dyDescent="0.25">
      <c r="A647" s="4">
        <v>9590</v>
      </c>
      <c r="B647">
        <v>9404</v>
      </c>
      <c r="C647" s="4">
        <v>14308</v>
      </c>
      <c r="D647" t="s">
        <v>306</v>
      </c>
      <c r="E647" s="4">
        <v>19</v>
      </c>
      <c r="F647" s="25">
        <v>43719.464270833334</v>
      </c>
      <c r="G647">
        <v>0</v>
      </c>
      <c r="H647" s="25"/>
      <c r="I647" s="25"/>
      <c r="J647" s="25" t="s">
        <v>300</v>
      </c>
    </row>
    <row r="648" spans="1:10" x14ac:dyDescent="0.25">
      <c r="A648" s="4">
        <v>9590</v>
      </c>
      <c r="B648">
        <v>9404</v>
      </c>
      <c r="C648" s="4">
        <v>14308</v>
      </c>
      <c r="D648" t="s">
        <v>306</v>
      </c>
      <c r="E648" s="4">
        <v>17</v>
      </c>
      <c r="F648" s="25">
        <v>43719.464259259257</v>
      </c>
      <c r="G648">
        <v>0</v>
      </c>
      <c r="H648" s="25"/>
      <c r="I648" s="25"/>
      <c r="J648" s="25" t="s">
        <v>300</v>
      </c>
    </row>
    <row r="649" spans="1:10" x14ac:dyDescent="0.25">
      <c r="A649" s="4">
        <v>9590</v>
      </c>
      <c r="B649">
        <v>9404</v>
      </c>
      <c r="C649" s="4">
        <v>14308</v>
      </c>
      <c r="D649" t="s">
        <v>306</v>
      </c>
      <c r="E649" s="4">
        <v>15</v>
      </c>
      <c r="F649" s="25">
        <v>43719.464247685188</v>
      </c>
      <c r="G649">
        <v>0</v>
      </c>
      <c r="H649" s="25"/>
      <c r="I649" s="25"/>
      <c r="J649" s="25" t="s">
        <v>300</v>
      </c>
    </row>
    <row r="650" spans="1:10" x14ac:dyDescent="0.25">
      <c r="A650" s="4">
        <v>9590</v>
      </c>
      <c r="B650">
        <v>9404</v>
      </c>
      <c r="C650" s="4">
        <v>14308</v>
      </c>
      <c r="D650" t="s">
        <v>306</v>
      </c>
      <c r="E650" s="4">
        <v>16</v>
      </c>
      <c r="F650" s="25">
        <v>43719.464247685188</v>
      </c>
      <c r="G650">
        <v>0</v>
      </c>
      <c r="H650" s="25"/>
      <c r="I650" s="25"/>
      <c r="J650" s="25" t="s">
        <v>300</v>
      </c>
    </row>
    <row r="651" spans="1:10" x14ac:dyDescent="0.25">
      <c r="A651" s="4">
        <v>9590</v>
      </c>
      <c r="B651">
        <v>9404</v>
      </c>
      <c r="C651" s="4">
        <v>14308</v>
      </c>
      <c r="D651" t="s">
        <v>306</v>
      </c>
      <c r="E651" s="4">
        <v>14</v>
      </c>
      <c r="F651" s="25">
        <v>43719.464236111111</v>
      </c>
      <c r="G651">
        <v>0</v>
      </c>
      <c r="H651" s="25"/>
      <c r="I651" s="25"/>
      <c r="J651" s="25" t="s">
        <v>300</v>
      </c>
    </row>
    <row r="652" spans="1:10" x14ac:dyDescent="0.25">
      <c r="A652" s="4">
        <v>9590</v>
      </c>
      <c r="B652">
        <v>9404</v>
      </c>
      <c r="C652" s="4">
        <v>14308</v>
      </c>
      <c r="D652" t="s">
        <v>306</v>
      </c>
      <c r="E652" s="4">
        <v>12</v>
      </c>
      <c r="F652" s="25">
        <v>43719.464224537034</v>
      </c>
      <c r="G652">
        <v>0</v>
      </c>
      <c r="H652" s="25"/>
      <c r="I652" s="25"/>
      <c r="J652" s="25" t="s">
        <v>300</v>
      </c>
    </row>
    <row r="653" spans="1:10" x14ac:dyDescent="0.25">
      <c r="A653" s="4">
        <v>9590</v>
      </c>
      <c r="B653">
        <v>9404</v>
      </c>
      <c r="C653" s="4">
        <v>14308</v>
      </c>
      <c r="D653" t="s">
        <v>306</v>
      </c>
      <c r="E653" s="4">
        <v>13</v>
      </c>
      <c r="F653" s="25">
        <v>43719.464224537034</v>
      </c>
      <c r="G653">
        <v>0</v>
      </c>
      <c r="H653" s="25"/>
      <c r="I653" s="25"/>
      <c r="J653" s="25" t="s">
        <v>300</v>
      </c>
    </row>
    <row r="654" spans="1:10" x14ac:dyDescent="0.25">
      <c r="A654" s="4">
        <v>9590</v>
      </c>
      <c r="B654">
        <v>9404</v>
      </c>
      <c r="C654" s="4">
        <v>14308</v>
      </c>
      <c r="D654" t="s">
        <v>306</v>
      </c>
      <c r="E654" s="4">
        <v>11</v>
      </c>
      <c r="F654" s="25">
        <v>43719.464212962965</v>
      </c>
      <c r="G654">
        <v>0</v>
      </c>
      <c r="H654" s="25"/>
      <c r="I654" s="25"/>
      <c r="J654" s="25" t="s">
        <v>300</v>
      </c>
    </row>
    <row r="655" spans="1:10" x14ac:dyDescent="0.25">
      <c r="A655" s="4">
        <v>9590</v>
      </c>
      <c r="B655">
        <v>9404</v>
      </c>
      <c r="C655" s="4">
        <v>14308</v>
      </c>
      <c r="D655" t="s">
        <v>306</v>
      </c>
      <c r="E655" s="4">
        <v>9</v>
      </c>
      <c r="F655" s="25">
        <v>43719.464201388888</v>
      </c>
      <c r="G655">
        <v>0</v>
      </c>
      <c r="H655" s="25"/>
      <c r="I655" s="25"/>
      <c r="J655" s="25" t="s">
        <v>300</v>
      </c>
    </row>
    <row r="656" spans="1:10" x14ac:dyDescent="0.25">
      <c r="A656" s="4">
        <v>9590</v>
      </c>
      <c r="B656">
        <v>9404</v>
      </c>
      <c r="C656" s="4">
        <v>14308</v>
      </c>
      <c r="D656" t="s">
        <v>306</v>
      </c>
      <c r="E656" s="4">
        <v>10</v>
      </c>
      <c r="F656" s="25">
        <v>43719.464201388888</v>
      </c>
      <c r="G656">
        <v>0</v>
      </c>
      <c r="H656" s="25"/>
      <c r="I656" s="25"/>
      <c r="J656" s="25" t="s">
        <v>300</v>
      </c>
    </row>
    <row r="657" spans="1:10" x14ac:dyDescent="0.25">
      <c r="A657" s="4">
        <v>9590</v>
      </c>
      <c r="B657">
        <v>9404</v>
      </c>
      <c r="C657" s="4">
        <v>14308</v>
      </c>
      <c r="D657" t="s">
        <v>306</v>
      </c>
      <c r="E657" s="4">
        <v>7</v>
      </c>
      <c r="F657" s="25">
        <v>43719.464189814818</v>
      </c>
      <c r="G657">
        <v>0</v>
      </c>
      <c r="H657" s="25"/>
      <c r="I657" s="25"/>
      <c r="J657" s="25" t="s">
        <v>300</v>
      </c>
    </row>
    <row r="658" spans="1:10" x14ac:dyDescent="0.25">
      <c r="A658" s="4">
        <v>9590</v>
      </c>
      <c r="B658">
        <v>9404</v>
      </c>
      <c r="C658" s="4">
        <v>14308</v>
      </c>
      <c r="D658" t="s">
        <v>306</v>
      </c>
      <c r="E658" s="4">
        <v>8</v>
      </c>
      <c r="F658" s="25">
        <v>43719.464189814818</v>
      </c>
      <c r="G658">
        <v>0</v>
      </c>
      <c r="H658" s="25"/>
      <c r="I658" s="25"/>
      <c r="J658" s="25" t="s">
        <v>300</v>
      </c>
    </row>
    <row r="659" spans="1:10" x14ac:dyDescent="0.25">
      <c r="A659" s="4">
        <v>9590</v>
      </c>
      <c r="B659">
        <v>9404</v>
      </c>
      <c r="C659" s="4">
        <v>14308</v>
      </c>
      <c r="D659" t="s">
        <v>306</v>
      </c>
      <c r="E659" s="4">
        <v>6</v>
      </c>
      <c r="F659" s="25">
        <v>43719.464178240742</v>
      </c>
      <c r="G659">
        <v>0</v>
      </c>
      <c r="H659" s="25"/>
      <c r="I659" s="25"/>
      <c r="J659" s="25" t="s">
        <v>300</v>
      </c>
    </row>
    <row r="660" spans="1:10" x14ac:dyDescent="0.25">
      <c r="A660" s="4">
        <v>9590</v>
      </c>
      <c r="B660">
        <v>9404</v>
      </c>
      <c r="C660" s="4">
        <v>14308</v>
      </c>
      <c r="D660" t="s">
        <v>306</v>
      </c>
      <c r="E660" s="4">
        <v>4</v>
      </c>
      <c r="F660" s="25">
        <v>43719.464166666665</v>
      </c>
      <c r="G660">
        <v>0</v>
      </c>
      <c r="H660" s="25"/>
      <c r="I660" s="25"/>
      <c r="J660" s="25" t="s">
        <v>300</v>
      </c>
    </row>
    <row r="661" spans="1:10" x14ac:dyDescent="0.25">
      <c r="A661" s="4">
        <v>9590</v>
      </c>
      <c r="B661">
        <v>9404</v>
      </c>
      <c r="C661" s="4">
        <v>14308</v>
      </c>
      <c r="D661" t="s">
        <v>306</v>
      </c>
      <c r="E661" s="4">
        <v>5</v>
      </c>
      <c r="F661" s="25">
        <v>43719.464166666665</v>
      </c>
      <c r="G661">
        <v>0</v>
      </c>
      <c r="H661" s="25"/>
      <c r="I661" s="25"/>
      <c r="J661" s="25" t="s">
        <v>300</v>
      </c>
    </row>
    <row r="662" spans="1:10" x14ac:dyDescent="0.25">
      <c r="A662" s="4">
        <v>9590</v>
      </c>
      <c r="B662">
        <v>9404</v>
      </c>
      <c r="C662" s="4">
        <v>14308</v>
      </c>
      <c r="D662" t="s">
        <v>306</v>
      </c>
      <c r="E662" s="4">
        <v>3</v>
      </c>
      <c r="F662" s="25">
        <v>43719.464155092595</v>
      </c>
      <c r="G662">
        <v>0</v>
      </c>
      <c r="H662" s="25"/>
      <c r="I662" s="25"/>
      <c r="J662" s="25" t="s">
        <v>300</v>
      </c>
    </row>
    <row r="663" spans="1:10" x14ac:dyDescent="0.25">
      <c r="A663" s="4">
        <v>9590</v>
      </c>
      <c r="B663">
        <v>9404</v>
      </c>
      <c r="C663" s="4">
        <v>14308</v>
      </c>
      <c r="D663" t="s">
        <v>306</v>
      </c>
      <c r="E663" s="4">
        <v>1</v>
      </c>
      <c r="F663" s="25">
        <v>43719.464143518519</v>
      </c>
      <c r="G663">
        <v>0</v>
      </c>
      <c r="H663" s="25"/>
      <c r="I663" s="25"/>
      <c r="J663" s="25" t="s">
        <v>300</v>
      </c>
    </row>
    <row r="664" spans="1:10" x14ac:dyDescent="0.25">
      <c r="A664" s="4">
        <v>9590</v>
      </c>
      <c r="B664">
        <v>9404</v>
      </c>
      <c r="C664" s="4">
        <v>14308</v>
      </c>
      <c r="D664" t="s">
        <v>306</v>
      </c>
      <c r="E664" s="4">
        <v>2</v>
      </c>
      <c r="F664" s="25">
        <v>43719.464143518519</v>
      </c>
      <c r="G664">
        <v>0</v>
      </c>
      <c r="H664" s="25"/>
      <c r="I664" s="25"/>
      <c r="J664" s="25" t="s">
        <v>300</v>
      </c>
    </row>
    <row r="665" spans="1:10" x14ac:dyDescent="0.25">
      <c r="A665" s="4">
        <v>9590</v>
      </c>
      <c r="B665">
        <v>9404</v>
      </c>
      <c r="C665" s="4">
        <v>14308</v>
      </c>
      <c r="D665" t="s">
        <v>306</v>
      </c>
      <c r="E665" s="4">
        <v>0</v>
      </c>
      <c r="F665" s="25">
        <v>43719.464131944442</v>
      </c>
      <c r="G665">
        <v>0</v>
      </c>
      <c r="H665" s="25"/>
      <c r="I665" s="25"/>
      <c r="J665" s="25" t="s">
        <v>300</v>
      </c>
    </row>
    <row r="666" spans="1:10" x14ac:dyDescent="0.25">
      <c r="A666" s="4">
        <v>9094</v>
      </c>
      <c r="B666">
        <v>12583</v>
      </c>
      <c r="C666" s="4">
        <v>14308</v>
      </c>
      <c r="D666" t="s">
        <v>306</v>
      </c>
      <c r="E666" s="4">
        <v>0</v>
      </c>
      <c r="F666" s="25">
        <v>43719.462384259263</v>
      </c>
      <c r="G666">
        <v>0</v>
      </c>
      <c r="H666" s="25"/>
      <c r="I666" s="25"/>
      <c r="J666" s="25" t="s">
        <v>300</v>
      </c>
    </row>
    <row r="667" spans="1:10" x14ac:dyDescent="0.25">
      <c r="A667" s="4">
        <v>4979</v>
      </c>
      <c r="B667">
        <v>12584</v>
      </c>
      <c r="C667" s="4">
        <v>14308</v>
      </c>
      <c r="D667" t="s">
        <v>306</v>
      </c>
      <c r="E667" s="4">
        <v>1</v>
      </c>
      <c r="F667" s="25">
        <v>43719.458321759259</v>
      </c>
      <c r="G667">
        <v>0</v>
      </c>
      <c r="H667" s="25"/>
      <c r="I667" s="25"/>
      <c r="J667" s="25" t="s">
        <v>300</v>
      </c>
    </row>
    <row r="668" spans="1:10" x14ac:dyDescent="0.25">
      <c r="A668" s="4">
        <v>4979</v>
      </c>
      <c r="B668">
        <v>12584</v>
      </c>
      <c r="C668" s="4">
        <v>14308</v>
      </c>
      <c r="D668" t="s">
        <v>306</v>
      </c>
      <c r="E668" s="4">
        <v>0</v>
      </c>
      <c r="F668" s="25">
        <v>43719.447800925926</v>
      </c>
      <c r="G668">
        <v>0</v>
      </c>
      <c r="H668" s="25"/>
      <c r="I668" s="25"/>
      <c r="J668" s="25" t="s">
        <v>300</v>
      </c>
    </row>
    <row r="669" spans="1:10" x14ac:dyDescent="0.25">
      <c r="A669" s="4">
        <v>29958</v>
      </c>
      <c r="B669">
        <v>8440</v>
      </c>
      <c r="C669" s="4">
        <v>14308</v>
      </c>
      <c r="D669" t="s">
        <v>306</v>
      </c>
      <c r="E669" s="4">
        <v>0</v>
      </c>
      <c r="F669" s="25">
        <v>43719.420208333337</v>
      </c>
      <c r="G669">
        <v>0</v>
      </c>
      <c r="H669" s="25"/>
      <c r="I669" s="25"/>
      <c r="J669" s="25" t="s">
        <v>300</v>
      </c>
    </row>
    <row r="670" spans="1:10" x14ac:dyDescent="0.25">
      <c r="A670" s="4">
        <v>100</v>
      </c>
      <c r="B670">
        <v>11608</v>
      </c>
      <c r="C670" s="4">
        <v>14308</v>
      </c>
      <c r="D670" t="s">
        <v>7</v>
      </c>
      <c r="E670" s="4">
        <v>0</v>
      </c>
      <c r="F670" s="25">
        <v>43719.415891203702</v>
      </c>
      <c r="G670">
        <v>0</v>
      </c>
      <c r="H670" s="25"/>
      <c r="I670" s="25" t="s">
        <v>414</v>
      </c>
      <c r="J670" s="25" t="s">
        <v>300</v>
      </c>
    </row>
    <row r="671" spans="1:10" x14ac:dyDescent="0.25">
      <c r="A671" s="4">
        <v>100</v>
      </c>
      <c r="B671">
        <v>10208</v>
      </c>
      <c r="C671" s="4">
        <v>14308</v>
      </c>
      <c r="D671" t="s">
        <v>7</v>
      </c>
      <c r="E671" s="4">
        <v>0</v>
      </c>
      <c r="F671" s="25">
        <v>43719.41574074074</v>
      </c>
      <c r="G671">
        <v>0</v>
      </c>
      <c r="H671" s="25"/>
      <c r="I671" s="25" t="s">
        <v>415</v>
      </c>
      <c r="J671" s="25" t="s">
        <v>300</v>
      </c>
    </row>
    <row r="672" spans="1:10" x14ac:dyDescent="0.25">
      <c r="A672" s="4">
        <v>100</v>
      </c>
      <c r="B672">
        <v>9364</v>
      </c>
      <c r="C672" s="4">
        <v>14308</v>
      </c>
      <c r="D672" t="s">
        <v>7</v>
      </c>
      <c r="E672" s="4">
        <v>0</v>
      </c>
      <c r="F672" s="25">
        <v>43719.415590277778</v>
      </c>
      <c r="G672">
        <v>0</v>
      </c>
      <c r="H672" s="25"/>
      <c r="I672" s="25" t="s">
        <v>416</v>
      </c>
      <c r="J672" s="25" t="s">
        <v>300</v>
      </c>
    </row>
    <row r="673" spans="1:10" x14ac:dyDescent="0.25">
      <c r="A673" s="4">
        <v>100</v>
      </c>
      <c r="B673">
        <v>6136</v>
      </c>
      <c r="C673" s="4">
        <v>14308</v>
      </c>
      <c r="D673" t="s">
        <v>7</v>
      </c>
      <c r="E673" s="4">
        <v>0</v>
      </c>
      <c r="F673" s="25">
        <v>43719.41542824074</v>
      </c>
      <c r="G673">
        <v>0</v>
      </c>
      <c r="H673" s="25"/>
      <c r="I673" s="25" t="s">
        <v>417</v>
      </c>
      <c r="J673" s="25" t="s">
        <v>300</v>
      </c>
    </row>
    <row r="674" spans="1:10" x14ac:dyDescent="0.25">
      <c r="A674" s="4">
        <v>100</v>
      </c>
      <c r="B674">
        <v>804</v>
      </c>
      <c r="C674" s="4">
        <v>14308</v>
      </c>
      <c r="D674" t="s">
        <v>7</v>
      </c>
      <c r="E674" s="4">
        <v>0</v>
      </c>
      <c r="F674" s="25">
        <v>43719.415266203701</v>
      </c>
      <c r="G674">
        <v>0</v>
      </c>
      <c r="H674" s="25"/>
      <c r="I674" s="25" t="s">
        <v>418</v>
      </c>
      <c r="J674" s="25" t="s">
        <v>300</v>
      </c>
    </row>
    <row r="675" spans="1:10" x14ac:dyDescent="0.25">
      <c r="A675" s="4">
        <v>100</v>
      </c>
      <c r="B675">
        <v>11532</v>
      </c>
      <c r="C675" s="4">
        <v>14308</v>
      </c>
      <c r="D675" t="s">
        <v>7</v>
      </c>
      <c r="E675" s="4">
        <v>0</v>
      </c>
      <c r="F675" s="25">
        <v>43719.415069444447</v>
      </c>
      <c r="G675">
        <v>0</v>
      </c>
      <c r="H675" s="25"/>
      <c r="I675" s="25" t="s">
        <v>419</v>
      </c>
      <c r="J675" s="25" t="s">
        <v>300</v>
      </c>
    </row>
    <row r="676" spans="1:10" x14ac:dyDescent="0.25">
      <c r="A676" s="4">
        <v>100</v>
      </c>
      <c r="B676">
        <v>3796</v>
      </c>
      <c r="C676" s="4">
        <v>14308</v>
      </c>
      <c r="D676" t="s">
        <v>7</v>
      </c>
      <c r="E676" s="4">
        <v>0</v>
      </c>
      <c r="F676" s="25">
        <v>43719.414907407408</v>
      </c>
      <c r="G676">
        <v>0</v>
      </c>
      <c r="H676" s="25"/>
      <c r="I676" s="25" t="s">
        <v>420</v>
      </c>
      <c r="J676" s="25" t="s">
        <v>300</v>
      </c>
    </row>
    <row r="677" spans="1:10" x14ac:dyDescent="0.25">
      <c r="A677" s="4">
        <v>100</v>
      </c>
      <c r="B677">
        <v>8407</v>
      </c>
      <c r="C677" s="4">
        <v>14308</v>
      </c>
      <c r="D677" t="s">
        <v>7</v>
      </c>
      <c r="E677" s="4">
        <v>0</v>
      </c>
      <c r="F677" s="25">
        <v>43719.414687500001</v>
      </c>
      <c r="G677">
        <v>0</v>
      </c>
      <c r="H677" s="25"/>
      <c r="I677" s="25" t="s">
        <v>421</v>
      </c>
      <c r="J677" s="25" t="s">
        <v>300</v>
      </c>
    </row>
    <row r="678" spans="1:10" x14ac:dyDescent="0.25">
      <c r="A678" s="4">
        <v>99</v>
      </c>
      <c r="B678">
        <v>13640</v>
      </c>
      <c r="C678" s="4">
        <v>14308</v>
      </c>
      <c r="D678" t="s">
        <v>7</v>
      </c>
      <c r="E678" s="4">
        <v>0</v>
      </c>
      <c r="F678" s="25">
        <v>43719.413032407407</v>
      </c>
      <c r="G678">
        <v>0</v>
      </c>
      <c r="H678" s="25"/>
      <c r="I678" s="25" t="s">
        <v>422</v>
      </c>
      <c r="J678" s="25" t="s">
        <v>300</v>
      </c>
    </row>
    <row r="679" spans="1:10" x14ac:dyDescent="0.25">
      <c r="A679" s="4">
        <v>99</v>
      </c>
      <c r="B679">
        <v>7432</v>
      </c>
      <c r="C679" s="4">
        <v>14308</v>
      </c>
      <c r="D679" t="s">
        <v>7</v>
      </c>
      <c r="E679" s="4">
        <v>0</v>
      </c>
      <c r="F679" s="25">
        <v>43719.28334490741</v>
      </c>
      <c r="G679">
        <v>0</v>
      </c>
      <c r="H679" s="25"/>
      <c r="I679" s="25" t="s">
        <v>422</v>
      </c>
      <c r="J679" s="25" t="s">
        <v>300</v>
      </c>
    </row>
    <row r="680" spans="1:10" x14ac:dyDescent="0.25">
      <c r="A680" s="4">
        <v>83</v>
      </c>
      <c r="B680">
        <v>14044</v>
      </c>
      <c r="C680" s="4">
        <v>14308</v>
      </c>
      <c r="D680" t="s">
        <v>7</v>
      </c>
      <c r="E680" s="4">
        <v>0</v>
      </c>
      <c r="F680" s="25">
        <v>43718.966006944444</v>
      </c>
      <c r="G680">
        <v>0</v>
      </c>
      <c r="H680" s="25"/>
      <c r="I680" s="25" t="s">
        <v>414</v>
      </c>
      <c r="J680" s="25" t="s">
        <v>300</v>
      </c>
    </row>
    <row r="681" spans="1:10" x14ac:dyDescent="0.25">
      <c r="A681" s="4">
        <v>83</v>
      </c>
      <c r="B681">
        <v>13560</v>
      </c>
      <c r="C681" s="4">
        <v>14308</v>
      </c>
      <c r="D681" t="s">
        <v>7</v>
      </c>
      <c r="E681" s="4">
        <v>0</v>
      </c>
      <c r="F681" s="25">
        <v>43718.957361111112</v>
      </c>
      <c r="G681">
        <v>0</v>
      </c>
      <c r="H681" s="25"/>
      <c r="I681" s="25" t="s">
        <v>414</v>
      </c>
      <c r="J681" s="25" t="s">
        <v>300</v>
      </c>
    </row>
    <row r="682" spans="1:10" x14ac:dyDescent="0.25">
      <c r="A682" s="4">
        <v>30</v>
      </c>
      <c r="B682">
        <v>6104</v>
      </c>
      <c r="C682" s="4">
        <v>5644</v>
      </c>
      <c r="D682" t="s">
        <v>7</v>
      </c>
      <c r="E682" s="4">
        <v>0</v>
      </c>
      <c r="F682" s="25">
        <v>43718.93854166667</v>
      </c>
      <c r="G682">
        <v>0</v>
      </c>
      <c r="H682" s="25"/>
      <c r="I682" s="25" t="s">
        <v>421</v>
      </c>
      <c r="J682" s="25" t="s">
        <v>300</v>
      </c>
    </row>
    <row r="683" spans="1:10" x14ac:dyDescent="0.25">
      <c r="A683" s="4">
        <v>30</v>
      </c>
      <c r="B683">
        <v>12756</v>
      </c>
      <c r="C683" s="4">
        <v>5644</v>
      </c>
      <c r="D683" t="s">
        <v>7</v>
      </c>
      <c r="E683" s="4">
        <v>0</v>
      </c>
      <c r="F683" s="25">
        <v>43718.935219907406</v>
      </c>
      <c r="G683">
        <v>0</v>
      </c>
      <c r="H683" s="25"/>
      <c r="I683" s="25" t="s">
        <v>331</v>
      </c>
      <c r="J683" s="25" t="s">
        <v>300</v>
      </c>
    </row>
    <row r="684" spans="1:10" x14ac:dyDescent="0.25">
      <c r="A684" s="4">
        <v>99</v>
      </c>
      <c r="B684">
        <v>11380</v>
      </c>
      <c r="C684" s="4">
        <v>14308</v>
      </c>
      <c r="D684" t="s">
        <v>7</v>
      </c>
      <c r="E684" s="4">
        <v>0</v>
      </c>
      <c r="F684" s="25">
        <v>43718.918657407405</v>
      </c>
      <c r="G684">
        <v>0</v>
      </c>
      <c r="H684" s="25"/>
      <c r="I684" s="25" t="s">
        <v>335</v>
      </c>
      <c r="J684" s="25" t="s">
        <v>300</v>
      </c>
    </row>
    <row r="685" spans="1:10" x14ac:dyDescent="0.25">
      <c r="A685" s="4">
        <v>99</v>
      </c>
      <c r="B685">
        <v>11723</v>
      </c>
      <c r="C685" s="4">
        <v>14308</v>
      </c>
      <c r="D685" t="s">
        <v>7</v>
      </c>
      <c r="E685" s="4">
        <v>0</v>
      </c>
      <c r="F685" s="25">
        <v>43718.916990740741</v>
      </c>
      <c r="G685">
        <v>0</v>
      </c>
      <c r="H685" s="25"/>
      <c r="I685" s="25" t="s">
        <v>335</v>
      </c>
      <c r="J685" s="25" t="s">
        <v>300</v>
      </c>
    </row>
    <row r="686" spans="1:10" x14ac:dyDescent="0.25">
      <c r="A686" s="4">
        <v>99</v>
      </c>
      <c r="B686">
        <v>14260</v>
      </c>
      <c r="C686" s="4">
        <v>14308</v>
      </c>
      <c r="D686" t="s">
        <v>7</v>
      </c>
      <c r="E686" s="4">
        <v>0</v>
      </c>
      <c r="F686" s="25">
        <v>43718.9141087963</v>
      </c>
      <c r="G686">
        <v>0</v>
      </c>
      <c r="H686" s="25"/>
      <c r="I686" s="25" t="s">
        <v>335</v>
      </c>
      <c r="J686" s="25" t="s">
        <v>300</v>
      </c>
    </row>
    <row r="687" spans="1:10" x14ac:dyDescent="0.25">
      <c r="A687" s="4">
        <v>99</v>
      </c>
      <c r="B687">
        <v>13308</v>
      </c>
      <c r="C687" s="4">
        <v>14308</v>
      </c>
      <c r="D687" t="s">
        <v>7</v>
      </c>
      <c r="E687" s="4">
        <v>0</v>
      </c>
      <c r="F687" s="25">
        <v>43718.900787037041</v>
      </c>
      <c r="G687">
        <v>0</v>
      </c>
      <c r="H687" s="25"/>
      <c r="I687" s="25" t="s">
        <v>335</v>
      </c>
      <c r="J687" s="25" t="s">
        <v>300</v>
      </c>
    </row>
    <row r="688" spans="1:10" x14ac:dyDescent="0.25">
      <c r="A688" s="4">
        <v>99</v>
      </c>
      <c r="B688">
        <v>5940</v>
      </c>
      <c r="C688" s="4">
        <v>14308</v>
      </c>
      <c r="D688" t="s">
        <v>7</v>
      </c>
      <c r="E688" s="4">
        <v>0</v>
      </c>
      <c r="F688" s="25">
        <v>43718.899664351855</v>
      </c>
      <c r="G688">
        <v>0</v>
      </c>
      <c r="H688" s="25"/>
      <c r="I688" s="25" t="s">
        <v>335</v>
      </c>
      <c r="J688" s="25" t="s">
        <v>300</v>
      </c>
    </row>
    <row r="689" spans="1:10" x14ac:dyDescent="0.25">
      <c r="A689" s="4">
        <v>90</v>
      </c>
      <c r="B689">
        <v>5688</v>
      </c>
      <c r="C689" s="4">
        <v>16504</v>
      </c>
      <c r="D689" t="s">
        <v>7</v>
      </c>
      <c r="E689" s="4">
        <v>0</v>
      </c>
      <c r="F689" s="25">
        <v>43718.865358796298</v>
      </c>
      <c r="G689">
        <v>0</v>
      </c>
      <c r="H689" s="25"/>
      <c r="I689" s="25" t="s">
        <v>423</v>
      </c>
      <c r="J689" s="25" t="s">
        <v>304</v>
      </c>
    </row>
    <row r="690" spans="1:10" x14ac:dyDescent="0.25">
      <c r="A690" s="4">
        <v>90</v>
      </c>
      <c r="B690">
        <v>16504</v>
      </c>
      <c r="C690" s="4">
        <v>16504</v>
      </c>
      <c r="D690" t="s">
        <v>7</v>
      </c>
      <c r="E690" s="4">
        <v>0</v>
      </c>
      <c r="F690" s="25">
        <v>43718.607048611113</v>
      </c>
      <c r="G690">
        <v>1</v>
      </c>
      <c r="H690" s="25" t="s">
        <v>321</v>
      </c>
      <c r="I690" s="25"/>
      <c r="J690" s="25" t="s">
        <v>424</v>
      </c>
    </row>
    <row r="691" spans="1:10" x14ac:dyDescent="0.25">
      <c r="A691" s="4">
        <v>99</v>
      </c>
      <c r="B691">
        <v>13616</v>
      </c>
      <c r="C691" s="4">
        <v>14308</v>
      </c>
      <c r="D691" t="s">
        <v>7</v>
      </c>
      <c r="E691" s="4">
        <v>0</v>
      </c>
      <c r="F691" s="25">
        <v>43718.530925925923</v>
      </c>
      <c r="G691">
        <v>0</v>
      </c>
      <c r="H691" s="25"/>
      <c r="I691" s="25" t="s">
        <v>335</v>
      </c>
      <c r="J691" s="25" t="s">
        <v>304</v>
      </c>
    </row>
    <row r="692" spans="1:10" x14ac:dyDescent="0.25">
      <c r="A692" s="4">
        <v>99</v>
      </c>
      <c r="B692">
        <v>12060</v>
      </c>
      <c r="C692" s="4">
        <v>14308</v>
      </c>
      <c r="D692" t="s">
        <v>7</v>
      </c>
      <c r="E692" s="4">
        <v>0</v>
      </c>
      <c r="F692" s="25">
        <v>43718.527326388888</v>
      </c>
      <c r="G692">
        <v>0</v>
      </c>
      <c r="H692" s="25"/>
      <c r="I692" s="25" t="s">
        <v>335</v>
      </c>
      <c r="J692" s="25" t="s">
        <v>304</v>
      </c>
    </row>
    <row r="693" spans="1:10" x14ac:dyDescent="0.25">
      <c r="A693" s="4">
        <v>99</v>
      </c>
      <c r="B693">
        <v>9204</v>
      </c>
      <c r="C693" s="4">
        <v>12292</v>
      </c>
      <c r="D693" t="s">
        <v>7</v>
      </c>
      <c r="E693" s="4">
        <v>0</v>
      </c>
      <c r="F693" s="25">
        <v>43715.478877314818</v>
      </c>
      <c r="G693">
        <v>0</v>
      </c>
      <c r="H693" s="25"/>
      <c r="I693" s="25" t="s">
        <v>335</v>
      </c>
      <c r="J693" s="25" t="s">
        <v>300</v>
      </c>
    </row>
    <row r="694" spans="1:10" x14ac:dyDescent="0.25">
      <c r="A694" s="4">
        <v>99</v>
      </c>
      <c r="B694">
        <v>12260</v>
      </c>
      <c r="C694" s="4">
        <v>12292</v>
      </c>
      <c r="D694" t="s">
        <v>7</v>
      </c>
      <c r="E694" s="4">
        <v>0</v>
      </c>
      <c r="F694" s="25">
        <v>43715.477071759262</v>
      </c>
      <c r="G694">
        <v>0</v>
      </c>
      <c r="H694" s="25"/>
      <c r="I694" s="25" t="s">
        <v>335</v>
      </c>
      <c r="J694" s="25" t="s">
        <v>300</v>
      </c>
    </row>
    <row r="695" spans="1:10" x14ac:dyDescent="0.25">
      <c r="A695" s="4">
        <v>99</v>
      </c>
      <c r="B695">
        <v>11704</v>
      </c>
      <c r="C695" s="4">
        <v>14308</v>
      </c>
      <c r="D695" t="s">
        <v>7</v>
      </c>
      <c r="E695" s="4">
        <v>0</v>
      </c>
      <c r="F695" s="25">
        <v>43715.47552083333</v>
      </c>
      <c r="G695">
        <v>0</v>
      </c>
      <c r="H695" s="25"/>
      <c r="I695" s="25" t="s">
        <v>335</v>
      </c>
      <c r="J695" s="25" t="s">
        <v>304</v>
      </c>
    </row>
    <row r="696" spans="1:10" x14ac:dyDescent="0.25">
      <c r="A696" s="4">
        <v>22716</v>
      </c>
      <c r="B696">
        <v>15148</v>
      </c>
      <c r="C696" s="4">
        <v>14308</v>
      </c>
      <c r="D696" t="s">
        <v>306</v>
      </c>
      <c r="E696" s="4">
        <v>0</v>
      </c>
      <c r="F696" s="25">
        <v>43715.447592592594</v>
      </c>
      <c r="G696">
        <v>0</v>
      </c>
      <c r="H696" s="25"/>
      <c r="I696" s="25"/>
      <c r="J696" s="25" t="s">
        <v>300</v>
      </c>
    </row>
    <row r="697" spans="1:10" x14ac:dyDescent="0.25">
      <c r="A697" s="4">
        <v>83</v>
      </c>
      <c r="B697">
        <v>7896</v>
      </c>
      <c r="C697" s="4">
        <v>14308</v>
      </c>
      <c r="D697" t="s">
        <v>7</v>
      </c>
      <c r="E697" s="4">
        <v>0</v>
      </c>
      <c r="F697" s="25">
        <v>43714.951192129629</v>
      </c>
      <c r="G697">
        <v>0</v>
      </c>
      <c r="H697" s="25"/>
      <c r="I697" s="25" t="s">
        <v>335</v>
      </c>
      <c r="J697" s="25" t="s">
        <v>300</v>
      </c>
    </row>
    <row r="698" spans="1:10" x14ac:dyDescent="0.25">
      <c r="A698" s="4">
        <v>83</v>
      </c>
      <c r="B698">
        <v>4312</v>
      </c>
      <c r="C698" s="4">
        <v>14308</v>
      </c>
      <c r="D698" t="s">
        <v>7</v>
      </c>
      <c r="E698" s="4">
        <v>0</v>
      </c>
      <c r="F698" s="25">
        <v>43714.950150462966</v>
      </c>
      <c r="G698">
        <v>0</v>
      </c>
      <c r="H698" s="25"/>
      <c r="I698" s="25" t="s">
        <v>335</v>
      </c>
      <c r="J698" s="25" t="s">
        <v>304</v>
      </c>
    </row>
    <row r="699" spans="1:10" x14ac:dyDescent="0.25">
      <c r="A699" s="4">
        <v>83</v>
      </c>
      <c r="B699">
        <v>1325</v>
      </c>
      <c r="C699" s="4">
        <v>14308</v>
      </c>
      <c r="D699" t="s">
        <v>7</v>
      </c>
      <c r="E699" s="4">
        <v>0</v>
      </c>
      <c r="F699" s="25">
        <v>43714.942164351851</v>
      </c>
      <c r="G699">
        <v>0</v>
      </c>
      <c r="H699" s="25"/>
      <c r="I699" s="25" t="s">
        <v>335</v>
      </c>
      <c r="J699" s="25" t="s">
        <v>304</v>
      </c>
    </row>
    <row r="700" spans="1:10" x14ac:dyDescent="0.25">
      <c r="A700" s="4">
        <v>6974</v>
      </c>
      <c r="B700">
        <v>8724</v>
      </c>
      <c r="C700" s="4">
        <v>13796</v>
      </c>
      <c r="D700" t="s">
        <v>306</v>
      </c>
      <c r="E700" s="4">
        <v>23</v>
      </c>
      <c r="F700" s="25">
        <v>43714.930150462962</v>
      </c>
      <c r="G700">
        <v>0</v>
      </c>
      <c r="H700" s="25"/>
      <c r="I700" s="25"/>
      <c r="J700" s="25" t="s">
        <v>300</v>
      </c>
    </row>
    <row r="701" spans="1:10" x14ac:dyDescent="0.25">
      <c r="A701" s="4">
        <v>6974</v>
      </c>
      <c r="B701">
        <v>8724</v>
      </c>
      <c r="C701" s="4">
        <v>13796</v>
      </c>
      <c r="D701" t="s">
        <v>306</v>
      </c>
      <c r="E701" s="4">
        <v>24</v>
      </c>
      <c r="F701" s="25">
        <v>43714.930150462962</v>
      </c>
      <c r="G701">
        <v>0</v>
      </c>
      <c r="H701" s="25"/>
      <c r="I701" s="25"/>
      <c r="J701" s="25" t="s">
        <v>300</v>
      </c>
    </row>
    <row r="702" spans="1:10" x14ac:dyDescent="0.25">
      <c r="A702" s="4">
        <v>6974</v>
      </c>
      <c r="B702">
        <v>8724</v>
      </c>
      <c r="C702" s="4">
        <v>13796</v>
      </c>
      <c r="D702" t="s">
        <v>306</v>
      </c>
      <c r="E702" s="4">
        <v>22</v>
      </c>
      <c r="F702" s="25">
        <v>43714.930138888885</v>
      </c>
      <c r="G702">
        <v>0</v>
      </c>
      <c r="H702" s="25"/>
      <c r="I702" s="25"/>
      <c r="J702" s="25" t="s">
        <v>300</v>
      </c>
    </row>
    <row r="703" spans="1:10" x14ac:dyDescent="0.25">
      <c r="A703" s="4">
        <v>6974</v>
      </c>
      <c r="B703">
        <v>8724</v>
      </c>
      <c r="C703" s="4">
        <v>13796</v>
      </c>
      <c r="D703" t="s">
        <v>306</v>
      </c>
      <c r="E703" s="4">
        <v>20</v>
      </c>
      <c r="F703" s="25">
        <v>43714.930127314816</v>
      </c>
      <c r="G703">
        <v>0</v>
      </c>
      <c r="H703" s="25"/>
      <c r="I703" s="25"/>
      <c r="J703" s="25" t="s">
        <v>300</v>
      </c>
    </row>
    <row r="704" spans="1:10" x14ac:dyDescent="0.25">
      <c r="A704" s="4">
        <v>6974</v>
      </c>
      <c r="B704">
        <v>8724</v>
      </c>
      <c r="C704" s="4">
        <v>13796</v>
      </c>
      <c r="D704" t="s">
        <v>306</v>
      </c>
      <c r="E704" s="4">
        <v>21</v>
      </c>
      <c r="F704" s="25">
        <v>43714.930127314816</v>
      </c>
      <c r="G704">
        <v>0</v>
      </c>
      <c r="H704" s="25"/>
      <c r="I704" s="25"/>
      <c r="J704" s="25" t="s">
        <v>300</v>
      </c>
    </row>
    <row r="705" spans="1:10" x14ac:dyDescent="0.25">
      <c r="A705" s="4">
        <v>6974</v>
      </c>
      <c r="B705">
        <v>8724</v>
      </c>
      <c r="C705" s="4">
        <v>13796</v>
      </c>
      <c r="D705" t="s">
        <v>306</v>
      </c>
      <c r="E705" s="4">
        <v>19</v>
      </c>
      <c r="F705" s="25">
        <v>43714.930115740739</v>
      </c>
      <c r="G705">
        <v>0</v>
      </c>
      <c r="H705" s="25"/>
      <c r="I705" s="25"/>
      <c r="J705" s="25" t="s">
        <v>300</v>
      </c>
    </row>
    <row r="706" spans="1:10" x14ac:dyDescent="0.25">
      <c r="A706" s="4">
        <v>6974</v>
      </c>
      <c r="B706">
        <v>8724</v>
      </c>
      <c r="C706" s="4">
        <v>13796</v>
      </c>
      <c r="D706" t="s">
        <v>306</v>
      </c>
      <c r="E706" s="4">
        <v>17</v>
      </c>
      <c r="F706" s="25">
        <v>43714.930104166669</v>
      </c>
      <c r="G706">
        <v>0</v>
      </c>
      <c r="H706" s="25"/>
      <c r="I706" s="25"/>
      <c r="J706" s="25" t="s">
        <v>300</v>
      </c>
    </row>
    <row r="707" spans="1:10" x14ac:dyDescent="0.25">
      <c r="A707" s="4">
        <v>6974</v>
      </c>
      <c r="B707">
        <v>8724</v>
      </c>
      <c r="C707" s="4">
        <v>13796</v>
      </c>
      <c r="D707" t="s">
        <v>306</v>
      </c>
      <c r="E707" s="4">
        <v>18</v>
      </c>
      <c r="F707" s="25">
        <v>43714.930104166669</v>
      </c>
      <c r="G707">
        <v>0</v>
      </c>
      <c r="H707" s="25"/>
      <c r="I707" s="25"/>
      <c r="J707" s="25" t="s">
        <v>300</v>
      </c>
    </row>
    <row r="708" spans="1:10" x14ac:dyDescent="0.25">
      <c r="A708" s="4">
        <v>6974</v>
      </c>
      <c r="B708">
        <v>8724</v>
      </c>
      <c r="C708" s="4">
        <v>13796</v>
      </c>
      <c r="D708" t="s">
        <v>306</v>
      </c>
      <c r="E708" s="4">
        <v>16</v>
      </c>
      <c r="F708" s="25">
        <v>43714.930092592593</v>
      </c>
      <c r="G708">
        <v>0</v>
      </c>
      <c r="H708" s="25"/>
      <c r="I708" s="25"/>
      <c r="J708" s="25" t="s">
        <v>300</v>
      </c>
    </row>
    <row r="709" spans="1:10" x14ac:dyDescent="0.25">
      <c r="A709" s="4">
        <v>6974</v>
      </c>
      <c r="B709">
        <v>8724</v>
      </c>
      <c r="C709" s="4">
        <v>13796</v>
      </c>
      <c r="D709" t="s">
        <v>306</v>
      </c>
      <c r="E709" s="4">
        <v>14</v>
      </c>
      <c r="F709" s="25">
        <v>43714.930081018516</v>
      </c>
      <c r="G709">
        <v>0</v>
      </c>
      <c r="H709" s="25"/>
      <c r="I709" s="25"/>
      <c r="J709" s="25" t="s">
        <v>300</v>
      </c>
    </row>
    <row r="710" spans="1:10" x14ac:dyDescent="0.25">
      <c r="A710" s="4">
        <v>6974</v>
      </c>
      <c r="B710">
        <v>8724</v>
      </c>
      <c r="C710" s="4">
        <v>13796</v>
      </c>
      <c r="D710" t="s">
        <v>306</v>
      </c>
      <c r="E710" s="4">
        <v>15</v>
      </c>
      <c r="F710" s="25">
        <v>43714.930081018516</v>
      </c>
      <c r="G710">
        <v>0</v>
      </c>
      <c r="H710" s="25"/>
      <c r="I710" s="25"/>
      <c r="J710" s="25" t="s">
        <v>300</v>
      </c>
    </row>
    <row r="711" spans="1:10" x14ac:dyDescent="0.25">
      <c r="A711" s="4">
        <v>6974</v>
      </c>
      <c r="B711">
        <v>8724</v>
      </c>
      <c r="C711" s="4">
        <v>13796</v>
      </c>
      <c r="D711" t="s">
        <v>306</v>
      </c>
      <c r="E711" s="4">
        <v>13</v>
      </c>
      <c r="F711" s="25">
        <v>43714.930069444446</v>
      </c>
      <c r="G711">
        <v>0</v>
      </c>
      <c r="H711" s="25"/>
      <c r="I711" s="25"/>
      <c r="J711" s="25" t="s">
        <v>300</v>
      </c>
    </row>
    <row r="712" spans="1:10" x14ac:dyDescent="0.25">
      <c r="A712" s="4">
        <v>6974</v>
      </c>
      <c r="B712">
        <v>8724</v>
      </c>
      <c r="C712" s="4">
        <v>13796</v>
      </c>
      <c r="D712" t="s">
        <v>306</v>
      </c>
      <c r="E712" s="4">
        <v>11</v>
      </c>
      <c r="F712" s="25">
        <v>43714.93005787037</v>
      </c>
      <c r="G712">
        <v>0</v>
      </c>
      <c r="H712" s="25"/>
      <c r="I712" s="25"/>
      <c r="J712" s="25" t="s">
        <v>300</v>
      </c>
    </row>
    <row r="713" spans="1:10" x14ac:dyDescent="0.25">
      <c r="A713" s="4">
        <v>6974</v>
      </c>
      <c r="B713">
        <v>8724</v>
      </c>
      <c r="C713" s="4">
        <v>13796</v>
      </c>
      <c r="D713" t="s">
        <v>306</v>
      </c>
      <c r="E713" s="4">
        <v>12</v>
      </c>
      <c r="F713" s="25">
        <v>43714.93005787037</v>
      </c>
      <c r="G713">
        <v>0</v>
      </c>
      <c r="H713" s="25"/>
      <c r="I713" s="25"/>
      <c r="J713" s="25" t="s">
        <v>300</v>
      </c>
    </row>
    <row r="714" spans="1:10" x14ac:dyDescent="0.25">
      <c r="A714" s="4">
        <v>6974</v>
      </c>
      <c r="B714">
        <v>8724</v>
      </c>
      <c r="C714" s="4">
        <v>13796</v>
      </c>
      <c r="D714" t="s">
        <v>306</v>
      </c>
      <c r="E714" s="4">
        <v>10</v>
      </c>
      <c r="F714" s="25">
        <v>43714.930046296293</v>
      </c>
      <c r="G714">
        <v>0</v>
      </c>
      <c r="H714" s="25"/>
      <c r="I714" s="25"/>
      <c r="J714" s="25" t="s">
        <v>300</v>
      </c>
    </row>
    <row r="715" spans="1:10" x14ac:dyDescent="0.25">
      <c r="A715" s="4">
        <v>6974</v>
      </c>
      <c r="B715">
        <v>8724</v>
      </c>
      <c r="C715" s="4">
        <v>13796</v>
      </c>
      <c r="D715" t="s">
        <v>306</v>
      </c>
      <c r="E715" s="4">
        <v>9</v>
      </c>
      <c r="F715" s="25">
        <v>43714.930034722223</v>
      </c>
      <c r="G715">
        <v>0</v>
      </c>
      <c r="H715" s="25"/>
      <c r="I715" s="25"/>
      <c r="J715" s="25" t="s">
        <v>300</v>
      </c>
    </row>
    <row r="716" spans="1:10" x14ac:dyDescent="0.25">
      <c r="A716" s="4">
        <v>6974</v>
      </c>
      <c r="B716">
        <v>8724</v>
      </c>
      <c r="C716" s="4">
        <v>13796</v>
      </c>
      <c r="D716" t="s">
        <v>306</v>
      </c>
      <c r="E716" s="4">
        <v>7</v>
      </c>
      <c r="F716" s="25">
        <v>43714.930023148147</v>
      </c>
      <c r="G716">
        <v>0</v>
      </c>
      <c r="H716" s="25"/>
      <c r="I716" s="25"/>
      <c r="J716" s="25" t="s">
        <v>300</v>
      </c>
    </row>
    <row r="717" spans="1:10" x14ac:dyDescent="0.25">
      <c r="A717" s="4">
        <v>6974</v>
      </c>
      <c r="B717">
        <v>8724</v>
      </c>
      <c r="C717" s="4">
        <v>13796</v>
      </c>
      <c r="D717" t="s">
        <v>306</v>
      </c>
      <c r="E717" s="4">
        <v>8</v>
      </c>
      <c r="F717" s="25">
        <v>43714.930023148147</v>
      </c>
      <c r="G717">
        <v>0</v>
      </c>
      <c r="H717" s="25"/>
      <c r="I717" s="25"/>
      <c r="J717" s="25" t="s">
        <v>300</v>
      </c>
    </row>
    <row r="718" spans="1:10" x14ac:dyDescent="0.25">
      <c r="A718" s="4">
        <v>6974</v>
      </c>
      <c r="B718">
        <v>8724</v>
      </c>
      <c r="C718" s="4">
        <v>13796</v>
      </c>
      <c r="D718" t="s">
        <v>306</v>
      </c>
      <c r="E718" s="4">
        <v>6</v>
      </c>
      <c r="F718" s="25">
        <v>43714.930011574077</v>
      </c>
      <c r="G718">
        <v>0</v>
      </c>
      <c r="H718" s="25"/>
      <c r="I718" s="25"/>
      <c r="J718" s="25" t="s">
        <v>300</v>
      </c>
    </row>
    <row r="719" spans="1:10" x14ac:dyDescent="0.25">
      <c r="A719" s="4">
        <v>6974</v>
      </c>
      <c r="B719">
        <v>8724</v>
      </c>
      <c r="C719" s="4">
        <v>13796</v>
      </c>
      <c r="D719" t="s">
        <v>306</v>
      </c>
      <c r="E719" s="4">
        <v>4</v>
      </c>
      <c r="F719" s="25">
        <v>43714.93</v>
      </c>
      <c r="G719">
        <v>0</v>
      </c>
      <c r="H719" s="25"/>
      <c r="I719" s="25"/>
      <c r="J719" s="25" t="s">
        <v>300</v>
      </c>
    </row>
    <row r="720" spans="1:10" x14ac:dyDescent="0.25">
      <c r="A720" s="4">
        <v>6974</v>
      </c>
      <c r="B720">
        <v>8724</v>
      </c>
      <c r="C720" s="4">
        <v>13796</v>
      </c>
      <c r="D720" t="s">
        <v>306</v>
      </c>
      <c r="E720" s="4">
        <v>5</v>
      </c>
      <c r="F720" s="25">
        <v>43714.93</v>
      </c>
      <c r="G720">
        <v>0</v>
      </c>
      <c r="H720" s="25"/>
      <c r="I720" s="25"/>
      <c r="J720" s="25" t="s">
        <v>300</v>
      </c>
    </row>
    <row r="721" spans="1:10" x14ac:dyDescent="0.25">
      <c r="A721" s="4">
        <v>6974</v>
      </c>
      <c r="B721">
        <v>8724</v>
      </c>
      <c r="C721" s="4">
        <v>13796</v>
      </c>
      <c r="D721" t="s">
        <v>306</v>
      </c>
      <c r="E721" s="4">
        <v>3</v>
      </c>
      <c r="F721" s="25">
        <v>43714.929988425924</v>
      </c>
      <c r="G721">
        <v>0</v>
      </c>
      <c r="H721" s="25"/>
      <c r="I721" s="25"/>
      <c r="J721" s="25" t="s">
        <v>300</v>
      </c>
    </row>
    <row r="722" spans="1:10" x14ac:dyDescent="0.25">
      <c r="A722" s="4">
        <v>6974</v>
      </c>
      <c r="B722">
        <v>8724</v>
      </c>
      <c r="C722" s="4">
        <v>13796</v>
      </c>
      <c r="D722" t="s">
        <v>306</v>
      </c>
      <c r="E722" s="4">
        <v>1</v>
      </c>
      <c r="F722" s="25">
        <v>43714.929976851854</v>
      </c>
      <c r="G722">
        <v>0</v>
      </c>
      <c r="H722" s="25"/>
      <c r="I722" s="25"/>
      <c r="J722" s="25" t="s">
        <v>300</v>
      </c>
    </row>
    <row r="723" spans="1:10" x14ac:dyDescent="0.25">
      <c r="A723" s="4">
        <v>6974</v>
      </c>
      <c r="B723">
        <v>8724</v>
      </c>
      <c r="C723" s="4">
        <v>13796</v>
      </c>
      <c r="D723" t="s">
        <v>306</v>
      </c>
      <c r="E723" s="4">
        <v>2</v>
      </c>
      <c r="F723" s="25">
        <v>43714.929976851854</v>
      </c>
      <c r="G723">
        <v>0</v>
      </c>
      <c r="H723" s="25"/>
      <c r="I723" s="25"/>
      <c r="J723" s="25" t="s">
        <v>300</v>
      </c>
    </row>
    <row r="724" spans="1:10" x14ac:dyDescent="0.25">
      <c r="A724" s="4">
        <v>6974</v>
      </c>
      <c r="B724">
        <v>8724</v>
      </c>
      <c r="C724" s="4">
        <v>13796</v>
      </c>
      <c r="D724" t="s">
        <v>306</v>
      </c>
      <c r="E724" s="4">
        <v>0</v>
      </c>
      <c r="F724" s="25">
        <v>43714.929965277777</v>
      </c>
      <c r="G724">
        <v>0</v>
      </c>
      <c r="H724" s="25"/>
      <c r="I724" s="25"/>
      <c r="J724" s="25" t="s">
        <v>300</v>
      </c>
    </row>
    <row r="725" spans="1:10" x14ac:dyDescent="0.25">
      <c r="A725" s="4">
        <v>4783</v>
      </c>
      <c r="B725">
        <v>6592</v>
      </c>
      <c r="C725" s="4">
        <v>14308</v>
      </c>
      <c r="D725" t="s">
        <v>306</v>
      </c>
      <c r="E725" s="4">
        <v>0</v>
      </c>
      <c r="F725" s="25">
        <v>43714.918136574073</v>
      </c>
      <c r="G725">
        <v>0</v>
      </c>
      <c r="H725" s="25"/>
      <c r="I725" s="25"/>
      <c r="J725" s="25" t="s">
        <v>300</v>
      </c>
    </row>
    <row r="726" spans="1:10" x14ac:dyDescent="0.25">
      <c r="A726" s="4">
        <v>3728</v>
      </c>
      <c r="B726">
        <v>15456</v>
      </c>
      <c r="C726" s="4">
        <v>14308</v>
      </c>
      <c r="D726" t="s">
        <v>306</v>
      </c>
      <c r="E726" s="4">
        <v>1</v>
      </c>
      <c r="F726" s="25">
        <v>43714.916678240741</v>
      </c>
      <c r="G726">
        <v>0</v>
      </c>
      <c r="H726" s="25"/>
      <c r="I726" s="25"/>
      <c r="J726" s="25" t="s">
        <v>300</v>
      </c>
    </row>
    <row r="727" spans="1:10" x14ac:dyDescent="0.25">
      <c r="A727" s="4">
        <v>3728</v>
      </c>
      <c r="B727">
        <v>15456</v>
      </c>
      <c r="C727" s="4">
        <v>14308</v>
      </c>
      <c r="D727" t="s">
        <v>306</v>
      </c>
      <c r="E727" s="4">
        <v>0</v>
      </c>
      <c r="F727" s="25">
        <v>43714.914189814815</v>
      </c>
      <c r="G727">
        <v>0</v>
      </c>
      <c r="H727" s="25"/>
      <c r="I727" s="25"/>
      <c r="J727" s="25" t="s">
        <v>300</v>
      </c>
    </row>
    <row r="728" spans="1:10" x14ac:dyDescent="0.25">
      <c r="A728" s="4">
        <v>2706</v>
      </c>
      <c r="B728">
        <v>7115</v>
      </c>
      <c r="C728" s="4">
        <v>14308</v>
      </c>
      <c r="D728" t="s">
        <v>306</v>
      </c>
      <c r="E728" s="4">
        <v>0</v>
      </c>
      <c r="F728" s="25">
        <v>43714.910567129627</v>
      </c>
      <c r="G728">
        <v>0</v>
      </c>
      <c r="H728" s="25"/>
      <c r="I728" s="25"/>
      <c r="J728" s="25" t="s">
        <v>300</v>
      </c>
    </row>
    <row r="729" spans="1:10" x14ac:dyDescent="0.25">
      <c r="A729" s="4">
        <v>83</v>
      </c>
      <c r="B729">
        <v>13852</v>
      </c>
      <c r="C729" s="4">
        <v>1284</v>
      </c>
      <c r="D729" t="s">
        <v>7</v>
      </c>
      <c r="E729" s="4">
        <v>0</v>
      </c>
      <c r="F729" s="25">
        <v>43714.902499999997</v>
      </c>
      <c r="G729">
        <v>0</v>
      </c>
      <c r="H729" s="25"/>
      <c r="I729" s="25" t="s">
        <v>335</v>
      </c>
      <c r="J729" s="25" t="s">
        <v>300</v>
      </c>
    </row>
    <row r="730" spans="1:10" x14ac:dyDescent="0.25">
      <c r="A730" s="4">
        <v>83</v>
      </c>
      <c r="B730">
        <v>15756</v>
      </c>
      <c r="C730" s="4">
        <v>1284</v>
      </c>
      <c r="D730" t="s">
        <v>7</v>
      </c>
      <c r="E730" s="4">
        <v>0</v>
      </c>
      <c r="F730" s="25">
        <v>43714.902048611111</v>
      </c>
      <c r="G730">
        <v>0</v>
      </c>
      <c r="H730" s="25"/>
      <c r="I730" s="25" t="s">
        <v>335</v>
      </c>
      <c r="J730" s="25" t="s">
        <v>300</v>
      </c>
    </row>
    <row r="731" spans="1:10" x14ac:dyDescent="0.25">
      <c r="A731" s="4">
        <v>83</v>
      </c>
      <c r="B731">
        <v>6984</v>
      </c>
      <c r="C731" s="4">
        <v>1284</v>
      </c>
      <c r="D731" t="s">
        <v>7</v>
      </c>
      <c r="E731" s="4">
        <v>0</v>
      </c>
      <c r="F731" s="25">
        <v>43714.901423611111</v>
      </c>
      <c r="G731">
        <v>0</v>
      </c>
      <c r="H731" s="25"/>
      <c r="I731" s="25" t="s">
        <v>335</v>
      </c>
      <c r="J731" s="25" t="s">
        <v>304</v>
      </c>
    </row>
    <row r="732" spans="1:10" x14ac:dyDescent="0.25">
      <c r="A732" s="4">
        <v>83</v>
      </c>
      <c r="B732">
        <v>10304</v>
      </c>
      <c r="C732" s="4">
        <v>1284</v>
      </c>
      <c r="D732" t="s">
        <v>7</v>
      </c>
      <c r="E732" s="4">
        <v>0</v>
      </c>
      <c r="F732" s="25">
        <v>43714.899687500001</v>
      </c>
      <c r="G732">
        <v>0</v>
      </c>
      <c r="H732" s="25"/>
      <c r="I732" s="25" t="s">
        <v>335</v>
      </c>
      <c r="J732" s="25" t="s">
        <v>304</v>
      </c>
    </row>
    <row r="733" spans="1:10" x14ac:dyDescent="0.25">
      <c r="A733" s="4">
        <v>83</v>
      </c>
      <c r="B733">
        <v>1284</v>
      </c>
      <c r="C733" s="4">
        <v>1284</v>
      </c>
      <c r="D733" t="s">
        <v>7</v>
      </c>
      <c r="E733" s="4">
        <v>0</v>
      </c>
      <c r="F733" s="25">
        <v>43714.89571759259</v>
      </c>
      <c r="G733">
        <v>1</v>
      </c>
      <c r="H733" s="25" t="s">
        <v>308</v>
      </c>
      <c r="I733" s="25"/>
      <c r="J733" s="25" t="s">
        <v>425</v>
      </c>
    </row>
    <row r="734" spans="1:10" x14ac:dyDescent="0.25">
      <c r="A734" s="4">
        <v>83</v>
      </c>
      <c r="B734">
        <v>11840</v>
      </c>
      <c r="C734" s="4">
        <v>14308</v>
      </c>
      <c r="D734" t="s">
        <v>7</v>
      </c>
      <c r="E734" s="4">
        <v>0</v>
      </c>
      <c r="F734" s="25">
        <v>43714.890497685185</v>
      </c>
      <c r="G734">
        <v>0</v>
      </c>
      <c r="H734" s="25"/>
      <c r="I734" s="25" t="s">
        <v>335</v>
      </c>
      <c r="J734" s="25" t="s">
        <v>304</v>
      </c>
    </row>
    <row r="735" spans="1:10" x14ac:dyDescent="0.25">
      <c r="A735" s="4">
        <v>83</v>
      </c>
      <c r="B735">
        <v>8072</v>
      </c>
      <c r="C735" s="4">
        <v>14308</v>
      </c>
      <c r="D735" t="s">
        <v>7</v>
      </c>
      <c r="E735" s="4">
        <v>0</v>
      </c>
      <c r="F735" s="25">
        <v>43714.887395833335</v>
      </c>
      <c r="G735">
        <v>0</v>
      </c>
      <c r="H735" s="25"/>
      <c r="I735" s="25" t="s">
        <v>335</v>
      </c>
      <c r="J735" s="25" t="s">
        <v>300</v>
      </c>
    </row>
    <row r="736" spans="1:10" x14ac:dyDescent="0.25">
      <c r="A736" s="4">
        <v>83</v>
      </c>
      <c r="B736">
        <v>1980</v>
      </c>
      <c r="C736" s="4">
        <v>14308</v>
      </c>
      <c r="D736" t="s">
        <v>7</v>
      </c>
      <c r="E736" s="4">
        <v>0</v>
      </c>
      <c r="F736" s="25">
        <v>43714.885879629626</v>
      </c>
      <c r="G736">
        <v>0</v>
      </c>
      <c r="H736" s="25"/>
      <c r="I736" s="25" t="s">
        <v>335</v>
      </c>
      <c r="J736" s="25" t="s">
        <v>300</v>
      </c>
    </row>
    <row r="737" spans="1:10" x14ac:dyDescent="0.25">
      <c r="A737" s="4">
        <v>83</v>
      </c>
      <c r="B737">
        <v>10552</v>
      </c>
      <c r="C737" s="4">
        <v>14308</v>
      </c>
      <c r="D737" t="s">
        <v>7</v>
      </c>
      <c r="E737" s="4">
        <v>0</v>
      </c>
      <c r="F737" s="25">
        <v>43714.884143518517</v>
      </c>
      <c r="G737">
        <v>0</v>
      </c>
      <c r="H737" s="25"/>
      <c r="I737" s="25" t="s">
        <v>335</v>
      </c>
      <c r="J737" s="25" t="s">
        <v>300</v>
      </c>
    </row>
    <row r="738" spans="1:10" x14ac:dyDescent="0.25">
      <c r="A738" s="4">
        <v>83</v>
      </c>
      <c r="B738">
        <v>14308</v>
      </c>
      <c r="C738" s="4">
        <v>14308</v>
      </c>
      <c r="D738" t="s">
        <v>7</v>
      </c>
      <c r="E738" s="4">
        <v>0</v>
      </c>
      <c r="F738" s="25">
        <v>43714.880277777775</v>
      </c>
      <c r="G738">
        <v>1</v>
      </c>
      <c r="H738" s="25" t="s">
        <v>308</v>
      </c>
      <c r="I738" s="25"/>
      <c r="J738" s="25" t="s">
        <v>426</v>
      </c>
    </row>
    <row r="739" spans="1:10" x14ac:dyDescent="0.25">
      <c r="A739" s="4">
        <v>82</v>
      </c>
      <c r="B739">
        <v>9488</v>
      </c>
      <c r="C739" s="4">
        <v>14524</v>
      </c>
      <c r="D739" t="s">
        <v>7</v>
      </c>
      <c r="E739" s="4">
        <v>0</v>
      </c>
      <c r="F739" s="25">
        <v>43714.873402777775</v>
      </c>
      <c r="G739">
        <v>0</v>
      </c>
      <c r="H739" s="25"/>
      <c r="I739" s="25" t="s">
        <v>335</v>
      </c>
      <c r="J739" s="25" t="s">
        <v>300</v>
      </c>
    </row>
    <row r="740" spans="1:10" x14ac:dyDescent="0.25">
      <c r="A740" s="4">
        <v>23754</v>
      </c>
      <c r="B740">
        <v>5192</v>
      </c>
      <c r="C740" s="4">
        <v>13796</v>
      </c>
      <c r="D740" t="s">
        <v>306</v>
      </c>
      <c r="E740" s="4">
        <v>24</v>
      </c>
      <c r="F740" s="25">
        <v>43714.869837962964</v>
      </c>
      <c r="G740">
        <v>0</v>
      </c>
      <c r="H740" s="25"/>
      <c r="I740" s="25"/>
      <c r="J740" s="25" t="s">
        <v>300</v>
      </c>
    </row>
    <row r="741" spans="1:10" x14ac:dyDescent="0.25">
      <c r="A741" s="4">
        <v>23754</v>
      </c>
      <c r="B741">
        <v>5192</v>
      </c>
      <c r="C741" s="4">
        <v>13796</v>
      </c>
      <c r="D741" t="s">
        <v>306</v>
      </c>
      <c r="E741" s="4">
        <v>22</v>
      </c>
      <c r="F741" s="25">
        <v>43714.869826388887</v>
      </c>
      <c r="G741">
        <v>0</v>
      </c>
      <c r="H741" s="25"/>
      <c r="I741" s="25"/>
      <c r="J741" s="25" t="s">
        <v>300</v>
      </c>
    </row>
    <row r="742" spans="1:10" x14ac:dyDescent="0.25">
      <c r="A742" s="4">
        <v>23754</v>
      </c>
      <c r="B742">
        <v>5192</v>
      </c>
      <c r="C742" s="4">
        <v>13796</v>
      </c>
      <c r="D742" t="s">
        <v>306</v>
      </c>
      <c r="E742" s="4">
        <v>23</v>
      </c>
      <c r="F742" s="25">
        <v>43714.869826388887</v>
      </c>
      <c r="G742">
        <v>0</v>
      </c>
      <c r="H742" s="25"/>
      <c r="I742" s="25"/>
      <c r="J742" s="25" t="s">
        <v>300</v>
      </c>
    </row>
    <row r="743" spans="1:10" x14ac:dyDescent="0.25">
      <c r="A743" s="4">
        <v>23754</v>
      </c>
      <c r="B743">
        <v>5192</v>
      </c>
      <c r="C743" s="4">
        <v>13796</v>
      </c>
      <c r="D743" t="s">
        <v>306</v>
      </c>
      <c r="E743" s="4">
        <v>21</v>
      </c>
      <c r="F743" s="25">
        <v>43714.869814814818</v>
      </c>
      <c r="G743">
        <v>0</v>
      </c>
      <c r="H743" s="25"/>
      <c r="I743" s="25"/>
      <c r="J743" s="25" t="s">
        <v>300</v>
      </c>
    </row>
    <row r="744" spans="1:10" x14ac:dyDescent="0.25">
      <c r="A744" s="4">
        <v>23754</v>
      </c>
      <c r="B744">
        <v>5192</v>
      </c>
      <c r="C744" s="4">
        <v>13796</v>
      </c>
      <c r="D744" t="s">
        <v>306</v>
      </c>
      <c r="E744" s="4">
        <v>20</v>
      </c>
      <c r="F744" s="25">
        <v>43714.869803240741</v>
      </c>
      <c r="G744">
        <v>0</v>
      </c>
      <c r="H744" s="25"/>
      <c r="I744" s="25"/>
      <c r="J744" s="25" t="s">
        <v>300</v>
      </c>
    </row>
    <row r="745" spans="1:10" x14ac:dyDescent="0.25">
      <c r="A745" s="4">
        <v>23754</v>
      </c>
      <c r="B745">
        <v>5192</v>
      </c>
      <c r="C745" s="4">
        <v>13796</v>
      </c>
      <c r="D745" t="s">
        <v>306</v>
      </c>
      <c r="E745" s="4">
        <v>18</v>
      </c>
      <c r="F745" s="25">
        <v>43714.869791666664</v>
      </c>
      <c r="G745">
        <v>0</v>
      </c>
      <c r="H745" s="25"/>
      <c r="I745" s="25"/>
      <c r="J745" s="25" t="s">
        <v>300</v>
      </c>
    </row>
    <row r="746" spans="1:10" x14ac:dyDescent="0.25">
      <c r="A746" s="4">
        <v>23754</v>
      </c>
      <c r="B746">
        <v>5192</v>
      </c>
      <c r="C746" s="4">
        <v>13796</v>
      </c>
      <c r="D746" t="s">
        <v>306</v>
      </c>
      <c r="E746" s="4">
        <v>19</v>
      </c>
      <c r="F746" s="25">
        <v>43714.869791666664</v>
      </c>
      <c r="G746">
        <v>0</v>
      </c>
      <c r="H746" s="25"/>
      <c r="I746" s="25"/>
      <c r="J746" s="25" t="s">
        <v>300</v>
      </c>
    </row>
    <row r="747" spans="1:10" x14ac:dyDescent="0.25">
      <c r="A747" s="4">
        <v>23754</v>
      </c>
      <c r="B747">
        <v>5192</v>
      </c>
      <c r="C747" s="4">
        <v>13796</v>
      </c>
      <c r="D747" t="s">
        <v>306</v>
      </c>
      <c r="E747" s="4">
        <v>17</v>
      </c>
      <c r="F747" s="25">
        <v>43714.869780092595</v>
      </c>
      <c r="G747">
        <v>0</v>
      </c>
      <c r="H747" s="25"/>
      <c r="I747" s="25"/>
      <c r="J747" s="25" t="s">
        <v>300</v>
      </c>
    </row>
    <row r="748" spans="1:10" x14ac:dyDescent="0.25">
      <c r="A748" s="4">
        <v>23754</v>
      </c>
      <c r="B748">
        <v>5192</v>
      </c>
      <c r="C748" s="4">
        <v>13796</v>
      </c>
      <c r="D748" t="s">
        <v>306</v>
      </c>
      <c r="E748" s="4">
        <v>15</v>
      </c>
      <c r="F748" s="25">
        <v>43714.869768518518</v>
      </c>
      <c r="G748">
        <v>0</v>
      </c>
      <c r="H748" s="25"/>
      <c r="I748" s="25"/>
      <c r="J748" s="25" t="s">
        <v>300</v>
      </c>
    </row>
    <row r="749" spans="1:10" x14ac:dyDescent="0.25">
      <c r="A749" s="4">
        <v>23754</v>
      </c>
      <c r="B749">
        <v>5192</v>
      </c>
      <c r="C749" s="4">
        <v>13796</v>
      </c>
      <c r="D749" t="s">
        <v>306</v>
      </c>
      <c r="E749" s="4">
        <v>16</v>
      </c>
      <c r="F749" s="25">
        <v>43714.869768518518</v>
      </c>
      <c r="G749">
        <v>0</v>
      </c>
      <c r="H749" s="25"/>
      <c r="I749" s="25"/>
      <c r="J749" s="25" t="s">
        <v>300</v>
      </c>
    </row>
    <row r="750" spans="1:10" x14ac:dyDescent="0.25">
      <c r="A750" s="4">
        <v>23754</v>
      </c>
      <c r="B750">
        <v>5192</v>
      </c>
      <c r="C750" s="4">
        <v>13796</v>
      </c>
      <c r="D750" t="s">
        <v>306</v>
      </c>
      <c r="E750" s="4">
        <v>14</v>
      </c>
      <c r="F750" s="25">
        <v>43714.869756944441</v>
      </c>
      <c r="G750">
        <v>0</v>
      </c>
      <c r="H750" s="25"/>
      <c r="I750" s="25"/>
      <c r="J750" s="25" t="s">
        <v>300</v>
      </c>
    </row>
    <row r="751" spans="1:10" x14ac:dyDescent="0.25">
      <c r="A751" s="4">
        <v>23754</v>
      </c>
      <c r="B751">
        <v>5192</v>
      </c>
      <c r="C751" s="4">
        <v>13796</v>
      </c>
      <c r="D751" t="s">
        <v>306</v>
      </c>
      <c r="E751" s="4">
        <v>12</v>
      </c>
      <c r="F751" s="25">
        <v>43714.869745370372</v>
      </c>
      <c r="G751">
        <v>0</v>
      </c>
      <c r="H751" s="25"/>
      <c r="I751" s="25"/>
      <c r="J751" s="25" t="s">
        <v>300</v>
      </c>
    </row>
    <row r="752" spans="1:10" x14ac:dyDescent="0.25">
      <c r="A752" s="4">
        <v>23754</v>
      </c>
      <c r="B752">
        <v>5192</v>
      </c>
      <c r="C752" s="4">
        <v>13796</v>
      </c>
      <c r="D752" t="s">
        <v>306</v>
      </c>
      <c r="E752" s="4">
        <v>13</v>
      </c>
      <c r="F752" s="25">
        <v>43714.869745370372</v>
      </c>
      <c r="G752">
        <v>0</v>
      </c>
      <c r="H752" s="25"/>
      <c r="I752" s="25"/>
      <c r="J752" s="25" t="s">
        <v>300</v>
      </c>
    </row>
    <row r="753" spans="1:10" x14ac:dyDescent="0.25">
      <c r="A753" s="4">
        <v>23754</v>
      </c>
      <c r="B753">
        <v>5192</v>
      </c>
      <c r="C753" s="4">
        <v>13796</v>
      </c>
      <c r="D753" t="s">
        <v>306</v>
      </c>
      <c r="E753" s="4">
        <v>11</v>
      </c>
      <c r="F753" s="25">
        <v>43714.869733796295</v>
      </c>
      <c r="G753">
        <v>0</v>
      </c>
      <c r="H753" s="25"/>
      <c r="I753" s="25"/>
      <c r="J753" s="25" t="s">
        <v>300</v>
      </c>
    </row>
    <row r="754" spans="1:10" x14ac:dyDescent="0.25">
      <c r="A754" s="4">
        <v>23754</v>
      </c>
      <c r="B754">
        <v>5192</v>
      </c>
      <c r="C754" s="4">
        <v>13796</v>
      </c>
      <c r="D754" t="s">
        <v>306</v>
      </c>
      <c r="E754" s="4">
        <v>9</v>
      </c>
      <c r="F754" s="25">
        <v>43714.869722222225</v>
      </c>
      <c r="G754">
        <v>0</v>
      </c>
      <c r="H754" s="25"/>
      <c r="I754" s="25"/>
      <c r="J754" s="25" t="s">
        <v>300</v>
      </c>
    </row>
    <row r="755" spans="1:10" x14ac:dyDescent="0.25">
      <c r="A755" s="4">
        <v>23754</v>
      </c>
      <c r="B755">
        <v>5192</v>
      </c>
      <c r="C755" s="4">
        <v>13796</v>
      </c>
      <c r="D755" t="s">
        <v>306</v>
      </c>
      <c r="E755" s="4">
        <v>10</v>
      </c>
      <c r="F755" s="25">
        <v>43714.869722222225</v>
      </c>
      <c r="G755">
        <v>0</v>
      </c>
      <c r="H755" s="25"/>
      <c r="I755" s="25"/>
      <c r="J755" s="25" t="s">
        <v>300</v>
      </c>
    </row>
    <row r="756" spans="1:10" x14ac:dyDescent="0.25">
      <c r="A756" s="4">
        <v>23754</v>
      </c>
      <c r="B756">
        <v>5192</v>
      </c>
      <c r="C756" s="4">
        <v>13796</v>
      </c>
      <c r="D756" t="s">
        <v>306</v>
      </c>
      <c r="E756" s="4">
        <v>8</v>
      </c>
      <c r="F756" s="25">
        <v>43714.869710648149</v>
      </c>
      <c r="G756">
        <v>0</v>
      </c>
      <c r="H756" s="25"/>
      <c r="I756" s="25"/>
      <c r="J756" s="25" t="s">
        <v>300</v>
      </c>
    </row>
    <row r="757" spans="1:10" x14ac:dyDescent="0.25">
      <c r="A757" s="4">
        <v>23754</v>
      </c>
      <c r="B757">
        <v>5192</v>
      </c>
      <c r="C757" s="4">
        <v>13796</v>
      </c>
      <c r="D757" t="s">
        <v>306</v>
      </c>
      <c r="E757" s="4">
        <v>6</v>
      </c>
      <c r="F757" s="25">
        <v>43714.869699074072</v>
      </c>
      <c r="G757">
        <v>0</v>
      </c>
      <c r="H757" s="25"/>
      <c r="I757" s="25"/>
      <c r="J757" s="25" t="s">
        <v>300</v>
      </c>
    </row>
    <row r="758" spans="1:10" x14ac:dyDescent="0.25">
      <c r="A758" s="4">
        <v>23754</v>
      </c>
      <c r="B758">
        <v>5192</v>
      </c>
      <c r="C758" s="4">
        <v>13796</v>
      </c>
      <c r="D758" t="s">
        <v>306</v>
      </c>
      <c r="E758" s="4">
        <v>7</v>
      </c>
      <c r="F758" s="25">
        <v>43714.869699074072</v>
      </c>
      <c r="G758">
        <v>0</v>
      </c>
      <c r="H758" s="25"/>
      <c r="I758" s="25"/>
      <c r="J758" s="25" t="s">
        <v>300</v>
      </c>
    </row>
    <row r="759" spans="1:10" x14ac:dyDescent="0.25">
      <c r="A759" s="4">
        <v>23754</v>
      </c>
      <c r="B759">
        <v>5192</v>
      </c>
      <c r="C759" s="4">
        <v>13796</v>
      </c>
      <c r="D759" t="s">
        <v>306</v>
      </c>
      <c r="E759" s="4">
        <v>5</v>
      </c>
      <c r="F759" s="25">
        <v>43714.869687500002</v>
      </c>
      <c r="G759">
        <v>0</v>
      </c>
      <c r="H759" s="25"/>
      <c r="I759" s="25"/>
      <c r="J759" s="25" t="s">
        <v>300</v>
      </c>
    </row>
    <row r="760" spans="1:10" x14ac:dyDescent="0.25">
      <c r="A760" s="4">
        <v>23754</v>
      </c>
      <c r="B760">
        <v>5192</v>
      </c>
      <c r="C760" s="4">
        <v>13796</v>
      </c>
      <c r="D760" t="s">
        <v>306</v>
      </c>
      <c r="E760" s="4">
        <v>4</v>
      </c>
      <c r="F760" s="25">
        <v>43714.869675925926</v>
      </c>
      <c r="G760">
        <v>0</v>
      </c>
      <c r="H760" s="25"/>
      <c r="I760" s="25"/>
      <c r="J760" s="25" t="s">
        <v>300</v>
      </c>
    </row>
    <row r="761" spans="1:10" x14ac:dyDescent="0.25">
      <c r="A761" s="4">
        <v>23754</v>
      </c>
      <c r="B761">
        <v>5192</v>
      </c>
      <c r="C761" s="4">
        <v>13796</v>
      </c>
      <c r="D761" t="s">
        <v>306</v>
      </c>
      <c r="E761" s="4">
        <v>2</v>
      </c>
      <c r="F761" s="25">
        <v>43714.869664351849</v>
      </c>
      <c r="G761">
        <v>0</v>
      </c>
      <c r="H761" s="25"/>
      <c r="I761" s="25"/>
      <c r="J761" s="25" t="s">
        <v>300</v>
      </c>
    </row>
    <row r="762" spans="1:10" x14ac:dyDescent="0.25">
      <c r="A762" s="4">
        <v>23754</v>
      </c>
      <c r="B762">
        <v>5192</v>
      </c>
      <c r="C762" s="4">
        <v>13796</v>
      </c>
      <c r="D762" t="s">
        <v>306</v>
      </c>
      <c r="E762" s="4">
        <v>3</v>
      </c>
      <c r="F762" s="25">
        <v>43714.869664351849</v>
      </c>
      <c r="G762">
        <v>0</v>
      </c>
      <c r="H762" s="25"/>
      <c r="I762" s="25"/>
      <c r="J762" s="25" t="s">
        <v>300</v>
      </c>
    </row>
    <row r="763" spans="1:10" x14ac:dyDescent="0.25">
      <c r="A763" s="4">
        <v>23754</v>
      </c>
      <c r="B763">
        <v>5192</v>
      </c>
      <c r="C763" s="4">
        <v>13796</v>
      </c>
      <c r="D763" t="s">
        <v>306</v>
      </c>
      <c r="E763" s="4">
        <v>1</v>
      </c>
      <c r="F763" s="25">
        <v>43714.869652777779</v>
      </c>
      <c r="G763">
        <v>0</v>
      </c>
      <c r="H763" s="25"/>
      <c r="I763" s="25"/>
      <c r="J763" s="25" t="s">
        <v>300</v>
      </c>
    </row>
    <row r="764" spans="1:10" x14ac:dyDescent="0.25">
      <c r="A764" s="4">
        <v>23754</v>
      </c>
      <c r="B764">
        <v>5192</v>
      </c>
      <c r="C764" s="4">
        <v>13796</v>
      </c>
      <c r="D764" t="s">
        <v>306</v>
      </c>
      <c r="E764" s="4">
        <v>0</v>
      </c>
      <c r="F764" s="25">
        <v>43714.869641203702</v>
      </c>
      <c r="G764">
        <v>0</v>
      </c>
      <c r="H764" s="25"/>
      <c r="I764" s="25"/>
      <c r="J764" s="25" t="s">
        <v>300</v>
      </c>
    </row>
    <row r="765" spans="1:10" x14ac:dyDescent="0.25">
      <c r="A765" s="4">
        <v>82</v>
      </c>
      <c r="B765">
        <v>12112</v>
      </c>
      <c r="C765" s="4">
        <v>14524</v>
      </c>
      <c r="D765" t="s">
        <v>7</v>
      </c>
      <c r="E765" s="4">
        <v>0</v>
      </c>
      <c r="F765" s="25">
        <v>43714.863819444443</v>
      </c>
      <c r="G765">
        <v>0</v>
      </c>
      <c r="H765" s="25"/>
      <c r="I765" s="25" t="s">
        <v>335</v>
      </c>
      <c r="J765" s="25" t="s">
        <v>304</v>
      </c>
    </row>
    <row r="766" spans="1:10" x14ac:dyDescent="0.25">
      <c r="A766" s="4">
        <v>82</v>
      </c>
      <c r="B766">
        <v>14524</v>
      </c>
      <c r="C766" s="4">
        <v>14524</v>
      </c>
      <c r="D766" t="s">
        <v>7</v>
      </c>
      <c r="E766" s="4">
        <v>0</v>
      </c>
      <c r="F766" s="25">
        <v>43714.86078703704</v>
      </c>
      <c r="G766">
        <v>1</v>
      </c>
      <c r="H766" s="25" t="s">
        <v>308</v>
      </c>
      <c r="I766" s="25"/>
      <c r="J766" s="25" t="s">
        <v>427</v>
      </c>
    </row>
    <row r="767" spans="1:10" x14ac:dyDescent="0.25">
      <c r="A767" s="4">
        <v>16064</v>
      </c>
      <c r="B767">
        <v>9512</v>
      </c>
      <c r="C767" s="4">
        <v>13796</v>
      </c>
      <c r="D767" t="s">
        <v>306</v>
      </c>
      <c r="E767" s="4">
        <v>24</v>
      </c>
      <c r="F767" s="25">
        <v>43714.842118055552</v>
      </c>
      <c r="G767">
        <v>0</v>
      </c>
      <c r="H767" s="25"/>
      <c r="I767" s="25"/>
      <c r="J767" s="25" t="s">
        <v>300</v>
      </c>
    </row>
    <row r="768" spans="1:10" x14ac:dyDescent="0.25">
      <c r="A768" s="4">
        <v>16064</v>
      </c>
      <c r="B768">
        <v>9512</v>
      </c>
      <c r="C768" s="4">
        <v>13796</v>
      </c>
      <c r="D768" t="s">
        <v>306</v>
      </c>
      <c r="E768" s="4">
        <v>22</v>
      </c>
      <c r="F768" s="25">
        <v>43714.842106481483</v>
      </c>
      <c r="G768">
        <v>0</v>
      </c>
      <c r="H768" s="25"/>
      <c r="I768" s="25"/>
      <c r="J768" s="25" t="s">
        <v>300</v>
      </c>
    </row>
    <row r="769" spans="1:10" x14ac:dyDescent="0.25">
      <c r="A769" s="4">
        <v>16064</v>
      </c>
      <c r="B769">
        <v>9512</v>
      </c>
      <c r="C769" s="4">
        <v>13796</v>
      </c>
      <c r="D769" t="s">
        <v>306</v>
      </c>
      <c r="E769" s="4">
        <v>23</v>
      </c>
      <c r="F769" s="25">
        <v>43714.842106481483</v>
      </c>
      <c r="G769">
        <v>0</v>
      </c>
      <c r="H769" s="25"/>
      <c r="I769" s="25"/>
      <c r="J769" s="25" t="s">
        <v>300</v>
      </c>
    </row>
    <row r="770" spans="1:10" x14ac:dyDescent="0.25">
      <c r="A770" s="4">
        <v>16064</v>
      </c>
      <c r="B770">
        <v>9512</v>
      </c>
      <c r="C770" s="4">
        <v>13796</v>
      </c>
      <c r="D770" t="s">
        <v>306</v>
      </c>
      <c r="E770" s="4">
        <v>21</v>
      </c>
      <c r="F770" s="25">
        <v>43714.842094907406</v>
      </c>
      <c r="G770">
        <v>0</v>
      </c>
      <c r="H770" s="25"/>
      <c r="I770" s="25"/>
      <c r="J770" s="25" t="s">
        <v>300</v>
      </c>
    </row>
    <row r="771" spans="1:10" x14ac:dyDescent="0.25">
      <c r="A771" s="4">
        <v>16064</v>
      </c>
      <c r="B771">
        <v>9512</v>
      </c>
      <c r="C771" s="4">
        <v>13796</v>
      </c>
      <c r="D771" t="s">
        <v>306</v>
      </c>
      <c r="E771" s="4">
        <v>19</v>
      </c>
      <c r="F771" s="25">
        <v>43714.842083333337</v>
      </c>
      <c r="G771">
        <v>0</v>
      </c>
      <c r="H771" s="25"/>
      <c r="I771" s="25"/>
      <c r="J771" s="25" t="s">
        <v>300</v>
      </c>
    </row>
    <row r="772" spans="1:10" x14ac:dyDescent="0.25">
      <c r="A772" s="4">
        <v>16064</v>
      </c>
      <c r="B772">
        <v>9512</v>
      </c>
      <c r="C772" s="4">
        <v>13796</v>
      </c>
      <c r="D772" t="s">
        <v>306</v>
      </c>
      <c r="E772" s="4">
        <v>20</v>
      </c>
      <c r="F772" s="25">
        <v>43714.842083333337</v>
      </c>
      <c r="G772">
        <v>0</v>
      </c>
      <c r="H772" s="25"/>
      <c r="I772" s="25"/>
      <c r="J772" s="25" t="s">
        <v>300</v>
      </c>
    </row>
    <row r="773" spans="1:10" x14ac:dyDescent="0.25">
      <c r="A773" s="4">
        <v>16064</v>
      </c>
      <c r="B773">
        <v>9512</v>
      </c>
      <c r="C773" s="4">
        <v>13796</v>
      </c>
      <c r="D773" t="s">
        <v>306</v>
      </c>
      <c r="E773" s="4">
        <v>18</v>
      </c>
      <c r="F773" s="25">
        <v>43714.84207175926</v>
      </c>
      <c r="G773">
        <v>0</v>
      </c>
      <c r="H773" s="25"/>
      <c r="I773" s="25"/>
      <c r="J773" s="25" t="s">
        <v>300</v>
      </c>
    </row>
    <row r="774" spans="1:10" x14ac:dyDescent="0.25">
      <c r="A774" s="4">
        <v>16064</v>
      </c>
      <c r="B774">
        <v>9512</v>
      </c>
      <c r="C774" s="4">
        <v>13796</v>
      </c>
      <c r="D774" t="s">
        <v>306</v>
      </c>
      <c r="E774" s="4">
        <v>16</v>
      </c>
      <c r="F774" s="25">
        <v>43714.842060185183</v>
      </c>
      <c r="G774">
        <v>0</v>
      </c>
      <c r="H774" s="25"/>
      <c r="I774" s="25"/>
      <c r="J774" s="25" t="s">
        <v>300</v>
      </c>
    </row>
    <row r="775" spans="1:10" x14ac:dyDescent="0.25">
      <c r="A775" s="4">
        <v>16064</v>
      </c>
      <c r="B775">
        <v>9512</v>
      </c>
      <c r="C775" s="4">
        <v>13796</v>
      </c>
      <c r="D775" t="s">
        <v>306</v>
      </c>
      <c r="E775" s="4">
        <v>17</v>
      </c>
      <c r="F775" s="25">
        <v>43714.842060185183</v>
      </c>
      <c r="G775">
        <v>0</v>
      </c>
      <c r="H775" s="25"/>
      <c r="I775" s="25"/>
      <c r="J775" s="25" t="s">
        <v>300</v>
      </c>
    </row>
    <row r="776" spans="1:10" x14ac:dyDescent="0.25">
      <c r="A776" s="4">
        <v>16064</v>
      </c>
      <c r="B776">
        <v>9512</v>
      </c>
      <c r="C776" s="4">
        <v>13796</v>
      </c>
      <c r="D776" t="s">
        <v>306</v>
      </c>
      <c r="E776" s="4">
        <v>15</v>
      </c>
      <c r="F776" s="25">
        <v>43714.842048611114</v>
      </c>
      <c r="G776">
        <v>0</v>
      </c>
      <c r="H776" s="25"/>
      <c r="I776" s="25"/>
      <c r="J776" s="25" t="s">
        <v>300</v>
      </c>
    </row>
    <row r="777" spans="1:10" x14ac:dyDescent="0.25">
      <c r="A777" s="4">
        <v>16064</v>
      </c>
      <c r="B777">
        <v>9512</v>
      </c>
      <c r="C777" s="4">
        <v>13796</v>
      </c>
      <c r="D777" t="s">
        <v>306</v>
      </c>
      <c r="E777" s="4">
        <v>13</v>
      </c>
      <c r="F777" s="25">
        <v>43714.842037037037</v>
      </c>
      <c r="G777">
        <v>0</v>
      </c>
      <c r="H777" s="25"/>
      <c r="I777" s="25"/>
      <c r="J777" s="25" t="s">
        <v>300</v>
      </c>
    </row>
    <row r="778" spans="1:10" x14ac:dyDescent="0.25">
      <c r="A778" s="4">
        <v>16064</v>
      </c>
      <c r="B778">
        <v>9512</v>
      </c>
      <c r="C778" s="4">
        <v>13796</v>
      </c>
      <c r="D778" t="s">
        <v>306</v>
      </c>
      <c r="E778" s="4">
        <v>14</v>
      </c>
      <c r="F778" s="25">
        <v>43714.842037037037</v>
      </c>
      <c r="G778">
        <v>0</v>
      </c>
      <c r="H778" s="25"/>
      <c r="I778" s="25"/>
      <c r="J778" s="25" t="s">
        <v>300</v>
      </c>
    </row>
    <row r="779" spans="1:10" x14ac:dyDescent="0.25">
      <c r="A779" s="4">
        <v>16064</v>
      </c>
      <c r="B779">
        <v>9512</v>
      </c>
      <c r="C779" s="4">
        <v>13796</v>
      </c>
      <c r="D779" t="s">
        <v>306</v>
      </c>
      <c r="E779" s="4">
        <v>12</v>
      </c>
      <c r="F779" s="25">
        <v>43714.84202546296</v>
      </c>
      <c r="G779">
        <v>0</v>
      </c>
      <c r="H779" s="25"/>
      <c r="I779" s="25"/>
      <c r="J779" s="25" t="s">
        <v>300</v>
      </c>
    </row>
    <row r="780" spans="1:10" x14ac:dyDescent="0.25">
      <c r="A780" s="4">
        <v>16064</v>
      </c>
      <c r="B780">
        <v>9512</v>
      </c>
      <c r="C780" s="4">
        <v>13796</v>
      </c>
      <c r="D780" t="s">
        <v>306</v>
      </c>
      <c r="E780" s="4">
        <v>11</v>
      </c>
      <c r="F780" s="25">
        <v>43714.842013888891</v>
      </c>
      <c r="G780">
        <v>0</v>
      </c>
      <c r="H780" s="25"/>
      <c r="I780" s="25"/>
      <c r="J780" s="25" t="s">
        <v>300</v>
      </c>
    </row>
    <row r="781" spans="1:10" x14ac:dyDescent="0.25">
      <c r="A781" s="4">
        <v>16064</v>
      </c>
      <c r="B781">
        <v>9512</v>
      </c>
      <c r="C781" s="4">
        <v>13796</v>
      </c>
      <c r="D781" t="s">
        <v>306</v>
      </c>
      <c r="E781" s="4">
        <v>9</v>
      </c>
      <c r="F781" s="25">
        <v>43714.842002314814</v>
      </c>
      <c r="G781">
        <v>0</v>
      </c>
      <c r="H781" s="25"/>
      <c r="I781" s="25"/>
      <c r="J781" s="25" t="s">
        <v>300</v>
      </c>
    </row>
    <row r="782" spans="1:10" x14ac:dyDescent="0.25">
      <c r="A782" s="4">
        <v>16064</v>
      </c>
      <c r="B782">
        <v>9512</v>
      </c>
      <c r="C782" s="4">
        <v>13796</v>
      </c>
      <c r="D782" t="s">
        <v>306</v>
      </c>
      <c r="E782" s="4">
        <v>10</v>
      </c>
      <c r="F782" s="25">
        <v>43714.842002314814</v>
      </c>
      <c r="G782">
        <v>0</v>
      </c>
      <c r="H782" s="25"/>
      <c r="I782" s="25"/>
      <c r="J782" s="25" t="s">
        <v>300</v>
      </c>
    </row>
    <row r="783" spans="1:10" x14ac:dyDescent="0.25">
      <c r="A783" s="4">
        <v>16064</v>
      </c>
      <c r="B783">
        <v>9512</v>
      </c>
      <c r="C783" s="4">
        <v>13796</v>
      </c>
      <c r="D783" t="s">
        <v>306</v>
      </c>
      <c r="E783" s="4">
        <v>8</v>
      </c>
      <c r="F783" s="25">
        <v>43714.841990740744</v>
      </c>
      <c r="G783">
        <v>0</v>
      </c>
      <c r="H783" s="25"/>
      <c r="I783" s="25"/>
      <c r="J783" s="25" t="s">
        <v>300</v>
      </c>
    </row>
    <row r="784" spans="1:10" x14ac:dyDescent="0.25">
      <c r="A784" s="4">
        <v>16064</v>
      </c>
      <c r="B784">
        <v>9512</v>
      </c>
      <c r="C784" s="4">
        <v>13796</v>
      </c>
      <c r="D784" t="s">
        <v>306</v>
      </c>
      <c r="E784" s="4">
        <v>6</v>
      </c>
      <c r="F784" s="25">
        <v>43714.841979166667</v>
      </c>
      <c r="G784">
        <v>0</v>
      </c>
      <c r="H784" s="25"/>
      <c r="I784" s="25"/>
      <c r="J784" s="25" t="s">
        <v>300</v>
      </c>
    </row>
    <row r="785" spans="1:10" x14ac:dyDescent="0.25">
      <c r="A785" s="4">
        <v>16064</v>
      </c>
      <c r="B785">
        <v>9512</v>
      </c>
      <c r="C785" s="4">
        <v>13796</v>
      </c>
      <c r="D785" t="s">
        <v>306</v>
      </c>
      <c r="E785" s="4">
        <v>7</v>
      </c>
      <c r="F785" s="25">
        <v>43714.841979166667</v>
      </c>
      <c r="G785">
        <v>0</v>
      </c>
      <c r="H785" s="25"/>
      <c r="I785" s="25"/>
      <c r="J785" s="25" t="s">
        <v>300</v>
      </c>
    </row>
    <row r="786" spans="1:10" x14ac:dyDescent="0.25">
      <c r="A786" s="4">
        <v>16064</v>
      </c>
      <c r="B786">
        <v>9512</v>
      </c>
      <c r="C786" s="4">
        <v>13796</v>
      </c>
      <c r="D786" t="s">
        <v>306</v>
      </c>
      <c r="E786" s="4">
        <v>5</v>
      </c>
      <c r="F786" s="25">
        <v>43714.841967592591</v>
      </c>
      <c r="G786">
        <v>0</v>
      </c>
      <c r="H786" s="25"/>
      <c r="I786" s="25"/>
      <c r="J786" s="25" t="s">
        <v>300</v>
      </c>
    </row>
    <row r="787" spans="1:10" x14ac:dyDescent="0.25">
      <c r="A787" s="4">
        <v>16064</v>
      </c>
      <c r="B787">
        <v>9512</v>
      </c>
      <c r="C787" s="4">
        <v>13796</v>
      </c>
      <c r="D787" t="s">
        <v>306</v>
      </c>
      <c r="E787" s="4">
        <v>3</v>
      </c>
      <c r="F787" s="25">
        <v>43714.841956018521</v>
      </c>
      <c r="G787">
        <v>0</v>
      </c>
      <c r="H787" s="25"/>
      <c r="I787" s="25"/>
      <c r="J787" s="25" t="s">
        <v>300</v>
      </c>
    </row>
    <row r="788" spans="1:10" x14ac:dyDescent="0.25">
      <c r="A788" s="4">
        <v>16064</v>
      </c>
      <c r="B788">
        <v>9512</v>
      </c>
      <c r="C788" s="4">
        <v>13796</v>
      </c>
      <c r="D788" t="s">
        <v>306</v>
      </c>
      <c r="E788" s="4">
        <v>4</v>
      </c>
      <c r="F788" s="25">
        <v>43714.841956018521</v>
      </c>
      <c r="G788">
        <v>0</v>
      </c>
      <c r="H788" s="25"/>
      <c r="I788" s="25"/>
      <c r="J788" s="25" t="s">
        <v>300</v>
      </c>
    </row>
    <row r="789" spans="1:10" x14ac:dyDescent="0.25">
      <c r="A789" s="4">
        <v>16064</v>
      </c>
      <c r="B789">
        <v>9512</v>
      </c>
      <c r="C789" s="4">
        <v>13796</v>
      </c>
      <c r="D789" t="s">
        <v>306</v>
      </c>
      <c r="E789" s="4">
        <v>1</v>
      </c>
      <c r="F789" s="25">
        <v>43714.841944444444</v>
      </c>
      <c r="G789">
        <v>0</v>
      </c>
      <c r="H789" s="25"/>
      <c r="I789" s="25"/>
      <c r="J789" s="25" t="s">
        <v>300</v>
      </c>
    </row>
    <row r="790" spans="1:10" x14ac:dyDescent="0.25">
      <c r="A790" s="4">
        <v>16064</v>
      </c>
      <c r="B790">
        <v>9512</v>
      </c>
      <c r="C790" s="4">
        <v>13796</v>
      </c>
      <c r="D790" t="s">
        <v>306</v>
      </c>
      <c r="E790" s="4">
        <v>2</v>
      </c>
      <c r="F790" s="25">
        <v>43714.841944444444</v>
      </c>
      <c r="G790">
        <v>0</v>
      </c>
      <c r="H790" s="25"/>
      <c r="I790" s="25"/>
      <c r="J790" s="25" t="s">
        <v>300</v>
      </c>
    </row>
    <row r="791" spans="1:10" x14ac:dyDescent="0.25">
      <c r="A791" s="4">
        <v>16064</v>
      </c>
      <c r="B791">
        <v>9512</v>
      </c>
      <c r="C791" s="4">
        <v>13796</v>
      </c>
      <c r="D791" t="s">
        <v>306</v>
      </c>
      <c r="E791" s="4">
        <v>0</v>
      </c>
      <c r="F791" s="25">
        <v>43714.841932870368</v>
      </c>
      <c r="G791">
        <v>0</v>
      </c>
      <c r="H791" s="25"/>
      <c r="I791" s="25"/>
      <c r="J791" s="25" t="s">
        <v>300</v>
      </c>
    </row>
    <row r="792" spans="1:10" x14ac:dyDescent="0.25">
      <c r="A792" s="4">
        <v>81</v>
      </c>
      <c r="B792">
        <v>11724</v>
      </c>
      <c r="C792" s="4">
        <v>13796</v>
      </c>
      <c r="D792" t="s">
        <v>7</v>
      </c>
      <c r="E792" s="4">
        <v>0</v>
      </c>
      <c r="F792" s="25">
        <v>43714.840243055558</v>
      </c>
      <c r="G792">
        <v>0</v>
      </c>
      <c r="H792" s="25"/>
      <c r="I792" s="25" t="s">
        <v>339</v>
      </c>
      <c r="J792" s="25" t="s">
        <v>300</v>
      </c>
    </row>
    <row r="793" spans="1:10" x14ac:dyDescent="0.25">
      <c r="A793" s="4">
        <v>81</v>
      </c>
      <c r="B793">
        <v>9348</v>
      </c>
      <c r="C793" s="4">
        <v>13796</v>
      </c>
      <c r="D793" t="s">
        <v>7</v>
      </c>
      <c r="E793" s="4">
        <v>0</v>
      </c>
      <c r="F793" s="25">
        <v>43714.840243055558</v>
      </c>
      <c r="G793">
        <v>0</v>
      </c>
      <c r="H793" s="25"/>
      <c r="I793" s="25" t="s">
        <v>342</v>
      </c>
      <c r="J793" s="25" t="s">
        <v>300</v>
      </c>
    </row>
    <row r="794" spans="1:10" x14ac:dyDescent="0.25">
      <c r="A794" s="4">
        <v>81</v>
      </c>
      <c r="B794">
        <v>11448</v>
      </c>
      <c r="C794" s="4">
        <v>13796</v>
      </c>
      <c r="D794" t="s">
        <v>7</v>
      </c>
      <c r="E794" s="4">
        <v>0</v>
      </c>
      <c r="F794" s="25">
        <v>43714.840243055558</v>
      </c>
      <c r="G794">
        <v>0</v>
      </c>
      <c r="H794" s="25"/>
      <c r="I794" s="25" t="s">
        <v>341</v>
      </c>
      <c r="J794" s="25" t="s">
        <v>300</v>
      </c>
    </row>
    <row r="795" spans="1:10" x14ac:dyDescent="0.25">
      <c r="A795" s="4">
        <v>81</v>
      </c>
      <c r="B795">
        <v>5316</v>
      </c>
      <c r="C795" s="4">
        <v>13796</v>
      </c>
      <c r="D795" t="s">
        <v>7</v>
      </c>
      <c r="E795" s="4">
        <v>0</v>
      </c>
      <c r="F795" s="25">
        <v>43714.840208333335</v>
      </c>
      <c r="G795">
        <v>0</v>
      </c>
      <c r="H795" s="25"/>
      <c r="I795" s="25" t="s">
        <v>329</v>
      </c>
      <c r="J795" s="25" t="s">
        <v>300</v>
      </c>
    </row>
    <row r="796" spans="1:10" x14ac:dyDescent="0.25">
      <c r="A796" s="4">
        <v>81</v>
      </c>
      <c r="B796">
        <v>7796</v>
      </c>
      <c r="C796" s="4">
        <v>13796</v>
      </c>
      <c r="D796" t="s">
        <v>7</v>
      </c>
      <c r="E796" s="4">
        <v>0</v>
      </c>
      <c r="F796" s="25">
        <v>43714.840208333335</v>
      </c>
      <c r="G796">
        <v>0</v>
      </c>
      <c r="H796" s="25"/>
      <c r="I796" s="25" t="s">
        <v>340</v>
      </c>
      <c r="J796" s="25" t="s">
        <v>300</v>
      </c>
    </row>
    <row r="797" spans="1:10" x14ac:dyDescent="0.25">
      <c r="A797" s="4">
        <v>81</v>
      </c>
      <c r="B797">
        <v>4232</v>
      </c>
      <c r="C797" s="4">
        <v>13796</v>
      </c>
      <c r="D797" t="s">
        <v>7</v>
      </c>
      <c r="E797" s="4">
        <v>0</v>
      </c>
      <c r="F797" s="25">
        <v>43714.834270833337</v>
      </c>
      <c r="G797">
        <v>0</v>
      </c>
      <c r="H797" s="25"/>
      <c r="I797" s="25" t="s">
        <v>335</v>
      </c>
      <c r="J797" s="25" t="s">
        <v>300</v>
      </c>
    </row>
    <row r="798" spans="1:10" x14ac:dyDescent="0.25">
      <c r="A798" s="4">
        <v>81</v>
      </c>
      <c r="B798">
        <v>13796</v>
      </c>
      <c r="C798" s="4">
        <v>13796</v>
      </c>
      <c r="D798" t="s">
        <v>7</v>
      </c>
      <c r="E798" s="4">
        <v>0</v>
      </c>
      <c r="F798" s="25">
        <v>43714.829317129632</v>
      </c>
      <c r="G798">
        <v>1</v>
      </c>
      <c r="H798" s="25" t="s">
        <v>308</v>
      </c>
      <c r="I798" s="25"/>
      <c r="J798" s="25" t="s">
        <v>428</v>
      </c>
    </row>
    <row r="799" spans="1:10" x14ac:dyDescent="0.25">
      <c r="A799" s="4">
        <v>11838</v>
      </c>
      <c r="B799">
        <v>9735</v>
      </c>
      <c r="C799" s="4">
        <v>10012</v>
      </c>
      <c r="D799" t="s">
        <v>306</v>
      </c>
      <c r="E799" s="4">
        <v>24</v>
      </c>
      <c r="F799" s="25">
        <v>43714.82707175926</v>
      </c>
      <c r="G799">
        <v>0</v>
      </c>
      <c r="H799" s="25"/>
      <c r="I799" s="25"/>
      <c r="J799" s="25" t="s">
        <v>300</v>
      </c>
    </row>
    <row r="800" spans="1:10" x14ac:dyDescent="0.25">
      <c r="A800" s="4">
        <v>11838</v>
      </c>
      <c r="B800">
        <v>9735</v>
      </c>
      <c r="C800" s="4">
        <v>10012</v>
      </c>
      <c r="D800" t="s">
        <v>306</v>
      </c>
      <c r="E800" s="4">
        <v>23</v>
      </c>
      <c r="F800" s="25">
        <v>43714.827060185184</v>
      </c>
      <c r="G800">
        <v>0</v>
      </c>
      <c r="H800" s="25"/>
      <c r="I800" s="25"/>
      <c r="J800" s="25" t="s">
        <v>300</v>
      </c>
    </row>
    <row r="801" spans="1:10" x14ac:dyDescent="0.25">
      <c r="A801" s="4">
        <v>11838</v>
      </c>
      <c r="B801">
        <v>9735</v>
      </c>
      <c r="C801" s="4">
        <v>10012</v>
      </c>
      <c r="D801" t="s">
        <v>306</v>
      </c>
      <c r="E801" s="4">
        <v>21</v>
      </c>
      <c r="F801" s="25">
        <v>43714.827048611114</v>
      </c>
      <c r="G801">
        <v>0</v>
      </c>
      <c r="H801" s="25"/>
      <c r="I801" s="25"/>
      <c r="J801" s="25" t="s">
        <v>300</v>
      </c>
    </row>
    <row r="802" spans="1:10" x14ac:dyDescent="0.25">
      <c r="A802" s="4">
        <v>11838</v>
      </c>
      <c r="B802">
        <v>9735</v>
      </c>
      <c r="C802" s="4">
        <v>10012</v>
      </c>
      <c r="D802" t="s">
        <v>306</v>
      </c>
      <c r="E802" s="4">
        <v>22</v>
      </c>
      <c r="F802" s="25">
        <v>43714.827048611114</v>
      </c>
      <c r="G802">
        <v>0</v>
      </c>
      <c r="H802" s="25"/>
      <c r="I802" s="25"/>
      <c r="J802" s="25" t="s">
        <v>300</v>
      </c>
    </row>
    <row r="803" spans="1:10" x14ac:dyDescent="0.25">
      <c r="A803" s="4">
        <v>11838</v>
      </c>
      <c r="B803">
        <v>9735</v>
      </c>
      <c r="C803" s="4">
        <v>10012</v>
      </c>
      <c r="D803" t="s">
        <v>306</v>
      </c>
      <c r="E803" s="4">
        <v>20</v>
      </c>
      <c r="F803" s="25">
        <v>43714.827037037037</v>
      </c>
      <c r="G803">
        <v>0</v>
      </c>
      <c r="H803" s="25"/>
      <c r="I803" s="25"/>
      <c r="J803" s="25" t="s">
        <v>300</v>
      </c>
    </row>
    <row r="804" spans="1:10" x14ac:dyDescent="0.25">
      <c r="A804" s="4">
        <v>11838</v>
      </c>
      <c r="B804">
        <v>9735</v>
      </c>
      <c r="C804" s="4">
        <v>10012</v>
      </c>
      <c r="D804" t="s">
        <v>306</v>
      </c>
      <c r="E804" s="4">
        <v>18</v>
      </c>
      <c r="F804" s="25">
        <v>43714.827025462961</v>
      </c>
      <c r="G804">
        <v>0</v>
      </c>
      <c r="H804" s="25"/>
      <c r="I804" s="25"/>
      <c r="J804" s="25" t="s">
        <v>300</v>
      </c>
    </row>
    <row r="805" spans="1:10" x14ac:dyDescent="0.25">
      <c r="A805" s="4">
        <v>11838</v>
      </c>
      <c r="B805">
        <v>9735</v>
      </c>
      <c r="C805" s="4">
        <v>10012</v>
      </c>
      <c r="D805" t="s">
        <v>306</v>
      </c>
      <c r="E805" s="4">
        <v>19</v>
      </c>
      <c r="F805" s="25">
        <v>43714.827025462961</v>
      </c>
      <c r="G805">
        <v>0</v>
      </c>
      <c r="H805" s="25"/>
      <c r="I805" s="25"/>
      <c r="J805" s="25" t="s">
        <v>300</v>
      </c>
    </row>
    <row r="806" spans="1:10" x14ac:dyDescent="0.25">
      <c r="A806" s="4">
        <v>11838</v>
      </c>
      <c r="B806">
        <v>9735</v>
      </c>
      <c r="C806" s="4">
        <v>10012</v>
      </c>
      <c r="D806" t="s">
        <v>306</v>
      </c>
      <c r="E806" s="4">
        <v>17</v>
      </c>
      <c r="F806" s="25">
        <v>43714.827013888891</v>
      </c>
      <c r="G806">
        <v>0</v>
      </c>
      <c r="H806" s="25"/>
      <c r="I806" s="25"/>
      <c r="J806" s="25" t="s">
        <v>300</v>
      </c>
    </row>
    <row r="807" spans="1:10" x14ac:dyDescent="0.25">
      <c r="A807" s="4">
        <v>11838</v>
      </c>
      <c r="B807">
        <v>9735</v>
      </c>
      <c r="C807" s="4">
        <v>10012</v>
      </c>
      <c r="D807" t="s">
        <v>306</v>
      </c>
      <c r="E807" s="4">
        <v>15</v>
      </c>
      <c r="F807" s="25">
        <v>43714.827002314814</v>
      </c>
      <c r="G807">
        <v>0</v>
      </c>
      <c r="H807" s="25"/>
      <c r="I807" s="25"/>
      <c r="J807" s="25" t="s">
        <v>300</v>
      </c>
    </row>
    <row r="808" spans="1:10" x14ac:dyDescent="0.25">
      <c r="A808" s="4">
        <v>11838</v>
      </c>
      <c r="B808">
        <v>9735</v>
      </c>
      <c r="C808" s="4">
        <v>10012</v>
      </c>
      <c r="D808" t="s">
        <v>306</v>
      </c>
      <c r="E808" s="4">
        <v>16</v>
      </c>
      <c r="F808" s="25">
        <v>43714.827002314814</v>
      </c>
      <c r="G808">
        <v>0</v>
      </c>
      <c r="H808" s="25"/>
      <c r="I808" s="25"/>
      <c r="J808" s="25" t="s">
        <v>300</v>
      </c>
    </row>
    <row r="809" spans="1:10" x14ac:dyDescent="0.25">
      <c r="A809" s="4">
        <v>11838</v>
      </c>
      <c r="B809">
        <v>9735</v>
      </c>
      <c r="C809" s="4">
        <v>10012</v>
      </c>
      <c r="D809" t="s">
        <v>306</v>
      </c>
      <c r="E809" s="4">
        <v>14</v>
      </c>
      <c r="F809" s="25">
        <v>43714.826990740738</v>
      </c>
      <c r="G809">
        <v>0</v>
      </c>
      <c r="H809" s="25"/>
      <c r="I809" s="25"/>
      <c r="J809" s="25" t="s">
        <v>300</v>
      </c>
    </row>
    <row r="810" spans="1:10" x14ac:dyDescent="0.25">
      <c r="A810" s="4">
        <v>11838</v>
      </c>
      <c r="B810">
        <v>9735</v>
      </c>
      <c r="C810" s="4">
        <v>10012</v>
      </c>
      <c r="D810" t="s">
        <v>306</v>
      </c>
      <c r="E810" s="4">
        <v>13</v>
      </c>
      <c r="F810" s="25">
        <v>43714.826979166668</v>
      </c>
      <c r="G810">
        <v>0</v>
      </c>
      <c r="H810" s="25"/>
      <c r="I810" s="25"/>
      <c r="J810" s="25" t="s">
        <v>300</v>
      </c>
    </row>
    <row r="811" spans="1:10" x14ac:dyDescent="0.25">
      <c r="A811" s="4">
        <v>11838</v>
      </c>
      <c r="B811">
        <v>9735</v>
      </c>
      <c r="C811" s="4">
        <v>10012</v>
      </c>
      <c r="D811" t="s">
        <v>306</v>
      </c>
      <c r="E811" s="4">
        <v>11</v>
      </c>
      <c r="F811" s="25">
        <v>43714.826967592591</v>
      </c>
      <c r="G811">
        <v>0</v>
      </c>
      <c r="H811" s="25"/>
      <c r="I811" s="25"/>
      <c r="J811" s="25" t="s">
        <v>300</v>
      </c>
    </row>
    <row r="812" spans="1:10" x14ac:dyDescent="0.25">
      <c r="A812" s="4">
        <v>11838</v>
      </c>
      <c r="B812">
        <v>9735</v>
      </c>
      <c r="C812" s="4">
        <v>10012</v>
      </c>
      <c r="D812" t="s">
        <v>306</v>
      </c>
      <c r="E812" s="4">
        <v>12</v>
      </c>
      <c r="F812" s="25">
        <v>43714.826967592591</v>
      </c>
      <c r="G812">
        <v>0</v>
      </c>
      <c r="H812" s="25"/>
      <c r="I812" s="25"/>
      <c r="J812" s="25" t="s">
        <v>300</v>
      </c>
    </row>
    <row r="813" spans="1:10" x14ac:dyDescent="0.25">
      <c r="A813" s="4">
        <v>11838</v>
      </c>
      <c r="B813">
        <v>9735</v>
      </c>
      <c r="C813" s="4">
        <v>10012</v>
      </c>
      <c r="D813" t="s">
        <v>306</v>
      </c>
      <c r="E813" s="4">
        <v>10</v>
      </c>
      <c r="F813" s="25">
        <v>43714.826956018522</v>
      </c>
      <c r="G813">
        <v>0</v>
      </c>
      <c r="H813" s="25"/>
      <c r="I813" s="25"/>
      <c r="J813" s="25" t="s">
        <v>300</v>
      </c>
    </row>
    <row r="814" spans="1:10" x14ac:dyDescent="0.25">
      <c r="A814" s="4">
        <v>11838</v>
      </c>
      <c r="B814">
        <v>9735</v>
      </c>
      <c r="C814" s="4">
        <v>10012</v>
      </c>
      <c r="D814" t="s">
        <v>306</v>
      </c>
      <c r="E814" s="4">
        <v>8</v>
      </c>
      <c r="F814" s="25">
        <v>43714.826944444445</v>
      </c>
      <c r="G814">
        <v>0</v>
      </c>
      <c r="H814" s="25"/>
      <c r="I814" s="25"/>
      <c r="J814" s="25" t="s">
        <v>300</v>
      </c>
    </row>
    <row r="815" spans="1:10" x14ac:dyDescent="0.25">
      <c r="A815" s="4">
        <v>11838</v>
      </c>
      <c r="B815">
        <v>9735</v>
      </c>
      <c r="C815" s="4">
        <v>10012</v>
      </c>
      <c r="D815" t="s">
        <v>306</v>
      </c>
      <c r="E815" s="4">
        <v>9</v>
      </c>
      <c r="F815" s="25">
        <v>43714.826944444445</v>
      </c>
      <c r="G815">
        <v>0</v>
      </c>
      <c r="H815" s="25"/>
      <c r="I815" s="25"/>
      <c r="J815" s="25" t="s">
        <v>300</v>
      </c>
    </row>
    <row r="816" spans="1:10" x14ac:dyDescent="0.25">
      <c r="A816" s="4">
        <v>11838</v>
      </c>
      <c r="B816">
        <v>9735</v>
      </c>
      <c r="C816" s="4">
        <v>10012</v>
      </c>
      <c r="D816" t="s">
        <v>306</v>
      </c>
      <c r="E816" s="4">
        <v>7</v>
      </c>
      <c r="F816" s="25">
        <v>43714.826932870368</v>
      </c>
      <c r="G816">
        <v>0</v>
      </c>
      <c r="H816" s="25"/>
      <c r="I816" s="25"/>
      <c r="J816" s="25" t="s">
        <v>300</v>
      </c>
    </row>
    <row r="817" spans="1:10" x14ac:dyDescent="0.25">
      <c r="A817" s="4">
        <v>11838</v>
      </c>
      <c r="B817">
        <v>9735</v>
      </c>
      <c r="C817" s="4">
        <v>10012</v>
      </c>
      <c r="D817" t="s">
        <v>306</v>
      </c>
      <c r="E817" s="4">
        <v>5</v>
      </c>
      <c r="F817" s="25">
        <v>43714.826921296299</v>
      </c>
      <c r="G817">
        <v>0</v>
      </c>
      <c r="H817" s="25"/>
      <c r="I817" s="25"/>
      <c r="J817" s="25" t="s">
        <v>300</v>
      </c>
    </row>
    <row r="818" spans="1:10" x14ac:dyDescent="0.25">
      <c r="A818" s="4">
        <v>11838</v>
      </c>
      <c r="B818">
        <v>9735</v>
      </c>
      <c r="C818" s="4">
        <v>10012</v>
      </c>
      <c r="D818" t="s">
        <v>306</v>
      </c>
      <c r="E818" s="4">
        <v>6</v>
      </c>
      <c r="F818" s="25">
        <v>43714.826921296299</v>
      </c>
      <c r="G818">
        <v>0</v>
      </c>
      <c r="H818" s="25"/>
      <c r="I818" s="25"/>
      <c r="J818" s="25" t="s">
        <v>300</v>
      </c>
    </row>
    <row r="819" spans="1:10" x14ac:dyDescent="0.25">
      <c r="A819" s="4">
        <v>11838</v>
      </c>
      <c r="B819">
        <v>9735</v>
      </c>
      <c r="C819" s="4">
        <v>10012</v>
      </c>
      <c r="D819" t="s">
        <v>306</v>
      </c>
      <c r="E819" s="4">
        <v>4</v>
      </c>
      <c r="F819" s="25">
        <v>43714.826909722222</v>
      </c>
      <c r="G819">
        <v>0</v>
      </c>
      <c r="H819" s="25"/>
      <c r="I819" s="25"/>
      <c r="J819" s="25" t="s">
        <v>300</v>
      </c>
    </row>
    <row r="820" spans="1:10" x14ac:dyDescent="0.25">
      <c r="A820" s="4">
        <v>11838</v>
      </c>
      <c r="B820">
        <v>9735</v>
      </c>
      <c r="C820" s="4">
        <v>10012</v>
      </c>
      <c r="D820" t="s">
        <v>306</v>
      </c>
      <c r="E820" s="4">
        <v>2</v>
      </c>
      <c r="F820" s="25">
        <v>43714.826898148145</v>
      </c>
      <c r="G820">
        <v>0</v>
      </c>
      <c r="H820" s="25"/>
      <c r="I820" s="25"/>
      <c r="J820" s="25" t="s">
        <v>300</v>
      </c>
    </row>
    <row r="821" spans="1:10" x14ac:dyDescent="0.25">
      <c r="A821" s="4">
        <v>11838</v>
      </c>
      <c r="B821">
        <v>9735</v>
      </c>
      <c r="C821" s="4">
        <v>10012</v>
      </c>
      <c r="D821" t="s">
        <v>306</v>
      </c>
      <c r="E821" s="4">
        <v>3</v>
      </c>
      <c r="F821" s="25">
        <v>43714.826898148145</v>
      </c>
      <c r="G821">
        <v>0</v>
      </c>
      <c r="H821" s="25"/>
      <c r="I821" s="25"/>
      <c r="J821" s="25" t="s">
        <v>300</v>
      </c>
    </row>
    <row r="822" spans="1:10" x14ac:dyDescent="0.25">
      <c r="A822" s="4">
        <v>11838</v>
      </c>
      <c r="B822">
        <v>9735</v>
      </c>
      <c r="C822" s="4">
        <v>10012</v>
      </c>
      <c r="D822" t="s">
        <v>306</v>
      </c>
      <c r="E822" s="4">
        <v>1</v>
      </c>
      <c r="F822" s="25">
        <v>43714.826886574076</v>
      </c>
      <c r="G822">
        <v>0</v>
      </c>
      <c r="H822" s="25"/>
      <c r="I822" s="25"/>
      <c r="J822" s="25" t="s">
        <v>300</v>
      </c>
    </row>
    <row r="823" spans="1:10" x14ac:dyDescent="0.25">
      <c r="A823" s="4">
        <v>11838</v>
      </c>
      <c r="B823">
        <v>9735</v>
      </c>
      <c r="C823" s="4">
        <v>10012</v>
      </c>
      <c r="D823" t="s">
        <v>306</v>
      </c>
      <c r="E823" s="4">
        <v>0</v>
      </c>
      <c r="F823" s="25">
        <v>43714.826874999999</v>
      </c>
      <c r="G823">
        <v>0</v>
      </c>
      <c r="H823" s="25"/>
      <c r="I823" s="25"/>
      <c r="J823" s="25" t="s">
        <v>300</v>
      </c>
    </row>
    <row r="824" spans="1:10" x14ac:dyDescent="0.25">
      <c r="A824" s="4">
        <v>80</v>
      </c>
      <c r="B824">
        <v>5072</v>
      </c>
      <c r="C824" s="4">
        <v>10012</v>
      </c>
      <c r="D824" t="s">
        <v>7</v>
      </c>
      <c r="E824" s="4">
        <v>0</v>
      </c>
      <c r="F824" s="25">
        <v>43714.806030092594</v>
      </c>
      <c r="G824">
        <v>0</v>
      </c>
      <c r="H824" s="25"/>
      <c r="I824" s="25" t="s">
        <v>344</v>
      </c>
      <c r="J824" s="25" t="s">
        <v>300</v>
      </c>
    </row>
    <row r="825" spans="1:10" x14ac:dyDescent="0.25">
      <c r="A825" s="4">
        <v>80</v>
      </c>
      <c r="B825">
        <v>9036</v>
      </c>
      <c r="C825" s="4">
        <v>10012</v>
      </c>
      <c r="D825" t="s">
        <v>7</v>
      </c>
      <c r="E825" s="4">
        <v>0</v>
      </c>
      <c r="F825" s="25">
        <v>43714.806006944447</v>
      </c>
      <c r="G825">
        <v>0</v>
      </c>
      <c r="H825" s="25"/>
      <c r="I825" s="25" t="s">
        <v>343</v>
      </c>
      <c r="J825" s="25" t="s">
        <v>300</v>
      </c>
    </row>
    <row r="826" spans="1:10" x14ac:dyDescent="0.25">
      <c r="A826" s="4">
        <v>80</v>
      </c>
      <c r="B826">
        <v>12124</v>
      </c>
      <c r="C826" s="4">
        <v>10012</v>
      </c>
      <c r="D826" t="s">
        <v>7</v>
      </c>
      <c r="E826" s="4">
        <v>0</v>
      </c>
      <c r="F826" s="25">
        <v>43714.805937500001</v>
      </c>
      <c r="G826">
        <v>0</v>
      </c>
      <c r="H826" s="25"/>
      <c r="I826" s="25" t="s">
        <v>342</v>
      </c>
      <c r="J826" s="25" t="s">
        <v>300</v>
      </c>
    </row>
    <row r="827" spans="1:10" x14ac:dyDescent="0.25">
      <c r="A827" s="4">
        <v>80</v>
      </c>
      <c r="B827">
        <v>1796</v>
      </c>
      <c r="C827" s="4">
        <v>10012</v>
      </c>
      <c r="D827" t="s">
        <v>7</v>
      </c>
      <c r="E827" s="4">
        <v>0</v>
      </c>
      <c r="F827" s="25">
        <v>43714.805787037039</v>
      </c>
      <c r="G827">
        <v>0</v>
      </c>
      <c r="H827" s="25"/>
      <c r="I827" s="25" t="s">
        <v>341</v>
      </c>
      <c r="J827" s="25" t="s">
        <v>304</v>
      </c>
    </row>
    <row r="828" spans="1:10" x14ac:dyDescent="0.25">
      <c r="A828" s="4">
        <v>80</v>
      </c>
      <c r="B828">
        <v>10608</v>
      </c>
      <c r="C828" s="4">
        <v>10012</v>
      </c>
      <c r="D828" t="s">
        <v>7</v>
      </c>
      <c r="E828" s="4">
        <v>0</v>
      </c>
      <c r="F828" s="25">
        <v>43714.805011574077</v>
      </c>
      <c r="G828">
        <v>0</v>
      </c>
      <c r="H828" s="25"/>
      <c r="I828" s="25" t="s">
        <v>329</v>
      </c>
      <c r="J828" s="25" t="s">
        <v>300</v>
      </c>
    </row>
    <row r="829" spans="1:10" x14ac:dyDescent="0.25">
      <c r="A829" s="4">
        <v>80</v>
      </c>
      <c r="B829">
        <v>5420</v>
      </c>
      <c r="C829" s="4">
        <v>10012</v>
      </c>
      <c r="D829" t="s">
        <v>7</v>
      </c>
      <c r="E829" s="4">
        <v>0</v>
      </c>
      <c r="F829" s="25">
        <v>43714.804814814815</v>
      </c>
      <c r="G829">
        <v>0</v>
      </c>
      <c r="H829" s="25"/>
      <c r="I829" s="25" t="s">
        <v>340</v>
      </c>
      <c r="J829" s="25" t="s">
        <v>300</v>
      </c>
    </row>
    <row r="830" spans="1:10" x14ac:dyDescent="0.25">
      <c r="A830" s="4">
        <v>80</v>
      </c>
      <c r="B830">
        <v>12916</v>
      </c>
      <c r="C830" s="4">
        <v>10012</v>
      </c>
      <c r="D830" t="s">
        <v>7</v>
      </c>
      <c r="E830" s="4">
        <v>0</v>
      </c>
      <c r="F830" s="25">
        <v>43714.804212962961</v>
      </c>
      <c r="G830">
        <v>0</v>
      </c>
      <c r="H830" s="25"/>
      <c r="I830" s="25" t="s">
        <v>339</v>
      </c>
      <c r="J830" s="25" t="s">
        <v>300</v>
      </c>
    </row>
    <row r="831" spans="1:10" x14ac:dyDescent="0.25">
      <c r="A831" s="4">
        <v>80</v>
      </c>
      <c r="B831">
        <v>7832</v>
      </c>
      <c r="C831" s="4">
        <v>10012</v>
      </c>
      <c r="D831" t="s">
        <v>7</v>
      </c>
      <c r="E831" s="4">
        <v>0</v>
      </c>
      <c r="F831" s="25">
        <v>43714.80395833333</v>
      </c>
      <c r="G831">
        <v>0</v>
      </c>
      <c r="H831" s="25"/>
      <c r="I831" s="25" t="s">
        <v>335</v>
      </c>
      <c r="J831" s="25" t="s">
        <v>304</v>
      </c>
    </row>
    <row r="832" spans="1:10" x14ac:dyDescent="0.25">
      <c r="A832" s="4">
        <v>32749</v>
      </c>
      <c r="B832">
        <v>9736</v>
      </c>
      <c r="C832" s="4">
        <v>10012</v>
      </c>
      <c r="D832" t="s">
        <v>306</v>
      </c>
      <c r="E832" s="4">
        <v>48</v>
      </c>
      <c r="F832" s="25">
        <v>43714.785150462965</v>
      </c>
      <c r="G832">
        <v>0</v>
      </c>
      <c r="H832" s="25"/>
      <c r="I832" s="25"/>
      <c r="J832" s="25" t="s">
        <v>300</v>
      </c>
    </row>
    <row r="833" spans="1:10" x14ac:dyDescent="0.25">
      <c r="A833" s="4">
        <v>32749</v>
      </c>
      <c r="B833">
        <v>9736</v>
      </c>
      <c r="C833" s="4">
        <v>10012</v>
      </c>
      <c r="D833" t="s">
        <v>306</v>
      </c>
      <c r="E833" s="4">
        <v>47</v>
      </c>
      <c r="F833" s="25">
        <v>43714.785138888888</v>
      </c>
      <c r="G833">
        <v>0</v>
      </c>
      <c r="H833" s="25"/>
      <c r="I833" s="25"/>
      <c r="J833" s="25" t="s">
        <v>300</v>
      </c>
    </row>
    <row r="834" spans="1:10" x14ac:dyDescent="0.25">
      <c r="A834" s="4">
        <v>32749</v>
      </c>
      <c r="B834">
        <v>9736</v>
      </c>
      <c r="C834" s="4">
        <v>10012</v>
      </c>
      <c r="D834" t="s">
        <v>306</v>
      </c>
      <c r="E834" s="4">
        <v>45</v>
      </c>
      <c r="F834" s="25">
        <v>43714.785127314812</v>
      </c>
      <c r="G834">
        <v>0</v>
      </c>
      <c r="H834" s="25"/>
      <c r="I834" s="25"/>
      <c r="J834" s="25" t="s">
        <v>300</v>
      </c>
    </row>
    <row r="835" spans="1:10" x14ac:dyDescent="0.25">
      <c r="A835" s="4">
        <v>32749</v>
      </c>
      <c r="B835">
        <v>9736</v>
      </c>
      <c r="C835" s="4">
        <v>10012</v>
      </c>
      <c r="D835" t="s">
        <v>306</v>
      </c>
      <c r="E835" s="4">
        <v>46</v>
      </c>
      <c r="F835" s="25">
        <v>43714.785127314812</v>
      </c>
      <c r="G835">
        <v>0</v>
      </c>
      <c r="H835" s="25"/>
      <c r="I835" s="25"/>
      <c r="J835" s="25" t="s">
        <v>300</v>
      </c>
    </row>
    <row r="836" spans="1:10" x14ac:dyDescent="0.25">
      <c r="A836" s="4">
        <v>32749</v>
      </c>
      <c r="B836">
        <v>9736</v>
      </c>
      <c r="C836" s="4">
        <v>10012</v>
      </c>
      <c r="D836" t="s">
        <v>306</v>
      </c>
      <c r="E836" s="4">
        <v>44</v>
      </c>
      <c r="F836" s="25">
        <v>43714.785115740742</v>
      </c>
      <c r="G836">
        <v>0</v>
      </c>
      <c r="H836" s="25"/>
      <c r="I836" s="25"/>
      <c r="J836" s="25" t="s">
        <v>300</v>
      </c>
    </row>
    <row r="837" spans="1:10" x14ac:dyDescent="0.25">
      <c r="A837" s="4">
        <v>32749</v>
      </c>
      <c r="B837">
        <v>9736</v>
      </c>
      <c r="C837" s="4">
        <v>10012</v>
      </c>
      <c r="D837" t="s">
        <v>306</v>
      </c>
      <c r="E837" s="4">
        <v>42</v>
      </c>
      <c r="F837" s="25">
        <v>43714.785104166665</v>
      </c>
      <c r="G837">
        <v>0</v>
      </c>
      <c r="H837" s="25"/>
      <c r="I837" s="25"/>
      <c r="J837" s="25" t="s">
        <v>300</v>
      </c>
    </row>
    <row r="838" spans="1:10" x14ac:dyDescent="0.25">
      <c r="A838" s="4">
        <v>32749</v>
      </c>
      <c r="B838">
        <v>9736</v>
      </c>
      <c r="C838" s="4">
        <v>10012</v>
      </c>
      <c r="D838" t="s">
        <v>306</v>
      </c>
      <c r="E838" s="4">
        <v>43</v>
      </c>
      <c r="F838" s="25">
        <v>43714.785104166665</v>
      </c>
      <c r="G838">
        <v>0</v>
      </c>
      <c r="H838" s="25"/>
      <c r="I838" s="25"/>
      <c r="J838" s="25" t="s">
        <v>300</v>
      </c>
    </row>
    <row r="839" spans="1:10" x14ac:dyDescent="0.25">
      <c r="A839" s="4">
        <v>32749</v>
      </c>
      <c r="B839">
        <v>9736</v>
      </c>
      <c r="C839" s="4">
        <v>10012</v>
      </c>
      <c r="D839" t="s">
        <v>306</v>
      </c>
      <c r="E839" s="4">
        <v>41</v>
      </c>
      <c r="F839" s="25">
        <v>43714.785092592596</v>
      </c>
      <c r="G839">
        <v>0</v>
      </c>
      <c r="H839" s="25"/>
      <c r="I839" s="25"/>
      <c r="J839" s="25" t="s">
        <v>300</v>
      </c>
    </row>
    <row r="840" spans="1:10" x14ac:dyDescent="0.25">
      <c r="A840" s="4">
        <v>32749</v>
      </c>
      <c r="B840">
        <v>9736</v>
      </c>
      <c r="C840" s="4">
        <v>10012</v>
      </c>
      <c r="D840" t="s">
        <v>306</v>
      </c>
      <c r="E840" s="4">
        <v>40</v>
      </c>
      <c r="F840" s="25">
        <v>43714.785081018519</v>
      </c>
      <c r="G840">
        <v>0</v>
      </c>
      <c r="H840" s="25"/>
      <c r="I840" s="25"/>
      <c r="J840" s="25" t="s">
        <v>300</v>
      </c>
    </row>
    <row r="841" spans="1:10" x14ac:dyDescent="0.25">
      <c r="A841" s="4">
        <v>32749</v>
      </c>
      <c r="B841">
        <v>9736</v>
      </c>
      <c r="C841" s="4">
        <v>10012</v>
      </c>
      <c r="D841" t="s">
        <v>306</v>
      </c>
      <c r="E841" s="4">
        <v>38</v>
      </c>
      <c r="F841" s="25">
        <v>43714.785069444442</v>
      </c>
      <c r="G841">
        <v>0</v>
      </c>
      <c r="H841" s="25"/>
      <c r="I841" s="25"/>
      <c r="J841" s="25" t="s">
        <v>300</v>
      </c>
    </row>
    <row r="842" spans="1:10" x14ac:dyDescent="0.25">
      <c r="A842" s="4">
        <v>32749</v>
      </c>
      <c r="B842">
        <v>9736</v>
      </c>
      <c r="C842" s="4">
        <v>10012</v>
      </c>
      <c r="D842" t="s">
        <v>306</v>
      </c>
      <c r="E842" s="4">
        <v>39</v>
      </c>
      <c r="F842" s="25">
        <v>43714.785069444442</v>
      </c>
      <c r="G842">
        <v>0</v>
      </c>
      <c r="H842" s="25"/>
      <c r="I842" s="25"/>
      <c r="J842" s="25" t="s">
        <v>300</v>
      </c>
    </row>
    <row r="843" spans="1:10" x14ac:dyDescent="0.25">
      <c r="A843" s="4">
        <v>32749</v>
      </c>
      <c r="B843">
        <v>9736</v>
      </c>
      <c r="C843" s="4">
        <v>10012</v>
      </c>
      <c r="D843" t="s">
        <v>306</v>
      </c>
      <c r="E843" s="4">
        <v>37</v>
      </c>
      <c r="F843" s="25">
        <v>43714.785057870373</v>
      </c>
      <c r="G843">
        <v>0</v>
      </c>
      <c r="H843" s="25"/>
      <c r="I843" s="25"/>
      <c r="J843" s="25" t="s">
        <v>300</v>
      </c>
    </row>
    <row r="844" spans="1:10" x14ac:dyDescent="0.25">
      <c r="A844" s="4">
        <v>32749</v>
      </c>
      <c r="B844">
        <v>9736</v>
      </c>
      <c r="C844" s="4">
        <v>10012</v>
      </c>
      <c r="D844" t="s">
        <v>306</v>
      </c>
      <c r="E844" s="4">
        <v>35</v>
      </c>
      <c r="F844" s="25">
        <v>43714.785046296296</v>
      </c>
      <c r="G844">
        <v>0</v>
      </c>
      <c r="H844" s="25"/>
      <c r="I844" s="25"/>
      <c r="J844" s="25" t="s">
        <v>300</v>
      </c>
    </row>
    <row r="845" spans="1:10" x14ac:dyDescent="0.25">
      <c r="A845" s="4">
        <v>32749</v>
      </c>
      <c r="B845">
        <v>9736</v>
      </c>
      <c r="C845" s="4">
        <v>10012</v>
      </c>
      <c r="D845" t="s">
        <v>306</v>
      </c>
      <c r="E845" s="4">
        <v>36</v>
      </c>
      <c r="F845" s="25">
        <v>43714.785046296296</v>
      </c>
      <c r="G845">
        <v>0</v>
      </c>
      <c r="H845" s="25"/>
      <c r="I845" s="25"/>
      <c r="J845" s="25" t="s">
        <v>300</v>
      </c>
    </row>
    <row r="846" spans="1:10" x14ac:dyDescent="0.25">
      <c r="A846" s="4">
        <v>32749</v>
      </c>
      <c r="B846">
        <v>9736</v>
      </c>
      <c r="C846" s="4">
        <v>10012</v>
      </c>
      <c r="D846" t="s">
        <v>306</v>
      </c>
      <c r="E846" s="4">
        <v>34</v>
      </c>
      <c r="F846" s="25">
        <v>43714.785034722219</v>
      </c>
      <c r="G846">
        <v>0</v>
      </c>
      <c r="H846" s="25"/>
      <c r="I846" s="25"/>
      <c r="J846" s="25" t="s">
        <v>300</v>
      </c>
    </row>
    <row r="847" spans="1:10" x14ac:dyDescent="0.25">
      <c r="A847" s="4">
        <v>32749</v>
      </c>
      <c r="B847">
        <v>9736</v>
      </c>
      <c r="C847" s="4">
        <v>10012</v>
      </c>
      <c r="D847" t="s">
        <v>306</v>
      </c>
      <c r="E847" s="4">
        <v>32</v>
      </c>
      <c r="F847" s="25">
        <v>43714.78502314815</v>
      </c>
      <c r="G847">
        <v>0</v>
      </c>
      <c r="H847" s="25"/>
      <c r="I847" s="25"/>
      <c r="J847" s="25" t="s">
        <v>300</v>
      </c>
    </row>
    <row r="848" spans="1:10" x14ac:dyDescent="0.25">
      <c r="A848" s="4">
        <v>32749</v>
      </c>
      <c r="B848">
        <v>9736</v>
      </c>
      <c r="C848" s="4">
        <v>10012</v>
      </c>
      <c r="D848" t="s">
        <v>306</v>
      </c>
      <c r="E848" s="4">
        <v>33</v>
      </c>
      <c r="F848" s="25">
        <v>43714.78502314815</v>
      </c>
      <c r="G848">
        <v>0</v>
      </c>
      <c r="H848" s="25"/>
      <c r="I848" s="25"/>
      <c r="J848" s="25" t="s">
        <v>300</v>
      </c>
    </row>
    <row r="849" spans="1:10" x14ac:dyDescent="0.25">
      <c r="A849" s="4">
        <v>32749</v>
      </c>
      <c r="B849">
        <v>9736</v>
      </c>
      <c r="C849" s="4">
        <v>10012</v>
      </c>
      <c r="D849" t="s">
        <v>306</v>
      </c>
      <c r="E849" s="4">
        <v>31</v>
      </c>
      <c r="F849" s="25">
        <v>43714.785011574073</v>
      </c>
      <c r="G849">
        <v>0</v>
      </c>
      <c r="H849" s="25"/>
      <c r="I849" s="25"/>
      <c r="J849" s="25" t="s">
        <v>300</v>
      </c>
    </row>
    <row r="850" spans="1:10" x14ac:dyDescent="0.25">
      <c r="A850" s="4">
        <v>32749</v>
      </c>
      <c r="B850">
        <v>9736</v>
      </c>
      <c r="C850" s="4">
        <v>10012</v>
      </c>
      <c r="D850" t="s">
        <v>306</v>
      </c>
      <c r="E850" s="4">
        <v>29</v>
      </c>
      <c r="F850" s="25">
        <v>43714.785000000003</v>
      </c>
      <c r="G850">
        <v>0</v>
      </c>
      <c r="H850" s="25"/>
      <c r="I850" s="25"/>
      <c r="J850" s="25" t="s">
        <v>300</v>
      </c>
    </row>
    <row r="851" spans="1:10" x14ac:dyDescent="0.25">
      <c r="A851" s="4">
        <v>32749</v>
      </c>
      <c r="B851">
        <v>9736</v>
      </c>
      <c r="C851" s="4">
        <v>10012</v>
      </c>
      <c r="D851" t="s">
        <v>306</v>
      </c>
      <c r="E851" s="4">
        <v>30</v>
      </c>
      <c r="F851" s="25">
        <v>43714.785000000003</v>
      </c>
      <c r="G851">
        <v>0</v>
      </c>
      <c r="H851" s="25"/>
      <c r="I851" s="25"/>
      <c r="J851" s="25" t="s">
        <v>300</v>
      </c>
    </row>
    <row r="852" spans="1:10" x14ac:dyDescent="0.25">
      <c r="A852" s="4">
        <v>32749</v>
      </c>
      <c r="B852">
        <v>9736</v>
      </c>
      <c r="C852" s="4">
        <v>10012</v>
      </c>
      <c r="D852" t="s">
        <v>306</v>
      </c>
      <c r="E852" s="4">
        <v>28</v>
      </c>
      <c r="F852" s="25">
        <v>43714.784988425927</v>
      </c>
      <c r="G852">
        <v>0</v>
      </c>
      <c r="H852" s="25"/>
      <c r="I852" s="25"/>
      <c r="J852" s="25" t="s">
        <v>300</v>
      </c>
    </row>
    <row r="853" spans="1:10" x14ac:dyDescent="0.25">
      <c r="A853" s="4">
        <v>32749</v>
      </c>
      <c r="B853">
        <v>9736</v>
      </c>
      <c r="C853" s="4">
        <v>10012</v>
      </c>
      <c r="D853" t="s">
        <v>306</v>
      </c>
      <c r="E853" s="4">
        <v>26</v>
      </c>
      <c r="F853" s="25">
        <v>43714.78497685185</v>
      </c>
      <c r="G853">
        <v>0</v>
      </c>
      <c r="H853" s="25"/>
      <c r="I853" s="25"/>
      <c r="J853" s="25" t="s">
        <v>300</v>
      </c>
    </row>
    <row r="854" spans="1:10" x14ac:dyDescent="0.25">
      <c r="A854" s="4">
        <v>32749</v>
      </c>
      <c r="B854">
        <v>9736</v>
      </c>
      <c r="C854" s="4">
        <v>10012</v>
      </c>
      <c r="D854" t="s">
        <v>306</v>
      </c>
      <c r="E854" s="4">
        <v>27</v>
      </c>
      <c r="F854" s="25">
        <v>43714.78497685185</v>
      </c>
      <c r="G854">
        <v>0</v>
      </c>
      <c r="H854" s="25"/>
      <c r="I854" s="25"/>
      <c r="J854" s="25" t="s">
        <v>300</v>
      </c>
    </row>
    <row r="855" spans="1:10" x14ac:dyDescent="0.25">
      <c r="A855" s="4">
        <v>32749</v>
      </c>
      <c r="B855">
        <v>9736</v>
      </c>
      <c r="C855" s="4">
        <v>10012</v>
      </c>
      <c r="D855" t="s">
        <v>306</v>
      </c>
      <c r="E855" s="4">
        <v>25</v>
      </c>
      <c r="F855" s="25">
        <v>43714.78496527778</v>
      </c>
      <c r="G855">
        <v>0</v>
      </c>
      <c r="H855" s="25"/>
      <c r="I855" s="25"/>
      <c r="J855" s="25" t="s">
        <v>300</v>
      </c>
    </row>
    <row r="856" spans="1:10" x14ac:dyDescent="0.25">
      <c r="A856" s="4">
        <v>32749</v>
      </c>
      <c r="B856">
        <v>9736</v>
      </c>
      <c r="C856" s="4">
        <v>10012</v>
      </c>
      <c r="D856" t="s">
        <v>306</v>
      </c>
      <c r="E856" s="4">
        <v>23</v>
      </c>
      <c r="F856" s="25">
        <v>43714.784953703704</v>
      </c>
      <c r="G856">
        <v>0</v>
      </c>
      <c r="H856" s="25"/>
      <c r="I856" s="25"/>
      <c r="J856" s="25" t="s">
        <v>300</v>
      </c>
    </row>
    <row r="857" spans="1:10" x14ac:dyDescent="0.25">
      <c r="A857" s="4">
        <v>32749</v>
      </c>
      <c r="B857">
        <v>9736</v>
      </c>
      <c r="C857" s="4">
        <v>10012</v>
      </c>
      <c r="D857" t="s">
        <v>306</v>
      </c>
      <c r="E857" s="4">
        <v>24</v>
      </c>
      <c r="F857" s="25">
        <v>43714.784953703704</v>
      </c>
      <c r="G857">
        <v>0</v>
      </c>
      <c r="H857" s="25"/>
      <c r="I857" s="25"/>
      <c r="J857" s="25" t="s">
        <v>300</v>
      </c>
    </row>
    <row r="858" spans="1:10" x14ac:dyDescent="0.25">
      <c r="A858" s="4">
        <v>32749</v>
      </c>
      <c r="B858">
        <v>9736</v>
      </c>
      <c r="C858" s="4">
        <v>10012</v>
      </c>
      <c r="D858" t="s">
        <v>306</v>
      </c>
      <c r="E858" s="4">
        <v>22</v>
      </c>
      <c r="F858" s="25">
        <v>43714.784942129627</v>
      </c>
      <c r="G858">
        <v>0</v>
      </c>
      <c r="H858" s="25"/>
      <c r="I858" s="25"/>
      <c r="J858" s="25" t="s">
        <v>300</v>
      </c>
    </row>
    <row r="859" spans="1:10" x14ac:dyDescent="0.25">
      <c r="A859" s="4">
        <v>32749</v>
      </c>
      <c r="B859">
        <v>9736</v>
      </c>
      <c r="C859" s="4">
        <v>10012</v>
      </c>
      <c r="D859" t="s">
        <v>306</v>
      </c>
      <c r="E859" s="4">
        <v>20</v>
      </c>
      <c r="F859" s="25">
        <v>43714.784930555557</v>
      </c>
      <c r="G859">
        <v>0</v>
      </c>
      <c r="H859" s="25"/>
      <c r="I859" s="25"/>
      <c r="J859" s="25" t="s">
        <v>300</v>
      </c>
    </row>
    <row r="860" spans="1:10" x14ac:dyDescent="0.25">
      <c r="A860" s="4">
        <v>32749</v>
      </c>
      <c r="B860">
        <v>9736</v>
      </c>
      <c r="C860" s="4">
        <v>10012</v>
      </c>
      <c r="D860" t="s">
        <v>306</v>
      </c>
      <c r="E860" s="4">
        <v>21</v>
      </c>
      <c r="F860" s="25">
        <v>43714.784930555557</v>
      </c>
      <c r="G860">
        <v>0</v>
      </c>
      <c r="H860" s="25"/>
      <c r="I860" s="25"/>
      <c r="J860" s="25" t="s">
        <v>300</v>
      </c>
    </row>
    <row r="861" spans="1:10" x14ac:dyDescent="0.25">
      <c r="A861" s="4">
        <v>32749</v>
      </c>
      <c r="B861">
        <v>9736</v>
      </c>
      <c r="C861" s="4">
        <v>10012</v>
      </c>
      <c r="D861" t="s">
        <v>306</v>
      </c>
      <c r="E861" s="4">
        <v>19</v>
      </c>
      <c r="F861" s="25">
        <v>43714.784918981481</v>
      </c>
      <c r="G861">
        <v>0</v>
      </c>
      <c r="H861" s="25"/>
      <c r="I861" s="25"/>
      <c r="J861" s="25" t="s">
        <v>300</v>
      </c>
    </row>
    <row r="862" spans="1:10" x14ac:dyDescent="0.25">
      <c r="A862" s="4">
        <v>32749</v>
      </c>
      <c r="B862">
        <v>9736</v>
      </c>
      <c r="C862" s="4">
        <v>10012</v>
      </c>
      <c r="D862" t="s">
        <v>306</v>
      </c>
      <c r="E862" s="4">
        <v>17</v>
      </c>
      <c r="F862" s="25">
        <v>43714.784907407404</v>
      </c>
      <c r="G862">
        <v>0</v>
      </c>
      <c r="H862" s="25"/>
      <c r="I862" s="25"/>
      <c r="J862" s="25" t="s">
        <v>300</v>
      </c>
    </row>
    <row r="863" spans="1:10" x14ac:dyDescent="0.25">
      <c r="A863" s="4">
        <v>32749</v>
      </c>
      <c r="B863">
        <v>9736</v>
      </c>
      <c r="C863" s="4">
        <v>10012</v>
      </c>
      <c r="D863" t="s">
        <v>306</v>
      </c>
      <c r="E863" s="4">
        <v>18</v>
      </c>
      <c r="F863" s="25">
        <v>43714.784907407404</v>
      </c>
      <c r="G863">
        <v>0</v>
      </c>
      <c r="H863" s="25"/>
      <c r="I863" s="25"/>
      <c r="J863" s="25" t="s">
        <v>300</v>
      </c>
    </row>
    <row r="864" spans="1:10" x14ac:dyDescent="0.25">
      <c r="A864" s="4">
        <v>32749</v>
      </c>
      <c r="B864">
        <v>9736</v>
      </c>
      <c r="C864" s="4">
        <v>10012</v>
      </c>
      <c r="D864" t="s">
        <v>306</v>
      </c>
      <c r="E864" s="4">
        <v>15</v>
      </c>
      <c r="F864" s="25">
        <v>43714.784895833334</v>
      </c>
      <c r="G864">
        <v>0</v>
      </c>
      <c r="H864" s="25"/>
      <c r="I864" s="25"/>
      <c r="J864" s="25" t="s">
        <v>300</v>
      </c>
    </row>
    <row r="865" spans="1:10" x14ac:dyDescent="0.25">
      <c r="A865" s="4">
        <v>32749</v>
      </c>
      <c r="B865">
        <v>9736</v>
      </c>
      <c r="C865" s="4">
        <v>10012</v>
      </c>
      <c r="D865" t="s">
        <v>306</v>
      </c>
      <c r="E865" s="4">
        <v>16</v>
      </c>
      <c r="F865" s="25">
        <v>43714.784895833334</v>
      </c>
      <c r="G865">
        <v>0</v>
      </c>
      <c r="H865" s="25"/>
      <c r="I865" s="25"/>
      <c r="J865" s="25" t="s">
        <v>300</v>
      </c>
    </row>
    <row r="866" spans="1:10" x14ac:dyDescent="0.25">
      <c r="A866" s="4">
        <v>32749</v>
      </c>
      <c r="B866">
        <v>9736</v>
      </c>
      <c r="C866" s="4">
        <v>10012</v>
      </c>
      <c r="D866" t="s">
        <v>306</v>
      </c>
      <c r="E866" s="4">
        <v>14</v>
      </c>
      <c r="F866" s="25">
        <v>43714.784884259258</v>
      </c>
      <c r="G866">
        <v>0</v>
      </c>
      <c r="H866" s="25"/>
      <c r="I866" s="25"/>
      <c r="J866" s="25" t="s">
        <v>300</v>
      </c>
    </row>
    <row r="867" spans="1:10" x14ac:dyDescent="0.25">
      <c r="A867" s="4">
        <v>32749</v>
      </c>
      <c r="B867">
        <v>9736</v>
      </c>
      <c r="C867" s="4">
        <v>10012</v>
      </c>
      <c r="D867" t="s">
        <v>306</v>
      </c>
      <c r="E867" s="4">
        <v>12</v>
      </c>
      <c r="F867" s="25">
        <v>43714.784872685188</v>
      </c>
      <c r="G867">
        <v>0</v>
      </c>
      <c r="H867" s="25"/>
      <c r="I867" s="25"/>
      <c r="J867" s="25" t="s">
        <v>300</v>
      </c>
    </row>
    <row r="868" spans="1:10" x14ac:dyDescent="0.25">
      <c r="A868" s="4">
        <v>32749</v>
      </c>
      <c r="B868">
        <v>9736</v>
      </c>
      <c r="C868" s="4">
        <v>10012</v>
      </c>
      <c r="D868" t="s">
        <v>306</v>
      </c>
      <c r="E868" s="4">
        <v>13</v>
      </c>
      <c r="F868" s="25">
        <v>43714.784872685188</v>
      </c>
      <c r="G868">
        <v>0</v>
      </c>
      <c r="H868" s="25"/>
      <c r="I868" s="25"/>
      <c r="J868" s="25" t="s">
        <v>300</v>
      </c>
    </row>
    <row r="869" spans="1:10" x14ac:dyDescent="0.25">
      <c r="A869" s="4">
        <v>32749</v>
      </c>
      <c r="B869">
        <v>9736</v>
      </c>
      <c r="C869" s="4">
        <v>10012</v>
      </c>
      <c r="D869" t="s">
        <v>306</v>
      </c>
      <c r="E869" s="4">
        <v>11</v>
      </c>
      <c r="F869" s="25">
        <v>43714.784861111111</v>
      </c>
      <c r="G869">
        <v>0</v>
      </c>
      <c r="H869" s="25"/>
      <c r="I869" s="25"/>
      <c r="J869" s="25" t="s">
        <v>300</v>
      </c>
    </row>
    <row r="870" spans="1:10" x14ac:dyDescent="0.25">
      <c r="A870" s="4">
        <v>32749</v>
      </c>
      <c r="B870">
        <v>9736</v>
      </c>
      <c r="C870" s="4">
        <v>10012</v>
      </c>
      <c r="D870" t="s">
        <v>306</v>
      </c>
      <c r="E870" s="4">
        <v>10</v>
      </c>
      <c r="F870" s="25">
        <v>43714.784849537034</v>
      </c>
      <c r="G870">
        <v>0</v>
      </c>
      <c r="H870" s="25"/>
      <c r="I870" s="25"/>
      <c r="J870" s="25" t="s">
        <v>300</v>
      </c>
    </row>
    <row r="871" spans="1:10" x14ac:dyDescent="0.25">
      <c r="A871" s="4">
        <v>32749</v>
      </c>
      <c r="B871">
        <v>9736</v>
      </c>
      <c r="C871" s="4">
        <v>10012</v>
      </c>
      <c r="D871" t="s">
        <v>306</v>
      </c>
      <c r="E871" s="4">
        <v>8</v>
      </c>
      <c r="F871" s="25">
        <v>43714.784837962965</v>
      </c>
      <c r="G871">
        <v>0</v>
      </c>
      <c r="H871" s="25"/>
      <c r="I871" s="25"/>
      <c r="J871" s="25" t="s">
        <v>300</v>
      </c>
    </row>
    <row r="872" spans="1:10" x14ac:dyDescent="0.25">
      <c r="A872" s="4">
        <v>32749</v>
      </c>
      <c r="B872">
        <v>9736</v>
      </c>
      <c r="C872" s="4">
        <v>10012</v>
      </c>
      <c r="D872" t="s">
        <v>306</v>
      </c>
      <c r="E872" s="4">
        <v>9</v>
      </c>
      <c r="F872" s="25">
        <v>43714.784837962965</v>
      </c>
      <c r="G872">
        <v>0</v>
      </c>
      <c r="H872" s="25"/>
      <c r="I872" s="25"/>
      <c r="J872" s="25" t="s">
        <v>300</v>
      </c>
    </row>
    <row r="873" spans="1:10" x14ac:dyDescent="0.25">
      <c r="A873" s="4">
        <v>32749</v>
      </c>
      <c r="B873">
        <v>9736</v>
      </c>
      <c r="C873" s="4">
        <v>10012</v>
      </c>
      <c r="D873" t="s">
        <v>306</v>
      </c>
      <c r="E873" s="4">
        <v>6</v>
      </c>
      <c r="F873" s="25">
        <v>43714.784826388888</v>
      </c>
      <c r="G873">
        <v>0</v>
      </c>
      <c r="H873" s="25"/>
      <c r="I873" s="25"/>
      <c r="J873" s="25" t="s">
        <v>300</v>
      </c>
    </row>
    <row r="874" spans="1:10" x14ac:dyDescent="0.25">
      <c r="A874" s="4">
        <v>32749</v>
      </c>
      <c r="B874">
        <v>9736</v>
      </c>
      <c r="C874" s="4">
        <v>10012</v>
      </c>
      <c r="D874" t="s">
        <v>306</v>
      </c>
      <c r="E874" s="4">
        <v>7</v>
      </c>
      <c r="F874" s="25">
        <v>43714.784826388888</v>
      </c>
      <c r="G874">
        <v>0</v>
      </c>
      <c r="H874" s="25"/>
      <c r="I874" s="25"/>
      <c r="J874" s="25" t="s">
        <v>300</v>
      </c>
    </row>
    <row r="875" spans="1:10" x14ac:dyDescent="0.25">
      <c r="A875" s="4">
        <v>32749</v>
      </c>
      <c r="B875">
        <v>9736</v>
      </c>
      <c r="C875" s="4">
        <v>10012</v>
      </c>
      <c r="D875" t="s">
        <v>306</v>
      </c>
      <c r="E875" s="4">
        <v>5</v>
      </c>
      <c r="F875" s="25">
        <v>43714.784814814811</v>
      </c>
      <c r="G875">
        <v>0</v>
      </c>
      <c r="H875" s="25"/>
      <c r="I875" s="25"/>
      <c r="J875" s="25" t="s">
        <v>300</v>
      </c>
    </row>
    <row r="876" spans="1:10" x14ac:dyDescent="0.25">
      <c r="A876" s="4">
        <v>32749</v>
      </c>
      <c r="B876">
        <v>9736</v>
      </c>
      <c r="C876" s="4">
        <v>10012</v>
      </c>
      <c r="D876" t="s">
        <v>306</v>
      </c>
      <c r="E876" s="4">
        <v>3</v>
      </c>
      <c r="F876" s="25">
        <v>43714.784803240742</v>
      </c>
      <c r="G876">
        <v>0</v>
      </c>
      <c r="H876" s="25"/>
      <c r="I876" s="25"/>
      <c r="J876" s="25" t="s">
        <v>300</v>
      </c>
    </row>
    <row r="877" spans="1:10" x14ac:dyDescent="0.25">
      <c r="A877" s="4">
        <v>32749</v>
      </c>
      <c r="B877">
        <v>9736</v>
      </c>
      <c r="C877" s="4">
        <v>10012</v>
      </c>
      <c r="D877" t="s">
        <v>306</v>
      </c>
      <c r="E877" s="4">
        <v>4</v>
      </c>
      <c r="F877" s="25">
        <v>43714.784803240742</v>
      </c>
      <c r="G877">
        <v>0</v>
      </c>
      <c r="H877" s="25"/>
      <c r="I877" s="25"/>
      <c r="J877" s="25" t="s">
        <v>300</v>
      </c>
    </row>
    <row r="878" spans="1:10" x14ac:dyDescent="0.25">
      <c r="A878" s="4">
        <v>32749</v>
      </c>
      <c r="B878">
        <v>9736</v>
      </c>
      <c r="C878" s="4">
        <v>10012</v>
      </c>
      <c r="D878" t="s">
        <v>306</v>
      </c>
      <c r="E878" s="4">
        <v>2</v>
      </c>
      <c r="F878" s="25">
        <v>43714.784791666665</v>
      </c>
      <c r="G878">
        <v>0</v>
      </c>
      <c r="H878" s="25"/>
      <c r="I878" s="25"/>
      <c r="J878" s="25" t="s">
        <v>300</v>
      </c>
    </row>
    <row r="879" spans="1:10" x14ac:dyDescent="0.25">
      <c r="A879" s="4">
        <v>32749</v>
      </c>
      <c r="B879">
        <v>9736</v>
      </c>
      <c r="C879" s="4">
        <v>10012</v>
      </c>
      <c r="D879" t="s">
        <v>306</v>
      </c>
      <c r="E879" s="4">
        <v>0</v>
      </c>
      <c r="F879" s="25">
        <v>43714.784780092596</v>
      </c>
      <c r="G879">
        <v>0</v>
      </c>
      <c r="H879" s="25"/>
      <c r="I879" s="25"/>
      <c r="J879" s="25" t="s">
        <v>300</v>
      </c>
    </row>
    <row r="880" spans="1:10" x14ac:dyDescent="0.25">
      <c r="A880" s="4">
        <v>32749</v>
      </c>
      <c r="B880">
        <v>9736</v>
      </c>
      <c r="C880" s="4">
        <v>10012</v>
      </c>
      <c r="D880" t="s">
        <v>306</v>
      </c>
      <c r="E880" s="4">
        <v>1</v>
      </c>
      <c r="F880" s="25">
        <v>43714.784780092596</v>
      </c>
      <c r="G880">
        <v>0</v>
      </c>
      <c r="H880" s="25"/>
      <c r="I880" s="25"/>
      <c r="J880" s="25" t="s">
        <v>300</v>
      </c>
    </row>
    <row r="881" spans="1:10" x14ac:dyDescent="0.25">
      <c r="A881" s="4">
        <v>32595</v>
      </c>
      <c r="B881">
        <v>2932</v>
      </c>
      <c r="C881" s="4">
        <v>12292</v>
      </c>
      <c r="D881" t="s">
        <v>306</v>
      </c>
      <c r="E881" s="4">
        <v>0</v>
      </c>
      <c r="F881" s="25">
        <v>43714.784201388888</v>
      </c>
      <c r="G881">
        <v>0</v>
      </c>
      <c r="H881" s="25"/>
      <c r="I881" s="25"/>
      <c r="J881" s="25" t="s">
        <v>300</v>
      </c>
    </row>
    <row r="882" spans="1:10" x14ac:dyDescent="0.25">
      <c r="A882" s="4">
        <v>80</v>
      </c>
      <c r="B882">
        <v>5292</v>
      </c>
      <c r="C882" s="4">
        <v>10012</v>
      </c>
      <c r="D882" t="s">
        <v>7</v>
      </c>
      <c r="E882" s="4">
        <v>0</v>
      </c>
      <c r="F882" s="25">
        <v>43714.782048611109</v>
      </c>
      <c r="G882">
        <v>0</v>
      </c>
      <c r="H882" s="25"/>
      <c r="I882" s="25" t="s">
        <v>335</v>
      </c>
      <c r="J882" s="25" t="s">
        <v>300</v>
      </c>
    </row>
    <row r="883" spans="1:10" x14ac:dyDescent="0.25">
      <c r="A883" s="4">
        <v>80</v>
      </c>
      <c r="B883">
        <v>7116</v>
      </c>
      <c r="C883" s="4">
        <v>10012</v>
      </c>
      <c r="D883" t="s">
        <v>7</v>
      </c>
      <c r="E883" s="4">
        <v>0</v>
      </c>
      <c r="F883" s="25">
        <v>43714.77884259259</v>
      </c>
      <c r="G883">
        <v>0</v>
      </c>
      <c r="H883" s="25"/>
      <c r="I883" s="25" t="s">
        <v>341</v>
      </c>
      <c r="J883" s="25" t="s">
        <v>300</v>
      </c>
    </row>
    <row r="884" spans="1:10" x14ac:dyDescent="0.25">
      <c r="A884" s="4">
        <v>80</v>
      </c>
      <c r="B884">
        <v>10680</v>
      </c>
      <c r="C884" s="4">
        <v>10012</v>
      </c>
      <c r="D884" t="s">
        <v>7</v>
      </c>
      <c r="E884" s="4">
        <v>0</v>
      </c>
      <c r="F884" s="25">
        <v>43714.778819444444</v>
      </c>
      <c r="G884">
        <v>0</v>
      </c>
      <c r="H884" s="25"/>
      <c r="I884" s="25" t="s">
        <v>340</v>
      </c>
      <c r="J884" s="25" t="s">
        <v>300</v>
      </c>
    </row>
    <row r="885" spans="1:10" x14ac:dyDescent="0.25">
      <c r="A885" s="4">
        <v>80</v>
      </c>
      <c r="B885">
        <v>11308</v>
      </c>
      <c r="C885" s="4">
        <v>10012</v>
      </c>
      <c r="D885" t="s">
        <v>7</v>
      </c>
      <c r="E885" s="4">
        <v>0</v>
      </c>
      <c r="F885" s="25">
        <v>43714.778807870367</v>
      </c>
      <c r="G885">
        <v>0</v>
      </c>
      <c r="H885" s="25"/>
      <c r="I885" s="25" t="s">
        <v>329</v>
      </c>
      <c r="J885" s="25" t="s">
        <v>300</v>
      </c>
    </row>
    <row r="886" spans="1:10" x14ac:dyDescent="0.25">
      <c r="A886" s="4">
        <v>80</v>
      </c>
      <c r="B886">
        <v>12040</v>
      </c>
      <c r="C886" s="4">
        <v>10012</v>
      </c>
      <c r="D886" t="s">
        <v>7</v>
      </c>
      <c r="E886" s="4">
        <v>0</v>
      </c>
      <c r="F886" s="25">
        <v>43714.778564814813</v>
      </c>
      <c r="G886">
        <v>0</v>
      </c>
      <c r="H886" s="25"/>
      <c r="I886" s="25" t="s">
        <v>339</v>
      </c>
      <c r="J886" s="25" t="s">
        <v>300</v>
      </c>
    </row>
    <row r="887" spans="1:10" x14ac:dyDescent="0.25">
      <c r="A887" s="4">
        <v>80</v>
      </c>
      <c r="B887">
        <v>15900</v>
      </c>
      <c r="C887" s="4">
        <v>10012</v>
      </c>
      <c r="D887" t="s">
        <v>7</v>
      </c>
      <c r="E887" s="4">
        <v>0</v>
      </c>
      <c r="F887" s="25">
        <v>43714.778344907405</v>
      </c>
      <c r="G887">
        <v>0</v>
      </c>
      <c r="H887" s="25"/>
      <c r="I887" s="25" t="s">
        <v>339</v>
      </c>
      <c r="J887" s="25" t="s">
        <v>300</v>
      </c>
    </row>
    <row r="888" spans="1:10" x14ac:dyDescent="0.25">
      <c r="A888" s="4">
        <v>80</v>
      </c>
      <c r="B888">
        <v>368</v>
      </c>
      <c r="C888" s="4">
        <v>10012</v>
      </c>
      <c r="D888" t="s">
        <v>7</v>
      </c>
      <c r="E888" s="4">
        <v>0</v>
      </c>
      <c r="F888" s="25">
        <v>43714.778090277781</v>
      </c>
      <c r="G888">
        <v>0</v>
      </c>
      <c r="H888" s="25"/>
      <c r="I888" s="25" t="s">
        <v>339</v>
      </c>
      <c r="J888" s="25" t="s">
        <v>304</v>
      </c>
    </row>
    <row r="889" spans="1:10" x14ac:dyDescent="0.25">
      <c r="A889" s="4">
        <v>80</v>
      </c>
      <c r="B889">
        <v>7648</v>
      </c>
      <c r="C889" s="4">
        <v>10012</v>
      </c>
      <c r="D889" t="s">
        <v>7</v>
      </c>
      <c r="E889" s="4">
        <v>0</v>
      </c>
      <c r="F889" s="25">
        <v>43714.773252314815</v>
      </c>
      <c r="G889">
        <v>0</v>
      </c>
      <c r="H889" s="25"/>
      <c r="I889" s="25" t="s">
        <v>335</v>
      </c>
      <c r="J889" s="25" t="s">
        <v>300</v>
      </c>
    </row>
    <row r="890" spans="1:10" x14ac:dyDescent="0.25">
      <c r="A890" s="4">
        <v>80</v>
      </c>
      <c r="B890">
        <v>10012</v>
      </c>
      <c r="C890" s="4">
        <v>10012</v>
      </c>
      <c r="D890" t="s">
        <v>7</v>
      </c>
      <c r="E890" s="4">
        <v>0</v>
      </c>
      <c r="F890" s="25">
        <v>43714.769745370373</v>
      </c>
      <c r="G890">
        <v>1</v>
      </c>
      <c r="H890" s="25" t="s">
        <v>430</v>
      </c>
      <c r="I890" s="25"/>
      <c r="J890" s="25" t="s">
        <v>429</v>
      </c>
    </row>
    <row r="891" spans="1:10" x14ac:dyDescent="0.25">
      <c r="A891" s="4">
        <v>25088</v>
      </c>
      <c r="B891">
        <v>13656</v>
      </c>
      <c r="C891" s="4">
        <v>12292</v>
      </c>
      <c r="D891" t="s">
        <v>306</v>
      </c>
      <c r="E891" s="4">
        <v>0</v>
      </c>
      <c r="F891" s="25">
        <v>43714.757592592592</v>
      </c>
      <c r="G891">
        <v>0</v>
      </c>
      <c r="H891" s="25"/>
      <c r="I891" s="25"/>
      <c r="J891" s="25" t="s">
        <v>300</v>
      </c>
    </row>
    <row r="892" spans="1:10" x14ac:dyDescent="0.25">
      <c r="A892" s="4">
        <v>7937</v>
      </c>
      <c r="B892">
        <v>7324</v>
      </c>
      <c r="C892" s="4">
        <v>14360</v>
      </c>
      <c r="D892" t="s">
        <v>306</v>
      </c>
      <c r="E892" s="4">
        <v>47</v>
      </c>
      <c r="F892" s="25">
        <v>43714.001736111109</v>
      </c>
      <c r="G892">
        <v>0</v>
      </c>
      <c r="H892" s="25"/>
      <c r="I892" s="25"/>
      <c r="J892" s="25" t="s">
        <v>300</v>
      </c>
    </row>
    <row r="893" spans="1:10" x14ac:dyDescent="0.25">
      <c r="A893" s="4">
        <v>7937</v>
      </c>
      <c r="B893">
        <v>7324</v>
      </c>
      <c r="C893" s="4">
        <v>14360</v>
      </c>
      <c r="D893" t="s">
        <v>306</v>
      </c>
      <c r="E893" s="4">
        <v>48</v>
      </c>
      <c r="F893" s="25">
        <v>43714.001736111109</v>
      </c>
      <c r="G893">
        <v>0</v>
      </c>
      <c r="H893" s="25"/>
      <c r="I893" s="25"/>
      <c r="J893" s="25" t="s">
        <v>300</v>
      </c>
    </row>
    <row r="894" spans="1:10" x14ac:dyDescent="0.25">
      <c r="A894" s="4">
        <v>7937</v>
      </c>
      <c r="B894">
        <v>7324</v>
      </c>
      <c r="C894" s="4">
        <v>14360</v>
      </c>
      <c r="D894" t="s">
        <v>306</v>
      </c>
      <c r="E894" s="4">
        <v>46</v>
      </c>
      <c r="F894" s="25">
        <v>43714.00172453704</v>
      </c>
      <c r="G894">
        <v>0</v>
      </c>
      <c r="H894" s="25"/>
      <c r="I894" s="25"/>
      <c r="J894" s="25" t="s">
        <v>300</v>
      </c>
    </row>
    <row r="895" spans="1:10" x14ac:dyDescent="0.25">
      <c r="A895" s="4">
        <v>7937</v>
      </c>
      <c r="B895">
        <v>7324</v>
      </c>
      <c r="C895" s="4">
        <v>14360</v>
      </c>
      <c r="D895" t="s">
        <v>306</v>
      </c>
      <c r="E895" s="4">
        <v>45</v>
      </c>
      <c r="F895" s="25">
        <v>43714.001712962963</v>
      </c>
      <c r="G895">
        <v>0</v>
      </c>
      <c r="H895" s="25"/>
      <c r="I895" s="25"/>
      <c r="J895" s="25" t="s">
        <v>300</v>
      </c>
    </row>
    <row r="896" spans="1:10" x14ac:dyDescent="0.25">
      <c r="A896" s="4">
        <v>7937</v>
      </c>
      <c r="B896">
        <v>7324</v>
      </c>
      <c r="C896" s="4">
        <v>14360</v>
      </c>
      <c r="D896" t="s">
        <v>306</v>
      </c>
      <c r="E896" s="4">
        <v>43</v>
      </c>
      <c r="F896" s="25">
        <v>43714.001701388886</v>
      </c>
      <c r="G896">
        <v>0</v>
      </c>
      <c r="H896" s="25"/>
      <c r="I896" s="25"/>
      <c r="J896" s="25" t="s">
        <v>300</v>
      </c>
    </row>
    <row r="897" spans="1:10" x14ac:dyDescent="0.25">
      <c r="A897" s="4">
        <v>7937</v>
      </c>
      <c r="B897">
        <v>7324</v>
      </c>
      <c r="C897" s="4">
        <v>14360</v>
      </c>
      <c r="D897" t="s">
        <v>306</v>
      </c>
      <c r="E897" s="4">
        <v>44</v>
      </c>
      <c r="F897" s="25">
        <v>43714.001701388886</v>
      </c>
      <c r="G897">
        <v>0</v>
      </c>
      <c r="H897" s="25"/>
      <c r="I897" s="25"/>
      <c r="J897" s="25" t="s">
        <v>300</v>
      </c>
    </row>
    <row r="898" spans="1:10" x14ac:dyDescent="0.25">
      <c r="A898" s="4">
        <v>7937</v>
      </c>
      <c r="B898">
        <v>7324</v>
      </c>
      <c r="C898" s="4">
        <v>14360</v>
      </c>
      <c r="D898" t="s">
        <v>306</v>
      </c>
      <c r="E898" s="4">
        <v>42</v>
      </c>
      <c r="F898" s="25">
        <v>43714.001689814817</v>
      </c>
      <c r="G898">
        <v>0</v>
      </c>
      <c r="H898" s="25"/>
      <c r="I898" s="25"/>
      <c r="J898" s="25" t="s">
        <v>300</v>
      </c>
    </row>
    <row r="899" spans="1:10" x14ac:dyDescent="0.25">
      <c r="A899" s="4">
        <v>7937</v>
      </c>
      <c r="B899">
        <v>7324</v>
      </c>
      <c r="C899" s="4">
        <v>14360</v>
      </c>
      <c r="D899" t="s">
        <v>306</v>
      </c>
      <c r="E899" s="4">
        <v>41</v>
      </c>
      <c r="F899" s="25">
        <v>43714.00167824074</v>
      </c>
      <c r="G899">
        <v>0</v>
      </c>
      <c r="H899" s="25"/>
      <c r="I899" s="25"/>
      <c r="J899" s="25" t="s">
        <v>300</v>
      </c>
    </row>
    <row r="900" spans="1:10" x14ac:dyDescent="0.25">
      <c r="A900" s="4">
        <v>7937</v>
      </c>
      <c r="B900">
        <v>7324</v>
      </c>
      <c r="C900" s="4">
        <v>14360</v>
      </c>
      <c r="D900" t="s">
        <v>306</v>
      </c>
      <c r="E900" s="4">
        <v>39</v>
      </c>
      <c r="F900" s="25">
        <v>43714.001666666663</v>
      </c>
      <c r="G900">
        <v>0</v>
      </c>
      <c r="H900" s="25"/>
      <c r="I900" s="25"/>
      <c r="J900" s="25" t="s">
        <v>300</v>
      </c>
    </row>
    <row r="901" spans="1:10" x14ac:dyDescent="0.25">
      <c r="A901" s="4">
        <v>7937</v>
      </c>
      <c r="B901">
        <v>7324</v>
      </c>
      <c r="C901" s="4">
        <v>14360</v>
      </c>
      <c r="D901" t="s">
        <v>306</v>
      </c>
      <c r="E901" s="4">
        <v>40</v>
      </c>
      <c r="F901" s="25">
        <v>43714.001666666663</v>
      </c>
      <c r="G901">
        <v>0</v>
      </c>
      <c r="H901" s="25"/>
      <c r="I901" s="25"/>
      <c r="J901" s="25" t="s">
        <v>300</v>
      </c>
    </row>
    <row r="902" spans="1:10" x14ac:dyDescent="0.25">
      <c r="A902" s="4">
        <v>7937</v>
      </c>
      <c r="B902">
        <v>7324</v>
      </c>
      <c r="C902" s="4">
        <v>14360</v>
      </c>
      <c r="D902" t="s">
        <v>306</v>
      </c>
      <c r="E902" s="4">
        <v>38</v>
      </c>
      <c r="F902" s="25">
        <v>43714.001655092594</v>
      </c>
      <c r="G902">
        <v>0</v>
      </c>
      <c r="H902" s="25"/>
      <c r="I902" s="25"/>
      <c r="J902" s="25" t="s">
        <v>300</v>
      </c>
    </row>
    <row r="903" spans="1:10" x14ac:dyDescent="0.25">
      <c r="A903" s="4">
        <v>7937</v>
      </c>
      <c r="B903">
        <v>7324</v>
      </c>
      <c r="C903" s="4">
        <v>14360</v>
      </c>
      <c r="D903" t="s">
        <v>306</v>
      </c>
      <c r="E903" s="4">
        <v>37</v>
      </c>
      <c r="F903" s="25">
        <v>43714.001643518517</v>
      </c>
      <c r="G903">
        <v>0</v>
      </c>
      <c r="H903" s="25"/>
      <c r="I903" s="25"/>
      <c r="J903" s="25" t="s">
        <v>300</v>
      </c>
    </row>
    <row r="904" spans="1:10" x14ac:dyDescent="0.25">
      <c r="A904" s="4">
        <v>7937</v>
      </c>
      <c r="B904">
        <v>7324</v>
      </c>
      <c r="C904" s="4">
        <v>14360</v>
      </c>
      <c r="D904" t="s">
        <v>306</v>
      </c>
      <c r="E904" s="4">
        <v>35</v>
      </c>
      <c r="F904" s="25">
        <v>43714.001631944448</v>
      </c>
      <c r="G904">
        <v>0</v>
      </c>
      <c r="H904" s="25"/>
      <c r="I904" s="25"/>
      <c r="J904" s="25" t="s">
        <v>300</v>
      </c>
    </row>
    <row r="905" spans="1:10" x14ac:dyDescent="0.25">
      <c r="A905" s="4">
        <v>7937</v>
      </c>
      <c r="B905">
        <v>7324</v>
      </c>
      <c r="C905" s="4">
        <v>14360</v>
      </c>
      <c r="D905" t="s">
        <v>306</v>
      </c>
      <c r="E905" s="4">
        <v>36</v>
      </c>
      <c r="F905" s="25">
        <v>43714.001631944448</v>
      </c>
      <c r="G905">
        <v>0</v>
      </c>
      <c r="H905" s="25"/>
      <c r="I905" s="25"/>
      <c r="J905" s="25" t="s">
        <v>300</v>
      </c>
    </row>
    <row r="906" spans="1:10" x14ac:dyDescent="0.25">
      <c r="A906" s="4">
        <v>7937</v>
      </c>
      <c r="B906">
        <v>7324</v>
      </c>
      <c r="C906" s="4">
        <v>14360</v>
      </c>
      <c r="D906" t="s">
        <v>306</v>
      </c>
      <c r="E906" s="4">
        <v>34</v>
      </c>
      <c r="F906" s="25">
        <v>43714.001620370371</v>
      </c>
      <c r="G906">
        <v>0</v>
      </c>
      <c r="H906" s="25"/>
      <c r="I906" s="25"/>
      <c r="J906" s="25" t="s">
        <v>300</v>
      </c>
    </row>
    <row r="907" spans="1:10" x14ac:dyDescent="0.25">
      <c r="A907" s="4">
        <v>7937</v>
      </c>
      <c r="B907">
        <v>7324</v>
      </c>
      <c r="C907" s="4">
        <v>14360</v>
      </c>
      <c r="D907" t="s">
        <v>306</v>
      </c>
      <c r="E907" s="4">
        <v>33</v>
      </c>
      <c r="F907" s="25">
        <v>43714.001608796294</v>
      </c>
      <c r="G907">
        <v>0</v>
      </c>
      <c r="H907" s="25"/>
      <c r="I907" s="25"/>
      <c r="J907" s="25" t="s">
        <v>300</v>
      </c>
    </row>
    <row r="908" spans="1:10" x14ac:dyDescent="0.25">
      <c r="A908" s="4">
        <v>7937</v>
      </c>
      <c r="B908">
        <v>7324</v>
      </c>
      <c r="C908" s="4">
        <v>14360</v>
      </c>
      <c r="D908" t="s">
        <v>306</v>
      </c>
      <c r="E908" s="4">
        <v>31</v>
      </c>
      <c r="F908" s="25">
        <v>43714.001597222225</v>
      </c>
      <c r="G908">
        <v>0</v>
      </c>
      <c r="H908" s="25"/>
      <c r="I908" s="25"/>
      <c r="J908" s="25" t="s">
        <v>300</v>
      </c>
    </row>
    <row r="909" spans="1:10" x14ac:dyDescent="0.25">
      <c r="A909" s="4">
        <v>7937</v>
      </c>
      <c r="B909">
        <v>7324</v>
      </c>
      <c r="C909" s="4">
        <v>14360</v>
      </c>
      <c r="D909" t="s">
        <v>306</v>
      </c>
      <c r="E909" s="4">
        <v>32</v>
      </c>
      <c r="F909" s="25">
        <v>43714.001597222225</v>
      </c>
      <c r="G909">
        <v>0</v>
      </c>
      <c r="H909" s="25"/>
      <c r="I909" s="25"/>
      <c r="J909" s="25" t="s">
        <v>300</v>
      </c>
    </row>
    <row r="910" spans="1:10" x14ac:dyDescent="0.25">
      <c r="A910" s="4">
        <v>7937</v>
      </c>
      <c r="B910">
        <v>7324</v>
      </c>
      <c r="C910" s="4">
        <v>14360</v>
      </c>
      <c r="D910" t="s">
        <v>306</v>
      </c>
      <c r="E910" s="4">
        <v>30</v>
      </c>
      <c r="F910" s="25">
        <v>43714.001585648148</v>
      </c>
      <c r="G910">
        <v>0</v>
      </c>
      <c r="H910" s="25"/>
      <c r="I910" s="25"/>
      <c r="J910" s="25" t="s">
        <v>300</v>
      </c>
    </row>
    <row r="911" spans="1:10" x14ac:dyDescent="0.25">
      <c r="A911" s="4">
        <v>7937</v>
      </c>
      <c r="B911">
        <v>7324</v>
      </c>
      <c r="C911" s="4">
        <v>14360</v>
      </c>
      <c r="D911" t="s">
        <v>306</v>
      </c>
      <c r="E911" s="4">
        <v>29</v>
      </c>
      <c r="F911" s="25">
        <v>43714.001574074071</v>
      </c>
      <c r="G911">
        <v>0</v>
      </c>
      <c r="H911" s="25"/>
      <c r="I911" s="25"/>
      <c r="J911" s="25" t="s">
        <v>300</v>
      </c>
    </row>
    <row r="912" spans="1:10" x14ac:dyDescent="0.25">
      <c r="A912" s="4">
        <v>7937</v>
      </c>
      <c r="B912">
        <v>7324</v>
      </c>
      <c r="C912" s="4">
        <v>14360</v>
      </c>
      <c r="D912" t="s">
        <v>306</v>
      </c>
      <c r="E912" s="4">
        <v>27</v>
      </c>
      <c r="F912" s="25">
        <v>43714.001562500001</v>
      </c>
      <c r="G912">
        <v>0</v>
      </c>
      <c r="H912" s="25"/>
      <c r="I912" s="25"/>
      <c r="J912" s="25" t="s">
        <v>300</v>
      </c>
    </row>
    <row r="913" spans="1:10" x14ac:dyDescent="0.25">
      <c r="A913" s="4">
        <v>7937</v>
      </c>
      <c r="B913">
        <v>7324</v>
      </c>
      <c r="C913" s="4">
        <v>14360</v>
      </c>
      <c r="D913" t="s">
        <v>306</v>
      </c>
      <c r="E913" s="4">
        <v>28</v>
      </c>
      <c r="F913" s="25">
        <v>43714.001562500001</v>
      </c>
      <c r="G913">
        <v>0</v>
      </c>
      <c r="H913" s="25"/>
      <c r="I913" s="25"/>
      <c r="J913" s="25" t="s">
        <v>300</v>
      </c>
    </row>
    <row r="914" spans="1:10" x14ac:dyDescent="0.25">
      <c r="A914" s="4">
        <v>7937</v>
      </c>
      <c r="B914">
        <v>7324</v>
      </c>
      <c r="C914" s="4">
        <v>14360</v>
      </c>
      <c r="D914" t="s">
        <v>306</v>
      </c>
      <c r="E914" s="4">
        <v>26</v>
      </c>
      <c r="F914" s="25">
        <v>43714.001550925925</v>
      </c>
      <c r="G914">
        <v>0</v>
      </c>
      <c r="H914" s="25"/>
      <c r="I914" s="25"/>
      <c r="J914" s="25" t="s">
        <v>300</v>
      </c>
    </row>
    <row r="915" spans="1:10" x14ac:dyDescent="0.25">
      <c r="A915" s="4">
        <v>7937</v>
      </c>
      <c r="B915">
        <v>7324</v>
      </c>
      <c r="C915" s="4">
        <v>14360</v>
      </c>
      <c r="D915" t="s">
        <v>306</v>
      </c>
      <c r="E915" s="4">
        <v>25</v>
      </c>
      <c r="F915" s="25">
        <v>43714.001539351855</v>
      </c>
      <c r="G915">
        <v>0</v>
      </c>
      <c r="H915" s="25"/>
      <c r="I915" s="25"/>
      <c r="J915" s="25" t="s">
        <v>300</v>
      </c>
    </row>
    <row r="916" spans="1:10" x14ac:dyDescent="0.25">
      <c r="A916" s="4">
        <v>7937</v>
      </c>
      <c r="B916">
        <v>7324</v>
      </c>
      <c r="C916" s="4">
        <v>14360</v>
      </c>
      <c r="D916" t="s">
        <v>306</v>
      </c>
      <c r="E916" s="4">
        <v>23</v>
      </c>
      <c r="F916" s="25">
        <v>43714.001527777778</v>
      </c>
      <c r="G916">
        <v>0</v>
      </c>
      <c r="H916" s="25"/>
      <c r="I916" s="25"/>
      <c r="J916" s="25" t="s">
        <v>300</v>
      </c>
    </row>
    <row r="917" spans="1:10" x14ac:dyDescent="0.25">
      <c r="A917" s="4">
        <v>7937</v>
      </c>
      <c r="B917">
        <v>7324</v>
      </c>
      <c r="C917" s="4">
        <v>14360</v>
      </c>
      <c r="D917" t="s">
        <v>306</v>
      </c>
      <c r="E917" s="4">
        <v>24</v>
      </c>
      <c r="F917" s="25">
        <v>43714.001527777778</v>
      </c>
      <c r="G917">
        <v>0</v>
      </c>
      <c r="H917" s="25"/>
      <c r="I917" s="25"/>
      <c r="J917" s="25" t="s">
        <v>300</v>
      </c>
    </row>
    <row r="918" spans="1:10" x14ac:dyDescent="0.25">
      <c r="A918" s="4">
        <v>7937</v>
      </c>
      <c r="B918">
        <v>7324</v>
      </c>
      <c r="C918" s="4">
        <v>14360</v>
      </c>
      <c r="D918" t="s">
        <v>306</v>
      </c>
      <c r="E918" s="4">
        <v>22</v>
      </c>
      <c r="F918" s="25">
        <v>43714.001516203702</v>
      </c>
      <c r="G918">
        <v>0</v>
      </c>
      <c r="H918" s="25"/>
      <c r="I918" s="25"/>
      <c r="J918" s="25" t="s">
        <v>300</v>
      </c>
    </row>
    <row r="919" spans="1:10" x14ac:dyDescent="0.25">
      <c r="A919" s="4">
        <v>7937</v>
      </c>
      <c r="B919">
        <v>7324</v>
      </c>
      <c r="C919" s="4">
        <v>14360</v>
      </c>
      <c r="D919" t="s">
        <v>306</v>
      </c>
      <c r="E919" s="4">
        <v>20</v>
      </c>
      <c r="F919" s="25">
        <v>43714.001504629632</v>
      </c>
      <c r="G919">
        <v>0</v>
      </c>
      <c r="H919" s="25"/>
      <c r="I919" s="25"/>
      <c r="J919" s="25" t="s">
        <v>300</v>
      </c>
    </row>
    <row r="920" spans="1:10" x14ac:dyDescent="0.25">
      <c r="A920" s="4">
        <v>7937</v>
      </c>
      <c r="B920">
        <v>7324</v>
      </c>
      <c r="C920" s="4">
        <v>14360</v>
      </c>
      <c r="D920" t="s">
        <v>306</v>
      </c>
      <c r="E920" s="4">
        <v>21</v>
      </c>
      <c r="F920" s="25">
        <v>43714.001504629632</v>
      </c>
      <c r="G920">
        <v>0</v>
      </c>
      <c r="H920" s="25"/>
      <c r="I920" s="25"/>
      <c r="J920" s="25" t="s">
        <v>300</v>
      </c>
    </row>
    <row r="921" spans="1:10" x14ac:dyDescent="0.25">
      <c r="A921" s="4">
        <v>7937</v>
      </c>
      <c r="B921">
        <v>7324</v>
      </c>
      <c r="C921" s="4">
        <v>14360</v>
      </c>
      <c r="D921" t="s">
        <v>306</v>
      </c>
      <c r="E921" s="4">
        <v>19</v>
      </c>
      <c r="F921" s="25">
        <v>43714.001493055555</v>
      </c>
      <c r="G921">
        <v>0</v>
      </c>
      <c r="H921" s="25"/>
      <c r="I921" s="25"/>
      <c r="J921" s="25" t="s">
        <v>300</v>
      </c>
    </row>
    <row r="922" spans="1:10" x14ac:dyDescent="0.25">
      <c r="A922" s="4">
        <v>7937</v>
      </c>
      <c r="B922">
        <v>7324</v>
      </c>
      <c r="C922" s="4">
        <v>14360</v>
      </c>
      <c r="D922" t="s">
        <v>306</v>
      </c>
      <c r="E922" s="4">
        <v>18</v>
      </c>
      <c r="F922" s="25">
        <v>43714.001481481479</v>
      </c>
      <c r="G922">
        <v>0</v>
      </c>
      <c r="H922" s="25"/>
      <c r="I922" s="25"/>
      <c r="J922" s="25" t="s">
        <v>300</v>
      </c>
    </row>
    <row r="923" spans="1:10" x14ac:dyDescent="0.25">
      <c r="A923" s="4">
        <v>7937</v>
      </c>
      <c r="B923">
        <v>7324</v>
      </c>
      <c r="C923" s="4">
        <v>14360</v>
      </c>
      <c r="D923" t="s">
        <v>306</v>
      </c>
      <c r="E923" s="4">
        <v>16</v>
      </c>
      <c r="F923" s="25">
        <v>43714.001469907409</v>
      </c>
      <c r="G923">
        <v>0</v>
      </c>
      <c r="H923" s="25"/>
      <c r="I923" s="25"/>
      <c r="J923" s="25" t="s">
        <v>300</v>
      </c>
    </row>
    <row r="924" spans="1:10" x14ac:dyDescent="0.25">
      <c r="A924" s="4">
        <v>7937</v>
      </c>
      <c r="B924">
        <v>7324</v>
      </c>
      <c r="C924" s="4">
        <v>14360</v>
      </c>
      <c r="D924" t="s">
        <v>306</v>
      </c>
      <c r="E924" s="4">
        <v>17</v>
      </c>
      <c r="F924" s="25">
        <v>43714.001469907409</v>
      </c>
      <c r="G924">
        <v>0</v>
      </c>
      <c r="H924" s="25"/>
      <c r="I924" s="25"/>
      <c r="J924" s="25" t="s">
        <v>300</v>
      </c>
    </row>
    <row r="925" spans="1:10" x14ac:dyDescent="0.25">
      <c r="A925" s="4">
        <v>7937</v>
      </c>
      <c r="B925">
        <v>7324</v>
      </c>
      <c r="C925" s="4">
        <v>14360</v>
      </c>
      <c r="D925" t="s">
        <v>306</v>
      </c>
      <c r="E925" s="4">
        <v>15</v>
      </c>
      <c r="F925" s="25">
        <v>43714.001458333332</v>
      </c>
      <c r="G925">
        <v>0</v>
      </c>
      <c r="H925" s="25"/>
      <c r="I925" s="25"/>
      <c r="J925" s="25" t="s">
        <v>300</v>
      </c>
    </row>
    <row r="926" spans="1:10" x14ac:dyDescent="0.25">
      <c r="A926" s="4">
        <v>7937</v>
      </c>
      <c r="B926">
        <v>7324</v>
      </c>
      <c r="C926" s="4">
        <v>14360</v>
      </c>
      <c r="D926" t="s">
        <v>306</v>
      </c>
      <c r="E926" s="4">
        <v>13</v>
      </c>
      <c r="F926" s="25">
        <v>43714.001446759263</v>
      </c>
      <c r="G926">
        <v>0</v>
      </c>
      <c r="H926" s="25"/>
      <c r="I926" s="25"/>
      <c r="J926" s="25" t="s">
        <v>300</v>
      </c>
    </row>
    <row r="927" spans="1:10" x14ac:dyDescent="0.25">
      <c r="A927" s="4">
        <v>7937</v>
      </c>
      <c r="B927">
        <v>7324</v>
      </c>
      <c r="C927" s="4">
        <v>14360</v>
      </c>
      <c r="D927" t="s">
        <v>306</v>
      </c>
      <c r="E927" s="4">
        <v>14</v>
      </c>
      <c r="F927" s="25">
        <v>43714.001446759263</v>
      </c>
      <c r="G927">
        <v>0</v>
      </c>
      <c r="H927" s="25"/>
      <c r="I927" s="25"/>
      <c r="J927" s="25" t="s">
        <v>300</v>
      </c>
    </row>
    <row r="928" spans="1:10" x14ac:dyDescent="0.25">
      <c r="A928" s="4">
        <v>7937</v>
      </c>
      <c r="B928">
        <v>7324</v>
      </c>
      <c r="C928" s="4">
        <v>14360</v>
      </c>
      <c r="D928" t="s">
        <v>306</v>
      </c>
      <c r="E928" s="4">
        <v>12</v>
      </c>
      <c r="F928" s="25">
        <v>43714.001435185186</v>
      </c>
      <c r="G928">
        <v>0</v>
      </c>
      <c r="H928" s="25"/>
      <c r="I928" s="25"/>
      <c r="J928" s="25" t="s">
        <v>300</v>
      </c>
    </row>
    <row r="929" spans="1:10" x14ac:dyDescent="0.25">
      <c r="A929" s="4">
        <v>7937</v>
      </c>
      <c r="B929">
        <v>7324</v>
      </c>
      <c r="C929" s="4">
        <v>14360</v>
      </c>
      <c r="D929" t="s">
        <v>306</v>
      </c>
      <c r="E929" s="4">
        <v>11</v>
      </c>
      <c r="F929" s="25">
        <v>43714.001423611109</v>
      </c>
      <c r="G929">
        <v>0</v>
      </c>
      <c r="H929" s="25"/>
      <c r="I929" s="25"/>
      <c r="J929" s="25" t="s">
        <v>300</v>
      </c>
    </row>
    <row r="930" spans="1:10" x14ac:dyDescent="0.25">
      <c r="A930" s="4">
        <v>7937</v>
      </c>
      <c r="B930">
        <v>7324</v>
      </c>
      <c r="C930" s="4">
        <v>14360</v>
      </c>
      <c r="D930" t="s">
        <v>306</v>
      </c>
      <c r="E930" s="4">
        <v>9</v>
      </c>
      <c r="F930" s="25">
        <v>43714.00141203704</v>
      </c>
      <c r="G930">
        <v>0</v>
      </c>
      <c r="H930" s="25"/>
      <c r="I930" s="25"/>
      <c r="J930" s="25" t="s">
        <v>300</v>
      </c>
    </row>
    <row r="931" spans="1:10" x14ac:dyDescent="0.25">
      <c r="A931" s="4">
        <v>7937</v>
      </c>
      <c r="B931">
        <v>7324</v>
      </c>
      <c r="C931" s="4">
        <v>14360</v>
      </c>
      <c r="D931" t="s">
        <v>306</v>
      </c>
      <c r="E931" s="4">
        <v>10</v>
      </c>
      <c r="F931" s="25">
        <v>43714.00141203704</v>
      </c>
      <c r="G931">
        <v>0</v>
      </c>
      <c r="H931" s="25"/>
      <c r="I931" s="25"/>
      <c r="J931" s="25" t="s">
        <v>300</v>
      </c>
    </row>
    <row r="932" spans="1:10" x14ac:dyDescent="0.25">
      <c r="A932" s="4">
        <v>7937</v>
      </c>
      <c r="B932">
        <v>7324</v>
      </c>
      <c r="C932" s="4">
        <v>14360</v>
      </c>
      <c r="D932" t="s">
        <v>306</v>
      </c>
      <c r="E932" s="4">
        <v>8</v>
      </c>
      <c r="F932" s="25">
        <v>43714.001400462963</v>
      </c>
      <c r="G932">
        <v>0</v>
      </c>
      <c r="H932" s="25"/>
      <c r="I932" s="25"/>
      <c r="J932" s="25" t="s">
        <v>300</v>
      </c>
    </row>
    <row r="933" spans="1:10" x14ac:dyDescent="0.25">
      <c r="A933" s="4">
        <v>7937</v>
      </c>
      <c r="B933">
        <v>7324</v>
      </c>
      <c r="C933" s="4">
        <v>14360</v>
      </c>
      <c r="D933" t="s">
        <v>306</v>
      </c>
      <c r="E933" s="4">
        <v>6</v>
      </c>
      <c r="F933" s="25">
        <v>43714.001388888886</v>
      </c>
      <c r="G933">
        <v>0</v>
      </c>
      <c r="H933" s="25"/>
      <c r="I933" s="25"/>
      <c r="J933" s="25" t="s">
        <v>300</v>
      </c>
    </row>
    <row r="934" spans="1:10" x14ac:dyDescent="0.25">
      <c r="A934" s="4">
        <v>7937</v>
      </c>
      <c r="B934">
        <v>7324</v>
      </c>
      <c r="C934" s="4">
        <v>14360</v>
      </c>
      <c r="D934" t="s">
        <v>306</v>
      </c>
      <c r="E934" s="4">
        <v>7</v>
      </c>
      <c r="F934" s="25">
        <v>43714.001388888886</v>
      </c>
      <c r="G934">
        <v>0</v>
      </c>
      <c r="H934" s="25"/>
      <c r="I934" s="25"/>
      <c r="J934" s="25" t="s">
        <v>300</v>
      </c>
    </row>
    <row r="935" spans="1:10" x14ac:dyDescent="0.25">
      <c r="A935" s="4">
        <v>7937</v>
      </c>
      <c r="B935">
        <v>7324</v>
      </c>
      <c r="C935" s="4">
        <v>14360</v>
      </c>
      <c r="D935" t="s">
        <v>306</v>
      </c>
      <c r="E935" s="4">
        <v>5</v>
      </c>
      <c r="F935" s="25">
        <v>43714.001377314817</v>
      </c>
      <c r="G935">
        <v>0</v>
      </c>
      <c r="H935" s="25"/>
      <c r="I935" s="25"/>
      <c r="J935" s="25" t="s">
        <v>300</v>
      </c>
    </row>
    <row r="936" spans="1:10" x14ac:dyDescent="0.25">
      <c r="A936" s="4">
        <v>7937</v>
      </c>
      <c r="B936">
        <v>7324</v>
      </c>
      <c r="C936" s="4">
        <v>14360</v>
      </c>
      <c r="D936" t="s">
        <v>306</v>
      </c>
      <c r="E936" s="4">
        <v>3</v>
      </c>
      <c r="F936" s="25">
        <v>43714.00136574074</v>
      </c>
      <c r="G936">
        <v>0</v>
      </c>
      <c r="H936" s="25"/>
      <c r="I936" s="25"/>
      <c r="J936" s="25" t="s">
        <v>300</v>
      </c>
    </row>
    <row r="937" spans="1:10" x14ac:dyDescent="0.25">
      <c r="A937" s="4">
        <v>7937</v>
      </c>
      <c r="B937">
        <v>7324</v>
      </c>
      <c r="C937" s="4">
        <v>14360</v>
      </c>
      <c r="D937" t="s">
        <v>306</v>
      </c>
      <c r="E937" s="4">
        <v>4</v>
      </c>
      <c r="F937" s="25">
        <v>43714.00136574074</v>
      </c>
      <c r="G937">
        <v>0</v>
      </c>
      <c r="H937" s="25"/>
      <c r="I937" s="25"/>
      <c r="J937" s="25" t="s">
        <v>300</v>
      </c>
    </row>
    <row r="938" spans="1:10" x14ac:dyDescent="0.25">
      <c r="A938" s="4">
        <v>7937</v>
      </c>
      <c r="B938">
        <v>7324</v>
      </c>
      <c r="C938" s="4">
        <v>14360</v>
      </c>
      <c r="D938" t="s">
        <v>306</v>
      </c>
      <c r="E938" s="4">
        <v>2</v>
      </c>
      <c r="F938" s="25">
        <v>43714.001354166663</v>
      </c>
      <c r="G938">
        <v>0</v>
      </c>
      <c r="H938" s="25"/>
      <c r="I938" s="25"/>
      <c r="J938" s="25" t="s">
        <v>300</v>
      </c>
    </row>
    <row r="939" spans="1:10" x14ac:dyDescent="0.25">
      <c r="A939" s="4">
        <v>7937</v>
      </c>
      <c r="B939">
        <v>7324</v>
      </c>
      <c r="C939" s="4">
        <v>14360</v>
      </c>
      <c r="D939" t="s">
        <v>306</v>
      </c>
      <c r="E939" s="4">
        <v>1</v>
      </c>
      <c r="F939" s="25">
        <v>43714.001342592594</v>
      </c>
      <c r="G939">
        <v>0</v>
      </c>
      <c r="H939" s="25"/>
      <c r="I939" s="25"/>
      <c r="J939" s="25" t="s">
        <v>300</v>
      </c>
    </row>
    <row r="940" spans="1:10" x14ac:dyDescent="0.25">
      <c r="A940" s="4">
        <v>7937</v>
      </c>
      <c r="B940">
        <v>7324</v>
      </c>
      <c r="C940" s="4">
        <v>14360</v>
      </c>
      <c r="D940" t="s">
        <v>306</v>
      </c>
      <c r="E940" s="4">
        <v>0</v>
      </c>
      <c r="F940" s="25">
        <v>43714.001331018517</v>
      </c>
      <c r="G940">
        <v>0</v>
      </c>
      <c r="H940" s="25"/>
      <c r="I940" s="25"/>
      <c r="J940" s="25" t="s">
        <v>300</v>
      </c>
    </row>
    <row r="941" spans="1:10" x14ac:dyDescent="0.25">
      <c r="A941" s="4">
        <v>30131</v>
      </c>
      <c r="B941">
        <v>2568</v>
      </c>
      <c r="C941" s="4">
        <v>12292</v>
      </c>
      <c r="D941" t="s">
        <v>306</v>
      </c>
      <c r="E941" s="4">
        <v>7</v>
      </c>
      <c r="F941" s="25">
        <v>43714.000023148146</v>
      </c>
      <c r="G941">
        <v>0</v>
      </c>
      <c r="H941" s="25"/>
      <c r="I941" s="25"/>
      <c r="J941" s="25" t="s">
        <v>300</v>
      </c>
    </row>
    <row r="942" spans="1:10" x14ac:dyDescent="0.25">
      <c r="A942" s="4">
        <v>80</v>
      </c>
      <c r="B942">
        <v>1708</v>
      </c>
      <c r="C942" s="4">
        <v>14360</v>
      </c>
      <c r="D942" t="s">
        <v>7</v>
      </c>
      <c r="E942" s="4">
        <v>0</v>
      </c>
      <c r="F942" s="25">
        <v>43713.998564814814</v>
      </c>
      <c r="G942">
        <v>0</v>
      </c>
      <c r="H942" s="25"/>
      <c r="I942" s="25" t="s">
        <v>335</v>
      </c>
      <c r="J942" s="25" t="s">
        <v>300</v>
      </c>
    </row>
    <row r="943" spans="1:10" x14ac:dyDescent="0.25">
      <c r="A943" s="4">
        <v>80</v>
      </c>
      <c r="B943">
        <v>14360</v>
      </c>
      <c r="C943" s="4">
        <v>14360</v>
      </c>
      <c r="D943" t="s">
        <v>7</v>
      </c>
      <c r="E943" s="4">
        <v>0</v>
      </c>
      <c r="F943" s="25">
        <v>43713.991956018515</v>
      </c>
      <c r="G943">
        <v>1</v>
      </c>
      <c r="H943" s="25" t="s">
        <v>413</v>
      </c>
      <c r="I943" s="25"/>
      <c r="J943" s="25" t="s">
        <v>315</v>
      </c>
    </row>
    <row r="944" spans="1:10" x14ac:dyDescent="0.25">
      <c r="A944" s="4">
        <v>61</v>
      </c>
      <c r="B944">
        <v>14536</v>
      </c>
      <c r="C944" s="4">
        <v>12292</v>
      </c>
      <c r="D944" t="s">
        <v>7</v>
      </c>
      <c r="E944" s="4">
        <v>0</v>
      </c>
      <c r="F944" s="25">
        <v>43713.975752314815</v>
      </c>
      <c r="G944">
        <v>0</v>
      </c>
      <c r="H944" s="25"/>
      <c r="I944" s="25" t="s">
        <v>344</v>
      </c>
      <c r="J944" s="25" t="s">
        <v>300</v>
      </c>
    </row>
    <row r="945" spans="1:10" x14ac:dyDescent="0.25">
      <c r="A945" s="4">
        <v>61</v>
      </c>
      <c r="B945">
        <v>11260</v>
      </c>
      <c r="C945" s="4">
        <v>12292</v>
      </c>
      <c r="D945" t="s">
        <v>7</v>
      </c>
      <c r="E945" s="4">
        <v>0</v>
      </c>
      <c r="F945" s="25">
        <v>43713.973379629628</v>
      </c>
      <c r="G945">
        <v>0</v>
      </c>
      <c r="H945" s="25"/>
      <c r="I945" s="25" t="s">
        <v>344</v>
      </c>
      <c r="J945" s="25" t="s">
        <v>300</v>
      </c>
    </row>
    <row r="946" spans="1:10" x14ac:dyDescent="0.25">
      <c r="A946" s="4">
        <v>29508</v>
      </c>
      <c r="B946">
        <v>7348</v>
      </c>
      <c r="C946" s="4">
        <v>12292</v>
      </c>
      <c r="D946" t="s">
        <v>306</v>
      </c>
      <c r="E946" s="4">
        <v>48</v>
      </c>
      <c r="F946" s="25">
        <v>43713.961527777778</v>
      </c>
      <c r="G946">
        <v>0</v>
      </c>
      <c r="H946" s="25"/>
      <c r="I946" s="25"/>
      <c r="J946" s="25" t="s">
        <v>300</v>
      </c>
    </row>
    <row r="947" spans="1:10" x14ac:dyDescent="0.25">
      <c r="A947" s="4">
        <v>29508</v>
      </c>
      <c r="B947">
        <v>7348</v>
      </c>
      <c r="C947" s="4">
        <v>12292</v>
      </c>
      <c r="D947" t="s">
        <v>306</v>
      </c>
      <c r="E947" s="4">
        <v>47</v>
      </c>
      <c r="F947" s="25">
        <v>43713.961516203701</v>
      </c>
      <c r="G947">
        <v>0</v>
      </c>
      <c r="H947" s="25"/>
      <c r="I947" s="25"/>
      <c r="J947" s="25" t="s">
        <v>300</v>
      </c>
    </row>
    <row r="948" spans="1:10" x14ac:dyDescent="0.25">
      <c r="A948" s="4">
        <v>29508</v>
      </c>
      <c r="B948">
        <v>7348</v>
      </c>
      <c r="C948" s="4">
        <v>12292</v>
      </c>
      <c r="D948" t="s">
        <v>306</v>
      </c>
      <c r="E948" s="4">
        <v>46</v>
      </c>
      <c r="F948" s="25">
        <v>43713.961504629631</v>
      </c>
      <c r="G948">
        <v>0</v>
      </c>
      <c r="H948" s="25"/>
      <c r="I948" s="25"/>
      <c r="J948" s="25" t="s">
        <v>300</v>
      </c>
    </row>
    <row r="949" spans="1:10" x14ac:dyDescent="0.25">
      <c r="A949" s="4">
        <v>29508</v>
      </c>
      <c r="B949">
        <v>7348</v>
      </c>
      <c r="C949" s="4">
        <v>12292</v>
      </c>
      <c r="D949" t="s">
        <v>306</v>
      </c>
      <c r="E949" s="4">
        <v>44</v>
      </c>
      <c r="F949" s="25">
        <v>43713.961493055554</v>
      </c>
      <c r="G949">
        <v>0</v>
      </c>
      <c r="H949" s="25"/>
      <c r="I949" s="25"/>
      <c r="J949" s="25" t="s">
        <v>300</v>
      </c>
    </row>
    <row r="950" spans="1:10" x14ac:dyDescent="0.25">
      <c r="A950" s="4">
        <v>29508</v>
      </c>
      <c r="B950">
        <v>7348</v>
      </c>
      <c r="C950" s="4">
        <v>12292</v>
      </c>
      <c r="D950" t="s">
        <v>306</v>
      </c>
      <c r="E950" s="4">
        <v>45</v>
      </c>
      <c r="F950" s="25">
        <v>43713.961493055554</v>
      </c>
      <c r="G950">
        <v>0</v>
      </c>
      <c r="H950" s="25"/>
      <c r="I950" s="25"/>
      <c r="J950" s="25" t="s">
        <v>300</v>
      </c>
    </row>
    <row r="951" spans="1:10" x14ac:dyDescent="0.25">
      <c r="A951" s="4">
        <v>29508</v>
      </c>
      <c r="B951">
        <v>7348</v>
      </c>
      <c r="C951" s="4">
        <v>12292</v>
      </c>
      <c r="D951" t="s">
        <v>306</v>
      </c>
      <c r="E951" s="4">
        <v>43</v>
      </c>
      <c r="F951" s="25">
        <v>43713.961481481485</v>
      </c>
      <c r="G951">
        <v>0</v>
      </c>
      <c r="H951" s="25"/>
      <c r="I951" s="25"/>
      <c r="J951" s="25" t="s">
        <v>300</v>
      </c>
    </row>
    <row r="952" spans="1:10" x14ac:dyDescent="0.25">
      <c r="A952" s="4">
        <v>29508</v>
      </c>
      <c r="B952">
        <v>7348</v>
      </c>
      <c r="C952" s="4">
        <v>12292</v>
      </c>
      <c r="D952" t="s">
        <v>306</v>
      </c>
      <c r="E952" s="4">
        <v>42</v>
      </c>
      <c r="F952" s="25">
        <v>43713.961469907408</v>
      </c>
      <c r="G952">
        <v>0</v>
      </c>
      <c r="H952" s="25"/>
      <c r="I952" s="25"/>
      <c r="J952" s="25" t="s">
        <v>300</v>
      </c>
    </row>
    <row r="953" spans="1:10" x14ac:dyDescent="0.25">
      <c r="A953" s="4">
        <v>29508</v>
      </c>
      <c r="B953">
        <v>7348</v>
      </c>
      <c r="C953" s="4">
        <v>12292</v>
      </c>
      <c r="D953" t="s">
        <v>306</v>
      </c>
      <c r="E953" s="4">
        <v>40</v>
      </c>
      <c r="F953" s="25">
        <v>43713.961458333331</v>
      </c>
      <c r="G953">
        <v>0</v>
      </c>
      <c r="H953" s="25"/>
      <c r="I953" s="25"/>
      <c r="J953" s="25" t="s">
        <v>300</v>
      </c>
    </row>
    <row r="954" spans="1:10" x14ac:dyDescent="0.25">
      <c r="A954" s="4">
        <v>29508</v>
      </c>
      <c r="B954">
        <v>7348</v>
      </c>
      <c r="C954" s="4">
        <v>12292</v>
      </c>
      <c r="D954" t="s">
        <v>306</v>
      </c>
      <c r="E954" s="4">
        <v>41</v>
      </c>
      <c r="F954" s="25">
        <v>43713.961458333331</v>
      </c>
      <c r="G954">
        <v>0</v>
      </c>
      <c r="H954" s="25"/>
      <c r="I954" s="25"/>
      <c r="J954" s="25" t="s">
        <v>300</v>
      </c>
    </row>
    <row r="955" spans="1:10" x14ac:dyDescent="0.25">
      <c r="A955" s="4">
        <v>29508</v>
      </c>
      <c r="B955">
        <v>7348</v>
      </c>
      <c r="C955" s="4">
        <v>12292</v>
      </c>
      <c r="D955" t="s">
        <v>306</v>
      </c>
      <c r="E955" s="4">
        <v>39</v>
      </c>
      <c r="F955" s="25">
        <v>43713.961446759262</v>
      </c>
      <c r="G955">
        <v>0</v>
      </c>
      <c r="H955" s="25"/>
      <c r="I955" s="25"/>
      <c r="J955" s="25" t="s">
        <v>300</v>
      </c>
    </row>
    <row r="956" spans="1:10" x14ac:dyDescent="0.25">
      <c r="A956" s="4">
        <v>29508</v>
      </c>
      <c r="B956">
        <v>7348</v>
      </c>
      <c r="C956" s="4">
        <v>12292</v>
      </c>
      <c r="D956" t="s">
        <v>306</v>
      </c>
      <c r="E956" s="4">
        <v>37</v>
      </c>
      <c r="F956" s="25">
        <v>43713.961435185185</v>
      </c>
      <c r="G956">
        <v>0</v>
      </c>
      <c r="H956" s="25"/>
      <c r="I956" s="25"/>
      <c r="J956" s="25" t="s">
        <v>300</v>
      </c>
    </row>
    <row r="957" spans="1:10" x14ac:dyDescent="0.25">
      <c r="A957" s="4">
        <v>29508</v>
      </c>
      <c r="B957">
        <v>7348</v>
      </c>
      <c r="C957" s="4">
        <v>12292</v>
      </c>
      <c r="D957" t="s">
        <v>306</v>
      </c>
      <c r="E957" s="4">
        <v>38</v>
      </c>
      <c r="F957" s="25">
        <v>43713.961435185185</v>
      </c>
      <c r="G957">
        <v>0</v>
      </c>
      <c r="H957" s="25"/>
      <c r="I957" s="25"/>
      <c r="J957" s="25" t="s">
        <v>300</v>
      </c>
    </row>
    <row r="958" spans="1:10" x14ac:dyDescent="0.25">
      <c r="A958" s="4">
        <v>29508</v>
      </c>
      <c r="B958">
        <v>7348</v>
      </c>
      <c r="C958" s="4">
        <v>12292</v>
      </c>
      <c r="D958" t="s">
        <v>306</v>
      </c>
      <c r="E958" s="4">
        <v>36</v>
      </c>
      <c r="F958" s="25">
        <v>43713.961423611108</v>
      </c>
      <c r="G958">
        <v>0</v>
      </c>
      <c r="H958" s="25"/>
      <c r="I958" s="25"/>
      <c r="J958" s="25" t="s">
        <v>300</v>
      </c>
    </row>
    <row r="959" spans="1:10" x14ac:dyDescent="0.25">
      <c r="A959" s="4">
        <v>29508</v>
      </c>
      <c r="B959">
        <v>7348</v>
      </c>
      <c r="C959" s="4">
        <v>12292</v>
      </c>
      <c r="D959" t="s">
        <v>306</v>
      </c>
      <c r="E959" s="4">
        <v>34</v>
      </c>
      <c r="F959" s="25">
        <v>43713.961412037039</v>
      </c>
      <c r="G959">
        <v>0</v>
      </c>
      <c r="H959" s="25"/>
      <c r="I959" s="25"/>
      <c r="J959" s="25" t="s">
        <v>300</v>
      </c>
    </row>
    <row r="960" spans="1:10" x14ac:dyDescent="0.25">
      <c r="A960" s="4">
        <v>29508</v>
      </c>
      <c r="B960">
        <v>7348</v>
      </c>
      <c r="C960" s="4">
        <v>12292</v>
      </c>
      <c r="D960" t="s">
        <v>306</v>
      </c>
      <c r="E960" s="4">
        <v>35</v>
      </c>
      <c r="F960" s="25">
        <v>43713.961412037039</v>
      </c>
      <c r="G960">
        <v>0</v>
      </c>
      <c r="H960" s="25"/>
      <c r="I960" s="25"/>
      <c r="J960" s="25" t="s">
        <v>300</v>
      </c>
    </row>
    <row r="961" spans="1:10" x14ac:dyDescent="0.25">
      <c r="A961" s="4">
        <v>29508</v>
      </c>
      <c r="B961">
        <v>7348</v>
      </c>
      <c r="C961" s="4">
        <v>12292</v>
      </c>
      <c r="D961" t="s">
        <v>306</v>
      </c>
      <c r="E961" s="4">
        <v>33</v>
      </c>
      <c r="F961" s="25">
        <v>43713.961400462962</v>
      </c>
      <c r="G961">
        <v>0</v>
      </c>
      <c r="H961" s="25"/>
      <c r="I961" s="25"/>
      <c r="J961" s="25" t="s">
        <v>300</v>
      </c>
    </row>
    <row r="962" spans="1:10" x14ac:dyDescent="0.25">
      <c r="A962" s="4">
        <v>29508</v>
      </c>
      <c r="B962">
        <v>7348</v>
      </c>
      <c r="C962" s="4">
        <v>12292</v>
      </c>
      <c r="D962" t="s">
        <v>306</v>
      </c>
      <c r="E962" s="4">
        <v>32</v>
      </c>
      <c r="F962" s="25">
        <v>43713.961388888885</v>
      </c>
      <c r="G962">
        <v>0</v>
      </c>
      <c r="H962" s="25"/>
      <c r="I962" s="25"/>
      <c r="J962" s="25" t="s">
        <v>300</v>
      </c>
    </row>
    <row r="963" spans="1:10" x14ac:dyDescent="0.25">
      <c r="A963" s="4">
        <v>29508</v>
      </c>
      <c r="B963">
        <v>7348</v>
      </c>
      <c r="C963" s="4">
        <v>12292</v>
      </c>
      <c r="D963" t="s">
        <v>306</v>
      </c>
      <c r="E963" s="4">
        <v>30</v>
      </c>
      <c r="F963" s="25">
        <v>43713.961377314816</v>
      </c>
      <c r="G963">
        <v>0</v>
      </c>
      <c r="H963" s="25"/>
      <c r="I963" s="25"/>
      <c r="J963" s="25" t="s">
        <v>300</v>
      </c>
    </row>
    <row r="964" spans="1:10" x14ac:dyDescent="0.25">
      <c r="A964" s="4">
        <v>29508</v>
      </c>
      <c r="B964">
        <v>7348</v>
      </c>
      <c r="C964" s="4">
        <v>12292</v>
      </c>
      <c r="D964" t="s">
        <v>306</v>
      </c>
      <c r="E964" s="4">
        <v>31</v>
      </c>
      <c r="F964" s="25">
        <v>43713.961377314816</v>
      </c>
      <c r="G964">
        <v>0</v>
      </c>
      <c r="H964" s="25"/>
      <c r="I964" s="25"/>
      <c r="J964" s="25" t="s">
        <v>300</v>
      </c>
    </row>
    <row r="965" spans="1:10" x14ac:dyDescent="0.25">
      <c r="A965" s="4">
        <v>29508</v>
      </c>
      <c r="B965">
        <v>7348</v>
      </c>
      <c r="C965" s="4">
        <v>12292</v>
      </c>
      <c r="D965" t="s">
        <v>306</v>
      </c>
      <c r="E965" s="4">
        <v>29</v>
      </c>
      <c r="F965" s="25">
        <v>43713.961365740739</v>
      </c>
      <c r="G965">
        <v>0</v>
      </c>
      <c r="H965" s="25"/>
      <c r="I965" s="25"/>
      <c r="J965" s="25" t="s">
        <v>300</v>
      </c>
    </row>
    <row r="966" spans="1:10" x14ac:dyDescent="0.25">
      <c r="A966" s="4">
        <v>29508</v>
      </c>
      <c r="B966">
        <v>7348</v>
      </c>
      <c r="C966" s="4">
        <v>12292</v>
      </c>
      <c r="D966" t="s">
        <v>306</v>
      </c>
      <c r="E966" s="4">
        <v>27</v>
      </c>
      <c r="F966" s="25">
        <v>43713.961354166669</v>
      </c>
      <c r="G966">
        <v>0</v>
      </c>
      <c r="H966" s="25"/>
      <c r="I966" s="25"/>
      <c r="J966" s="25" t="s">
        <v>300</v>
      </c>
    </row>
    <row r="967" spans="1:10" x14ac:dyDescent="0.25">
      <c r="A967" s="4">
        <v>29508</v>
      </c>
      <c r="B967">
        <v>7348</v>
      </c>
      <c r="C967" s="4">
        <v>12292</v>
      </c>
      <c r="D967" t="s">
        <v>306</v>
      </c>
      <c r="E967" s="4">
        <v>28</v>
      </c>
      <c r="F967" s="25">
        <v>43713.961354166669</v>
      </c>
      <c r="G967">
        <v>0</v>
      </c>
      <c r="H967" s="25"/>
      <c r="I967" s="25"/>
      <c r="J967" s="25" t="s">
        <v>300</v>
      </c>
    </row>
    <row r="968" spans="1:10" x14ac:dyDescent="0.25">
      <c r="A968" s="4">
        <v>29508</v>
      </c>
      <c r="B968">
        <v>7348</v>
      </c>
      <c r="C968" s="4">
        <v>12292</v>
      </c>
      <c r="D968" t="s">
        <v>306</v>
      </c>
      <c r="E968" s="4">
        <v>26</v>
      </c>
      <c r="F968" s="25">
        <v>43713.961342592593</v>
      </c>
      <c r="G968">
        <v>0</v>
      </c>
      <c r="H968" s="25"/>
      <c r="I968" s="25"/>
      <c r="J968" s="25" t="s">
        <v>300</v>
      </c>
    </row>
    <row r="969" spans="1:10" x14ac:dyDescent="0.25">
      <c r="A969" s="4">
        <v>29508</v>
      </c>
      <c r="B969">
        <v>7348</v>
      </c>
      <c r="C969" s="4">
        <v>12292</v>
      </c>
      <c r="D969" t="s">
        <v>306</v>
      </c>
      <c r="E969" s="4">
        <v>24</v>
      </c>
      <c r="F969" s="25">
        <v>43713.961331018516</v>
      </c>
      <c r="G969">
        <v>0</v>
      </c>
      <c r="H969" s="25"/>
      <c r="I969" s="25"/>
      <c r="J969" s="25" t="s">
        <v>300</v>
      </c>
    </row>
    <row r="970" spans="1:10" x14ac:dyDescent="0.25">
      <c r="A970" s="4">
        <v>29508</v>
      </c>
      <c r="B970">
        <v>7348</v>
      </c>
      <c r="C970" s="4">
        <v>12292</v>
      </c>
      <c r="D970" t="s">
        <v>306</v>
      </c>
      <c r="E970" s="4">
        <v>25</v>
      </c>
      <c r="F970" s="25">
        <v>43713.961331018516</v>
      </c>
      <c r="G970">
        <v>0</v>
      </c>
      <c r="H970" s="25"/>
      <c r="I970" s="25"/>
      <c r="J970" s="25" t="s">
        <v>300</v>
      </c>
    </row>
    <row r="971" spans="1:10" x14ac:dyDescent="0.25">
      <c r="A971" s="4">
        <v>29508</v>
      </c>
      <c r="B971">
        <v>7348</v>
      </c>
      <c r="C971" s="4">
        <v>12292</v>
      </c>
      <c r="D971" t="s">
        <v>306</v>
      </c>
      <c r="E971" s="4">
        <v>23</v>
      </c>
      <c r="F971" s="25">
        <v>43713.961319444446</v>
      </c>
      <c r="G971">
        <v>0</v>
      </c>
      <c r="H971" s="25"/>
      <c r="I971" s="25"/>
      <c r="J971" s="25" t="s">
        <v>300</v>
      </c>
    </row>
    <row r="972" spans="1:10" x14ac:dyDescent="0.25">
      <c r="A972" s="4">
        <v>29508</v>
      </c>
      <c r="B972">
        <v>7348</v>
      </c>
      <c r="C972" s="4">
        <v>12292</v>
      </c>
      <c r="D972" t="s">
        <v>306</v>
      </c>
      <c r="E972" s="4">
        <v>21</v>
      </c>
      <c r="F972" s="25">
        <v>43713.96130787037</v>
      </c>
      <c r="G972">
        <v>0</v>
      </c>
      <c r="H972" s="25"/>
      <c r="I972" s="25"/>
      <c r="J972" s="25" t="s">
        <v>300</v>
      </c>
    </row>
    <row r="973" spans="1:10" x14ac:dyDescent="0.25">
      <c r="A973" s="4">
        <v>29508</v>
      </c>
      <c r="B973">
        <v>7348</v>
      </c>
      <c r="C973" s="4">
        <v>12292</v>
      </c>
      <c r="D973" t="s">
        <v>306</v>
      </c>
      <c r="E973" s="4">
        <v>22</v>
      </c>
      <c r="F973" s="25">
        <v>43713.96130787037</v>
      </c>
      <c r="G973">
        <v>0</v>
      </c>
      <c r="H973" s="25"/>
      <c r="I973" s="25"/>
      <c r="J973" s="25" t="s">
        <v>300</v>
      </c>
    </row>
    <row r="974" spans="1:10" x14ac:dyDescent="0.25">
      <c r="A974" s="4">
        <v>29508</v>
      </c>
      <c r="B974">
        <v>7348</v>
      </c>
      <c r="C974" s="4">
        <v>12292</v>
      </c>
      <c r="D974" t="s">
        <v>306</v>
      </c>
      <c r="E974" s="4">
        <v>20</v>
      </c>
      <c r="F974" s="25">
        <v>43713.961296296293</v>
      </c>
      <c r="G974">
        <v>0</v>
      </c>
      <c r="H974" s="25"/>
      <c r="I974" s="25"/>
      <c r="J974" s="25" t="s">
        <v>300</v>
      </c>
    </row>
    <row r="975" spans="1:10" x14ac:dyDescent="0.25">
      <c r="A975" s="4">
        <v>29508</v>
      </c>
      <c r="B975">
        <v>7348</v>
      </c>
      <c r="C975" s="4">
        <v>12292</v>
      </c>
      <c r="D975" t="s">
        <v>306</v>
      </c>
      <c r="E975" s="4">
        <v>18</v>
      </c>
      <c r="F975" s="25">
        <v>43713.961284722223</v>
      </c>
      <c r="G975">
        <v>0</v>
      </c>
      <c r="H975" s="25"/>
      <c r="I975" s="25"/>
      <c r="J975" s="25" t="s">
        <v>300</v>
      </c>
    </row>
    <row r="976" spans="1:10" x14ac:dyDescent="0.25">
      <c r="A976" s="4">
        <v>29508</v>
      </c>
      <c r="B976">
        <v>7348</v>
      </c>
      <c r="C976" s="4">
        <v>12292</v>
      </c>
      <c r="D976" t="s">
        <v>306</v>
      </c>
      <c r="E976" s="4">
        <v>19</v>
      </c>
      <c r="F976" s="25">
        <v>43713.961284722223</v>
      </c>
      <c r="G976">
        <v>0</v>
      </c>
      <c r="H976" s="25"/>
      <c r="I976" s="25"/>
      <c r="J976" s="25" t="s">
        <v>300</v>
      </c>
    </row>
    <row r="977" spans="1:10" x14ac:dyDescent="0.25">
      <c r="A977" s="4">
        <v>29508</v>
      </c>
      <c r="B977">
        <v>7348</v>
      </c>
      <c r="C977" s="4">
        <v>12292</v>
      </c>
      <c r="D977" t="s">
        <v>306</v>
      </c>
      <c r="E977" s="4">
        <v>17</v>
      </c>
      <c r="F977" s="25">
        <v>43713.961273148147</v>
      </c>
      <c r="G977">
        <v>0</v>
      </c>
      <c r="H977" s="25"/>
      <c r="I977" s="25"/>
      <c r="J977" s="25" t="s">
        <v>300</v>
      </c>
    </row>
    <row r="978" spans="1:10" x14ac:dyDescent="0.25">
      <c r="A978" s="4">
        <v>29508</v>
      </c>
      <c r="B978">
        <v>7348</v>
      </c>
      <c r="C978" s="4">
        <v>12292</v>
      </c>
      <c r="D978" t="s">
        <v>306</v>
      </c>
      <c r="E978" s="4">
        <v>16</v>
      </c>
      <c r="F978" s="25">
        <v>43713.961261574077</v>
      </c>
      <c r="G978">
        <v>0</v>
      </c>
      <c r="H978" s="25"/>
      <c r="I978" s="25"/>
      <c r="J978" s="25" t="s">
        <v>300</v>
      </c>
    </row>
    <row r="979" spans="1:10" x14ac:dyDescent="0.25">
      <c r="A979" s="4">
        <v>29508</v>
      </c>
      <c r="B979">
        <v>7348</v>
      </c>
      <c r="C979" s="4">
        <v>12292</v>
      </c>
      <c r="D979" t="s">
        <v>306</v>
      </c>
      <c r="E979" s="4">
        <v>14</v>
      </c>
      <c r="F979" s="25">
        <v>43713.96125</v>
      </c>
      <c r="G979">
        <v>0</v>
      </c>
      <c r="H979" s="25"/>
      <c r="I979" s="25"/>
      <c r="J979" s="25" t="s">
        <v>300</v>
      </c>
    </row>
    <row r="980" spans="1:10" x14ac:dyDescent="0.25">
      <c r="A980" s="4">
        <v>29508</v>
      </c>
      <c r="B980">
        <v>7348</v>
      </c>
      <c r="C980" s="4">
        <v>12292</v>
      </c>
      <c r="D980" t="s">
        <v>306</v>
      </c>
      <c r="E980" s="4">
        <v>15</v>
      </c>
      <c r="F980" s="25">
        <v>43713.96125</v>
      </c>
      <c r="G980">
        <v>0</v>
      </c>
      <c r="H980" s="25"/>
      <c r="I980" s="25"/>
      <c r="J980" s="25" t="s">
        <v>300</v>
      </c>
    </row>
    <row r="981" spans="1:10" x14ac:dyDescent="0.25">
      <c r="A981" s="4">
        <v>29508</v>
      </c>
      <c r="B981">
        <v>7348</v>
      </c>
      <c r="C981" s="4">
        <v>12292</v>
      </c>
      <c r="D981" t="s">
        <v>306</v>
      </c>
      <c r="E981" s="4">
        <v>13</v>
      </c>
      <c r="F981" s="25">
        <v>43713.961238425924</v>
      </c>
      <c r="G981">
        <v>0</v>
      </c>
      <c r="H981" s="25"/>
      <c r="I981" s="25"/>
      <c r="J981" s="25" t="s">
        <v>300</v>
      </c>
    </row>
    <row r="982" spans="1:10" x14ac:dyDescent="0.25">
      <c r="A982" s="4">
        <v>29508</v>
      </c>
      <c r="B982">
        <v>7348</v>
      </c>
      <c r="C982" s="4">
        <v>12292</v>
      </c>
      <c r="D982" t="s">
        <v>306</v>
      </c>
      <c r="E982" s="4">
        <v>11</v>
      </c>
      <c r="F982" s="25">
        <v>43713.961226851854</v>
      </c>
      <c r="G982">
        <v>0</v>
      </c>
      <c r="H982" s="25"/>
      <c r="I982" s="25"/>
      <c r="J982" s="25" t="s">
        <v>300</v>
      </c>
    </row>
    <row r="983" spans="1:10" x14ac:dyDescent="0.25">
      <c r="A983" s="4">
        <v>29508</v>
      </c>
      <c r="B983">
        <v>7348</v>
      </c>
      <c r="C983" s="4">
        <v>12292</v>
      </c>
      <c r="D983" t="s">
        <v>306</v>
      </c>
      <c r="E983" s="4">
        <v>12</v>
      </c>
      <c r="F983" s="25">
        <v>43713.961226851854</v>
      </c>
      <c r="G983">
        <v>0</v>
      </c>
      <c r="H983" s="25"/>
      <c r="I983" s="25"/>
      <c r="J983" s="25" t="s">
        <v>300</v>
      </c>
    </row>
    <row r="984" spans="1:10" x14ac:dyDescent="0.25">
      <c r="A984" s="4">
        <v>29508</v>
      </c>
      <c r="B984">
        <v>7348</v>
      </c>
      <c r="C984" s="4">
        <v>12292</v>
      </c>
      <c r="D984" t="s">
        <v>306</v>
      </c>
      <c r="E984" s="4">
        <v>10</v>
      </c>
      <c r="F984" s="25">
        <v>43713.961215277777</v>
      </c>
      <c r="G984">
        <v>0</v>
      </c>
      <c r="H984" s="25"/>
      <c r="I984" s="25"/>
      <c r="J984" s="25" t="s">
        <v>300</v>
      </c>
    </row>
    <row r="985" spans="1:10" x14ac:dyDescent="0.25">
      <c r="A985" s="4">
        <v>29508</v>
      </c>
      <c r="B985">
        <v>7348</v>
      </c>
      <c r="C985" s="4">
        <v>12292</v>
      </c>
      <c r="D985" t="s">
        <v>306</v>
      </c>
      <c r="E985" s="4">
        <v>8</v>
      </c>
      <c r="F985" s="25">
        <v>43713.9612037037</v>
      </c>
      <c r="G985">
        <v>0</v>
      </c>
      <c r="H985" s="25"/>
      <c r="I985" s="25"/>
      <c r="J985" s="25" t="s">
        <v>300</v>
      </c>
    </row>
    <row r="986" spans="1:10" x14ac:dyDescent="0.25">
      <c r="A986" s="4">
        <v>29508</v>
      </c>
      <c r="B986">
        <v>7348</v>
      </c>
      <c r="C986" s="4">
        <v>12292</v>
      </c>
      <c r="D986" t="s">
        <v>306</v>
      </c>
      <c r="E986" s="4">
        <v>9</v>
      </c>
      <c r="F986" s="25">
        <v>43713.9612037037</v>
      </c>
      <c r="G986">
        <v>0</v>
      </c>
      <c r="H986" s="25"/>
      <c r="I986" s="25"/>
      <c r="J986" s="25" t="s">
        <v>300</v>
      </c>
    </row>
    <row r="987" spans="1:10" x14ac:dyDescent="0.25">
      <c r="A987" s="4">
        <v>29508</v>
      </c>
      <c r="B987">
        <v>7348</v>
      </c>
      <c r="C987" s="4">
        <v>12292</v>
      </c>
      <c r="D987" t="s">
        <v>306</v>
      </c>
      <c r="E987" s="4">
        <v>7</v>
      </c>
      <c r="F987" s="25">
        <v>43713.961192129631</v>
      </c>
      <c r="G987">
        <v>0</v>
      </c>
      <c r="H987" s="25"/>
      <c r="I987" s="25"/>
      <c r="J987" s="25" t="s">
        <v>300</v>
      </c>
    </row>
    <row r="988" spans="1:10" x14ac:dyDescent="0.25">
      <c r="A988" s="4">
        <v>29508</v>
      </c>
      <c r="B988">
        <v>7348</v>
      </c>
      <c r="C988" s="4">
        <v>12292</v>
      </c>
      <c r="D988" t="s">
        <v>306</v>
      </c>
      <c r="E988" s="4">
        <v>6</v>
      </c>
      <c r="F988" s="25">
        <v>43713.961180555554</v>
      </c>
      <c r="G988">
        <v>0</v>
      </c>
      <c r="H988" s="25"/>
      <c r="I988" s="25"/>
      <c r="J988" s="25" t="s">
        <v>300</v>
      </c>
    </row>
    <row r="989" spans="1:10" x14ac:dyDescent="0.25">
      <c r="A989" s="4">
        <v>29508</v>
      </c>
      <c r="B989">
        <v>7348</v>
      </c>
      <c r="C989" s="4">
        <v>12292</v>
      </c>
      <c r="D989" t="s">
        <v>306</v>
      </c>
      <c r="E989" s="4">
        <v>4</v>
      </c>
      <c r="F989" s="25">
        <v>43713.961168981485</v>
      </c>
      <c r="G989">
        <v>0</v>
      </c>
      <c r="H989" s="25"/>
      <c r="I989" s="25"/>
      <c r="J989" s="25" t="s">
        <v>300</v>
      </c>
    </row>
    <row r="990" spans="1:10" x14ac:dyDescent="0.25">
      <c r="A990" s="4">
        <v>29508</v>
      </c>
      <c r="B990">
        <v>7348</v>
      </c>
      <c r="C990" s="4">
        <v>12292</v>
      </c>
      <c r="D990" t="s">
        <v>306</v>
      </c>
      <c r="E990" s="4">
        <v>5</v>
      </c>
      <c r="F990" s="25">
        <v>43713.961168981485</v>
      </c>
      <c r="G990">
        <v>0</v>
      </c>
      <c r="H990" s="25"/>
      <c r="I990" s="25"/>
      <c r="J990" s="25" t="s">
        <v>300</v>
      </c>
    </row>
    <row r="991" spans="1:10" x14ac:dyDescent="0.25">
      <c r="A991" s="4">
        <v>29508</v>
      </c>
      <c r="B991">
        <v>7348</v>
      </c>
      <c r="C991" s="4">
        <v>12292</v>
      </c>
      <c r="D991" t="s">
        <v>306</v>
      </c>
      <c r="E991" s="4">
        <v>3</v>
      </c>
      <c r="F991" s="25">
        <v>43713.961157407408</v>
      </c>
      <c r="G991">
        <v>0</v>
      </c>
      <c r="H991" s="25"/>
      <c r="I991" s="25"/>
      <c r="J991" s="25" t="s">
        <v>300</v>
      </c>
    </row>
    <row r="992" spans="1:10" x14ac:dyDescent="0.25">
      <c r="A992" s="4">
        <v>29508</v>
      </c>
      <c r="B992">
        <v>7348</v>
      </c>
      <c r="C992" s="4">
        <v>12292</v>
      </c>
      <c r="D992" t="s">
        <v>306</v>
      </c>
      <c r="E992" s="4">
        <v>1</v>
      </c>
      <c r="F992" s="25">
        <v>43713.961145833331</v>
      </c>
      <c r="G992">
        <v>0</v>
      </c>
      <c r="H992" s="25"/>
      <c r="I992" s="25"/>
      <c r="J992" s="25" t="s">
        <v>300</v>
      </c>
    </row>
    <row r="993" spans="1:10" x14ac:dyDescent="0.25">
      <c r="A993" s="4">
        <v>29508</v>
      </c>
      <c r="B993">
        <v>7348</v>
      </c>
      <c r="C993" s="4">
        <v>12292</v>
      </c>
      <c r="D993" t="s">
        <v>306</v>
      </c>
      <c r="E993" s="4">
        <v>2</v>
      </c>
      <c r="F993" s="25">
        <v>43713.961145833331</v>
      </c>
      <c r="G993">
        <v>0</v>
      </c>
      <c r="H993" s="25"/>
      <c r="I993" s="25"/>
      <c r="J993" s="25" t="s">
        <v>300</v>
      </c>
    </row>
    <row r="994" spans="1:10" x14ac:dyDescent="0.25">
      <c r="A994" s="4">
        <v>29508</v>
      </c>
      <c r="B994">
        <v>7348</v>
      </c>
      <c r="C994" s="4">
        <v>12292</v>
      </c>
      <c r="D994" t="s">
        <v>306</v>
      </c>
      <c r="E994" s="4">
        <v>0</v>
      </c>
      <c r="F994" s="25">
        <v>43713.961134259262</v>
      </c>
      <c r="G994">
        <v>0</v>
      </c>
      <c r="H994" s="25"/>
      <c r="I994" s="25"/>
      <c r="J994" s="25" t="s">
        <v>300</v>
      </c>
    </row>
    <row r="995" spans="1:10" x14ac:dyDescent="0.25">
      <c r="A995" s="4">
        <v>30131</v>
      </c>
      <c r="B995">
        <v>2568</v>
      </c>
      <c r="C995" s="4">
        <v>12292</v>
      </c>
      <c r="D995" t="s">
        <v>306</v>
      </c>
      <c r="E995" s="4">
        <v>6</v>
      </c>
      <c r="F995" s="25">
        <v>43713.958414351851</v>
      </c>
      <c r="G995">
        <v>0</v>
      </c>
      <c r="H995" s="25"/>
      <c r="I995" s="25"/>
      <c r="J995" s="25" t="s">
        <v>300</v>
      </c>
    </row>
    <row r="996" spans="1:10" x14ac:dyDescent="0.25">
      <c r="A996" s="4">
        <v>61</v>
      </c>
      <c r="B996">
        <v>13000</v>
      </c>
      <c r="C996" s="4">
        <v>12292</v>
      </c>
      <c r="D996" t="s">
        <v>7</v>
      </c>
      <c r="E996" s="4">
        <v>0</v>
      </c>
      <c r="F996" s="25">
        <v>43713.951122685183</v>
      </c>
      <c r="G996">
        <v>0</v>
      </c>
      <c r="H996" s="25"/>
      <c r="I996" s="25" t="s">
        <v>344</v>
      </c>
      <c r="J996" s="25" t="s">
        <v>304</v>
      </c>
    </row>
    <row r="997" spans="1:10" x14ac:dyDescent="0.25">
      <c r="A997" s="4">
        <v>61</v>
      </c>
      <c r="B997">
        <v>16028</v>
      </c>
      <c r="C997" s="4">
        <v>12292</v>
      </c>
      <c r="D997" t="s">
        <v>7</v>
      </c>
      <c r="E997" s="4">
        <v>0</v>
      </c>
      <c r="F997" s="25">
        <v>43713.943877314814</v>
      </c>
      <c r="G997">
        <v>0</v>
      </c>
      <c r="H997" s="25"/>
      <c r="I997" s="25" t="s">
        <v>344</v>
      </c>
      <c r="J997" s="25" t="s">
        <v>406</v>
      </c>
    </row>
    <row r="998" spans="1:10" x14ac:dyDescent="0.25">
      <c r="A998" s="4">
        <v>61</v>
      </c>
      <c r="B998">
        <v>14208</v>
      </c>
      <c r="C998" s="4">
        <v>12292</v>
      </c>
      <c r="D998" t="s">
        <v>7</v>
      </c>
      <c r="E998" s="4">
        <v>0</v>
      </c>
      <c r="F998" s="25">
        <v>43713.935034722221</v>
      </c>
      <c r="G998">
        <v>0</v>
      </c>
      <c r="H998" s="25"/>
      <c r="I998" s="25" t="s">
        <v>344</v>
      </c>
      <c r="J998" s="25" t="s">
        <v>304</v>
      </c>
    </row>
    <row r="999" spans="1:10" x14ac:dyDescent="0.25">
      <c r="A999" s="4">
        <v>30131</v>
      </c>
      <c r="B999">
        <v>2568</v>
      </c>
      <c r="C999" s="4">
        <v>12292</v>
      </c>
      <c r="D999" t="s">
        <v>306</v>
      </c>
      <c r="E999" s="4">
        <v>5</v>
      </c>
      <c r="F999" s="25">
        <v>43713.916678240741</v>
      </c>
      <c r="G999">
        <v>0</v>
      </c>
      <c r="H999" s="25"/>
      <c r="I999" s="25"/>
      <c r="J999" s="25" t="s">
        <v>300</v>
      </c>
    </row>
    <row r="1000" spans="1:10" x14ac:dyDescent="0.25">
      <c r="A1000" s="4">
        <v>30131</v>
      </c>
      <c r="B1000">
        <v>2568</v>
      </c>
      <c r="C1000" s="4">
        <v>12292</v>
      </c>
      <c r="D1000" t="s">
        <v>306</v>
      </c>
      <c r="E1000" s="4">
        <v>4</v>
      </c>
      <c r="F1000" s="25">
        <v>43713.875023148146</v>
      </c>
      <c r="G1000">
        <v>0</v>
      </c>
      <c r="H1000" s="25"/>
      <c r="I1000" s="25"/>
      <c r="J1000" s="25" t="s">
        <v>300</v>
      </c>
    </row>
    <row r="1001" spans="1:10" x14ac:dyDescent="0.25">
      <c r="A1001" s="4">
        <v>3210</v>
      </c>
      <c r="B1001">
        <v>16280</v>
      </c>
      <c r="C1001" s="4">
        <v>12292</v>
      </c>
      <c r="D1001" t="s">
        <v>306</v>
      </c>
      <c r="E1001" s="4">
        <v>24</v>
      </c>
      <c r="F1001" s="25">
        <v>43713.868125000001</v>
      </c>
      <c r="G1001">
        <v>0</v>
      </c>
      <c r="H1001" s="25"/>
      <c r="I1001" s="25"/>
      <c r="J1001" s="25" t="s">
        <v>300</v>
      </c>
    </row>
    <row r="1002" spans="1:10" x14ac:dyDescent="0.25">
      <c r="A1002" s="4">
        <v>3210</v>
      </c>
      <c r="B1002">
        <v>16280</v>
      </c>
      <c r="C1002" s="4">
        <v>12292</v>
      </c>
      <c r="D1002" t="s">
        <v>306</v>
      </c>
      <c r="E1002" s="4">
        <v>23</v>
      </c>
      <c r="F1002" s="25">
        <v>43713.868113425924</v>
      </c>
      <c r="G1002">
        <v>0</v>
      </c>
      <c r="H1002" s="25"/>
      <c r="I1002" s="25"/>
      <c r="J1002" s="25" t="s">
        <v>300</v>
      </c>
    </row>
    <row r="1003" spans="1:10" x14ac:dyDescent="0.25">
      <c r="A1003" s="4">
        <v>3210</v>
      </c>
      <c r="B1003">
        <v>16280</v>
      </c>
      <c r="C1003" s="4">
        <v>12292</v>
      </c>
      <c r="D1003" t="s">
        <v>306</v>
      </c>
      <c r="E1003" s="4">
        <v>21</v>
      </c>
      <c r="F1003" s="25">
        <v>43713.868101851855</v>
      </c>
      <c r="G1003">
        <v>0</v>
      </c>
      <c r="H1003" s="25"/>
      <c r="I1003" s="25"/>
      <c r="J1003" s="25" t="s">
        <v>300</v>
      </c>
    </row>
    <row r="1004" spans="1:10" x14ac:dyDescent="0.25">
      <c r="A1004" s="4">
        <v>3210</v>
      </c>
      <c r="B1004">
        <v>16280</v>
      </c>
      <c r="C1004" s="4">
        <v>12292</v>
      </c>
      <c r="D1004" t="s">
        <v>306</v>
      </c>
      <c r="E1004" s="4">
        <v>22</v>
      </c>
      <c r="F1004" s="25">
        <v>43713.868101851855</v>
      </c>
      <c r="G1004">
        <v>0</v>
      </c>
      <c r="H1004" s="25"/>
      <c r="I1004" s="25"/>
      <c r="J1004" s="25" t="s">
        <v>300</v>
      </c>
    </row>
    <row r="1005" spans="1:10" x14ac:dyDescent="0.25">
      <c r="A1005" s="4">
        <v>3210</v>
      </c>
      <c r="B1005">
        <v>16280</v>
      </c>
      <c r="C1005" s="4">
        <v>12292</v>
      </c>
      <c r="D1005" t="s">
        <v>306</v>
      </c>
      <c r="E1005" s="4">
        <v>20</v>
      </c>
      <c r="F1005" s="25">
        <v>43713.868090277778</v>
      </c>
      <c r="G1005">
        <v>0</v>
      </c>
      <c r="H1005" s="25"/>
      <c r="I1005" s="25"/>
      <c r="J1005" s="25" t="s">
        <v>300</v>
      </c>
    </row>
    <row r="1006" spans="1:10" x14ac:dyDescent="0.25">
      <c r="A1006" s="4">
        <v>3210</v>
      </c>
      <c r="B1006">
        <v>16280</v>
      </c>
      <c r="C1006" s="4">
        <v>12292</v>
      </c>
      <c r="D1006" t="s">
        <v>306</v>
      </c>
      <c r="E1006" s="4">
        <v>19</v>
      </c>
      <c r="F1006" s="25">
        <v>43713.868078703701</v>
      </c>
      <c r="G1006">
        <v>0</v>
      </c>
      <c r="H1006" s="25"/>
      <c r="I1006" s="25"/>
      <c r="J1006" s="25" t="s">
        <v>300</v>
      </c>
    </row>
    <row r="1007" spans="1:10" x14ac:dyDescent="0.25">
      <c r="A1007" s="4">
        <v>3210</v>
      </c>
      <c r="B1007">
        <v>16280</v>
      </c>
      <c r="C1007" s="4">
        <v>12292</v>
      </c>
      <c r="D1007" t="s">
        <v>306</v>
      </c>
      <c r="E1007" s="4">
        <v>17</v>
      </c>
      <c r="F1007" s="25">
        <v>43713.868067129632</v>
      </c>
      <c r="G1007">
        <v>0</v>
      </c>
      <c r="H1007" s="25"/>
      <c r="I1007" s="25"/>
      <c r="J1007" s="25" t="s">
        <v>300</v>
      </c>
    </row>
    <row r="1008" spans="1:10" x14ac:dyDescent="0.25">
      <c r="A1008" s="4">
        <v>3210</v>
      </c>
      <c r="B1008">
        <v>16280</v>
      </c>
      <c r="C1008" s="4">
        <v>12292</v>
      </c>
      <c r="D1008" t="s">
        <v>306</v>
      </c>
      <c r="E1008" s="4">
        <v>18</v>
      </c>
      <c r="F1008" s="25">
        <v>43713.868067129632</v>
      </c>
      <c r="G1008">
        <v>0</v>
      </c>
      <c r="H1008" s="25"/>
      <c r="I1008" s="25"/>
      <c r="J1008" s="25" t="s">
        <v>300</v>
      </c>
    </row>
    <row r="1009" spans="1:10" x14ac:dyDescent="0.25">
      <c r="A1009" s="4">
        <v>3210</v>
      </c>
      <c r="B1009">
        <v>16280</v>
      </c>
      <c r="C1009" s="4">
        <v>12292</v>
      </c>
      <c r="D1009" t="s">
        <v>306</v>
      </c>
      <c r="E1009" s="4">
        <v>16</v>
      </c>
      <c r="F1009" s="25">
        <v>43713.868055555555</v>
      </c>
      <c r="G1009">
        <v>0</v>
      </c>
      <c r="H1009" s="25"/>
      <c r="I1009" s="25"/>
      <c r="J1009" s="25" t="s">
        <v>300</v>
      </c>
    </row>
    <row r="1010" spans="1:10" x14ac:dyDescent="0.25">
      <c r="A1010" s="4">
        <v>3210</v>
      </c>
      <c r="B1010">
        <v>16280</v>
      </c>
      <c r="C1010" s="4">
        <v>12292</v>
      </c>
      <c r="D1010" t="s">
        <v>306</v>
      </c>
      <c r="E1010" s="4">
        <v>15</v>
      </c>
      <c r="F1010" s="25">
        <v>43713.868043981478</v>
      </c>
      <c r="G1010">
        <v>0</v>
      </c>
      <c r="H1010" s="25"/>
      <c r="I1010" s="25"/>
      <c r="J1010" s="25" t="s">
        <v>300</v>
      </c>
    </row>
    <row r="1011" spans="1:10" x14ac:dyDescent="0.25">
      <c r="A1011" s="4">
        <v>3210</v>
      </c>
      <c r="B1011">
        <v>16280</v>
      </c>
      <c r="C1011" s="4">
        <v>12292</v>
      </c>
      <c r="D1011" t="s">
        <v>306</v>
      </c>
      <c r="E1011" s="4">
        <v>13</v>
      </c>
      <c r="F1011" s="25">
        <v>43713.868032407408</v>
      </c>
      <c r="G1011">
        <v>0</v>
      </c>
      <c r="H1011" s="25"/>
      <c r="I1011" s="25"/>
      <c r="J1011" s="25" t="s">
        <v>300</v>
      </c>
    </row>
    <row r="1012" spans="1:10" x14ac:dyDescent="0.25">
      <c r="A1012" s="4">
        <v>3210</v>
      </c>
      <c r="B1012">
        <v>16280</v>
      </c>
      <c r="C1012" s="4">
        <v>12292</v>
      </c>
      <c r="D1012" t="s">
        <v>306</v>
      </c>
      <c r="E1012" s="4">
        <v>14</v>
      </c>
      <c r="F1012" s="25">
        <v>43713.868032407408</v>
      </c>
      <c r="G1012">
        <v>0</v>
      </c>
      <c r="H1012" s="25"/>
      <c r="I1012" s="25"/>
      <c r="J1012" s="25" t="s">
        <v>300</v>
      </c>
    </row>
    <row r="1013" spans="1:10" x14ac:dyDescent="0.25">
      <c r="A1013" s="4">
        <v>3210</v>
      </c>
      <c r="B1013">
        <v>16280</v>
      </c>
      <c r="C1013" s="4">
        <v>12292</v>
      </c>
      <c r="D1013" t="s">
        <v>306</v>
      </c>
      <c r="E1013" s="4">
        <v>12</v>
      </c>
      <c r="F1013" s="25">
        <v>43713.868020833332</v>
      </c>
      <c r="G1013">
        <v>0</v>
      </c>
      <c r="H1013" s="25"/>
      <c r="I1013" s="25"/>
      <c r="J1013" s="25" t="s">
        <v>300</v>
      </c>
    </row>
    <row r="1014" spans="1:10" x14ac:dyDescent="0.25">
      <c r="A1014" s="4">
        <v>3210</v>
      </c>
      <c r="B1014">
        <v>16280</v>
      </c>
      <c r="C1014" s="4">
        <v>12292</v>
      </c>
      <c r="D1014" t="s">
        <v>306</v>
      </c>
      <c r="E1014" s="4">
        <v>10</v>
      </c>
      <c r="F1014" s="25">
        <v>43713.868009259262</v>
      </c>
      <c r="G1014">
        <v>0</v>
      </c>
      <c r="H1014" s="25"/>
      <c r="I1014" s="25"/>
      <c r="J1014" s="25" t="s">
        <v>300</v>
      </c>
    </row>
    <row r="1015" spans="1:10" x14ac:dyDescent="0.25">
      <c r="A1015" s="4">
        <v>3210</v>
      </c>
      <c r="B1015">
        <v>16280</v>
      </c>
      <c r="C1015" s="4">
        <v>12292</v>
      </c>
      <c r="D1015" t="s">
        <v>306</v>
      </c>
      <c r="E1015" s="4">
        <v>11</v>
      </c>
      <c r="F1015" s="25">
        <v>43713.868009259262</v>
      </c>
      <c r="G1015">
        <v>0</v>
      </c>
      <c r="H1015" s="25"/>
      <c r="I1015" s="25"/>
      <c r="J1015" s="25" t="s">
        <v>300</v>
      </c>
    </row>
    <row r="1016" spans="1:10" x14ac:dyDescent="0.25">
      <c r="A1016" s="4">
        <v>3210</v>
      </c>
      <c r="B1016">
        <v>16280</v>
      </c>
      <c r="C1016" s="4">
        <v>12292</v>
      </c>
      <c r="D1016" t="s">
        <v>306</v>
      </c>
      <c r="E1016" s="4">
        <v>9</v>
      </c>
      <c r="F1016" s="25">
        <v>43713.867997685185</v>
      </c>
      <c r="G1016">
        <v>0</v>
      </c>
      <c r="H1016" s="25"/>
      <c r="I1016" s="25"/>
      <c r="J1016" s="25" t="s">
        <v>300</v>
      </c>
    </row>
    <row r="1017" spans="1:10" x14ac:dyDescent="0.25">
      <c r="A1017" s="4">
        <v>3210</v>
      </c>
      <c r="B1017">
        <v>16280</v>
      </c>
      <c r="C1017" s="4">
        <v>12292</v>
      </c>
      <c r="D1017" t="s">
        <v>306</v>
      </c>
      <c r="E1017" s="4">
        <v>7</v>
      </c>
      <c r="F1017" s="25">
        <v>43713.867986111109</v>
      </c>
      <c r="G1017">
        <v>0</v>
      </c>
      <c r="H1017" s="25"/>
      <c r="I1017" s="25"/>
      <c r="J1017" s="25" t="s">
        <v>300</v>
      </c>
    </row>
    <row r="1018" spans="1:10" x14ac:dyDescent="0.25">
      <c r="A1018" s="4">
        <v>3210</v>
      </c>
      <c r="B1018">
        <v>16280</v>
      </c>
      <c r="C1018" s="4">
        <v>12292</v>
      </c>
      <c r="D1018" t="s">
        <v>306</v>
      </c>
      <c r="E1018" s="4">
        <v>8</v>
      </c>
      <c r="F1018" s="25">
        <v>43713.867986111109</v>
      </c>
      <c r="G1018">
        <v>0</v>
      </c>
      <c r="H1018" s="25"/>
      <c r="I1018" s="25"/>
      <c r="J1018" s="25" t="s">
        <v>300</v>
      </c>
    </row>
    <row r="1019" spans="1:10" x14ac:dyDescent="0.25">
      <c r="A1019" s="4">
        <v>3210</v>
      </c>
      <c r="B1019">
        <v>16280</v>
      </c>
      <c r="C1019" s="4">
        <v>12292</v>
      </c>
      <c r="D1019" t="s">
        <v>306</v>
      </c>
      <c r="E1019" s="4">
        <v>6</v>
      </c>
      <c r="F1019" s="25">
        <v>43713.867974537039</v>
      </c>
      <c r="G1019">
        <v>0</v>
      </c>
      <c r="H1019" s="25"/>
      <c r="I1019" s="25"/>
      <c r="J1019" s="25" t="s">
        <v>300</v>
      </c>
    </row>
    <row r="1020" spans="1:10" x14ac:dyDescent="0.25">
      <c r="A1020" s="4">
        <v>3210</v>
      </c>
      <c r="B1020">
        <v>16280</v>
      </c>
      <c r="C1020" s="4">
        <v>12292</v>
      </c>
      <c r="D1020" t="s">
        <v>306</v>
      </c>
      <c r="E1020" s="4">
        <v>4</v>
      </c>
      <c r="F1020" s="25">
        <v>43713.867962962962</v>
      </c>
      <c r="G1020">
        <v>0</v>
      </c>
      <c r="H1020" s="25"/>
      <c r="I1020" s="25"/>
      <c r="J1020" s="25" t="s">
        <v>300</v>
      </c>
    </row>
    <row r="1021" spans="1:10" x14ac:dyDescent="0.25">
      <c r="A1021" s="4">
        <v>3210</v>
      </c>
      <c r="B1021">
        <v>16280</v>
      </c>
      <c r="C1021" s="4">
        <v>12292</v>
      </c>
      <c r="D1021" t="s">
        <v>306</v>
      </c>
      <c r="E1021" s="4">
        <v>5</v>
      </c>
      <c r="F1021" s="25">
        <v>43713.867962962962</v>
      </c>
      <c r="G1021">
        <v>0</v>
      </c>
      <c r="H1021" s="25"/>
      <c r="I1021" s="25"/>
      <c r="J1021" s="25" t="s">
        <v>300</v>
      </c>
    </row>
    <row r="1022" spans="1:10" x14ac:dyDescent="0.25">
      <c r="A1022" s="4">
        <v>3210</v>
      </c>
      <c r="B1022">
        <v>16280</v>
      </c>
      <c r="C1022" s="4">
        <v>12292</v>
      </c>
      <c r="D1022" t="s">
        <v>306</v>
      </c>
      <c r="E1022" s="4">
        <v>3</v>
      </c>
      <c r="F1022" s="25">
        <v>43713.867951388886</v>
      </c>
      <c r="G1022">
        <v>0</v>
      </c>
      <c r="H1022" s="25"/>
      <c r="I1022" s="25"/>
      <c r="J1022" s="25" t="s">
        <v>300</v>
      </c>
    </row>
    <row r="1023" spans="1:10" x14ac:dyDescent="0.25">
      <c r="A1023" s="4">
        <v>3210</v>
      </c>
      <c r="B1023">
        <v>16280</v>
      </c>
      <c r="C1023" s="4">
        <v>12292</v>
      </c>
      <c r="D1023" t="s">
        <v>306</v>
      </c>
      <c r="E1023" s="4">
        <v>2</v>
      </c>
      <c r="F1023" s="25">
        <v>43713.867939814816</v>
      </c>
      <c r="G1023">
        <v>0</v>
      </c>
      <c r="H1023" s="25"/>
      <c r="I1023" s="25"/>
      <c r="J1023" s="25" t="s">
        <v>300</v>
      </c>
    </row>
    <row r="1024" spans="1:10" x14ac:dyDescent="0.25">
      <c r="A1024" s="4">
        <v>3210</v>
      </c>
      <c r="B1024">
        <v>16280</v>
      </c>
      <c r="C1024" s="4">
        <v>12292</v>
      </c>
      <c r="D1024" t="s">
        <v>306</v>
      </c>
      <c r="E1024" s="4">
        <v>0</v>
      </c>
      <c r="F1024" s="25">
        <v>43713.867928240739</v>
      </c>
      <c r="G1024">
        <v>0</v>
      </c>
      <c r="H1024" s="25"/>
      <c r="I1024" s="25"/>
      <c r="J1024" s="25" t="s">
        <v>300</v>
      </c>
    </row>
    <row r="1025" spans="1:10" x14ac:dyDescent="0.25">
      <c r="A1025" s="4">
        <v>3210</v>
      </c>
      <c r="B1025">
        <v>16280</v>
      </c>
      <c r="C1025" s="4">
        <v>12292</v>
      </c>
      <c r="D1025" t="s">
        <v>306</v>
      </c>
      <c r="E1025" s="4">
        <v>1</v>
      </c>
      <c r="F1025" s="25">
        <v>43713.867928240739</v>
      </c>
      <c r="G1025">
        <v>0</v>
      </c>
      <c r="H1025" s="25"/>
      <c r="I1025" s="25"/>
      <c r="J1025" s="25" t="s">
        <v>300</v>
      </c>
    </row>
    <row r="1026" spans="1:10" x14ac:dyDescent="0.25">
      <c r="A1026" s="4">
        <v>2381</v>
      </c>
      <c r="B1026">
        <v>2562</v>
      </c>
      <c r="C1026" s="4">
        <v>6912</v>
      </c>
      <c r="D1026" t="s">
        <v>306</v>
      </c>
      <c r="E1026" s="4">
        <v>0</v>
      </c>
      <c r="F1026" s="25">
        <v>43713.863923611112</v>
      </c>
      <c r="G1026">
        <v>0</v>
      </c>
      <c r="H1026" s="25"/>
      <c r="I1026" s="25"/>
      <c r="J1026" s="25" t="s">
        <v>300</v>
      </c>
    </row>
    <row r="1027" spans="1:10" x14ac:dyDescent="0.25">
      <c r="A1027" s="4">
        <v>29969</v>
      </c>
      <c r="B1027">
        <v>10295</v>
      </c>
      <c r="C1027" s="4">
        <v>12292</v>
      </c>
      <c r="D1027" t="s">
        <v>306</v>
      </c>
      <c r="E1027" s="4">
        <v>23</v>
      </c>
      <c r="F1027" s="25">
        <v>43713.846805555557</v>
      </c>
      <c r="G1027">
        <v>0</v>
      </c>
      <c r="H1027" s="25"/>
      <c r="I1027" s="25"/>
      <c r="J1027" s="25" t="s">
        <v>300</v>
      </c>
    </row>
    <row r="1028" spans="1:10" x14ac:dyDescent="0.25">
      <c r="A1028" s="4">
        <v>29969</v>
      </c>
      <c r="B1028">
        <v>10295</v>
      </c>
      <c r="C1028" s="4">
        <v>12292</v>
      </c>
      <c r="D1028" t="s">
        <v>306</v>
      </c>
      <c r="E1028" s="4">
        <v>24</v>
      </c>
      <c r="F1028" s="25">
        <v>43713.846805555557</v>
      </c>
      <c r="G1028">
        <v>0</v>
      </c>
      <c r="H1028" s="25"/>
      <c r="I1028" s="25"/>
      <c r="J1028" s="25" t="s">
        <v>300</v>
      </c>
    </row>
    <row r="1029" spans="1:10" x14ac:dyDescent="0.25">
      <c r="A1029" s="4">
        <v>29969</v>
      </c>
      <c r="B1029">
        <v>10295</v>
      </c>
      <c r="C1029" s="4">
        <v>12292</v>
      </c>
      <c r="D1029" t="s">
        <v>306</v>
      </c>
      <c r="E1029" s="4">
        <v>22</v>
      </c>
      <c r="F1029" s="25">
        <v>43713.84679398148</v>
      </c>
      <c r="G1029">
        <v>0</v>
      </c>
      <c r="H1029" s="25"/>
      <c r="I1029" s="25"/>
      <c r="J1029" s="25" t="s">
        <v>300</v>
      </c>
    </row>
    <row r="1030" spans="1:10" x14ac:dyDescent="0.25">
      <c r="A1030" s="4">
        <v>29969</v>
      </c>
      <c r="B1030">
        <v>10295</v>
      </c>
      <c r="C1030" s="4">
        <v>12292</v>
      </c>
      <c r="D1030" t="s">
        <v>306</v>
      </c>
      <c r="E1030" s="4">
        <v>20</v>
      </c>
      <c r="F1030" s="25">
        <v>43713.846782407411</v>
      </c>
      <c r="G1030">
        <v>0</v>
      </c>
      <c r="H1030" s="25"/>
      <c r="I1030" s="25"/>
      <c r="J1030" s="25" t="s">
        <v>300</v>
      </c>
    </row>
    <row r="1031" spans="1:10" x14ac:dyDescent="0.25">
      <c r="A1031" s="4">
        <v>29969</v>
      </c>
      <c r="B1031">
        <v>10295</v>
      </c>
      <c r="C1031" s="4">
        <v>12292</v>
      </c>
      <c r="D1031" t="s">
        <v>306</v>
      </c>
      <c r="E1031" s="4">
        <v>21</v>
      </c>
      <c r="F1031" s="25">
        <v>43713.846782407411</v>
      </c>
      <c r="G1031">
        <v>0</v>
      </c>
      <c r="H1031" s="25"/>
      <c r="I1031" s="25"/>
      <c r="J1031" s="25" t="s">
        <v>300</v>
      </c>
    </row>
    <row r="1032" spans="1:10" x14ac:dyDescent="0.25">
      <c r="A1032" s="4">
        <v>29969</v>
      </c>
      <c r="B1032">
        <v>10295</v>
      </c>
      <c r="C1032" s="4">
        <v>12292</v>
      </c>
      <c r="D1032" t="s">
        <v>306</v>
      </c>
      <c r="E1032" s="4">
        <v>19</v>
      </c>
      <c r="F1032" s="25">
        <v>43713.846770833334</v>
      </c>
      <c r="G1032">
        <v>0</v>
      </c>
      <c r="H1032" s="25"/>
      <c r="I1032" s="25"/>
      <c r="J1032" s="25" t="s">
        <v>300</v>
      </c>
    </row>
    <row r="1033" spans="1:10" x14ac:dyDescent="0.25">
      <c r="A1033" s="4">
        <v>29969</v>
      </c>
      <c r="B1033">
        <v>10295</v>
      </c>
      <c r="C1033" s="4">
        <v>12292</v>
      </c>
      <c r="D1033" t="s">
        <v>306</v>
      </c>
      <c r="E1033" s="4">
        <v>18</v>
      </c>
      <c r="F1033" s="25">
        <v>43713.846759259257</v>
      </c>
      <c r="G1033">
        <v>0</v>
      </c>
      <c r="H1033" s="25"/>
      <c r="I1033" s="25"/>
      <c r="J1033" s="25" t="s">
        <v>300</v>
      </c>
    </row>
    <row r="1034" spans="1:10" x14ac:dyDescent="0.25">
      <c r="A1034" s="4">
        <v>29969</v>
      </c>
      <c r="B1034">
        <v>10295</v>
      </c>
      <c r="C1034" s="4">
        <v>12292</v>
      </c>
      <c r="D1034" t="s">
        <v>306</v>
      </c>
      <c r="E1034" s="4">
        <v>16</v>
      </c>
      <c r="F1034" s="25">
        <v>43713.846747685187</v>
      </c>
      <c r="G1034">
        <v>0</v>
      </c>
      <c r="H1034" s="25"/>
      <c r="I1034" s="25"/>
      <c r="J1034" s="25" t="s">
        <v>300</v>
      </c>
    </row>
    <row r="1035" spans="1:10" x14ac:dyDescent="0.25">
      <c r="A1035" s="4">
        <v>29969</v>
      </c>
      <c r="B1035">
        <v>10295</v>
      </c>
      <c r="C1035" s="4">
        <v>12292</v>
      </c>
      <c r="D1035" t="s">
        <v>306</v>
      </c>
      <c r="E1035" s="4">
        <v>17</v>
      </c>
      <c r="F1035" s="25">
        <v>43713.846747685187</v>
      </c>
      <c r="G1035">
        <v>0</v>
      </c>
      <c r="H1035" s="25"/>
      <c r="I1035" s="25"/>
      <c r="J1035" s="25" t="s">
        <v>300</v>
      </c>
    </row>
    <row r="1036" spans="1:10" x14ac:dyDescent="0.25">
      <c r="A1036" s="4">
        <v>29969</v>
      </c>
      <c r="B1036">
        <v>10295</v>
      </c>
      <c r="C1036" s="4">
        <v>12292</v>
      </c>
      <c r="D1036" t="s">
        <v>306</v>
      </c>
      <c r="E1036" s="4">
        <v>15</v>
      </c>
      <c r="F1036" s="25">
        <v>43713.846736111111</v>
      </c>
      <c r="G1036">
        <v>0</v>
      </c>
      <c r="H1036" s="25"/>
      <c r="I1036" s="25"/>
      <c r="J1036" s="25" t="s">
        <v>300</v>
      </c>
    </row>
    <row r="1037" spans="1:10" x14ac:dyDescent="0.25">
      <c r="A1037" s="4">
        <v>29969</v>
      </c>
      <c r="B1037">
        <v>10295</v>
      </c>
      <c r="C1037" s="4">
        <v>12292</v>
      </c>
      <c r="D1037" t="s">
        <v>306</v>
      </c>
      <c r="E1037" s="4">
        <v>13</v>
      </c>
      <c r="F1037" s="25">
        <v>43713.846724537034</v>
      </c>
      <c r="G1037">
        <v>0</v>
      </c>
      <c r="H1037" s="25"/>
      <c r="I1037" s="25"/>
      <c r="J1037" s="25" t="s">
        <v>300</v>
      </c>
    </row>
    <row r="1038" spans="1:10" x14ac:dyDescent="0.25">
      <c r="A1038" s="4">
        <v>29969</v>
      </c>
      <c r="B1038">
        <v>10295</v>
      </c>
      <c r="C1038" s="4">
        <v>12292</v>
      </c>
      <c r="D1038" t="s">
        <v>306</v>
      </c>
      <c r="E1038" s="4">
        <v>14</v>
      </c>
      <c r="F1038" s="25">
        <v>43713.846724537034</v>
      </c>
      <c r="G1038">
        <v>0</v>
      </c>
      <c r="H1038" s="25"/>
      <c r="I1038" s="25"/>
      <c r="J1038" s="25" t="s">
        <v>300</v>
      </c>
    </row>
    <row r="1039" spans="1:10" x14ac:dyDescent="0.25">
      <c r="A1039" s="4">
        <v>29969</v>
      </c>
      <c r="B1039">
        <v>10295</v>
      </c>
      <c r="C1039" s="4">
        <v>12292</v>
      </c>
      <c r="D1039" t="s">
        <v>306</v>
      </c>
      <c r="E1039" s="4">
        <v>12</v>
      </c>
      <c r="F1039" s="25">
        <v>43713.846712962964</v>
      </c>
      <c r="G1039">
        <v>0</v>
      </c>
      <c r="H1039" s="25"/>
      <c r="I1039" s="25"/>
      <c r="J1039" s="25" t="s">
        <v>300</v>
      </c>
    </row>
    <row r="1040" spans="1:10" x14ac:dyDescent="0.25">
      <c r="A1040" s="4">
        <v>29969</v>
      </c>
      <c r="B1040">
        <v>10295</v>
      </c>
      <c r="C1040" s="4">
        <v>12292</v>
      </c>
      <c r="D1040" t="s">
        <v>306</v>
      </c>
      <c r="E1040" s="4">
        <v>10</v>
      </c>
      <c r="F1040" s="25">
        <v>43713.846701388888</v>
      </c>
      <c r="G1040">
        <v>0</v>
      </c>
      <c r="H1040" s="25"/>
      <c r="I1040" s="25"/>
      <c r="J1040" s="25" t="s">
        <v>300</v>
      </c>
    </row>
    <row r="1041" spans="1:10" x14ac:dyDescent="0.25">
      <c r="A1041" s="4">
        <v>29969</v>
      </c>
      <c r="B1041">
        <v>10295</v>
      </c>
      <c r="C1041" s="4">
        <v>12292</v>
      </c>
      <c r="D1041" t="s">
        <v>306</v>
      </c>
      <c r="E1041" s="4">
        <v>11</v>
      </c>
      <c r="F1041" s="25">
        <v>43713.846701388888</v>
      </c>
      <c r="G1041">
        <v>0</v>
      </c>
      <c r="H1041" s="25"/>
      <c r="I1041" s="25"/>
      <c r="J1041" s="25" t="s">
        <v>300</v>
      </c>
    </row>
    <row r="1042" spans="1:10" x14ac:dyDescent="0.25">
      <c r="A1042" s="4">
        <v>29969</v>
      </c>
      <c r="B1042">
        <v>10295</v>
      </c>
      <c r="C1042" s="4">
        <v>12292</v>
      </c>
      <c r="D1042" t="s">
        <v>306</v>
      </c>
      <c r="E1042" s="4">
        <v>9</v>
      </c>
      <c r="F1042" s="25">
        <v>43713.846689814818</v>
      </c>
      <c r="G1042">
        <v>0</v>
      </c>
      <c r="H1042" s="25"/>
      <c r="I1042" s="25"/>
      <c r="J1042" s="25" t="s">
        <v>300</v>
      </c>
    </row>
    <row r="1043" spans="1:10" x14ac:dyDescent="0.25">
      <c r="A1043" s="4">
        <v>29969</v>
      </c>
      <c r="B1043">
        <v>10295</v>
      </c>
      <c r="C1043" s="4">
        <v>12292</v>
      </c>
      <c r="D1043" t="s">
        <v>306</v>
      </c>
      <c r="E1043" s="4">
        <v>8</v>
      </c>
      <c r="F1043" s="25">
        <v>43713.846678240741</v>
      </c>
      <c r="G1043">
        <v>0</v>
      </c>
      <c r="H1043" s="25"/>
      <c r="I1043" s="25"/>
      <c r="J1043" s="25" t="s">
        <v>300</v>
      </c>
    </row>
    <row r="1044" spans="1:10" x14ac:dyDescent="0.25">
      <c r="A1044" s="4">
        <v>29969</v>
      </c>
      <c r="B1044">
        <v>10295</v>
      </c>
      <c r="C1044" s="4">
        <v>12292</v>
      </c>
      <c r="D1044" t="s">
        <v>306</v>
      </c>
      <c r="E1044" s="4">
        <v>6</v>
      </c>
      <c r="F1044" s="25">
        <v>43713.846666666665</v>
      </c>
      <c r="G1044">
        <v>0</v>
      </c>
      <c r="H1044" s="25"/>
      <c r="I1044" s="25"/>
      <c r="J1044" s="25" t="s">
        <v>300</v>
      </c>
    </row>
    <row r="1045" spans="1:10" x14ac:dyDescent="0.25">
      <c r="A1045" s="4">
        <v>29969</v>
      </c>
      <c r="B1045">
        <v>10295</v>
      </c>
      <c r="C1045" s="4">
        <v>12292</v>
      </c>
      <c r="D1045" t="s">
        <v>306</v>
      </c>
      <c r="E1045" s="4">
        <v>7</v>
      </c>
      <c r="F1045" s="25">
        <v>43713.846666666665</v>
      </c>
      <c r="G1045">
        <v>0</v>
      </c>
      <c r="H1045" s="25"/>
      <c r="I1045" s="25"/>
      <c r="J1045" s="25" t="s">
        <v>300</v>
      </c>
    </row>
    <row r="1046" spans="1:10" x14ac:dyDescent="0.25">
      <c r="A1046" s="4">
        <v>29969</v>
      </c>
      <c r="B1046">
        <v>10295</v>
      </c>
      <c r="C1046" s="4">
        <v>12292</v>
      </c>
      <c r="D1046" t="s">
        <v>306</v>
      </c>
      <c r="E1046" s="4">
        <v>5</v>
      </c>
      <c r="F1046" s="25">
        <v>43713.846655092595</v>
      </c>
      <c r="G1046">
        <v>0</v>
      </c>
      <c r="H1046" s="25"/>
      <c r="I1046" s="25"/>
      <c r="J1046" s="25" t="s">
        <v>300</v>
      </c>
    </row>
    <row r="1047" spans="1:10" x14ac:dyDescent="0.25">
      <c r="A1047" s="4">
        <v>29969</v>
      </c>
      <c r="B1047">
        <v>10295</v>
      </c>
      <c r="C1047" s="4">
        <v>12292</v>
      </c>
      <c r="D1047" t="s">
        <v>306</v>
      </c>
      <c r="E1047" s="4">
        <v>3</v>
      </c>
      <c r="F1047" s="25">
        <v>43713.846643518518</v>
      </c>
      <c r="G1047">
        <v>0</v>
      </c>
      <c r="H1047" s="25"/>
      <c r="I1047" s="25"/>
      <c r="J1047" s="25" t="s">
        <v>300</v>
      </c>
    </row>
    <row r="1048" spans="1:10" x14ac:dyDescent="0.25">
      <c r="A1048" s="4">
        <v>29969</v>
      </c>
      <c r="B1048">
        <v>10295</v>
      </c>
      <c r="C1048" s="4">
        <v>12292</v>
      </c>
      <c r="D1048" t="s">
        <v>306</v>
      </c>
      <c r="E1048" s="4">
        <v>4</v>
      </c>
      <c r="F1048" s="25">
        <v>43713.846643518518</v>
      </c>
      <c r="G1048">
        <v>0</v>
      </c>
      <c r="H1048" s="25"/>
      <c r="I1048" s="25"/>
      <c r="J1048" s="25" t="s">
        <v>300</v>
      </c>
    </row>
    <row r="1049" spans="1:10" x14ac:dyDescent="0.25">
      <c r="A1049" s="4">
        <v>29969</v>
      </c>
      <c r="B1049">
        <v>10295</v>
      </c>
      <c r="C1049" s="4">
        <v>12292</v>
      </c>
      <c r="D1049" t="s">
        <v>306</v>
      </c>
      <c r="E1049" s="4">
        <v>2</v>
      </c>
      <c r="F1049" s="25">
        <v>43713.846631944441</v>
      </c>
      <c r="G1049">
        <v>0</v>
      </c>
      <c r="H1049" s="25"/>
      <c r="I1049" s="25"/>
      <c r="J1049" s="25" t="s">
        <v>300</v>
      </c>
    </row>
    <row r="1050" spans="1:10" x14ac:dyDescent="0.25">
      <c r="A1050" s="4">
        <v>29969</v>
      </c>
      <c r="B1050">
        <v>10295</v>
      </c>
      <c r="C1050" s="4">
        <v>12292</v>
      </c>
      <c r="D1050" t="s">
        <v>306</v>
      </c>
      <c r="E1050" s="4">
        <v>1</v>
      </c>
      <c r="F1050" s="25">
        <v>43713.846620370372</v>
      </c>
      <c r="G1050">
        <v>0</v>
      </c>
      <c r="H1050" s="25"/>
      <c r="I1050" s="25"/>
      <c r="J1050" s="25" t="s">
        <v>300</v>
      </c>
    </row>
    <row r="1051" spans="1:10" x14ac:dyDescent="0.25">
      <c r="A1051" s="4">
        <v>29969</v>
      </c>
      <c r="B1051">
        <v>10295</v>
      </c>
      <c r="C1051" s="4">
        <v>12292</v>
      </c>
      <c r="D1051" t="s">
        <v>306</v>
      </c>
      <c r="E1051" s="4">
        <v>0</v>
      </c>
      <c r="F1051" s="25">
        <v>43713.846608796295</v>
      </c>
      <c r="G1051">
        <v>0</v>
      </c>
      <c r="H1051" s="25"/>
      <c r="I1051" s="25"/>
      <c r="J1051" s="25" t="s">
        <v>300</v>
      </c>
    </row>
    <row r="1052" spans="1:10" x14ac:dyDescent="0.25">
      <c r="A1052" s="4">
        <v>29404</v>
      </c>
      <c r="B1052">
        <v>2563</v>
      </c>
      <c r="C1052" s="4">
        <v>12292</v>
      </c>
      <c r="D1052" t="s">
        <v>306</v>
      </c>
      <c r="E1052" s="4">
        <v>0</v>
      </c>
      <c r="F1052" s="25">
        <v>43713.844618055555</v>
      </c>
      <c r="G1052">
        <v>0</v>
      </c>
      <c r="H1052" s="25"/>
      <c r="I1052" s="25"/>
      <c r="J1052" s="25" t="s">
        <v>300</v>
      </c>
    </row>
    <row r="1053" spans="1:10" x14ac:dyDescent="0.25">
      <c r="A1053" s="4">
        <v>26694</v>
      </c>
      <c r="B1053">
        <v>2564</v>
      </c>
      <c r="C1053" s="4">
        <v>12292</v>
      </c>
      <c r="D1053" t="s">
        <v>306</v>
      </c>
      <c r="E1053" s="4">
        <v>0</v>
      </c>
      <c r="F1053" s="25">
        <v>43713.835011574076</v>
      </c>
      <c r="G1053">
        <v>0</v>
      </c>
      <c r="H1053" s="25"/>
      <c r="I1053" s="25"/>
      <c r="J1053" s="25" t="s">
        <v>300</v>
      </c>
    </row>
    <row r="1054" spans="1:10" x14ac:dyDescent="0.25">
      <c r="A1054" s="4">
        <v>24970</v>
      </c>
      <c r="B1054">
        <v>2565</v>
      </c>
      <c r="C1054" s="4">
        <v>12292</v>
      </c>
      <c r="D1054" t="s">
        <v>306</v>
      </c>
      <c r="E1054" s="4">
        <v>1</v>
      </c>
      <c r="F1054" s="25">
        <v>43713.833344907405</v>
      </c>
      <c r="G1054">
        <v>0</v>
      </c>
      <c r="H1054" s="25"/>
      <c r="I1054" s="25"/>
      <c r="J1054" s="25" t="s">
        <v>300</v>
      </c>
    </row>
    <row r="1055" spans="1:10" x14ac:dyDescent="0.25">
      <c r="A1055" s="4">
        <v>30131</v>
      </c>
      <c r="B1055">
        <v>2568</v>
      </c>
      <c r="C1055" s="4">
        <v>12292</v>
      </c>
      <c r="D1055" t="s">
        <v>306</v>
      </c>
      <c r="E1055" s="4">
        <v>3</v>
      </c>
      <c r="F1055" s="25">
        <v>43713.833344907405</v>
      </c>
      <c r="G1055">
        <v>0</v>
      </c>
      <c r="H1055" s="25"/>
      <c r="I1055" s="25"/>
      <c r="J1055" s="25" t="s">
        <v>300</v>
      </c>
    </row>
    <row r="1056" spans="1:10" x14ac:dyDescent="0.25">
      <c r="A1056" s="4">
        <v>24970</v>
      </c>
      <c r="B1056">
        <v>2565</v>
      </c>
      <c r="C1056" s="4">
        <v>12292</v>
      </c>
      <c r="D1056" t="s">
        <v>306</v>
      </c>
      <c r="E1056" s="4">
        <v>0</v>
      </c>
      <c r="F1056" s="25">
        <v>43713.828888888886</v>
      </c>
      <c r="G1056">
        <v>0</v>
      </c>
      <c r="H1056" s="25"/>
      <c r="I1056" s="25"/>
      <c r="J1056" s="25" t="s">
        <v>300</v>
      </c>
    </row>
    <row r="1057" spans="1:10" x14ac:dyDescent="0.25">
      <c r="A1057" s="4">
        <v>12867</v>
      </c>
      <c r="B1057">
        <v>2566</v>
      </c>
      <c r="C1057" s="4">
        <v>12292</v>
      </c>
      <c r="D1057" t="s">
        <v>306</v>
      </c>
      <c r="E1057" s="4">
        <v>1</v>
      </c>
      <c r="F1057" s="25">
        <v>43713.791689814818</v>
      </c>
      <c r="G1057">
        <v>0</v>
      </c>
      <c r="H1057" s="25"/>
      <c r="I1057" s="25"/>
      <c r="J1057" s="25" t="s">
        <v>300</v>
      </c>
    </row>
    <row r="1058" spans="1:10" x14ac:dyDescent="0.25">
      <c r="A1058" s="4">
        <v>30131</v>
      </c>
      <c r="B1058">
        <v>2568</v>
      </c>
      <c r="C1058" s="4">
        <v>12292</v>
      </c>
      <c r="D1058" t="s">
        <v>306</v>
      </c>
      <c r="E1058" s="4">
        <v>2</v>
      </c>
      <c r="F1058" s="25">
        <v>43713.791689814818</v>
      </c>
      <c r="G1058">
        <v>0</v>
      </c>
      <c r="H1058" s="25"/>
      <c r="I1058" s="25"/>
      <c r="J1058" s="25" t="s">
        <v>300</v>
      </c>
    </row>
    <row r="1059" spans="1:10" x14ac:dyDescent="0.25">
      <c r="A1059" s="4">
        <v>12867</v>
      </c>
      <c r="B1059">
        <v>2566</v>
      </c>
      <c r="C1059" s="4">
        <v>12292</v>
      </c>
      <c r="D1059" t="s">
        <v>306</v>
      </c>
      <c r="E1059" s="4">
        <v>0</v>
      </c>
      <c r="F1059" s="25">
        <v>43713.786006944443</v>
      </c>
      <c r="G1059">
        <v>0</v>
      </c>
      <c r="H1059" s="25"/>
      <c r="I1059" s="25"/>
      <c r="J1059" s="25" t="s">
        <v>300</v>
      </c>
    </row>
    <row r="1060" spans="1:10" x14ac:dyDescent="0.25">
      <c r="A1060" s="4">
        <v>10539</v>
      </c>
      <c r="B1060">
        <v>2567</v>
      </c>
      <c r="C1060" s="4">
        <v>12292</v>
      </c>
      <c r="D1060" t="s">
        <v>306</v>
      </c>
      <c r="E1060" s="4">
        <v>0</v>
      </c>
      <c r="F1060" s="25">
        <v>43713.777719907404</v>
      </c>
      <c r="G1060">
        <v>0</v>
      </c>
      <c r="H1060" s="25"/>
      <c r="I1060" s="25"/>
      <c r="J1060" s="25" t="s">
        <v>300</v>
      </c>
    </row>
    <row r="1061" spans="1:10" x14ac:dyDescent="0.25">
      <c r="A1061" s="4">
        <v>3427</v>
      </c>
      <c r="B1061">
        <v>15172</v>
      </c>
      <c r="C1061" s="4">
        <v>12292</v>
      </c>
      <c r="D1061" t="s">
        <v>306</v>
      </c>
      <c r="E1061" s="4">
        <v>24</v>
      </c>
      <c r="F1061" s="25">
        <v>43713.752754629626</v>
      </c>
      <c r="G1061">
        <v>0</v>
      </c>
      <c r="H1061" s="25"/>
      <c r="I1061" s="25"/>
      <c r="J1061" s="25" t="s">
        <v>300</v>
      </c>
    </row>
    <row r="1062" spans="1:10" x14ac:dyDescent="0.25">
      <c r="A1062" s="4">
        <v>3427</v>
      </c>
      <c r="B1062">
        <v>15172</v>
      </c>
      <c r="C1062" s="4">
        <v>12292</v>
      </c>
      <c r="D1062" t="s">
        <v>306</v>
      </c>
      <c r="E1062" s="4">
        <v>22</v>
      </c>
      <c r="F1062" s="25">
        <v>43713.752743055556</v>
      </c>
      <c r="G1062">
        <v>0</v>
      </c>
      <c r="H1062" s="25"/>
      <c r="I1062" s="25"/>
      <c r="J1062" s="25" t="s">
        <v>300</v>
      </c>
    </row>
    <row r="1063" spans="1:10" x14ac:dyDescent="0.25">
      <c r="A1063" s="4">
        <v>3427</v>
      </c>
      <c r="B1063">
        <v>15172</v>
      </c>
      <c r="C1063" s="4">
        <v>12292</v>
      </c>
      <c r="D1063" t="s">
        <v>306</v>
      </c>
      <c r="E1063" s="4">
        <v>23</v>
      </c>
      <c r="F1063" s="25">
        <v>43713.752743055556</v>
      </c>
      <c r="G1063">
        <v>0</v>
      </c>
      <c r="H1063" s="25"/>
      <c r="I1063" s="25"/>
      <c r="J1063" s="25" t="s">
        <v>300</v>
      </c>
    </row>
    <row r="1064" spans="1:10" x14ac:dyDescent="0.25">
      <c r="A1064" s="4">
        <v>3427</v>
      </c>
      <c r="B1064">
        <v>15172</v>
      </c>
      <c r="C1064" s="4">
        <v>12292</v>
      </c>
      <c r="D1064" t="s">
        <v>306</v>
      </c>
      <c r="E1064" s="4">
        <v>21</v>
      </c>
      <c r="F1064" s="25">
        <v>43713.75273148148</v>
      </c>
      <c r="G1064">
        <v>0</v>
      </c>
      <c r="H1064" s="25"/>
      <c r="I1064" s="25"/>
      <c r="J1064" s="25" t="s">
        <v>300</v>
      </c>
    </row>
    <row r="1065" spans="1:10" x14ac:dyDescent="0.25">
      <c r="A1065" s="4">
        <v>3427</v>
      </c>
      <c r="B1065">
        <v>15172</v>
      </c>
      <c r="C1065" s="4">
        <v>12292</v>
      </c>
      <c r="D1065" t="s">
        <v>306</v>
      </c>
      <c r="E1065" s="4">
        <v>19</v>
      </c>
      <c r="F1065" s="25">
        <v>43713.75271990741</v>
      </c>
      <c r="G1065">
        <v>0</v>
      </c>
      <c r="H1065" s="25"/>
      <c r="I1065" s="25"/>
      <c r="J1065" s="25" t="s">
        <v>300</v>
      </c>
    </row>
    <row r="1066" spans="1:10" x14ac:dyDescent="0.25">
      <c r="A1066" s="4">
        <v>3427</v>
      </c>
      <c r="B1066">
        <v>15172</v>
      </c>
      <c r="C1066" s="4">
        <v>12292</v>
      </c>
      <c r="D1066" t="s">
        <v>306</v>
      </c>
      <c r="E1066" s="4">
        <v>20</v>
      </c>
      <c r="F1066" s="25">
        <v>43713.75271990741</v>
      </c>
      <c r="G1066">
        <v>0</v>
      </c>
      <c r="H1066" s="25"/>
      <c r="I1066" s="25"/>
      <c r="J1066" s="25" t="s">
        <v>300</v>
      </c>
    </row>
    <row r="1067" spans="1:10" x14ac:dyDescent="0.25">
      <c r="A1067" s="4">
        <v>3427</v>
      </c>
      <c r="B1067">
        <v>15172</v>
      </c>
      <c r="C1067" s="4">
        <v>12292</v>
      </c>
      <c r="D1067" t="s">
        <v>306</v>
      </c>
      <c r="E1067" s="4">
        <v>18</v>
      </c>
      <c r="F1067" s="25">
        <v>43713.752708333333</v>
      </c>
      <c r="G1067">
        <v>0</v>
      </c>
      <c r="H1067" s="25"/>
      <c r="I1067" s="25"/>
      <c r="J1067" s="25" t="s">
        <v>300</v>
      </c>
    </row>
    <row r="1068" spans="1:10" x14ac:dyDescent="0.25">
      <c r="A1068" s="4">
        <v>3427</v>
      </c>
      <c r="B1068">
        <v>15172</v>
      </c>
      <c r="C1068" s="4">
        <v>12292</v>
      </c>
      <c r="D1068" t="s">
        <v>306</v>
      </c>
      <c r="E1068" s="4">
        <v>16</v>
      </c>
      <c r="F1068" s="25">
        <v>43713.752696759257</v>
      </c>
      <c r="G1068">
        <v>0</v>
      </c>
      <c r="H1068" s="25"/>
      <c r="I1068" s="25"/>
      <c r="J1068" s="25" t="s">
        <v>300</v>
      </c>
    </row>
    <row r="1069" spans="1:10" x14ac:dyDescent="0.25">
      <c r="A1069" s="4">
        <v>3427</v>
      </c>
      <c r="B1069">
        <v>15172</v>
      </c>
      <c r="C1069" s="4">
        <v>12292</v>
      </c>
      <c r="D1069" t="s">
        <v>306</v>
      </c>
      <c r="E1069" s="4">
        <v>17</v>
      </c>
      <c r="F1069" s="25">
        <v>43713.752696759257</v>
      </c>
      <c r="G1069">
        <v>0</v>
      </c>
      <c r="H1069" s="25"/>
      <c r="I1069" s="25"/>
      <c r="J1069" s="25" t="s">
        <v>300</v>
      </c>
    </row>
    <row r="1070" spans="1:10" x14ac:dyDescent="0.25">
      <c r="A1070" s="4">
        <v>3427</v>
      </c>
      <c r="B1070">
        <v>15172</v>
      </c>
      <c r="C1070" s="4">
        <v>12292</v>
      </c>
      <c r="D1070" t="s">
        <v>306</v>
      </c>
      <c r="E1070" s="4">
        <v>15</v>
      </c>
      <c r="F1070" s="25">
        <v>43713.752685185187</v>
      </c>
      <c r="G1070">
        <v>0</v>
      </c>
      <c r="H1070" s="25"/>
      <c r="I1070" s="25"/>
      <c r="J1070" s="25" t="s">
        <v>300</v>
      </c>
    </row>
    <row r="1071" spans="1:10" x14ac:dyDescent="0.25">
      <c r="A1071" s="4">
        <v>3427</v>
      </c>
      <c r="B1071">
        <v>15172</v>
      </c>
      <c r="C1071" s="4">
        <v>12292</v>
      </c>
      <c r="D1071" t="s">
        <v>306</v>
      </c>
      <c r="E1071" s="4">
        <v>13</v>
      </c>
      <c r="F1071" s="25">
        <v>43713.75267361111</v>
      </c>
      <c r="G1071">
        <v>0</v>
      </c>
      <c r="H1071" s="25"/>
      <c r="I1071" s="25"/>
      <c r="J1071" s="25" t="s">
        <v>300</v>
      </c>
    </row>
    <row r="1072" spans="1:10" x14ac:dyDescent="0.25">
      <c r="A1072" s="4">
        <v>3427</v>
      </c>
      <c r="B1072">
        <v>15172</v>
      </c>
      <c r="C1072" s="4">
        <v>12292</v>
      </c>
      <c r="D1072" t="s">
        <v>306</v>
      </c>
      <c r="E1072" s="4">
        <v>14</v>
      </c>
      <c r="F1072" s="25">
        <v>43713.75267361111</v>
      </c>
      <c r="G1072">
        <v>0</v>
      </c>
      <c r="H1072" s="25"/>
      <c r="I1072" s="25"/>
      <c r="J1072" s="25" t="s">
        <v>300</v>
      </c>
    </row>
    <row r="1073" spans="1:10" x14ac:dyDescent="0.25">
      <c r="A1073" s="4">
        <v>3427</v>
      </c>
      <c r="B1073">
        <v>15172</v>
      </c>
      <c r="C1073" s="4">
        <v>12292</v>
      </c>
      <c r="D1073" t="s">
        <v>306</v>
      </c>
      <c r="E1073" s="4">
        <v>12</v>
      </c>
      <c r="F1073" s="25">
        <v>43713.752662037034</v>
      </c>
      <c r="G1073">
        <v>0</v>
      </c>
      <c r="H1073" s="25"/>
      <c r="I1073" s="25"/>
      <c r="J1073" s="25" t="s">
        <v>300</v>
      </c>
    </row>
    <row r="1074" spans="1:10" x14ac:dyDescent="0.25">
      <c r="A1074" s="4">
        <v>3427</v>
      </c>
      <c r="B1074">
        <v>15172</v>
      </c>
      <c r="C1074" s="4">
        <v>12292</v>
      </c>
      <c r="D1074" t="s">
        <v>306</v>
      </c>
      <c r="E1074" s="4">
        <v>11</v>
      </c>
      <c r="F1074" s="25">
        <v>43713.752650462964</v>
      </c>
      <c r="G1074">
        <v>0</v>
      </c>
      <c r="H1074" s="25"/>
      <c r="I1074" s="25"/>
      <c r="J1074" s="25" t="s">
        <v>300</v>
      </c>
    </row>
    <row r="1075" spans="1:10" x14ac:dyDescent="0.25">
      <c r="A1075" s="4">
        <v>3427</v>
      </c>
      <c r="B1075">
        <v>15172</v>
      </c>
      <c r="C1075" s="4">
        <v>12292</v>
      </c>
      <c r="D1075" t="s">
        <v>306</v>
      </c>
      <c r="E1075" s="4">
        <v>9</v>
      </c>
      <c r="F1075" s="25">
        <v>43713.752638888887</v>
      </c>
      <c r="G1075">
        <v>0</v>
      </c>
      <c r="H1075" s="25"/>
      <c r="I1075" s="25"/>
      <c r="J1075" s="25" t="s">
        <v>300</v>
      </c>
    </row>
    <row r="1076" spans="1:10" x14ac:dyDescent="0.25">
      <c r="A1076" s="4">
        <v>3427</v>
      </c>
      <c r="B1076">
        <v>15172</v>
      </c>
      <c r="C1076" s="4">
        <v>12292</v>
      </c>
      <c r="D1076" t="s">
        <v>306</v>
      </c>
      <c r="E1076" s="4">
        <v>10</v>
      </c>
      <c r="F1076" s="25">
        <v>43713.752638888887</v>
      </c>
      <c r="G1076">
        <v>0</v>
      </c>
      <c r="H1076" s="25"/>
      <c r="I1076" s="25"/>
      <c r="J1076" s="25" t="s">
        <v>300</v>
      </c>
    </row>
    <row r="1077" spans="1:10" x14ac:dyDescent="0.25">
      <c r="A1077" s="4">
        <v>3427</v>
      </c>
      <c r="B1077">
        <v>15172</v>
      </c>
      <c r="C1077" s="4">
        <v>12292</v>
      </c>
      <c r="D1077" t="s">
        <v>306</v>
      </c>
      <c r="E1077" s="4">
        <v>8</v>
      </c>
      <c r="F1077" s="25">
        <v>43713.752627314818</v>
      </c>
      <c r="G1077">
        <v>0</v>
      </c>
      <c r="H1077" s="25"/>
      <c r="I1077" s="25"/>
      <c r="J1077" s="25" t="s">
        <v>300</v>
      </c>
    </row>
    <row r="1078" spans="1:10" x14ac:dyDescent="0.25">
      <c r="A1078" s="4">
        <v>3427</v>
      </c>
      <c r="B1078">
        <v>15172</v>
      </c>
      <c r="C1078" s="4">
        <v>12292</v>
      </c>
      <c r="D1078" t="s">
        <v>306</v>
      </c>
      <c r="E1078" s="4">
        <v>7</v>
      </c>
      <c r="F1078" s="25">
        <v>43713.752615740741</v>
      </c>
      <c r="G1078">
        <v>0</v>
      </c>
      <c r="H1078" s="25"/>
      <c r="I1078" s="25"/>
      <c r="J1078" s="25" t="s">
        <v>300</v>
      </c>
    </row>
    <row r="1079" spans="1:10" x14ac:dyDescent="0.25">
      <c r="A1079" s="4">
        <v>3427</v>
      </c>
      <c r="B1079">
        <v>15172</v>
      </c>
      <c r="C1079" s="4">
        <v>12292</v>
      </c>
      <c r="D1079" t="s">
        <v>306</v>
      </c>
      <c r="E1079" s="4">
        <v>5</v>
      </c>
      <c r="F1079" s="25">
        <v>43713.752604166664</v>
      </c>
      <c r="G1079">
        <v>0</v>
      </c>
      <c r="H1079" s="25"/>
      <c r="I1079" s="25"/>
      <c r="J1079" s="25" t="s">
        <v>300</v>
      </c>
    </row>
    <row r="1080" spans="1:10" x14ac:dyDescent="0.25">
      <c r="A1080" s="4">
        <v>3427</v>
      </c>
      <c r="B1080">
        <v>15172</v>
      </c>
      <c r="C1080" s="4">
        <v>12292</v>
      </c>
      <c r="D1080" t="s">
        <v>306</v>
      </c>
      <c r="E1080" s="4">
        <v>6</v>
      </c>
      <c r="F1080" s="25">
        <v>43713.752604166664</v>
      </c>
      <c r="G1080">
        <v>0</v>
      </c>
      <c r="H1080" s="25"/>
      <c r="I1080" s="25"/>
      <c r="J1080" s="25" t="s">
        <v>300</v>
      </c>
    </row>
    <row r="1081" spans="1:10" x14ac:dyDescent="0.25">
      <c r="A1081" s="4">
        <v>3427</v>
      </c>
      <c r="B1081">
        <v>15172</v>
      </c>
      <c r="C1081" s="4">
        <v>12292</v>
      </c>
      <c r="D1081" t="s">
        <v>306</v>
      </c>
      <c r="E1081" s="4">
        <v>4</v>
      </c>
      <c r="F1081" s="25">
        <v>43713.752592592595</v>
      </c>
      <c r="G1081">
        <v>0</v>
      </c>
      <c r="H1081" s="25"/>
      <c r="I1081" s="25"/>
      <c r="J1081" s="25" t="s">
        <v>300</v>
      </c>
    </row>
    <row r="1082" spans="1:10" x14ac:dyDescent="0.25">
      <c r="A1082" s="4">
        <v>3427</v>
      </c>
      <c r="B1082">
        <v>15172</v>
      </c>
      <c r="C1082" s="4">
        <v>12292</v>
      </c>
      <c r="D1082" t="s">
        <v>306</v>
      </c>
      <c r="E1082" s="4">
        <v>3</v>
      </c>
      <c r="F1082" s="25">
        <v>43713.752581018518</v>
      </c>
      <c r="G1082">
        <v>0</v>
      </c>
      <c r="H1082" s="25"/>
      <c r="I1082" s="25"/>
      <c r="J1082" s="25" t="s">
        <v>300</v>
      </c>
    </row>
    <row r="1083" spans="1:10" x14ac:dyDescent="0.25">
      <c r="A1083" s="4">
        <v>3427</v>
      </c>
      <c r="B1083">
        <v>15172</v>
      </c>
      <c r="C1083" s="4">
        <v>12292</v>
      </c>
      <c r="D1083" t="s">
        <v>306</v>
      </c>
      <c r="E1083" s="4">
        <v>1</v>
      </c>
      <c r="F1083" s="25">
        <v>43713.752569444441</v>
      </c>
      <c r="G1083">
        <v>0</v>
      </c>
      <c r="H1083" s="25"/>
      <c r="I1083" s="25"/>
      <c r="J1083" s="25" t="s">
        <v>300</v>
      </c>
    </row>
    <row r="1084" spans="1:10" x14ac:dyDescent="0.25">
      <c r="A1084" s="4">
        <v>3427</v>
      </c>
      <c r="B1084">
        <v>15172</v>
      </c>
      <c r="C1084" s="4">
        <v>12292</v>
      </c>
      <c r="D1084" t="s">
        <v>306</v>
      </c>
      <c r="E1084" s="4">
        <v>2</v>
      </c>
      <c r="F1084" s="25">
        <v>43713.752569444441</v>
      </c>
      <c r="G1084">
        <v>0</v>
      </c>
      <c r="H1084" s="25"/>
      <c r="I1084" s="25"/>
      <c r="J1084" s="25" t="s">
        <v>300</v>
      </c>
    </row>
    <row r="1085" spans="1:10" x14ac:dyDescent="0.25">
      <c r="A1085" s="4">
        <v>3427</v>
      </c>
      <c r="B1085">
        <v>15172</v>
      </c>
      <c r="C1085" s="4">
        <v>12292</v>
      </c>
      <c r="D1085" t="s">
        <v>306</v>
      </c>
      <c r="E1085" s="4">
        <v>0</v>
      </c>
      <c r="F1085" s="25">
        <v>43713.752557870372</v>
      </c>
      <c r="G1085">
        <v>0</v>
      </c>
      <c r="H1085" s="25"/>
      <c r="I1085" s="25"/>
      <c r="J1085" s="25" t="s">
        <v>300</v>
      </c>
    </row>
    <row r="1086" spans="1:10" x14ac:dyDescent="0.25">
      <c r="A1086" s="4">
        <v>30131</v>
      </c>
      <c r="B1086">
        <v>2568</v>
      </c>
      <c r="C1086" s="4">
        <v>12292</v>
      </c>
      <c r="D1086" t="s">
        <v>306</v>
      </c>
      <c r="E1086" s="4">
        <v>1</v>
      </c>
      <c r="F1086" s="25">
        <v>43713.750023148146</v>
      </c>
      <c r="G1086">
        <v>0</v>
      </c>
      <c r="H1086" s="25"/>
      <c r="I1086" s="25"/>
      <c r="J1086" s="25" t="s">
        <v>300</v>
      </c>
    </row>
    <row r="1087" spans="1:10" x14ac:dyDescent="0.25">
      <c r="A1087" s="4">
        <v>30206</v>
      </c>
      <c r="B1087">
        <v>15764</v>
      </c>
      <c r="C1087" s="4">
        <v>12292</v>
      </c>
      <c r="D1087" t="s">
        <v>306</v>
      </c>
      <c r="E1087" s="4">
        <v>24</v>
      </c>
      <c r="F1087" s="25">
        <v>43713.732256944444</v>
      </c>
      <c r="G1087">
        <v>0</v>
      </c>
      <c r="H1087" s="25"/>
      <c r="I1087" s="25"/>
      <c r="J1087" s="25" t="s">
        <v>300</v>
      </c>
    </row>
    <row r="1088" spans="1:10" x14ac:dyDescent="0.25">
      <c r="A1088" s="4">
        <v>30206</v>
      </c>
      <c r="B1088">
        <v>15764</v>
      </c>
      <c r="C1088" s="4">
        <v>12292</v>
      </c>
      <c r="D1088" t="s">
        <v>306</v>
      </c>
      <c r="E1088" s="4">
        <v>23</v>
      </c>
      <c r="F1088" s="25">
        <v>43713.732245370367</v>
      </c>
      <c r="G1088">
        <v>0</v>
      </c>
      <c r="H1088" s="25"/>
      <c r="I1088" s="25"/>
      <c r="J1088" s="25" t="s">
        <v>300</v>
      </c>
    </row>
    <row r="1089" spans="1:10" x14ac:dyDescent="0.25">
      <c r="A1089" s="4">
        <v>30206</v>
      </c>
      <c r="B1089">
        <v>15764</v>
      </c>
      <c r="C1089" s="4">
        <v>12292</v>
      </c>
      <c r="D1089" t="s">
        <v>306</v>
      </c>
      <c r="E1089" s="4">
        <v>22</v>
      </c>
      <c r="F1089" s="25">
        <v>43713.732233796298</v>
      </c>
      <c r="G1089">
        <v>0</v>
      </c>
      <c r="H1089" s="25"/>
      <c r="I1089" s="25"/>
      <c r="J1089" s="25" t="s">
        <v>300</v>
      </c>
    </row>
    <row r="1090" spans="1:10" x14ac:dyDescent="0.25">
      <c r="A1090" s="4">
        <v>30206</v>
      </c>
      <c r="B1090">
        <v>15764</v>
      </c>
      <c r="C1090" s="4">
        <v>12292</v>
      </c>
      <c r="D1090" t="s">
        <v>306</v>
      </c>
      <c r="E1090" s="4">
        <v>20</v>
      </c>
      <c r="F1090" s="25">
        <v>43713.732222222221</v>
      </c>
      <c r="G1090">
        <v>0</v>
      </c>
      <c r="H1090" s="25"/>
      <c r="I1090" s="25"/>
      <c r="J1090" s="25" t="s">
        <v>300</v>
      </c>
    </row>
    <row r="1091" spans="1:10" x14ac:dyDescent="0.25">
      <c r="A1091" s="4">
        <v>30206</v>
      </c>
      <c r="B1091">
        <v>15764</v>
      </c>
      <c r="C1091" s="4">
        <v>12292</v>
      </c>
      <c r="D1091" t="s">
        <v>306</v>
      </c>
      <c r="E1091" s="4">
        <v>21</v>
      </c>
      <c r="F1091" s="25">
        <v>43713.732222222221</v>
      </c>
      <c r="G1091">
        <v>0</v>
      </c>
      <c r="H1091" s="25"/>
      <c r="I1091" s="25"/>
      <c r="J1091" s="25" t="s">
        <v>300</v>
      </c>
    </row>
    <row r="1092" spans="1:10" x14ac:dyDescent="0.25">
      <c r="A1092" s="4">
        <v>30206</v>
      </c>
      <c r="B1092">
        <v>15764</v>
      </c>
      <c r="C1092" s="4">
        <v>12292</v>
      </c>
      <c r="D1092" t="s">
        <v>306</v>
      </c>
      <c r="E1092" s="4">
        <v>19</v>
      </c>
      <c r="F1092" s="25">
        <v>43713.732210648152</v>
      </c>
      <c r="G1092">
        <v>0</v>
      </c>
      <c r="H1092" s="25"/>
      <c r="I1092" s="25"/>
      <c r="J1092" s="25" t="s">
        <v>300</v>
      </c>
    </row>
    <row r="1093" spans="1:10" x14ac:dyDescent="0.25">
      <c r="A1093" s="4">
        <v>30206</v>
      </c>
      <c r="B1093">
        <v>15764</v>
      </c>
      <c r="C1093" s="4">
        <v>12292</v>
      </c>
      <c r="D1093" t="s">
        <v>306</v>
      </c>
      <c r="E1093" s="4">
        <v>17</v>
      </c>
      <c r="F1093" s="25">
        <v>43713.732199074075</v>
      </c>
      <c r="G1093">
        <v>0</v>
      </c>
      <c r="H1093" s="25"/>
      <c r="I1093" s="25"/>
      <c r="J1093" s="25" t="s">
        <v>300</v>
      </c>
    </row>
    <row r="1094" spans="1:10" x14ac:dyDescent="0.25">
      <c r="A1094" s="4">
        <v>30206</v>
      </c>
      <c r="B1094">
        <v>15764</v>
      </c>
      <c r="C1094" s="4">
        <v>12292</v>
      </c>
      <c r="D1094" t="s">
        <v>306</v>
      </c>
      <c r="E1094" s="4">
        <v>18</v>
      </c>
      <c r="F1094" s="25">
        <v>43713.732199074075</v>
      </c>
      <c r="G1094">
        <v>0</v>
      </c>
      <c r="H1094" s="25"/>
      <c r="I1094" s="25"/>
      <c r="J1094" s="25" t="s">
        <v>300</v>
      </c>
    </row>
    <row r="1095" spans="1:10" x14ac:dyDescent="0.25">
      <c r="A1095" s="4">
        <v>30206</v>
      </c>
      <c r="B1095">
        <v>15764</v>
      </c>
      <c r="C1095" s="4">
        <v>12292</v>
      </c>
      <c r="D1095" t="s">
        <v>306</v>
      </c>
      <c r="E1095" s="4">
        <v>16</v>
      </c>
      <c r="F1095" s="25">
        <v>43713.732187499998</v>
      </c>
      <c r="G1095">
        <v>0</v>
      </c>
      <c r="H1095" s="25"/>
      <c r="I1095" s="25"/>
      <c r="J1095" s="25" t="s">
        <v>300</v>
      </c>
    </row>
    <row r="1096" spans="1:10" x14ac:dyDescent="0.25">
      <c r="A1096" s="4">
        <v>30206</v>
      </c>
      <c r="B1096">
        <v>15764</v>
      </c>
      <c r="C1096" s="4">
        <v>12292</v>
      </c>
      <c r="D1096" t="s">
        <v>306</v>
      </c>
      <c r="E1096" s="4">
        <v>14</v>
      </c>
      <c r="F1096" s="25">
        <v>43713.732175925928</v>
      </c>
      <c r="G1096">
        <v>0</v>
      </c>
      <c r="H1096" s="25"/>
      <c r="I1096" s="25"/>
      <c r="J1096" s="25" t="s">
        <v>300</v>
      </c>
    </row>
    <row r="1097" spans="1:10" x14ac:dyDescent="0.25">
      <c r="A1097" s="4">
        <v>30206</v>
      </c>
      <c r="B1097">
        <v>15764</v>
      </c>
      <c r="C1097" s="4">
        <v>12292</v>
      </c>
      <c r="D1097" t="s">
        <v>306</v>
      </c>
      <c r="E1097" s="4">
        <v>15</v>
      </c>
      <c r="F1097" s="25">
        <v>43713.732175925928</v>
      </c>
      <c r="G1097">
        <v>0</v>
      </c>
      <c r="H1097" s="25"/>
      <c r="I1097" s="25"/>
      <c r="J1097" s="25" t="s">
        <v>300</v>
      </c>
    </row>
    <row r="1098" spans="1:10" x14ac:dyDescent="0.25">
      <c r="A1098" s="4">
        <v>30206</v>
      </c>
      <c r="B1098">
        <v>15764</v>
      </c>
      <c r="C1098" s="4">
        <v>12292</v>
      </c>
      <c r="D1098" t="s">
        <v>306</v>
      </c>
      <c r="E1098" s="4">
        <v>13</v>
      </c>
      <c r="F1098" s="25">
        <v>43713.732164351852</v>
      </c>
      <c r="G1098">
        <v>0</v>
      </c>
      <c r="H1098" s="25"/>
      <c r="I1098" s="25"/>
      <c r="J1098" s="25" t="s">
        <v>300</v>
      </c>
    </row>
    <row r="1099" spans="1:10" x14ac:dyDescent="0.25">
      <c r="A1099" s="4">
        <v>30206</v>
      </c>
      <c r="B1099">
        <v>15764</v>
      </c>
      <c r="C1099" s="4">
        <v>12292</v>
      </c>
      <c r="D1099" t="s">
        <v>306</v>
      </c>
      <c r="E1099" s="4">
        <v>11</v>
      </c>
      <c r="F1099" s="25">
        <v>43713.732152777775</v>
      </c>
      <c r="G1099">
        <v>0</v>
      </c>
      <c r="H1099" s="25"/>
      <c r="I1099" s="25"/>
      <c r="J1099" s="25" t="s">
        <v>300</v>
      </c>
    </row>
    <row r="1100" spans="1:10" x14ac:dyDescent="0.25">
      <c r="A1100" s="4">
        <v>30206</v>
      </c>
      <c r="B1100">
        <v>15764</v>
      </c>
      <c r="C1100" s="4">
        <v>12292</v>
      </c>
      <c r="D1100" t="s">
        <v>306</v>
      </c>
      <c r="E1100" s="4">
        <v>12</v>
      </c>
      <c r="F1100" s="25">
        <v>43713.732152777775</v>
      </c>
      <c r="G1100">
        <v>0</v>
      </c>
      <c r="H1100" s="25"/>
      <c r="I1100" s="25"/>
      <c r="J1100" s="25" t="s">
        <v>300</v>
      </c>
    </row>
    <row r="1101" spans="1:10" x14ac:dyDescent="0.25">
      <c r="A1101" s="4">
        <v>30206</v>
      </c>
      <c r="B1101">
        <v>15764</v>
      </c>
      <c r="C1101" s="4">
        <v>12292</v>
      </c>
      <c r="D1101" t="s">
        <v>306</v>
      </c>
      <c r="E1101" s="4">
        <v>10</v>
      </c>
      <c r="F1101" s="25">
        <v>43713.732141203705</v>
      </c>
      <c r="G1101">
        <v>0</v>
      </c>
      <c r="H1101" s="25"/>
      <c r="I1101" s="25"/>
      <c r="J1101" s="25" t="s">
        <v>300</v>
      </c>
    </row>
    <row r="1102" spans="1:10" x14ac:dyDescent="0.25">
      <c r="A1102" s="4">
        <v>30206</v>
      </c>
      <c r="B1102">
        <v>15764</v>
      </c>
      <c r="C1102" s="4">
        <v>12292</v>
      </c>
      <c r="D1102" t="s">
        <v>306</v>
      </c>
      <c r="E1102" s="4">
        <v>8</v>
      </c>
      <c r="F1102" s="25">
        <v>43713.732129629629</v>
      </c>
      <c r="G1102">
        <v>0</v>
      </c>
      <c r="H1102" s="25"/>
      <c r="I1102" s="25"/>
      <c r="J1102" s="25" t="s">
        <v>300</v>
      </c>
    </row>
    <row r="1103" spans="1:10" x14ac:dyDescent="0.25">
      <c r="A1103" s="4">
        <v>30206</v>
      </c>
      <c r="B1103">
        <v>15764</v>
      </c>
      <c r="C1103" s="4">
        <v>12292</v>
      </c>
      <c r="D1103" t="s">
        <v>306</v>
      </c>
      <c r="E1103" s="4">
        <v>9</v>
      </c>
      <c r="F1103" s="25">
        <v>43713.732129629629</v>
      </c>
      <c r="G1103">
        <v>0</v>
      </c>
      <c r="H1103" s="25"/>
      <c r="I1103" s="25"/>
      <c r="J1103" s="25" t="s">
        <v>300</v>
      </c>
    </row>
    <row r="1104" spans="1:10" x14ac:dyDescent="0.25">
      <c r="A1104" s="4">
        <v>30206</v>
      </c>
      <c r="B1104">
        <v>15764</v>
      </c>
      <c r="C1104" s="4">
        <v>12292</v>
      </c>
      <c r="D1104" t="s">
        <v>306</v>
      </c>
      <c r="E1104" s="4">
        <v>7</v>
      </c>
      <c r="F1104" s="25">
        <v>43713.732118055559</v>
      </c>
      <c r="G1104">
        <v>0</v>
      </c>
      <c r="H1104" s="25"/>
      <c r="I1104" s="25"/>
      <c r="J1104" s="25" t="s">
        <v>300</v>
      </c>
    </row>
    <row r="1105" spans="1:10" x14ac:dyDescent="0.25">
      <c r="A1105" s="4">
        <v>30206</v>
      </c>
      <c r="B1105">
        <v>15764</v>
      </c>
      <c r="C1105" s="4">
        <v>12292</v>
      </c>
      <c r="D1105" t="s">
        <v>306</v>
      </c>
      <c r="E1105" s="4">
        <v>6</v>
      </c>
      <c r="F1105" s="25">
        <v>43713.732106481482</v>
      </c>
      <c r="G1105">
        <v>0</v>
      </c>
      <c r="H1105" s="25"/>
      <c r="I1105" s="25"/>
      <c r="J1105" s="25" t="s">
        <v>300</v>
      </c>
    </row>
    <row r="1106" spans="1:10" x14ac:dyDescent="0.25">
      <c r="A1106" s="4">
        <v>30206</v>
      </c>
      <c r="B1106">
        <v>15764</v>
      </c>
      <c r="C1106" s="4">
        <v>12292</v>
      </c>
      <c r="D1106" t="s">
        <v>306</v>
      </c>
      <c r="E1106" s="4">
        <v>5</v>
      </c>
      <c r="F1106" s="25">
        <v>43713.732094907406</v>
      </c>
      <c r="G1106">
        <v>0</v>
      </c>
      <c r="H1106" s="25"/>
      <c r="I1106" s="25"/>
      <c r="J1106" s="25" t="s">
        <v>300</v>
      </c>
    </row>
    <row r="1107" spans="1:10" x14ac:dyDescent="0.25">
      <c r="A1107" s="4">
        <v>30206</v>
      </c>
      <c r="B1107">
        <v>15764</v>
      </c>
      <c r="C1107" s="4">
        <v>12292</v>
      </c>
      <c r="D1107" t="s">
        <v>306</v>
      </c>
      <c r="E1107" s="4">
        <v>3</v>
      </c>
      <c r="F1107" s="25">
        <v>43713.732083333336</v>
      </c>
      <c r="G1107">
        <v>0</v>
      </c>
      <c r="H1107" s="25"/>
      <c r="I1107" s="25"/>
      <c r="J1107" s="25" t="s">
        <v>300</v>
      </c>
    </row>
    <row r="1108" spans="1:10" x14ac:dyDescent="0.25">
      <c r="A1108" s="4">
        <v>30206</v>
      </c>
      <c r="B1108">
        <v>15764</v>
      </c>
      <c r="C1108" s="4">
        <v>12292</v>
      </c>
      <c r="D1108" t="s">
        <v>306</v>
      </c>
      <c r="E1108" s="4">
        <v>4</v>
      </c>
      <c r="F1108" s="25">
        <v>43713.732083333336</v>
      </c>
      <c r="G1108">
        <v>0</v>
      </c>
      <c r="H1108" s="25"/>
      <c r="I1108" s="25"/>
      <c r="J1108" s="25" t="s">
        <v>300</v>
      </c>
    </row>
    <row r="1109" spans="1:10" x14ac:dyDescent="0.25">
      <c r="A1109" s="4">
        <v>30206</v>
      </c>
      <c r="B1109">
        <v>15764</v>
      </c>
      <c r="C1109" s="4">
        <v>12292</v>
      </c>
      <c r="D1109" t="s">
        <v>306</v>
      </c>
      <c r="E1109" s="4">
        <v>2</v>
      </c>
      <c r="F1109" s="25">
        <v>43713.732071759259</v>
      </c>
      <c r="G1109">
        <v>0</v>
      </c>
      <c r="H1109" s="25"/>
      <c r="I1109" s="25"/>
      <c r="J1109" s="25" t="s">
        <v>300</v>
      </c>
    </row>
    <row r="1110" spans="1:10" x14ac:dyDescent="0.25">
      <c r="A1110" s="4">
        <v>30206</v>
      </c>
      <c r="B1110">
        <v>15764</v>
      </c>
      <c r="C1110" s="4">
        <v>12292</v>
      </c>
      <c r="D1110" t="s">
        <v>306</v>
      </c>
      <c r="E1110" s="4">
        <v>1</v>
      </c>
      <c r="F1110" s="25">
        <v>43713.732060185182</v>
      </c>
      <c r="G1110">
        <v>0</v>
      </c>
      <c r="H1110" s="25"/>
      <c r="I1110" s="25"/>
      <c r="J1110" s="25" t="s">
        <v>300</v>
      </c>
    </row>
    <row r="1111" spans="1:10" x14ac:dyDescent="0.25">
      <c r="A1111" s="4">
        <v>30206</v>
      </c>
      <c r="B1111">
        <v>15764</v>
      </c>
      <c r="C1111" s="4">
        <v>12292</v>
      </c>
      <c r="D1111" t="s">
        <v>306</v>
      </c>
      <c r="E1111" s="4">
        <v>0</v>
      </c>
      <c r="F1111" s="25">
        <v>43713.732048611113</v>
      </c>
      <c r="G1111">
        <v>0</v>
      </c>
      <c r="H1111" s="25"/>
      <c r="I1111" s="25"/>
      <c r="J1111" s="25" t="s">
        <v>300</v>
      </c>
    </row>
    <row r="1112" spans="1:10" x14ac:dyDescent="0.25">
      <c r="A1112" s="4">
        <v>30131</v>
      </c>
      <c r="B1112">
        <v>2568</v>
      </c>
      <c r="C1112" s="4">
        <v>12292</v>
      </c>
      <c r="D1112" t="s">
        <v>306</v>
      </c>
      <c r="E1112" s="4">
        <v>0</v>
      </c>
      <c r="F1112" s="25">
        <v>43713.73128472222</v>
      </c>
      <c r="G1112">
        <v>0</v>
      </c>
      <c r="H1112" s="25"/>
      <c r="I1112" s="25"/>
      <c r="J1112" s="25" t="s">
        <v>300</v>
      </c>
    </row>
    <row r="1113" spans="1:10" x14ac:dyDescent="0.25">
      <c r="A1113" s="4">
        <v>61</v>
      </c>
      <c r="B1113">
        <v>12468</v>
      </c>
      <c r="C1113" s="4">
        <v>12292</v>
      </c>
      <c r="D1113" t="s">
        <v>7</v>
      </c>
      <c r="E1113" s="4">
        <v>0</v>
      </c>
      <c r="F1113" s="25">
        <v>43713.722766203704</v>
      </c>
      <c r="G1113">
        <v>0</v>
      </c>
      <c r="H1113" s="25"/>
      <c r="I1113" s="25" t="s">
        <v>344</v>
      </c>
      <c r="J1113" s="25" t="s">
        <v>300</v>
      </c>
    </row>
    <row r="1114" spans="1:10" x14ac:dyDescent="0.25">
      <c r="A1114" s="4">
        <v>61</v>
      </c>
      <c r="B1114">
        <v>13548</v>
      </c>
      <c r="C1114" s="4">
        <v>12292</v>
      </c>
      <c r="D1114" t="s">
        <v>7</v>
      </c>
      <c r="E1114" s="4">
        <v>0</v>
      </c>
      <c r="F1114" s="25">
        <v>43713.722719907404</v>
      </c>
      <c r="G1114">
        <v>0</v>
      </c>
      <c r="H1114" s="25"/>
      <c r="I1114" s="25" t="s">
        <v>343</v>
      </c>
      <c r="J1114" s="25" t="s">
        <v>300</v>
      </c>
    </row>
    <row r="1115" spans="1:10" x14ac:dyDescent="0.25">
      <c r="A1115" s="4">
        <v>61</v>
      </c>
      <c r="B1115">
        <v>7700</v>
      </c>
      <c r="C1115" s="4">
        <v>12292</v>
      </c>
      <c r="D1115" t="s">
        <v>7</v>
      </c>
      <c r="E1115" s="4">
        <v>0</v>
      </c>
      <c r="F1115" s="25">
        <v>43713.719537037039</v>
      </c>
      <c r="G1115">
        <v>0</v>
      </c>
      <c r="H1115" s="25"/>
      <c r="I1115" s="25" t="s">
        <v>344</v>
      </c>
      <c r="J1115" s="25" t="s">
        <v>300</v>
      </c>
    </row>
    <row r="1116" spans="1:10" x14ac:dyDescent="0.25">
      <c r="A1116" s="4">
        <v>61</v>
      </c>
      <c r="B1116">
        <v>14851</v>
      </c>
      <c r="C1116" s="4">
        <v>12292</v>
      </c>
      <c r="D1116" t="s">
        <v>7</v>
      </c>
      <c r="E1116" s="4">
        <v>0</v>
      </c>
      <c r="F1116" s="25">
        <v>43713.719178240739</v>
      </c>
      <c r="G1116">
        <v>0</v>
      </c>
      <c r="H1116" s="25"/>
      <c r="I1116" s="25" t="s">
        <v>343</v>
      </c>
      <c r="J1116" s="25" t="s">
        <v>300</v>
      </c>
    </row>
    <row r="1117" spans="1:10" x14ac:dyDescent="0.25">
      <c r="A1117" s="4">
        <v>61</v>
      </c>
      <c r="B1117">
        <v>16192</v>
      </c>
      <c r="C1117" s="4">
        <v>12292</v>
      </c>
      <c r="D1117" t="s">
        <v>7</v>
      </c>
      <c r="E1117" s="4">
        <v>0</v>
      </c>
      <c r="F1117" s="25">
        <v>43713.713113425925</v>
      </c>
      <c r="G1117">
        <v>0</v>
      </c>
      <c r="H1117" s="25"/>
      <c r="I1117" s="25" t="s">
        <v>342</v>
      </c>
      <c r="J1117" s="25" t="s">
        <v>300</v>
      </c>
    </row>
    <row r="1118" spans="1:10" x14ac:dyDescent="0.25">
      <c r="A1118" s="4">
        <v>10512</v>
      </c>
      <c r="B1118">
        <v>16136</v>
      </c>
      <c r="C1118" s="4">
        <v>12292</v>
      </c>
      <c r="D1118" t="s">
        <v>306</v>
      </c>
      <c r="E1118" s="4">
        <v>4</v>
      </c>
      <c r="F1118" s="25">
        <v>43713.708344907405</v>
      </c>
      <c r="G1118">
        <v>0</v>
      </c>
      <c r="H1118" s="25"/>
      <c r="I1118" s="25"/>
      <c r="J1118" s="25" t="s">
        <v>300</v>
      </c>
    </row>
    <row r="1119" spans="1:10" x14ac:dyDescent="0.25">
      <c r="A1119" s="4">
        <v>10512</v>
      </c>
      <c r="B1119">
        <v>16136</v>
      </c>
      <c r="C1119" s="4">
        <v>12292</v>
      </c>
      <c r="D1119" t="s">
        <v>306</v>
      </c>
      <c r="E1119" s="4">
        <v>3</v>
      </c>
      <c r="F1119" s="25">
        <v>43713.666689814818</v>
      </c>
      <c r="G1119">
        <v>0</v>
      </c>
      <c r="H1119" s="25"/>
      <c r="I1119" s="25"/>
      <c r="J1119" s="25" t="s">
        <v>300</v>
      </c>
    </row>
    <row r="1120" spans="1:10" x14ac:dyDescent="0.25">
      <c r="A1120" s="4">
        <v>61</v>
      </c>
      <c r="B1120">
        <v>15720</v>
      </c>
      <c r="C1120" s="4">
        <v>12292</v>
      </c>
      <c r="D1120" t="s">
        <v>7</v>
      </c>
      <c r="E1120" s="4">
        <v>0</v>
      </c>
      <c r="F1120" s="25">
        <v>43713.6559375</v>
      </c>
      <c r="G1120">
        <v>0</v>
      </c>
      <c r="H1120" s="25"/>
      <c r="I1120" s="25" t="s">
        <v>342</v>
      </c>
      <c r="J1120" s="25" t="s">
        <v>300</v>
      </c>
    </row>
    <row r="1121" spans="1:10" x14ac:dyDescent="0.25">
      <c r="A1121" s="4">
        <v>61</v>
      </c>
      <c r="B1121">
        <v>8092</v>
      </c>
      <c r="C1121" s="4">
        <v>12292</v>
      </c>
      <c r="D1121" t="s">
        <v>7</v>
      </c>
      <c r="E1121" s="4">
        <v>0</v>
      </c>
      <c r="F1121" s="25">
        <v>43713.655925925923</v>
      </c>
      <c r="G1121">
        <v>0</v>
      </c>
      <c r="H1121" s="25"/>
      <c r="I1121" s="25" t="s">
        <v>341</v>
      </c>
      <c r="J1121" s="25" t="s">
        <v>304</v>
      </c>
    </row>
    <row r="1122" spans="1:10" x14ac:dyDescent="0.25">
      <c r="A1122" s="4">
        <v>61</v>
      </c>
      <c r="B1122">
        <v>14292</v>
      </c>
      <c r="C1122" s="4">
        <v>12292</v>
      </c>
      <c r="D1122" t="s">
        <v>7</v>
      </c>
      <c r="E1122" s="4">
        <v>0</v>
      </c>
      <c r="F1122" s="25">
        <v>43713.655925925923</v>
      </c>
      <c r="G1122">
        <v>0</v>
      </c>
      <c r="H1122" s="25"/>
      <c r="I1122" s="25" t="s">
        <v>329</v>
      </c>
      <c r="J1122" s="25" t="s">
        <v>300</v>
      </c>
    </row>
    <row r="1123" spans="1:10" x14ac:dyDescent="0.25">
      <c r="A1123" s="4">
        <v>61</v>
      </c>
      <c r="B1123">
        <v>7760</v>
      </c>
      <c r="C1123" s="4">
        <v>12292</v>
      </c>
      <c r="D1123" t="s">
        <v>7</v>
      </c>
      <c r="E1123" s="4">
        <v>0</v>
      </c>
      <c r="F1123" s="25">
        <v>43713.654166666667</v>
      </c>
      <c r="G1123">
        <v>0</v>
      </c>
      <c r="H1123" s="25"/>
      <c r="I1123" s="25" t="s">
        <v>340</v>
      </c>
      <c r="J1123" s="25" t="s">
        <v>304</v>
      </c>
    </row>
    <row r="1124" spans="1:10" x14ac:dyDescent="0.25">
      <c r="A1124" s="4">
        <v>61</v>
      </c>
      <c r="B1124">
        <v>15244</v>
      </c>
      <c r="C1124" s="4">
        <v>12292</v>
      </c>
      <c r="D1124" t="s">
        <v>7</v>
      </c>
      <c r="E1124" s="4">
        <v>0</v>
      </c>
      <c r="F1124" s="25">
        <v>43713.652939814812</v>
      </c>
      <c r="G1124">
        <v>0</v>
      </c>
      <c r="H1124" s="25"/>
      <c r="I1124" s="25" t="s">
        <v>339</v>
      </c>
      <c r="J1124" s="25" t="s">
        <v>300</v>
      </c>
    </row>
    <row r="1125" spans="1:10" x14ac:dyDescent="0.25">
      <c r="A1125" s="4">
        <v>61</v>
      </c>
      <c r="B1125">
        <v>13680</v>
      </c>
      <c r="C1125" s="4">
        <v>12292</v>
      </c>
      <c r="D1125" t="s">
        <v>7</v>
      </c>
      <c r="E1125" s="4">
        <v>0</v>
      </c>
      <c r="F1125" s="25">
        <v>43713.649722222224</v>
      </c>
      <c r="G1125">
        <v>0</v>
      </c>
      <c r="H1125" s="25"/>
      <c r="I1125" s="25" t="s">
        <v>335</v>
      </c>
      <c r="J1125" s="25" t="s">
        <v>300</v>
      </c>
    </row>
    <row r="1126" spans="1:10" x14ac:dyDescent="0.25">
      <c r="A1126" s="4">
        <v>60</v>
      </c>
      <c r="B1126">
        <v>13100</v>
      </c>
      <c r="C1126" s="4">
        <v>12292</v>
      </c>
      <c r="D1126" t="s">
        <v>7</v>
      </c>
      <c r="E1126" s="4">
        <v>0</v>
      </c>
      <c r="F1126" s="25">
        <v>43713.647210648145</v>
      </c>
      <c r="G1126">
        <v>0</v>
      </c>
      <c r="H1126" s="25"/>
      <c r="I1126" s="25" t="s">
        <v>335</v>
      </c>
      <c r="J1126" s="25" t="s">
        <v>300</v>
      </c>
    </row>
    <row r="1127" spans="1:10" x14ac:dyDescent="0.25">
      <c r="A1127" s="4">
        <v>60</v>
      </c>
      <c r="B1127">
        <v>12636</v>
      </c>
      <c r="C1127" s="4">
        <v>12292</v>
      </c>
      <c r="D1127" t="s">
        <v>7</v>
      </c>
      <c r="E1127" s="4">
        <v>0</v>
      </c>
      <c r="F1127" s="25">
        <v>43713.642708333333</v>
      </c>
      <c r="G1127">
        <v>0</v>
      </c>
      <c r="H1127" s="25"/>
      <c r="I1127" s="25" t="s">
        <v>402</v>
      </c>
      <c r="J1127" s="25" t="s">
        <v>304</v>
      </c>
    </row>
    <row r="1128" spans="1:10" x14ac:dyDescent="0.25">
      <c r="A1128" s="4">
        <v>60</v>
      </c>
      <c r="B1128">
        <v>16380</v>
      </c>
      <c r="C1128" s="4">
        <v>12292</v>
      </c>
      <c r="D1128" t="s">
        <v>7</v>
      </c>
      <c r="E1128" s="4">
        <v>0</v>
      </c>
      <c r="F1128" s="25">
        <v>43713.641018518516</v>
      </c>
      <c r="G1128">
        <v>0</v>
      </c>
      <c r="H1128" s="25"/>
      <c r="I1128" s="25" t="s">
        <v>338</v>
      </c>
      <c r="J1128" s="25" t="s">
        <v>304</v>
      </c>
    </row>
    <row r="1129" spans="1:10" x14ac:dyDescent="0.25">
      <c r="A1129" s="4">
        <v>60</v>
      </c>
      <c r="B1129">
        <v>16240</v>
      </c>
      <c r="C1129" s="4">
        <v>12292</v>
      </c>
      <c r="D1129" t="s">
        <v>7</v>
      </c>
      <c r="E1129" s="4">
        <v>0</v>
      </c>
      <c r="F1129" s="25">
        <v>43713.638159722221</v>
      </c>
      <c r="G1129">
        <v>0</v>
      </c>
      <c r="H1129" s="25"/>
      <c r="I1129" s="25" t="s">
        <v>338</v>
      </c>
      <c r="J1129" s="25" t="s">
        <v>300</v>
      </c>
    </row>
    <row r="1130" spans="1:10" x14ac:dyDescent="0.25">
      <c r="A1130" s="4">
        <v>60</v>
      </c>
      <c r="B1130">
        <v>14312</v>
      </c>
      <c r="C1130" s="4">
        <v>12292</v>
      </c>
      <c r="D1130" t="s">
        <v>7</v>
      </c>
      <c r="E1130" s="4">
        <v>0</v>
      </c>
      <c r="F1130" s="25">
        <v>43713.6325462963</v>
      </c>
      <c r="G1130">
        <v>0</v>
      </c>
      <c r="H1130" s="25"/>
      <c r="I1130" s="25" t="s">
        <v>333</v>
      </c>
      <c r="J1130" s="25" t="s">
        <v>300</v>
      </c>
    </row>
    <row r="1131" spans="1:10" x14ac:dyDescent="0.25">
      <c r="A1131" s="4">
        <v>60</v>
      </c>
      <c r="B1131">
        <v>11940</v>
      </c>
      <c r="C1131" s="4">
        <v>12292</v>
      </c>
      <c r="D1131" t="s">
        <v>7</v>
      </c>
      <c r="E1131" s="4">
        <v>0</v>
      </c>
      <c r="F1131" s="25">
        <v>43713.63040509259</v>
      </c>
      <c r="G1131">
        <v>0</v>
      </c>
      <c r="H1131" s="25"/>
      <c r="I1131" s="25" t="s">
        <v>333</v>
      </c>
      <c r="J1131" s="25" t="s">
        <v>304</v>
      </c>
    </row>
    <row r="1132" spans="1:10" x14ac:dyDescent="0.25">
      <c r="A1132" s="4">
        <v>70</v>
      </c>
      <c r="B1132">
        <v>11427</v>
      </c>
      <c r="C1132" s="4">
        <v>6912</v>
      </c>
      <c r="D1132" t="s">
        <v>7</v>
      </c>
      <c r="E1132" s="4">
        <v>0</v>
      </c>
      <c r="F1132" s="25">
        <v>43713.625497685185</v>
      </c>
      <c r="G1132">
        <v>0</v>
      </c>
      <c r="H1132" s="25"/>
      <c r="I1132" s="25" t="s">
        <v>347</v>
      </c>
      <c r="J1132" s="25" t="s">
        <v>304</v>
      </c>
    </row>
    <row r="1133" spans="1:10" x14ac:dyDescent="0.25">
      <c r="A1133" s="4">
        <v>10512</v>
      </c>
      <c r="B1133">
        <v>16136</v>
      </c>
      <c r="C1133" s="4">
        <v>12292</v>
      </c>
      <c r="D1133" t="s">
        <v>306</v>
      </c>
      <c r="E1133" s="4">
        <v>2</v>
      </c>
      <c r="F1133" s="25">
        <v>43713.625011574077</v>
      </c>
      <c r="G1133">
        <v>0</v>
      </c>
      <c r="H1133" s="25"/>
      <c r="I1133" s="25"/>
      <c r="J1133" s="25" t="s">
        <v>300</v>
      </c>
    </row>
    <row r="1134" spans="1:10" x14ac:dyDescent="0.25">
      <c r="A1134" s="4">
        <v>70</v>
      </c>
      <c r="B1134">
        <v>11428</v>
      </c>
      <c r="C1134" s="4">
        <v>6912</v>
      </c>
      <c r="D1134" t="s">
        <v>7</v>
      </c>
      <c r="E1134" s="4">
        <v>0</v>
      </c>
      <c r="F1134" s="25">
        <v>43713.623599537037</v>
      </c>
      <c r="G1134">
        <v>0</v>
      </c>
      <c r="H1134" s="25"/>
      <c r="I1134" s="25" t="s">
        <v>347</v>
      </c>
      <c r="J1134" s="25" t="s">
        <v>300</v>
      </c>
    </row>
    <row r="1135" spans="1:10" x14ac:dyDescent="0.25">
      <c r="A1135" s="4">
        <v>70</v>
      </c>
      <c r="B1135">
        <v>7464</v>
      </c>
      <c r="C1135" s="4">
        <v>6912</v>
      </c>
      <c r="D1135" t="s">
        <v>7</v>
      </c>
      <c r="E1135" s="4">
        <v>0</v>
      </c>
      <c r="F1135" s="25">
        <v>43713.623252314814</v>
      </c>
      <c r="G1135">
        <v>0</v>
      </c>
      <c r="H1135" s="25"/>
      <c r="I1135" s="25" t="s">
        <v>347</v>
      </c>
      <c r="J1135" s="25" t="s">
        <v>300</v>
      </c>
    </row>
    <row r="1136" spans="1:10" x14ac:dyDescent="0.25">
      <c r="A1136" s="4">
        <v>70</v>
      </c>
      <c r="B1136">
        <v>12016</v>
      </c>
      <c r="C1136" s="4">
        <v>6912</v>
      </c>
      <c r="D1136" t="s">
        <v>7</v>
      </c>
      <c r="E1136" s="4">
        <v>0</v>
      </c>
      <c r="F1136" s="25">
        <v>43713.623032407406</v>
      </c>
      <c r="G1136">
        <v>0</v>
      </c>
      <c r="H1136" s="25"/>
      <c r="I1136" s="25" t="s">
        <v>347</v>
      </c>
      <c r="J1136" s="25" t="s">
        <v>304</v>
      </c>
    </row>
    <row r="1137" spans="1:10" x14ac:dyDescent="0.25">
      <c r="A1137" s="4">
        <v>70</v>
      </c>
      <c r="B1137">
        <v>14276</v>
      </c>
      <c r="C1137" s="4">
        <v>6912</v>
      </c>
      <c r="D1137" t="s">
        <v>7</v>
      </c>
      <c r="E1137" s="4">
        <v>0</v>
      </c>
      <c r="F1137" s="25">
        <v>43713.620289351849</v>
      </c>
      <c r="G1137">
        <v>0</v>
      </c>
      <c r="H1137" s="25"/>
      <c r="I1137" s="25" t="s">
        <v>347</v>
      </c>
      <c r="J1137" s="25" t="s">
        <v>300</v>
      </c>
    </row>
    <row r="1138" spans="1:10" x14ac:dyDescent="0.25">
      <c r="A1138" s="4">
        <v>70</v>
      </c>
      <c r="B1138">
        <v>1296</v>
      </c>
      <c r="C1138" s="4">
        <v>6912</v>
      </c>
      <c r="D1138" t="s">
        <v>7</v>
      </c>
      <c r="E1138" s="4">
        <v>0</v>
      </c>
      <c r="F1138" s="25">
        <v>43713.61519675926</v>
      </c>
      <c r="G1138">
        <v>0</v>
      </c>
      <c r="H1138" s="25"/>
      <c r="I1138" s="25" t="s">
        <v>347</v>
      </c>
      <c r="J1138" s="25" t="s">
        <v>400</v>
      </c>
    </row>
    <row r="1139" spans="1:10" x14ac:dyDescent="0.25">
      <c r="A1139" s="4">
        <v>70</v>
      </c>
      <c r="B1139">
        <v>2052</v>
      </c>
      <c r="C1139" s="4">
        <v>6912</v>
      </c>
      <c r="D1139" t="s">
        <v>7</v>
      </c>
      <c r="E1139" s="4">
        <v>0</v>
      </c>
      <c r="F1139" s="25">
        <v>43713.613935185182</v>
      </c>
      <c r="G1139">
        <v>0</v>
      </c>
      <c r="H1139" s="25"/>
      <c r="I1139" s="25" t="s">
        <v>347</v>
      </c>
      <c r="J1139" s="25" t="s">
        <v>304</v>
      </c>
    </row>
    <row r="1140" spans="1:10" x14ac:dyDescent="0.25">
      <c r="A1140" s="4">
        <v>70</v>
      </c>
      <c r="B1140">
        <v>5364</v>
      </c>
      <c r="C1140" s="4">
        <v>8352</v>
      </c>
      <c r="D1140" t="s">
        <v>7</v>
      </c>
      <c r="E1140" s="4">
        <v>0</v>
      </c>
      <c r="F1140" s="25">
        <v>43713.585266203707</v>
      </c>
      <c r="G1140">
        <v>0</v>
      </c>
      <c r="H1140" s="25"/>
      <c r="I1140" s="25" t="s">
        <v>347</v>
      </c>
      <c r="J1140" s="25" t="s">
        <v>300</v>
      </c>
    </row>
    <row r="1141" spans="1:10" x14ac:dyDescent="0.25">
      <c r="A1141" s="4">
        <v>70</v>
      </c>
      <c r="B1141">
        <v>8352</v>
      </c>
      <c r="C1141" s="4">
        <v>8352</v>
      </c>
      <c r="D1141" t="s">
        <v>7</v>
      </c>
      <c r="E1141" s="4">
        <v>0</v>
      </c>
      <c r="F1141" s="25">
        <v>43713.585104166668</v>
      </c>
      <c r="G1141">
        <v>1</v>
      </c>
      <c r="H1141" s="25" t="s">
        <v>397</v>
      </c>
      <c r="I1141" s="25"/>
      <c r="J1141" s="25" t="s">
        <v>401</v>
      </c>
    </row>
    <row r="1142" spans="1:10" x14ac:dyDescent="0.25">
      <c r="A1142" s="4">
        <v>70</v>
      </c>
      <c r="B1142">
        <v>7172</v>
      </c>
      <c r="C1142" s="4">
        <v>6912</v>
      </c>
      <c r="D1142" t="s">
        <v>7</v>
      </c>
      <c r="E1142" s="4">
        <v>0</v>
      </c>
      <c r="F1142" s="25">
        <v>43713.583437499998</v>
      </c>
      <c r="G1142">
        <v>0</v>
      </c>
      <c r="H1142" s="25"/>
      <c r="I1142" s="25" t="s">
        <v>347</v>
      </c>
      <c r="J1142" s="25" t="s">
        <v>304</v>
      </c>
    </row>
    <row r="1143" spans="1:10" x14ac:dyDescent="0.25">
      <c r="A1143" s="4">
        <v>10512</v>
      </c>
      <c r="B1143">
        <v>16136</v>
      </c>
      <c r="C1143" s="4">
        <v>12292</v>
      </c>
      <c r="D1143" t="s">
        <v>306</v>
      </c>
      <c r="E1143" s="4">
        <v>1</v>
      </c>
      <c r="F1143" s="25">
        <v>43713.583344907405</v>
      </c>
      <c r="G1143">
        <v>0</v>
      </c>
      <c r="H1143" s="25"/>
      <c r="I1143" s="25"/>
      <c r="J1143" s="25" t="s">
        <v>300</v>
      </c>
    </row>
    <row r="1144" spans="1:10" x14ac:dyDescent="0.25">
      <c r="A1144" s="4">
        <v>70</v>
      </c>
      <c r="B1144">
        <v>13968</v>
      </c>
      <c r="C1144" s="4">
        <v>12651</v>
      </c>
      <c r="D1144" t="s">
        <v>7</v>
      </c>
      <c r="E1144" s="4">
        <v>0</v>
      </c>
      <c r="F1144" s="25">
        <v>43713.576956018522</v>
      </c>
      <c r="G1144">
        <v>0</v>
      </c>
      <c r="H1144" s="25"/>
      <c r="I1144" s="25" t="s">
        <v>347</v>
      </c>
      <c r="J1144" s="25" t="s">
        <v>304</v>
      </c>
    </row>
    <row r="1145" spans="1:10" x14ac:dyDescent="0.25">
      <c r="A1145" s="4">
        <v>70</v>
      </c>
      <c r="B1145">
        <v>12651</v>
      </c>
      <c r="C1145" s="4">
        <v>12651</v>
      </c>
      <c r="D1145" t="s">
        <v>7</v>
      </c>
      <c r="E1145" s="4">
        <v>0</v>
      </c>
      <c r="F1145" s="25">
        <v>43713.574745370373</v>
      </c>
      <c r="G1145">
        <v>1</v>
      </c>
      <c r="H1145" s="25" t="s">
        <v>397</v>
      </c>
      <c r="I1145" s="25"/>
      <c r="J1145" s="25" t="s">
        <v>398</v>
      </c>
    </row>
    <row r="1146" spans="1:10" x14ac:dyDescent="0.25">
      <c r="A1146" s="4">
        <v>70</v>
      </c>
      <c r="B1146">
        <v>14564</v>
      </c>
      <c r="C1146" s="4">
        <v>6132</v>
      </c>
      <c r="D1146" t="s">
        <v>7</v>
      </c>
      <c r="E1146" s="4">
        <v>0</v>
      </c>
      <c r="F1146" s="25">
        <v>43713.570636574077</v>
      </c>
      <c r="G1146">
        <v>0</v>
      </c>
      <c r="H1146" s="25"/>
      <c r="I1146" s="25" t="s">
        <v>347</v>
      </c>
      <c r="J1146" s="25" t="s">
        <v>300</v>
      </c>
    </row>
    <row r="1147" spans="1:10" x14ac:dyDescent="0.25">
      <c r="A1147" s="4">
        <v>70</v>
      </c>
      <c r="B1147">
        <v>6132</v>
      </c>
      <c r="C1147" s="4">
        <v>6132</v>
      </c>
      <c r="D1147" t="s">
        <v>7</v>
      </c>
      <c r="E1147" s="4">
        <v>0</v>
      </c>
      <c r="F1147" s="25">
        <v>43713.570439814815</v>
      </c>
      <c r="G1147">
        <v>1</v>
      </c>
      <c r="H1147" s="25" t="s">
        <v>397</v>
      </c>
      <c r="I1147" s="25"/>
      <c r="J1147" s="25" t="s">
        <v>302</v>
      </c>
    </row>
    <row r="1148" spans="1:10" x14ac:dyDescent="0.25">
      <c r="A1148" s="4">
        <v>70</v>
      </c>
      <c r="B1148">
        <v>7020</v>
      </c>
      <c r="C1148" s="4">
        <v>6912</v>
      </c>
      <c r="D1148" t="s">
        <v>7</v>
      </c>
      <c r="E1148" s="4">
        <v>0</v>
      </c>
      <c r="F1148" s="25">
        <v>43713.565763888888</v>
      </c>
      <c r="G1148">
        <v>0</v>
      </c>
      <c r="H1148" s="25"/>
      <c r="I1148" s="25" t="s">
        <v>347</v>
      </c>
      <c r="J1148" s="25" t="s">
        <v>300</v>
      </c>
    </row>
    <row r="1149" spans="1:10" x14ac:dyDescent="0.25">
      <c r="A1149" s="4">
        <v>70</v>
      </c>
      <c r="B1149">
        <v>6912</v>
      </c>
      <c r="C1149" s="4">
        <v>6912</v>
      </c>
      <c r="D1149" t="s">
        <v>7</v>
      </c>
      <c r="E1149" s="4">
        <v>0</v>
      </c>
      <c r="F1149" s="25">
        <v>43713.565196759257</v>
      </c>
      <c r="G1149">
        <v>1</v>
      </c>
      <c r="H1149" s="25" t="s">
        <v>397</v>
      </c>
      <c r="I1149" s="25"/>
      <c r="J1149" s="25" t="s">
        <v>399</v>
      </c>
    </row>
    <row r="1150" spans="1:10" x14ac:dyDescent="0.25">
      <c r="A1150" s="4">
        <v>70</v>
      </c>
      <c r="B1150">
        <v>10452</v>
      </c>
      <c r="C1150" s="4">
        <v>9652</v>
      </c>
      <c r="D1150" t="s">
        <v>7</v>
      </c>
      <c r="E1150" s="4">
        <v>0</v>
      </c>
      <c r="F1150" s="25">
        <v>43713.564085648148</v>
      </c>
      <c r="G1150">
        <v>0</v>
      </c>
      <c r="H1150" s="25"/>
      <c r="I1150" s="25" t="s">
        <v>351</v>
      </c>
      <c r="J1150" s="25" t="s">
        <v>304</v>
      </c>
    </row>
    <row r="1151" spans="1:10" x14ac:dyDescent="0.25">
      <c r="A1151" s="4">
        <v>70</v>
      </c>
      <c r="B1151">
        <v>2720</v>
      </c>
      <c r="C1151" s="4">
        <v>9652</v>
      </c>
      <c r="D1151" t="s">
        <v>7</v>
      </c>
      <c r="E1151" s="4">
        <v>0</v>
      </c>
      <c r="F1151" s="25">
        <v>43713.562997685185</v>
      </c>
      <c r="G1151">
        <v>0</v>
      </c>
      <c r="H1151" s="25"/>
      <c r="I1151" s="25" t="s">
        <v>346</v>
      </c>
      <c r="J1151" s="25" t="s">
        <v>304</v>
      </c>
    </row>
    <row r="1152" spans="1:10" x14ac:dyDescent="0.25">
      <c r="A1152" s="4">
        <v>70</v>
      </c>
      <c r="B1152">
        <v>15952</v>
      </c>
      <c r="C1152" s="4">
        <v>9652</v>
      </c>
      <c r="D1152" t="s">
        <v>7</v>
      </c>
      <c r="E1152" s="4">
        <v>0</v>
      </c>
      <c r="F1152" s="25">
        <v>43713.560694444444</v>
      </c>
      <c r="G1152">
        <v>0</v>
      </c>
      <c r="H1152" s="25"/>
      <c r="I1152" s="25" t="s">
        <v>348</v>
      </c>
      <c r="J1152" s="25" t="s">
        <v>300</v>
      </c>
    </row>
    <row r="1153" spans="1:10" x14ac:dyDescent="0.25">
      <c r="A1153" s="4">
        <v>70</v>
      </c>
      <c r="B1153">
        <v>9652</v>
      </c>
      <c r="C1153" s="4">
        <v>9652</v>
      </c>
      <c r="D1153" t="s">
        <v>7</v>
      </c>
      <c r="E1153" s="4">
        <v>0</v>
      </c>
      <c r="F1153" s="25">
        <v>43713.560347222221</v>
      </c>
      <c r="G1153">
        <v>1</v>
      </c>
      <c r="H1153" s="25" t="s">
        <v>396</v>
      </c>
      <c r="I1153" s="25"/>
      <c r="J1153" s="25" t="s">
        <v>303</v>
      </c>
    </row>
    <row r="1154" spans="1:10" x14ac:dyDescent="0.25">
      <c r="A1154" s="4">
        <v>10512</v>
      </c>
      <c r="B1154">
        <v>16136</v>
      </c>
      <c r="C1154" s="4">
        <v>12292</v>
      </c>
      <c r="D1154" t="s">
        <v>306</v>
      </c>
      <c r="E1154" s="4">
        <v>0</v>
      </c>
      <c r="F1154" s="25">
        <v>43713.545312499999</v>
      </c>
      <c r="G1154">
        <v>0</v>
      </c>
      <c r="H1154" s="25"/>
      <c r="I1154" s="25"/>
      <c r="J1154" s="25" t="s">
        <v>300</v>
      </c>
    </row>
    <row r="1155" spans="1:10" x14ac:dyDescent="0.25">
      <c r="A1155" s="4">
        <v>29695</v>
      </c>
      <c r="B1155">
        <v>12407</v>
      </c>
      <c r="C1155" s="4">
        <v>12292</v>
      </c>
      <c r="D1155" t="s">
        <v>306</v>
      </c>
      <c r="E1155" s="4">
        <v>1</v>
      </c>
      <c r="F1155" s="25">
        <v>43713.500011574077</v>
      </c>
      <c r="G1155">
        <v>0</v>
      </c>
      <c r="H1155" s="25"/>
      <c r="I1155" s="25"/>
      <c r="J1155" s="25" t="s">
        <v>300</v>
      </c>
    </row>
    <row r="1156" spans="1:10" x14ac:dyDescent="0.25">
      <c r="A1156" s="4">
        <v>29695</v>
      </c>
      <c r="B1156">
        <v>12407</v>
      </c>
      <c r="C1156" s="4">
        <v>12292</v>
      </c>
      <c r="D1156" t="s">
        <v>306</v>
      </c>
      <c r="E1156" s="4">
        <v>0</v>
      </c>
      <c r="F1156" s="25">
        <v>43713.497152777774</v>
      </c>
      <c r="G1156">
        <v>0</v>
      </c>
      <c r="H1156" s="25"/>
      <c r="I1156" s="25"/>
      <c r="J1156" s="25" t="s">
        <v>300</v>
      </c>
    </row>
    <row r="1157" spans="1:10" x14ac:dyDescent="0.25">
      <c r="A1157" s="4">
        <v>27031</v>
      </c>
      <c r="B1157">
        <v>12408</v>
      </c>
      <c r="C1157" s="4">
        <v>12292</v>
      </c>
      <c r="D1157" t="s">
        <v>306</v>
      </c>
      <c r="E1157" s="4">
        <v>0</v>
      </c>
      <c r="F1157" s="25">
        <v>43713.48773148148</v>
      </c>
      <c r="G1157">
        <v>0</v>
      </c>
      <c r="H1157" s="25"/>
      <c r="I1157" s="25"/>
      <c r="J1157" s="25" t="s">
        <v>300</v>
      </c>
    </row>
    <row r="1158" spans="1:10" x14ac:dyDescent="0.25">
      <c r="A1158" s="4">
        <v>60</v>
      </c>
      <c r="B1158">
        <v>1848</v>
      </c>
      <c r="C1158" s="4">
        <v>12292</v>
      </c>
      <c r="D1158" t="s">
        <v>7</v>
      </c>
      <c r="E1158" s="4">
        <v>0</v>
      </c>
      <c r="F1158" s="25">
        <v>43713.460752314815</v>
      </c>
      <c r="G1158">
        <v>0</v>
      </c>
      <c r="H1158" s="25"/>
      <c r="I1158" s="25" t="s">
        <v>335</v>
      </c>
      <c r="J1158" s="25" t="s">
        <v>304</v>
      </c>
    </row>
    <row r="1159" spans="1:10" x14ac:dyDescent="0.25">
      <c r="A1159" s="4">
        <v>60</v>
      </c>
      <c r="B1159">
        <v>4532</v>
      </c>
      <c r="C1159" s="4">
        <v>12292</v>
      </c>
      <c r="D1159" t="s">
        <v>7</v>
      </c>
      <c r="E1159" s="4">
        <v>0</v>
      </c>
      <c r="F1159" s="25">
        <v>43713.457696759258</v>
      </c>
      <c r="G1159">
        <v>0</v>
      </c>
      <c r="H1159" s="25"/>
      <c r="I1159" s="25" t="s">
        <v>335</v>
      </c>
      <c r="J1159" s="25" t="s">
        <v>304</v>
      </c>
    </row>
    <row r="1160" spans="1:10" x14ac:dyDescent="0.25">
      <c r="A1160" s="4">
        <v>60</v>
      </c>
      <c r="B1160">
        <v>7539</v>
      </c>
      <c r="C1160" s="4">
        <v>12292</v>
      </c>
      <c r="D1160" t="s">
        <v>7</v>
      </c>
      <c r="E1160" s="4">
        <v>0</v>
      </c>
      <c r="F1160" s="25">
        <v>43713.455312500002</v>
      </c>
      <c r="G1160">
        <v>0</v>
      </c>
      <c r="H1160" s="25"/>
      <c r="I1160" s="25" t="s">
        <v>335</v>
      </c>
      <c r="J1160" s="25" t="s">
        <v>300</v>
      </c>
    </row>
    <row r="1161" spans="1:10" x14ac:dyDescent="0.25">
      <c r="A1161" s="4">
        <v>12292</v>
      </c>
      <c r="B1161">
        <v>11756</v>
      </c>
      <c r="C1161" s="4">
        <v>0</v>
      </c>
      <c r="D1161" t="s">
        <v>7</v>
      </c>
      <c r="E1161" s="4">
        <v>60</v>
      </c>
      <c r="F1161" s="25">
        <v>43712.961770833332</v>
      </c>
      <c r="G1161">
        <v>0</v>
      </c>
      <c r="H1161" s="25"/>
      <c r="I1161" s="25" t="s">
        <v>335</v>
      </c>
      <c r="J1161" s="25" t="s">
        <v>304</v>
      </c>
    </row>
    <row r="1162" spans="1:10" x14ac:dyDescent="0.25">
      <c r="A1162" s="4">
        <v>60</v>
      </c>
      <c r="B1162">
        <v>12099</v>
      </c>
      <c r="C1162" s="4">
        <v>12292</v>
      </c>
      <c r="D1162" t="s">
        <v>7</v>
      </c>
      <c r="E1162" s="4">
        <v>0</v>
      </c>
      <c r="F1162" s="25">
        <v>43712.957766203705</v>
      </c>
      <c r="G1162">
        <v>0</v>
      </c>
      <c r="H1162" s="25"/>
      <c r="I1162" s="25" t="s">
        <v>335</v>
      </c>
      <c r="J1162" s="25" t="s">
        <v>300</v>
      </c>
    </row>
    <row r="1163" spans="1:10" x14ac:dyDescent="0.25">
      <c r="A1163" s="4">
        <v>60</v>
      </c>
      <c r="B1163">
        <v>1999</v>
      </c>
      <c r="C1163" s="4">
        <v>12292</v>
      </c>
      <c r="D1163" t="s">
        <v>7</v>
      </c>
      <c r="E1163" s="4">
        <v>0</v>
      </c>
      <c r="F1163" s="25">
        <v>43712.948784722219</v>
      </c>
      <c r="G1163">
        <v>0</v>
      </c>
      <c r="H1163" s="25"/>
      <c r="I1163" s="25" t="s">
        <v>335</v>
      </c>
      <c r="J1163" s="25" t="s">
        <v>302</v>
      </c>
    </row>
    <row r="1164" spans="1:10" x14ac:dyDescent="0.25">
      <c r="A1164" s="4">
        <v>50</v>
      </c>
      <c r="B1164">
        <v>10104</v>
      </c>
      <c r="C1164" s="4">
        <v>11808</v>
      </c>
      <c r="D1164" t="s">
        <v>7</v>
      </c>
      <c r="E1164" s="4">
        <v>0</v>
      </c>
      <c r="F1164" s="25">
        <v>43712.931458333333</v>
      </c>
      <c r="G1164">
        <v>0</v>
      </c>
      <c r="H1164" s="25"/>
      <c r="I1164" s="25" t="s">
        <v>331</v>
      </c>
      <c r="J1164" s="25" t="s">
        <v>300</v>
      </c>
    </row>
    <row r="1165" spans="1:10" x14ac:dyDescent="0.25">
      <c r="A1165" s="4">
        <v>50</v>
      </c>
      <c r="B1165">
        <v>4004</v>
      </c>
      <c r="C1165" s="4">
        <v>11808</v>
      </c>
      <c r="D1165" t="s">
        <v>7</v>
      </c>
      <c r="E1165" s="4">
        <v>0</v>
      </c>
      <c r="F1165" s="25">
        <v>43712.931307870371</v>
      </c>
      <c r="G1165">
        <v>0</v>
      </c>
      <c r="H1165" s="25"/>
      <c r="I1165" s="25" t="s">
        <v>331</v>
      </c>
      <c r="J1165" s="25" t="s">
        <v>300</v>
      </c>
    </row>
    <row r="1166" spans="1:10" x14ac:dyDescent="0.25">
      <c r="A1166" s="4">
        <v>60</v>
      </c>
      <c r="B1166">
        <v>13360</v>
      </c>
      <c r="C1166" s="4">
        <v>12292</v>
      </c>
      <c r="D1166" t="s">
        <v>7</v>
      </c>
      <c r="E1166" s="4">
        <v>0</v>
      </c>
      <c r="F1166" s="25">
        <v>43712.910486111112</v>
      </c>
      <c r="G1166">
        <v>0</v>
      </c>
      <c r="H1166" s="25"/>
      <c r="I1166" s="25" t="s">
        <v>335</v>
      </c>
      <c r="J1166" s="25" t="s">
        <v>304</v>
      </c>
    </row>
    <row r="1167" spans="1:10" x14ac:dyDescent="0.25">
      <c r="A1167" s="4">
        <v>60</v>
      </c>
      <c r="B1167">
        <v>12100</v>
      </c>
      <c r="C1167" s="4">
        <v>12292</v>
      </c>
      <c r="D1167" t="s">
        <v>7</v>
      </c>
      <c r="E1167" s="4">
        <v>0</v>
      </c>
      <c r="F1167" s="25">
        <v>43712.906631944446</v>
      </c>
      <c r="G1167">
        <v>0</v>
      </c>
      <c r="H1167" s="25"/>
      <c r="I1167" s="25" t="s">
        <v>391</v>
      </c>
      <c r="J1167" s="25" t="s">
        <v>304</v>
      </c>
    </row>
    <row r="1168" spans="1:10" x14ac:dyDescent="0.25">
      <c r="A1168" s="4">
        <v>60</v>
      </c>
      <c r="B1168">
        <v>9556</v>
      </c>
      <c r="C1168" s="4">
        <v>12292</v>
      </c>
      <c r="D1168" t="s">
        <v>7</v>
      </c>
      <c r="E1168" s="4">
        <v>0</v>
      </c>
      <c r="F1168" s="25">
        <v>43712.900694444441</v>
      </c>
      <c r="G1168">
        <v>0</v>
      </c>
      <c r="H1168" s="25"/>
      <c r="I1168" s="25" t="s">
        <v>391</v>
      </c>
      <c r="J1168" s="25" t="s">
        <v>300</v>
      </c>
    </row>
    <row r="1169" spans="1:10" x14ac:dyDescent="0.25">
      <c r="A1169" s="4">
        <v>60</v>
      </c>
      <c r="B1169">
        <v>12880</v>
      </c>
      <c r="C1169" s="4">
        <v>12292</v>
      </c>
      <c r="D1169" t="s">
        <v>7</v>
      </c>
      <c r="E1169" s="4">
        <v>0</v>
      </c>
      <c r="F1169" s="25">
        <v>43712.899131944447</v>
      </c>
      <c r="G1169">
        <v>0</v>
      </c>
      <c r="H1169" s="25"/>
      <c r="I1169" s="25" t="s">
        <v>391</v>
      </c>
      <c r="J1169" s="25" t="s">
        <v>304</v>
      </c>
    </row>
    <row r="1170" spans="1:10" x14ac:dyDescent="0.25">
      <c r="A1170" s="4">
        <v>60</v>
      </c>
      <c r="B1170">
        <v>10596</v>
      </c>
      <c r="C1170" s="4">
        <v>12292</v>
      </c>
      <c r="D1170" t="s">
        <v>7</v>
      </c>
      <c r="E1170" s="4">
        <v>0</v>
      </c>
      <c r="F1170" s="25">
        <v>43712.894143518519</v>
      </c>
      <c r="G1170">
        <v>0</v>
      </c>
      <c r="H1170" s="25"/>
      <c r="I1170" s="25" t="s">
        <v>391</v>
      </c>
      <c r="J1170" s="25" t="s">
        <v>304</v>
      </c>
    </row>
    <row r="1171" spans="1:10" x14ac:dyDescent="0.25">
      <c r="A1171" s="4">
        <v>60</v>
      </c>
      <c r="B1171">
        <v>12332</v>
      </c>
      <c r="C1171" s="4">
        <v>12292</v>
      </c>
      <c r="D1171" t="s">
        <v>7</v>
      </c>
      <c r="E1171" s="4">
        <v>0</v>
      </c>
      <c r="F1171" s="25">
        <v>43712.892175925925</v>
      </c>
      <c r="G1171">
        <v>0</v>
      </c>
      <c r="H1171" s="25"/>
      <c r="I1171" s="25" t="s">
        <v>391</v>
      </c>
      <c r="J1171" s="25" t="s">
        <v>304</v>
      </c>
    </row>
    <row r="1172" spans="1:10" x14ac:dyDescent="0.25">
      <c r="A1172" s="4">
        <v>60</v>
      </c>
      <c r="B1172">
        <v>14416</v>
      </c>
      <c r="C1172" s="4">
        <v>12292</v>
      </c>
      <c r="D1172" t="s">
        <v>7</v>
      </c>
      <c r="E1172" s="4">
        <v>60</v>
      </c>
      <c r="F1172" s="25">
        <v>43712.884664351855</v>
      </c>
      <c r="G1172">
        <v>0</v>
      </c>
      <c r="H1172" s="25"/>
      <c r="I1172" s="25" t="s">
        <v>391</v>
      </c>
      <c r="J1172" s="25" t="s">
        <v>304</v>
      </c>
    </row>
    <row r="1173" spans="1:10" x14ac:dyDescent="0.25">
      <c r="A1173" s="4">
        <v>7632</v>
      </c>
      <c r="B1173">
        <v>956</v>
      </c>
      <c r="C1173" s="4">
        <v>12292</v>
      </c>
      <c r="D1173" t="s">
        <v>306</v>
      </c>
      <c r="E1173" s="4">
        <v>23</v>
      </c>
      <c r="F1173" s="25">
        <v>43712.838425925926</v>
      </c>
      <c r="G1173">
        <v>0</v>
      </c>
      <c r="H1173" s="25"/>
      <c r="I1173" s="25"/>
      <c r="J1173" s="25" t="s">
        <v>300</v>
      </c>
    </row>
    <row r="1174" spans="1:10" x14ac:dyDescent="0.25">
      <c r="A1174" s="4">
        <v>7632</v>
      </c>
      <c r="B1174">
        <v>956</v>
      </c>
      <c r="C1174" s="4">
        <v>12292</v>
      </c>
      <c r="D1174" t="s">
        <v>306</v>
      </c>
      <c r="E1174" s="4">
        <v>24</v>
      </c>
      <c r="F1174" s="25">
        <v>43712.838425925926</v>
      </c>
      <c r="G1174">
        <v>0</v>
      </c>
      <c r="H1174" s="25"/>
      <c r="I1174" s="25"/>
      <c r="J1174" s="25" t="s">
        <v>300</v>
      </c>
    </row>
    <row r="1175" spans="1:10" x14ac:dyDescent="0.25">
      <c r="A1175" s="4">
        <v>7632</v>
      </c>
      <c r="B1175">
        <v>956</v>
      </c>
      <c r="C1175" s="4">
        <v>12292</v>
      </c>
      <c r="D1175" t="s">
        <v>306</v>
      </c>
      <c r="E1175" s="4">
        <v>22</v>
      </c>
      <c r="F1175" s="25">
        <v>43712.838414351849</v>
      </c>
      <c r="G1175">
        <v>0</v>
      </c>
      <c r="H1175" s="25"/>
      <c r="I1175" s="25"/>
      <c r="J1175" s="25" t="s">
        <v>300</v>
      </c>
    </row>
    <row r="1176" spans="1:10" x14ac:dyDescent="0.25">
      <c r="A1176" s="4">
        <v>7632</v>
      </c>
      <c r="B1176">
        <v>956</v>
      </c>
      <c r="C1176" s="4">
        <v>12292</v>
      </c>
      <c r="D1176" t="s">
        <v>306</v>
      </c>
      <c r="E1176" s="4">
        <v>21</v>
      </c>
      <c r="F1176" s="25">
        <v>43712.838402777779</v>
      </c>
      <c r="G1176">
        <v>0</v>
      </c>
      <c r="H1176" s="25"/>
      <c r="I1176" s="25"/>
      <c r="J1176" s="25" t="s">
        <v>300</v>
      </c>
    </row>
    <row r="1177" spans="1:10" x14ac:dyDescent="0.25">
      <c r="A1177" s="4">
        <v>7632</v>
      </c>
      <c r="B1177">
        <v>956</v>
      </c>
      <c r="C1177" s="4">
        <v>12292</v>
      </c>
      <c r="D1177" t="s">
        <v>306</v>
      </c>
      <c r="E1177" s="4">
        <v>19</v>
      </c>
      <c r="F1177" s="25">
        <v>43712.838391203702</v>
      </c>
      <c r="G1177">
        <v>0</v>
      </c>
      <c r="H1177" s="25"/>
      <c r="I1177" s="25"/>
      <c r="J1177" s="25" t="s">
        <v>300</v>
      </c>
    </row>
    <row r="1178" spans="1:10" x14ac:dyDescent="0.25">
      <c r="A1178" s="4">
        <v>7632</v>
      </c>
      <c r="B1178">
        <v>956</v>
      </c>
      <c r="C1178" s="4">
        <v>12292</v>
      </c>
      <c r="D1178" t="s">
        <v>306</v>
      </c>
      <c r="E1178" s="4">
        <v>20</v>
      </c>
      <c r="F1178" s="25">
        <v>43712.838391203702</v>
      </c>
      <c r="G1178">
        <v>0</v>
      </c>
      <c r="H1178" s="25"/>
      <c r="I1178" s="25"/>
      <c r="J1178" s="25" t="s">
        <v>300</v>
      </c>
    </row>
    <row r="1179" spans="1:10" x14ac:dyDescent="0.25">
      <c r="A1179" s="4">
        <v>7632</v>
      </c>
      <c r="B1179">
        <v>956</v>
      </c>
      <c r="C1179" s="4">
        <v>12292</v>
      </c>
      <c r="D1179" t="s">
        <v>306</v>
      </c>
      <c r="E1179" s="4">
        <v>18</v>
      </c>
      <c r="F1179" s="25">
        <v>43712.838379629633</v>
      </c>
      <c r="G1179">
        <v>0</v>
      </c>
      <c r="H1179" s="25"/>
      <c r="I1179" s="25"/>
      <c r="J1179" s="25" t="s">
        <v>300</v>
      </c>
    </row>
    <row r="1180" spans="1:10" x14ac:dyDescent="0.25">
      <c r="A1180" s="4">
        <v>7632</v>
      </c>
      <c r="B1180">
        <v>956</v>
      </c>
      <c r="C1180" s="4">
        <v>12292</v>
      </c>
      <c r="D1180" t="s">
        <v>306</v>
      </c>
      <c r="E1180" s="4">
        <v>16</v>
      </c>
      <c r="F1180" s="25">
        <v>43712.838368055556</v>
      </c>
      <c r="G1180">
        <v>0</v>
      </c>
      <c r="H1180" s="25"/>
      <c r="I1180" s="25"/>
      <c r="J1180" s="25" t="s">
        <v>300</v>
      </c>
    </row>
    <row r="1181" spans="1:10" x14ac:dyDescent="0.25">
      <c r="A1181" s="4">
        <v>7632</v>
      </c>
      <c r="B1181">
        <v>956</v>
      </c>
      <c r="C1181" s="4">
        <v>12292</v>
      </c>
      <c r="D1181" t="s">
        <v>306</v>
      </c>
      <c r="E1181" s="4">
        <v>17</v>
      </c>
      <c r="F1181" s="25">
        <v>43712.838368055556</v>
      </c>
      <c r="G1181">
        <v>0</v>
      </c>
      <c r="H1181" s="25"/>
      <c r="I1181" s="25"/>
      <c r="J1181" s="25" t="s">
        <v>300</v>
      </c>
    </row>
    <row r="1182" spans="1:10" x14ac:dyDescent="0.25">
      <c r="A1182" s="4">
        <v>7632</v>
      </c>
      <c r="B1182">
        <v>956</v>
      </c>
      <c r="C1182" s="4">
        <v>12292</v>
      </c>
      <c r="D1182" t="s">
        <v>306</v>
      </c>
      <c r="E1182" s="4">
        <v>15</v>
      </c>
      <c r="F1182" s="25">
        <v>43712.838356481479</v>
      </c>
      <c r="G1182">
        <v>0</v>
      </c>
      <c r="H1182" s="25"/>
      <c r="I1182" s="25"/>
      <c r="J1182" s="25" t="s">
        <v>300</v>
      </c>
    </row>
    <row r="1183" spans="1:10" x14ac:dyDescent="0.25">
      <c r="A1183" s="4">
        <v>7632</v>
      </c>
      <c r="B1183">
        <v>956</v>
      </c>
      <c r="C1183" s="4">
        <v>12292</v>
      </c>
      <c r="D1183" t="s">
        <v>306</v>
      </c>
      <c r="E1183" s="4">
        <v>14</v>
      </c>
      <c r="F1183" s="25">
        <v>43712.83834490741</v>
      </c>
      <c r="G1183">
        <v>0</v>
      </c>
      <c r="H1183" s="25"/>
      <c r="I1183" s="25"/>
      <c r="J1183" s="25" t="s">
        <v>300</v>
      </c>
    </row>
    <row r="1184" spans="1:10" x14ac:dyDescent="0.25">
      <c r="A1184" s="4">
        <v>7632</v>
      </c>
      <c r="B1184">
        <v>956</v>
      </c>
      <c r="C1184" s="4">
        <v>12292</v>
      </c>
      <c r="D1184" t="s">
        <v>306</v>
      </c>
      <c r="E1184" s="4">
        <v>12</v>
      </c>
      <c r="F1184" s="25">
        <v>43712.838333333333</v>
      </c>
      <c r="G1184">
        <v>0</v>
      </c>
      <c r="H1184" s="25"/>
      <c r="I1184" s="25"/>
      <c r="J1184" s="25" t="s">
        <v>300</v>
      </c>
    </row>
    <row r="1185" spans="1:10" x14ac:dyDescent="0.25">
      <c r="A1185" s="4">
        <v>7632</v>
      </c>
      <c r="B1185">
        <v>956</v>
      </c>
      <c r="C1185" s="4">
        <v>12292</v>
      </c>
      <c r="D1185" t="s">
        <v>306</v>
      </c>
      <c r="E1185" s="4">
        <v>13</v>
      </c>
      <c r="F1185" s="25">
        <v>43712.838333333333</v>
      </c>
      <c r="G1185">
        <v>0</v>
      </c>
      <c r="H1185" s="25"/>
      <c r="I1185" s="25"/>
      <c r="J1185" s="25" t="s">
        <v>300</v>
      </c>
    </row>
    <row r="1186" spans="1:10" x14ac:dyDescent="0.25">
      <c r="A1186" s="4">
        <v>7632</v>
      </c>
      <c r="B1186">
        <v>956</v>
      </c>
      <c r="C1186" s="4">
        <v>12292</v>
      </c>
      <c r="D1186" t="s">
        <v>306</v>
      </c>
      <c r="E1186" s="4">
        <v>11</v>
      </c>
      <c r="F1186" s="25">
        <v>43712.838321759256</v>
      </c>
      <c r="G1186">
        <v>0</v>
      </c>
      <c r="H1186" s="25"/>
      <c r="I1186" s="25"/>
      <c r="J1186" s="25" t="s">
        <v>300</v>
      </c>
    </row>
    <row r="1187" spans="1:10" x14ac:dyDescent="0.25">
      <c r="A1187" s="4">
        <v>7632</v>
      </c>
      <c r="B1187">
        <v>956</v>
      </c>
      <c r="C1187" s="4">
        <v>12292</v>
      </c>
      <c r="D1187" t="s">
        <v>306</v>
      </c>
      <c r="E1187" s="4">
        <v>9</v>
      </c>
      <c r="F1187" s="25">
        <v>43712.838310185187</v>
      </c>
      <c r="G1187">
        <v>0</v>
      </c>
      <c r="H1187" s="25"/>
      <c r="I1187" s="25"/>
      <c r="J1187" s="25" t="s">
        <v>300</v>
      </c>
    </row>
    <row r="1188" spans="1:10" x14ac:dyDescent="0.25">
      <c r="A1188" s="4">
        <v>7632</v>
      </c>
      <c r="B1188">
        <v>956</v>
      </c>
      <c r="C1188" s="4">
        <v>12292</v>
      </c>
      <c r="D1188" t="s">
        <v>306</v>
      </c>
      <c r="E1188" s="4">
        <v>10</v>
      </c>
      <c r="F1188" s="25">
        <v>43712.838310185187</v>
      </c>
      <c r="G1188">
        <v>0</v>
      </c>
      <c r="H1188" s="25"/>
      <c r="I1188" s="25"/>
      <c r="J1188" s="25" t="s">
        <v>300</v>
      </c>
    </row>
    <row r="1189" spans="1:10" x14ac:dyDescent="0.25">
      <c r="A1189" s="4">
        <v>7632</v>
      </c>
      <c r="B1189">
        <v>956</v>
      </c>
      <c r="C1189" s="4">
        <v>12292</v>
      </c>
      <c r="D1189" t="s">
        <v>306</v>
      </c>
      <c r="E1189" s="4">
        <v>8</v>
      </c>
      <c r="F1189" s="25">
        <v>43712.83829861111</v>
      </c>
      <c r="G1189">
        <v>0</v>
      </c>
      <c r="H1189" s="25"/>
      <c r="I1189" s="25"/>
      <c r="J1189" s="25" t="s">
        <v>300</v>
      </c>
    </row>
    <row r="1190" spans="1:10" x14ac:dyDescent="0.25">
      <c r="A1190" s="4">
        <v>7632</v>
      </c>
      <c r="B1190">
        <v>956</v>
      </c>
      <c r="C1190" s="4">
        <v>12292</v>
      </c>
      <c r="D1190" t="s">
        <v>306</v>
      </c>
      <c r="E1190" s="4">
        <v>7</v>
      </c>
      <c r="F1190" s="25">
        <v>43712.838287037041</v>
      </c>
      <c r="G1190">
        <v>0</v>
      </c>
      <c r="H1190" s="25"/>
      <c r="I1190" s="25"/>
      <c r="J1190" s="25" t="s">
        <v>300</v>
      </c>
    </row>
    <row r="1191" spans="1:10" x14ac:dyDescent="0.25">
      <c r="A1191" s="4">
        <v>7632</v>
      </c>
      <c r="B1191">
        <v>956</v>
      </c>
      <c r="C1191" s="4">
        <v>12292</v>
      </c>
      <c r="D1191" t="s">
        <v>306</v>
      </c>
      <c r="E1191" s="4">
        <v>5</v>
      </c>
      <c r="F1191" s="25">
        <v>43712.838275462964</v>
      </c>
      <c r="G1191">
        <v>0</v>
      </c>
      <c r="H1191" s="25"/>
      <c r="I1191" s="25"/>
      <c r="J1191" s="25" t="s">
        <v>300</v>
      </c>
    </row>
    <row r="1192" spans="1:10" x14ac:dyDescent="0.25">
      <c r="A1192" s="4">
        <v>7632</v>
      </c>
      <c r="B1192">
        <v>956</v>
      </c>
      <c r="C1192" s="4">
        <v>12292</v>
      </c>
      <c r="D1192" t="s">
        <v>306</v>
      </c>
      <c r="E1192" s="4">
        <v>6</v>
      </c>
      <c r="F1192" s="25">
        <v>43712.838275462964</v>
      </c>
      <c r="G1192">
        <v>0</v>
      </c>
      <c r="H1192" s="25"/>
      <c r="I1192" s="25"/>
      <c r="J1192" s="25" t="s">
        <v>300</v>
      </c>
    </row>
    <row r="1193" spans="1:10" x14ac:dyDescent="0.25">
      <c r="A1193" s="4">
        <v>7632</v>
      </c>
      <c r="B1193">
        <v>956</v>
      </c>
      <c r="C1193" s="4">
        <v>12292</v>
      </c>
      <c r="D1193" t="s">
        <v>306</v>
      </c>
      <c r="E1193" s="4">
        <v>4</v>
      </c>
      <c r="F1193" s="25">
        <v>43712.838263888887</v>
      </c>
      <c r="G1193">
        <v>0</v>
      </c>
      <c r="H1193" s="25"/>
      <c r="I1193" s="25"/>
      <c r="J1193" s="25" t="s">
        <v>300</v>
      </c>
    </row>
    <row r="1194" spans="1:10" x14ac:dyDescent="0.25">
      <c r="A1194" s="4">
        <v>7632</v>
      </c>
      <c r="B1194">
        <v>956</v>
      </c>
      <c r="C1194" s="4">
        <v>12292</v>
      </c>
      <c r="D1194" t="s">
        <v>306</v>
      </c>
      <c r="E1194" s="4">
        <v>2</v>
      </c>
      <c r="F1194" s="25">
        <v>43712.838252314818</v>
      </c>
      <c r="G1194">
        <v>0</v>
      </c>
      <c r="H1194" s="25"/>
      <c r="I1194" s="25"/>
      <c r="J1194" s="25" t="s">
        <v>300</v>
      </c>
    </row>
    <row r="1195" spans="1:10" x14ac:dyDescent="0.25">
      <c r="A1195" s="4">
        <v>7632</v>
      </c>
      <c r="B1195">
        <v>956</v>
      </c>
      <c r="C1195" s="4">
        <v>12292</v>
      </c>
      <c r="D1195" t="s">
        <v>306</v>
      </c>
      <c r="E1195" s="4">
        <v>3</v>
      </c>
      <c r="F1195" s="25">
        <v>43712.838252314818</v>
      </c>
      <c r="G1195">
        <v>0</v>
      </c>
      <c r="H1195" s="25"/>
      <c r="I1195" s="25"/>
      <c r="J1195" s="25" t="s">
        <v>300</v>
      </c>
    </row>
    <row r="1196" spans="1:10" x14ac:dyDescent="0.25">
      <c r="A1196" s="4">
        <v>7632</v>
      </c>
      <c r="B1196">
        <v>956</v>
      </c>
      <c r="C1196" s="4">
        <v>12292</v>
      </c>
      <c r="D1196" t="s">
        <v>306</v>
      </c>
      <c r="E1196" s="4">
        <v>1</v>
      </c>
      <c r="F1196" s="25">
        <v>43712.838240740741</v>
      </c>
      <c r="G1196">
        <v>0</v>
      </c>
      <c r="H1196" s="25"/>
      <c r="I1196" s="25"/>
      <c r="J1196" s="25" t="s">
        <v>300</v>
      </c>
    </row>
    <row r="1197" spans="1:10" x14ac:dyDescent="0.25">
      <c r="A1197" s="4">
        <v>7632</v>
      </c>
      <c r="B1197">
        <v>956</v>
      </c>
      <c r="C1197" s="4">
        <v>12292</v>
      </c>
      <c r="D1197" t="s">
        <v>306</v>
      </c>
      <c r="E1197" s="4">
        <v>0</v>
      </c>
      <c r="F1197" s="25">
        <v>43712.838229166664</v>
      </c>
      <c r="G1197">
        <v>0</v>
      </c>
      <c r="H1197" s="25"/>
      <c r="I1197" s="25"/>
      <c r="J1197" s="25" t="s">
        <v>300</v>
      </c>
    </row>
    <row r="1198" spans="1:10" x14ac:dyDescent="0.25">
      <c r="A1198" s="4">
        <v>7162</v>
      </c>
      <c r="B1198">
        <v>5952</v>
      </c>
      <c r="C1198" s="4">
        <v>12292</v>
      </c>
      <c r="D1198" t="s">
        <v>306</v>
      </c>
      <c r="E1198" s="4">
        <v>0</v>
      </c>
      <c r="F1198" s="25">
        <v>43712.836539351854</v>
      </c>
      <c r="G1198">
        <v>0</v>
      </c>
      <c r="H1198" s="25"/>
      <c r="I1198" s="25"/>
      <c r="J1198" s="25" t="s">
        <v>300</v>
      </c>
    </row>
    <row r="1199" spans="1:10" x14ac:dyDescent="0.25">
      <c r="A1199" s="4">
        <v>1931</v>
      </c>
      <c r="B1199">
        <v>2000</v>
      </c>
      <c r="C1199" s="4">
        <v>12292</v>
      </c>
      <c r="D1199" t="s">
        <v>306</v>
      </c>
      <c r="E1199" s="4">
        <v>23</v>
      </c>
      <c r="F1199" s="25">
        <v>43712.818206018521</v>
      </c>
      <c r="G1199">
        <v>0</v>
      </c>
      <c r="H1199" s="25"/>
      <c r="I1199" s="25"/>
      <c r="J1199" s="25" t="s">
        <v>300</v>
      </c>
    </row>
    <row r="1200" spans="1:10" x14ac:dyDescent="0.25">
      <c r="A1200" s="4">
        <v>1931</v>
      </c>
      <c r="B1200">
        <v>2000</v>
      </c>
      <c r="C1200" s="4">
        <v>12292</v>
      </c>
      <c r="D1200" t="s">
        <v>306</v>
      </c>
      <c r="E1200" s="4">
        <v>24</v>
      </c>
      <c r="F1200" s="25">
        <v>43712.818206018521</v>
      </c>
      <c r="G1200">
        <v>0</v>
      </c>
      <c r="H1200" s="25"/>
      <c r="I1200" s="25"/>
      <c r="J1200" s="25" t="s">
        <v>300</v>
      </c>
    </row>
    <row r="1201" spans="1:10" x14ac:dyDescent="0.25">
      <c r="A1201" s="4">
        <v>1931</v>
      </c>
      <c r="B1201">
        <v>2000</v>
      </c>
      <c r="C1201" s="4">
        <v>12292</v>
      </c>
      <c r="D1201" t="s">
        <v>306</v>
      </c>
      <c r="E1201" s="4">
        <v>22</v>
      </c>
      <c r="F1201" s="25">
        <v>43712.818194444444</v>
      </c>
      <c r="G1201">
        <v>0</v>
      </c>
      <c r="H1201" s="25"/>
      <c r="I1201" s="25"/>
      <c r="J1201" s="25" t="s">
        <v>300</v>
      </c>
    </row>
    <row r="1202" spans="1:10" x14ac:dyDescent="0.25">
      <c r="A1202" s="4">
        <v>1931</v>
      </c>
      <c r="B1202">
        <v>2000</v>
      </c>
      <c r="C1202" s="4">
        <v>12292</v>
      </c>
      <c r="D1202" t="s">
        <v>306</v>
      </c>
      <c r="E1202" s="4">
        <v>20</v>
      </c>
      <c r="F1202" s="25">
        <v>43712.818182870367</v>
      </c>
      <c r="G1202">
        <v>0</v>
      </c>
      <c r="H1202" s="25"/>
      <c r="I1202" s="25"/>
      <c r="J1202" s="25" t="s">
        <v>300</v>
      </c>
    </row>
    <row r="1203" spans="1:10" x14ac:dyDescent="0.25">
      <c r="A1203" s="4">
        <v>1931</v>
      </c>
      <c r="B1203">
        <v>2000</v>
      </c>
      <c r="C1203" s="4">
        <v>12292</v>
      </c>
      <c r="D1203" t="s">
        <v>306</v>
      </c>
      <c r="E1203" s="4">
        <v>21</v>
      </c>
      <c r="F1203" s="25">
        <v>43712.818182870367</v>
      </c>
      <c r="G1203">
        <v>0</v>
      </c>
      <c r="H1203" s="25"/>
      <c r="I1203" s="25"/>
      <c r="J1203" s="25" t="s">
        <v>300</v>
      </c>
    </row>
    <row r="1204" spans="1:10" x14ac:dyDescent="0.25">
      <c r="A1204" s="4">
        <v>1931</v>
      </c>
      <c r="B1204">
        <v>2000</v>
      </c>
      <c r="C1204" s="4">
        <v>12292</v>
      </c>
      <c r="D1204" t="s">
        <v>306</v>
      </c>
      <c r="E1204" s="4">
        <v>19</v>
      </c>
      <c r="F1204" s="25">
        <v>43712.818171296298</v>
      </c>
      <c r="G1204">
        <v>0</v>
      </c>
      <c r="H1204" s="25"/>
      <c r="I1204" s="25"/>
      <c r="J1204" s="25" t="s">
        <v>300</v>
      </c>
    </row>
    <row r="1205" spans="1:10" x14ac:dyDescent="0.25">
      <c r="A1205" s="4">
        <v>1931</v>
      </c>
      <c r="B1205">
        <v>2000</v>
      </c>
      <c r="C1205" s="4">
        <v>12292</v>
      </c>
      <c r="D1205" t="s">
        <v>306</v>
      </c>
      <c r="E1205" s="4">
        <v>17</v>
      </c>
      <c r="F1205" s="25">
        <v>43712.818159722221</v>
      </c>
      <c r="G1205">
        <v>0</v>
      </c>
      <c r="H1205" s="25"/>
      <c r="I1205" s="25"/>
      <c r="J1205" s="25" t="s">
        <v>300</v>
      </c>
    </row>
    <row r="1206" spans="1:10" x14ac:dyDescent="0.25">
      <c r="A1206" s="4">
        <v>1931</v>
      </c>
      <c r="B1206">
        <v>2000</v>
      </c>
      <c r="C1206" s="4">
        <v>12292</v>
      </c>
      <c r="D1206" t="s">
        <v>306</v>
      </c>
      <c r="E1206" s="4">
        <v>18</v>
      </c>
      <c r="F1206" s="25">
        <v>43712.818159722221</v>
      </c>
      <c r="G1206">
        <v>0</v>
      </c>
      <c r="H1206" s="25"/>
      <c r="I1206" s="25"/>
      <c r="J1206" s="25" t="s">
        <v>300</v>
      </c>
    </row>
    <row r="1207" spans="1:10" x14ac:dyDescent="0.25">
      <c r="A1207" s="4">
        <v>1931</v>
      </c>
      <c r="B1207">
        <v>2000</v>
      </c>
      <c r="C1207" s="4">
        <v>12292</v>
      </c>
      <c r="D1207" t="s">
        <v>306</v>
      </c>
      <c r="E1207" s="4">
        <v>16</v>
      </c>
      <c r="F1207" s="25">
        <v>43712.818148148152</v>
      </c>
      <c r="G1207">
        <v>0</v>
      </c>
      <c r="H1207" s="25"/>
      <c r="I1207" s="25"/>
      <c r="J1207" s="25" t="s">
        <v>300</v>
      </c>
    </row>
    <row r="1208" spans="1:10" x14ac:dyDescent="0.25">
      <c r="A1208" s="4">
        <v>1931</v>
      </c>
      <c r="B1208">
        <v>2000</v>
      </c>
      <c r="C1208" s="4">
        <v>12292</v>
      </c>
      <c r="D1208" t="s">
        <v>306</v>
      </c>
      <c r="E1208" s="4">
        <v>14</v>
      </c>
      <c r="F1208" s="25">
        <v>43712.818136574075</v>
      </c>
      <c r="G1208">
        <v>0</v>
      </c>
      <c r="H1208" s="25"/>
      <c r="I1208" s="25"/>
      <c r="J1208" s="25" t="s">
        <v>300</v>
      </c>
    </row>
    <row r="1209" spans="1:10" x14ac:dyDescent="0.25">
      <c r="A1209" s="4">
        <v>1931</v>
      </c>
      <c r="B1209">
        <v>2000</v>
      </c>
      <c r="C1209" s="4">
        <v>12292</v>
      </c>
      <c r="D1209" t="s">
        <v>306</v>
      </c>
      <c r="E1209" s="4">
        <v>15</v>
      </c>
      <c r="F1209" s="25">
        <v>43712.818136574075</v>
      </c>
      <c r="G1209">
        <v>0</v>
      </c>
      <c r="H1209" s="25"/>
      <c r="I1209" s="25"/>
      <c r="J1209" s="25" t="s">
        <v>300</v>
      </c>
    </row>
    <row r="1210" spans="1:10" x14ac:dyDescent="0.25">
      <c r="A1210" s="4">
        <v>1931</v>
      </c>
      <c r="B1210">
        <v>2000</v>
      </c>
      <c r="C1210" s="4">
        <v>12292</v>
      </c>
      <c r="D1210" t="s">
        <v>306</v>
      </c>
      <c r="E1210" s="4">
        <v>13</v>
      </c>
      <c r="F1210" s="25">
        <v>43712.818124999998</v>
      </c>
      <c r="G1210">
        <v>0</v>
      </c>
      <c r="H1210" s="25"/>
      <c r="I1210" s="25"/>
      <c r="J1210" s="25" t="s">
        <v>300</v>
      </c>
    </row>
    <row r="1211" spans="1:10" x14ac:dyDescent="0.25">
      <c r="A1211" s="4">
        <v>1931</v>
      </c>
      <c r="B1211">
        <v>2000</v>
      </c>
      <c r="C1211" s="4">
        <v>12292</v>
      </c>
      <c r="D1211" t="s">
        <v>306</v>
      </c>
      <c r="E1211" s="4">
        <v>11</v>
      </c>
      <c r="F1211" s="25">
        <v>43712.818113425928</v>
      </c>
      <c r="G1211">
        <v>0</v>
      </c>
      <c r="H1211" s="25"/>
      <c r="I1211" s="25"/>
      <c r="J1211" s="25" t="s">
        <v>300</v>
      </c>
    </row>
    <row r="1212" spans="1:10" x14ac:dyDescent="0.25">
      <c r="A1212" s="4">
        <v>1931</v>
      </c>
      <c r="B1212">
        <v>2000</v>
      </c>
      <c r="C1212" s="4">
        <v>12292</v>
      </c>
      <c r="D1212" t="s">
        <v>306</v>
      </c>
      <c r="E1212" s="4">
        <v>12</v>
      </c>
      <c r="F1212" s="25">
        <v>43712.818113425928</v>
      </c>
      <c r="G1212">
        <v>0</v>
      </c>
      <c r="H1212" s="25"/>
      <c r="I1212" s="25"/>
      <c r="J1212" s="25" t="s">
        <v>300</v>
      </c>
    </row>
    <row r="1213" spans="1:10" x14ac:dyDescent="0.25">
      <c r="A1213" s="4">
        <v>1931</v>
      </c>
      <c r="B1213">
        <v>2000</v>
      </c>
      <c r="C1213" s="4">
        <v>12292</v>
      </c>
      <c r="D1213" t="s">
        <v>306</v>
      </c>
      <c r="E1213" s="4">
        <v>10</v>
      </c>
      <c r="F1213" s="25">
        <v>43712.818101851852</v>
      </c>
      <c r="G1213">
        <v>0</v>
      </c>
      <c r="H1213" s="25"/>
      <c r="I1213" s="25"/>
      <c r="J1213" s="25" t="s">
        <v>300</v>
      </c>
    </row>
    <row r="1214" spans="1:10" x14ac:dyDescent="0.25">
      <c r="A1214" s="4">
        <v>1931</v>
      </c>
      <c r="B1214">
        <v>2000</v>
      </c>
      <c r="C1214" s="4">
        <v>12292</v>
      </c>
      <c r="D1214" t="s">
        <v>306</v>
      </c>
      <c r="E1214" s="4">
        <v>8</v>
      </c>
      <c r="F1214" s="25">
        <v>43712.818090277775</v>
      </c>
      <c r="G1214">
        <v>0</v>
      </c>
      <c r="H1214" s="25"/>
      <c r="I1214" s="25"/>
      <c r="J1214" s="25" t="s">
        <v>300</v>
      </c>
    </row>
    <row r="1215" spans="1:10" x14ac:dyDescent="0.25">
      <c r="A1215" s="4">
        <v>1931</v>
      </c>
      <c r="B1215">
        <v>2000</v>
      </c>
      <c r="C1215" s="4">
        <v>12292</v>
      </c>
      <c r="D1215" t="s">
        <v>306</v>
      </c>
      <c r="E1215" s="4">
        <v>9</v>
      </c>
      <c r="F1215" s="25">
        <v>43712.818090277775</v>
      </c>
      <c r="G1215">
        <v>0</v>
      </c>
      <c r="H1215" s="25"/>
      <c r="I1215" s="25"/>
      <c r="J1215" s="25" t="s">
        <v>300</v>
      </c>
    </row>
    <row r="1216" spans="1:10" x14ac:dyDescent="0.25">
      <c r="A1216" s="4">
        <v>1931</v>
      </c>
      <c r="B1216">
        <v>2000</v>
      </c>
      <c r="C1216" s="4">
        <v>12292</v>
      </c>
      <c r="D1216" t="s">
        <v>306</v>
      </c>
      <c r="E1216" s="4">
        <v>7</v>
      </c>
      <c r="F1216" s="25">
        <v>43712.818078703705</v>
      </c>
      <c r="G1216">
        <v>0</v>
      </c>
      <c r="H1216" s="25"/>
      <c r="I1216" s="25"/>
      <c r="J1216" s="25" t="s">
        <v>300</v>
      </c>
    </row>
    <row r="1217" spans="1:10" x14ac:dyDescent="0.25">
      <c r="A1217" s="4">
        <v>1931</v>
      </c>
      <c r="B1217">
        <v>2000</v>
      </c>
      <c r="C1217" s="4">
        <v>12292</v>
      </c>
      <c r="D1217" t="s">
        <v>306</v>
      </c>
      <c r="E1217" s="4">
        <v>5</v>
      </c>
      <c r="F1217" s="25">
        <v>43712.818067129629</v>
      </c>
      <c r="G1217">
        <v>0</v>
      </c>
      <c r="H1217" s="25"/>
      <c r="I1217" s="25"/>
      <c r="J1217" s="25" t="s">
        <v>300</v>
      </c>
    </row>
    <row r="1218" spans="1:10" x14ac:dyDescent="0.25">
      <c r="A1218" s="4">
        <v>1931</v>
      </c>
      <c r="B1218">
        <v>2000</v>
      </c>
      <c r="C1218" s="4">
        <v>12292</v>
      </c>
      <c r="D1218" t="s">
        <v>306</v>
      </c>
      <c r="E1218" s="4">
        <v>6</v>
      </c>
      <c r="F1218" s="25">
        <v>43712.818067129629</v>
      </c>
      <c r="G1218">
        <v>0</v>
      </c>
      <c r="H1218" s="25"/>
      <c r="I1218" s="25"/>
      <c r="J1218" s="25" t="s">
        <v>300</v>
      </c>
    </row>
    <row r="1219" spans="1:10" x14ac:dyDescent="0.25">
      <c r="A1219" s="4">
        <v>1931</v>
      </c>
      <c r="B1219">
        <v>2000</v>
      </c>
      <c r="C1219" s="4">
        <v>12292</v>
      </c>
      <c r="D1219" t="s">
        <v>306</v>
      </c>
      <c r="E1219" s="4">
        <v>4</v>
      </c>
      <c r="F1219" s="25">
        <v>43712.818055555559</v>
      </c>
      <c r="G1219">
        <v>0</v>
      </c>
      <c r="H1219" s="25"/>
      <c r="I1219" s="25"/>
      <c r="J1219" s="25" t="s">
        <v>300</v>
      </c>
    </row>
    <row r="1220" spans="1:10" x14ac:dyDescent="0.25">
      <c r="A1220" s="4">
        <v>1931</v>
      </c>
      <c r="B1220">
        <v>2000</v>
      </c>
      <c r="C1220" s="4">
        <v>12292</v>
      </c>
      <c r="D1220" t="s">
        <v>306</v>
      </c>
      <c r="E1220" s="4">
        <v>2</v>
      </c>
      <c r="F1220" s="25">
        <v>43712.818043981482</v>
      </c>
      <c r="G1220">
        <v>0</v>
      </c>
      <c r="H1220" s="25"/>
      <c r="I1220" s="25"/>
      <c r="J1220" s="25" t="s">
        <v>300</v>
      </c>
    </row>
    <row r="1221" spans="1:10" x14ac:dyDescent="0.25">
      <c r="A1221" s="4">
        <v>1931</v>
      </c>
      <c r="B1221">
        <v>2000</v>
      </c>
      <c r="C1221" s="4">
        <v>12292</v>
      </c>
      <c r="D1221" t="s">
        <v>306</v>
      </c>
      <c r="E1221" s="4">
        <v>3</v>
      </c>
      <c r="F1221" s="25">
        <v>43712.818043981482</v>
      </c>
      <c r="G1221">
        <v>0</v>
      </c>
      <c r="H1221" s="25"/>
      <c r="I1221" s="25"/>
      <c r="J1221" s="25" t="s">
        <v>300</v>
      </c>
    </row>
    <row r="1222" spans="1:10" x14ac:dyDescent="0.25">
      <c r="A1222" s="4">
        <v>1931</v>
      </c>
      <c r="B1222">
        <v>2000</v>
      </c>
      <c r="C1222" s="4">
        <v>12292</v>
      </c>
      <c r="D1222" t="s">
        <v>306</v>
      </c>
      <c r="E1222" s="4">
        <v>1</v>
      </c>
      <c r="F1222" s="25">
        <v>43712.818032407406</v>
      </c>
      <c r="G1222">
        <v>0</v>
      </c>
      <c r="H1222" s="25"/>
      <c r="I1222" s="25"/>
      <c r="J1222" s="25" t="s">
        <v>300</v>
      </c>
    </row>
    <row r="1223" spans="1:10" x14ac:dyDescent="0.25">
      <c r="A1223" s="4">
        <v>1931</v>
      </c>
      <c r="B1223">
        <v>2000</v>
      </c>
      <c r="C1223" s="4">
        <v>12292</v>
      </c>
      <c r="D1223" t="s">
        <v>306</v>
      </c>
      <c r="E1223" s="4">
        <v>0</v>
      </c>
      <c r="F1223" s="25">
        <v>43712.818020833336</v>
      </c>
      <c r="G1223">
        <v>0</v>
      </c>
      <c r="H1223" s="25"/>
      <c r="I1223" s="25"/>
      <c r="J1223" s="25" t="s">
        <v>300</v>
      </c>
    </row>
    <row r="1224" spans="1:10" x14ac:dyDescent="0.25">
      <c r="A1224" s="4">
        <v>1010</v>
      </c>
      <c r="B1224">
        <v>12628</v>
      </c>
      <c r="C1224" s="4">
        <v>12292</v>
      </c>
      <c r="D1224" t="s">
        <v>306</v>
      </c>
      <c r="E1224" s="4">
        <v>23</v>
      </c>
      <c r="F1224" s="25">
        <v>43712.814976851849</v>
      </c>
      <c r="G1224">
        <v>0</v>
      </c>
      <c r="H1224" s="25"/>
      <c r="I1224" s="25"/>
      <c r="J1224" s="25" t="s">
        <v>300</v>
      </c>
    </row>
    <row r="1225" spans="1:10" x14ac:dyDescent="0.25">
      <c r="A1225" s="4">
        <v>1010</v>
      </c>
      <c r="B1225">
        <v>12628</v>
      </c>
      <c r="C1225" s="4">
        <v>12292</v>
      </c>
      <c r="D1225" t="s">
        <v>306</v>
      </c>
      <c r="E1225" s="4">
        <v>24</v>
      </c>
      <c r="F1225" s="25">
        <v>43712.814976851849</v>
      </c>
      <c r="G1225">
        <v>0</v>
      </c>
      <c r="H1225" s="25"/>
      <c r="I1225" s="25"/>
      <c r="J1225" s="25" t="s">
        <v>300</v>
      </c>
    </row>
    <row r="1226" spans="1:10" x14ac:dyDescent="0.25">
      <c r="A1226" s="4">
        <v>1010</v>
      </c>
      <c r="B1226">
        <v>12628</v>
      </c>
      <c r="C1226" s="4">
        <v>12292</v>
      </c>
      <c r="D1226" t="s">
        <v>306</v>
      </c>
      <c r="E1226" s="4">
        <v>22</v>
      </c>
      <c r="F1226" s="25">
        <v>43712.814965277779</v>
      </c>
      <c r="G1226">
        <v>0</v>
      </c>
      <c r="H1226" s="25"/>
      <c r="I1226" s="25"/>
      <c r="J1226" s="25" t="s">
        <v>300</v>
      </c>
    </row>
    <row r="1227" spans="1:10" x14ac:dyDescent="0.25">
      <c r="A1227" s="4">
        <v>1010</v>
      </c>
      <c r="B1227">
        <v>12628</v>
      </c>
      <c r="C1227" s="4">
        <v>12292</v>
      </c>
      <c r="D1227" t="s">
        <v>306</v>
      </c>
      <c r="E1227" s="4">
        <v>21</v>
      </c>
      <c r="F1227" s="25">
        <v>43712.814953703702</v>
      </c>
      <c r="G1227">
        <v>0</v>
      </c>
      <c r="H1227" s="25"/>
      <c r="I1227" s="25"/>
      <c r="J1227" s="25" t="s">
        <v>300</v>
      </c>
    </row>
    <row r="1228" spans="1:10" x14ac:dyDescent="0.25">
      <c r="A1228" s="4">
        <v>1010</v>
      </c>
      <c r="B1228">
        <v>12628</v>
      </c>
      <c r="C1228" s="4">
        <v>12292</v>
      </c>
      <c r="D1228" t="s">
        <v>306</v>
      </c>
      <c r="E1228" s="4">
        <v>19</v>
      </c>
      <c r="F1228" s="25">
        <v>43712.814942129633</v>
      </c>
      <c r="G1228">
        <v>0</v>
      </c>
      <c r="H1228" s="25"/>
      <c r="I1228" s="25"/>
      <c r="J1228" s="25" t="s">
        <v>300</v>
      </c>
    </row>
    <row r="1229" spans="1:10" x14ac:dyDescent="0.25">
      <c r="A1229" s="4">
        <v>1010</v>
      </c>
      <c r="B1229">
        <v>12628</v>
      </c>
      <c r="C1229" s="4">
        <v>12292</v>
      </c>
      <c r="D1229" t="s">
        <v>306</v>
      </c>
      <c r="E1229" s="4">
        <v>20</v>
      </c>
      <c r="F1229" s="25">
        <v>43712.814942129633</v>
      </c>
      <c r="G1229">
        <v>0</v>
      </c>
      <c r="H1229" s="25"/>
      <c r="I1229" s="25"/>
      <c r="J1229" s="25" t="s">
        <v>300</v>
      </c>
    </row>
    <row r="1230" spans="1:10" x14ac:dyDescent="0.25">
      <c r="A1230" s="4">
        <v>1010</v>
      </c>
      <c r="B1230">
        <v>12628</v>
      </c>
      <c r="C1230" s="4">
        <v>12292</v>
      </c>
      <c r="D1230" t="s">
        <v>306</v>
      </c>
      <c r="E1230" s="4">
        <v>18</v>
      </c>
      <c r="F1230" s="25">
        <v>43712.814930555556</v>
      </c>
      <c r="G1230">
        <v>0</v>
      </c>
      <c r="H1230" s="25"/>
      <c r="I1230" s="25"/>
      <c r="J1230" s="25" t="s">
        <v>300</v>
      </c>
    </row>
    <row r="1231" spans="1:10" x14ac:dyDescent="0.25">
      <c r="A1231" s="4">
        <v>1010</v>
      </c>
      <c r="B1231">
        <v>12628</v>
      </c>
      <c r="C1231" s="4">
        <v>12292</v>
      </c>
      <c r="D1231" t="s">
        <v>306</v>
      </c>
      <c r="E1231" s="4">
        <v>16</v>
      </c>
      <c r="F1231" s="25">
        <v>43712.814918981479</v>
      </c>
      <c r="G1231">
        <v>0</v>
      </c>
      <c r="H1231" s="25"/>
      <c r="I1231" s="25"/>
      <c r="J1231" s="25" t="s">
        <v>300</v>
      </c>
    </row>
    <row r="1232" spans="1:10" x14ac:dyDescent="0.25">
      <c r="A1232" s="4">
        <v>1010</v>
      </c>
      <c r="B1232">
        <v>12628</v>
      </c>
      <c r="C1232" s="4">
        <v>12292</v>
      </c>
      <c r="D1232" t="s">
        <v>306</v>
      </c>
      <c r="E1232" s="4">
        <v>17</v>
      </c>
      <c r="F1232" s="25">
        <v>43712.814918981479</v>
      </c>
      <c r="G1232">
        <v>0</v>
      </c>
      <c r="H1232" s="25"/>
      <c r="I1232" s="25"/>
      <c r="J1232" s="25" t="s">
        <v>300</v>
      </c>
    </row>
    <row r="1233" spans="1:10" x14ac:dyDescent="0.25">
      <c r="A1233" s="4">
        <v>1010</v>
      </c>
      <c r="B1233">
        <v>12628</v>
      </c>
      <c r="C1233" s="4">
        <v>12292</v>
      </c>
      <c r="D1233" t="s">
        <v>306</v>
      </c>
      <c r="E1233" s="4">
        <v>15</v>
      </c>
      <c r="F1233" s="25">
        <v>43712.81490740741</v>
      </c>
      <c r="G1233">
        <v>0</v>
      </c>
      <c r="H1233" s="25"/>
      <c r="I1233" s="25"/>
      <c r="J1233" s="25" t="s">
        <v>300</v>
      </c>
    </row>
    <row r="1234" spans="1:10" x14ac:dyDescent="0.25">
      <c r="A1234" s="4">
        <v>1010</v>
      </c>
      <c r="B1234">
        <v>12628</v>
      </c>
      <c r="C1234" s="4">
        <v>12292</v>
      </c>
      <c r="D1234" t="s">
        <v>306</v>
      </c>
      <c r="E1234" s="4">
        <v>14</v>
      </c>
      <c r="F1234" s="25">
        <v>43712.814895833333</v>
      </c>
      <c r="G1234">
        <v>0</v>
      </c>
      <c r="H1234" s="25"/>
      <c r="I1234" s="25"/>
      <c r="J1234" s="25" t="s">
        <v>300</v>
      </c>
    </row>
    <row r="1235" spans="1:10" x14ac:dyDescent="0.25">
      <c r="A1235" s="4">
        <v>1010</v>
      </c>
      <c r="B1235">
        <v>12628</v>
      </c>
      <c r="C1235" s="4">
        <v>12292</v>
      </c>
      <c r="D1235" t="s">
        <v>306</v>
      </c>
      <c r="E1235" s="4">
        <v>12</v>
      </c>
      <c r="F1235" s="25">
        <v>43712.814884259256</v>
      </c>
      <c r="G1235">
        <v>0</v>
      </c>
      <c r="H1235" s="25"/>
      <c r="I1235" s="25"/>
      <c r="J1235" s="25" t="s">
        <v>300</v>
      </c>
    </row>
    <row r="1236" spans="1:10" x14ac:dyDescent="0.25">
      <c r="A1236" s="4">
        <v>1010</v>
      </c>
      <c r="B1236">
        <v>12628</v>
      </c>
      <c r="C1236" s="4">
        <v>12292</v>
      </c>
      <c r="D1236" t="s">
        <v>306</v>
      </c>
      <c r="E1236" s="4">
        <v>13</v>
      </c>
      <c r="F1236" s="25">
        <v>43712.814884259256</v>
      </c>
      <c r="G1236">
        <v>0</v>
      </c>
      <c r="H1236" s="25"/>
      <c r="I1236" s="25"/>
      <c r="J1236" s="25" t="s">
        <v>300</v>
      </c>
    </row>
    <row r="1237" spans="1:10" x14ac:dyDescent="0.25">
      <c r="A1237" s="4">
        <v>1010</v>
      </c>
      <c r="B1237">
        <v>12628</v>
      </c>
      <c r="C1237" s="4">
        <v>12292</v>
      </c>
      <c r="D1237" t="s">
        <v>306</v>
      </c>
      <c r="E1237" s="4">
        <v>11</v>
      </c>
      <c r="F1237" s="25">
        <v>43712.814872685187</v>
      </c>
      <c r="G1237">
        <v>0</v>
      </c>
      <c r="H1237" s="25"/>
      <c r="I1237" s="25"/>
      <c r="J1237" s="25" t="s">
        <v>300</v>
      </c>
    </row>
    <row r="1238" spans="1:10" x14ac:dyDescent="0.25">
      <c r="A1238" s="4">
        <v>1010</v>
      </c>
      <c r="B1238">
        <v>12628</v>
      </c>
      <c r="C1238" s="4">
        <v>12292</v>
      </c>
      <c r="D1238" t="s">
        <v>306</v>
      </c>
      <c r="E1238" s="4">
        <v>9</v>
      </c>
      <c r="F1238" s="25">
        <v>43712.81486111111</v>
      </c>
      <c r="G1238">
        <v>0</v>
      </c>
      <c r="H1238" s="25"/>
      <c r="I1238" s="25"/>
      <c r="J1238" s="25" t="s">
        <v>300</v>
      </c>
    </row>
    <row r="1239" spans="1:10" x14ac:dyDescent="0.25">
      <c r="A1239" s="4">
        <v>1010</v>
      </c>
      <c r="B1239">
        <v>12628</v>
      </c>
      <c r="C1239" s="4">
        <v>12292</v>
      </c>
      <c r="D1239" t="s">
        <v>306</v>
      </c>
      <c r="E1239" s="4">
        <v>10</v>
      </c>
      <c r="F1239" s="25">
        <v>43712.81486111111</v>
      </c>
      <c r="G1239">
        <v>0</v>
      </c>
      <c r="H1239" s="25"/>
      <c r="I1239" s="25"/>
      <c r="J1239" s="25" t="s">
        <v>300</v>
      </c>
    </row>
    <row r="1240" spans="1:10" x14ac:dyDescent="0.25">
      <c r="A1240" s="4">
        <v>1010</v>
      </c>
      <c r="B1240">
        <v>12628</v>
      </c>
      <c r="C1240" s="4">
        <v>12292</v>
      </c>
      <c r="D1240" t="s">
        <v>306</v>
      </c>
      <c r="E1240" s="4">
        <v>8</v>
      </c>
      <c r="F1240" s="25">
        <v>43712.814849537041</v>
      </c>
      <c r="G1240">
        <v>0</v>
      </c>
      <c r="H1240" s="25"/>
      <c r="I1240" s="25"/>
      <c r="J1240" s="25" t="s">
        <v>300</v>
      </c>
    </row>
    <row r="1241" spans="1:10" x14ac:dyDescent="0.25">
      <c r="A1241" s="4">
        <v>1010</v>
      </c>
      <c r="B1241">
        <v>12628</v>
      </c>
      <c r="C1241" s="4">
        <v>12292</v>
      </c>
      <c r="D1241" t="s">
        <v>306</v>
      </c>
      <c r="E1241" s="4">
        <v>7</v>
      </c>
      <c r="F1241" s="25">
        <v>43712.814837962964</v>
      </c>
      <c r="G1241">
        <v>0</v>
      </c>
      <c r="H1241" s="25"/>
      <c r="I1241" s="25"/>
      <c r="J1241" s="25" t="s">
        <v>300</v>
      </c>
    </row>
    <row r="1242" spans="1:10" x14ac:dyDescent="0.25">
      <c r="A1242" s="4">
        <v>1010</v>
      </c>
      <c r="B1242">
        <v>12628</v>
      </c>
      <c r="C1242" s="4">
        <v>12292</v>
      </c>
      <c r="D1242" t="s">
        <v>306</v>
      </c>
      <c r="E1242" s="4">
        <v>5</v>
      </c>
      <c r="F1242" s="25">
        <v>43712.814826388887</v>
      </c>
      <c r="G1242">
        <v>0</v>
      </c>
      <c r="H1242" s="25"/>
      <c r="I1242" s="25"/>
      <c r="J1242" s="25" t="s">
        <v>300</v>
      </c>
    </row>
    <row r="1243" spans="1:10" x14ac:dyDescent="0.25">
      <c r="A1243" s="4">
        <v>1010</v>
      </c>
      <c r="B1243">
        <v>12628</v>
      </c>
      <c r="C1243" s="4">
        <v>12292</v>
      </c>
      <c r="D1243" t="s">
        <v>306</v>
      </c>
      <c r="E1243" s="4">
        <v>6</v>
      </c>
      <c r="F1243" s="25">
        <v>43712.814826388887</v>
      </c>
      <c r="G1243">
        <v>0</v>
      </c>
      <c r="H1243" s="25"/>
      <c r="I1243" s="25"/>
      <c r="J1243" s="25" t="s">
        <v>300</v>
      </c>
    </row>
    <row r="1244" spans="1:10" x14ac:dyDescent="0.25">
      <c r="A1244" s="4">
        <v>1010</v>
      </c>
      <c r="B1244">
        <v>12628</v>
      </c>
      <c r="C1244" s="4">
        <v>12292</v>
      </c>
      <c r="D1244" t="s">
        <v>306</v>
      </c>
      <c r="E1244" s="4">
        <v>4</v>
      </c>
      <c r="F1244" s="25">
        <v>43712.814814814818</v>
      </c>
      <c r="G1244">
        <v>0</v>
      </c>
      <c r="H1244" s="25"/>
      <c r="I1244" s="25"/>
      <c r="J1244" s="25" t="s">
        <v>300</v>
      </c>
    </row>
    <row r="1245" spans="1:10" x14ac:dyDescent="0.25">
      <c r="A1245" s="4">
        <v>1010</v>
      </c>
      <c r="B1245">
        <v>12628</v>
      </c>
      <c r="C1245" s="4">
        <v>12292</v>
      </c>
      <c r="D1245" t="s">
        <v>306</v>
      </c>
      <c r="E1245" s="4">
        <v>2</v>
      </c>
      <c r="F1245" s="25">
        <v>43712.814803240741</v>
      </c>
      <c r="G1245">
        <v>0</v>
      </c>
      <c r="H1245" s="25"/>
      <c r="I1245" s="25"/>
      <c r="J1245" s="25" t="s">
        <v>300</v>
      </c>
    </row>
    <row r="1246" spans="1:10" x14ac:dyDescent="0.25">
      <c r="A1246" s="4">
        <v>1010</v>
      </c>
      <c r="B1246">
        <v>12628</v>
      </c>
      <c r="C1246" s="4">
        <v>12292</v>
      </c>
      <c r="D1246" t="s">
        <v>306</v>
      </c>
      <c r="E1246" s="4">
        <v>3</v>
      </c>
      <c r="F1246" s="25">
        <v>43712.814803240741</v>
      </c>
      <c r="G1246">
        <v>0</v>
      </c>
      <c r="H1246" s="25"/>
      <c r="I1246" s="25"/>
      <c r="J1246" s="25" t="s">
        <v>300</v>
      </c>
    </row>
    <row r="1247" spans="1:10" x14ac:dyDescent="0.25">
      <c r="A1247" s="4">
        <v>1010</v>
      </c>
      <c r="B1247">
        <v>12628</v>
      </c>
      <c r="C1247" s="4">
        <v>12292</v>
      </c>
      <c r="D1247" t="s">
        <v>306</v>
      </c>
      <c r="E1247" s="4">
        <v>1</v>
      </c>
      <c r="F1247" s="25">
        <v>43712.814791666664</v>
      </c>
      <c r="G1247">
        <v>0</v>
      </c>
      <c r="H1247" s="25"/>
      <c r="I1247" s="25"/>
      <c r="J1247" s="25" t="s">
        <v>300</v>
      </c>
    </row>
    <row r="1248" spans="1:10" x14ac:dyDescent="0.25">
      <c r="A1248" s="4">
        <v>1010</v>
      </c>
      <c r="B1248">
        <v>12628</v>
      </c>
      <c r="C1248" s="4">
        <v>12292</v>
      </c>
      <c r="D1248" t="s">
        <v>306</v>
      </c>
      <c r="E1248" s="4">
        <v>0</v>
      </c>
      <c r="F1248" s="25">
        <v>43712.814780092594</v>
      </c>
      <c r="G1248">
        <v>0</v>
      </c>
      <c r="H1248" s="25"/>
      <c r="I1248" s="25"/>
      <c r="J1248" s="25" t="s">
        <v>300</v>
      </c>
    </row>
    <row r="1249" spans="1:10" x14ac:dyDescent="0.25">
      <c r="A1249" s="4">
        <v>608</v>
      </c>
      <c r="B1249">
        <v>14240</v>
      </c>
      <c r="C1249" s="4">
        <v>12292</v>
      </c>
      <c r="D1249" t="s">
        <v>306</v>
      </c>
      <c r="E1249" s="4">
        <v>0</v>
      </c>
      <c r="F1249" s="25">
        <v>43712.813321759262</v>
      </c>
      <c r="G1249">
        <v>0</v>
      </c>
      <c r="H1249" s="25"/>
      <c r="I1249" s="25"/>
      <c r="J1249" s="25" t="s">
        <v>300</v>
      </c>
    </row>
    <row r="1250" spans="1:10" x14ac:dyDescent="0.25">
      <c r="A1250" s="4">
        <v>30052</v>
      </c>
      <c r="B1250">
        <v>14168</v>
      </c>
      <c r="C1250" s="4">
        <v>12292</v>
      </c>
      <c r="D1250" t="s">
        <v>306</v>
      </c>
      <c r="E1250" s="4">
        <v>0</v>
      </c>
      <c r="F1250" s="25">
        <v>43712.801539351851</v>
      </c>
      <c r="G1250">
        <v>0</v>
      </c>
      <c r="H1250" s="25"/>
      <c r="I1250" s="25"/>
      <c r="J1250" s="25" t="s">
        <v>300</v>
      </c>
    </row>
    <row r="1251" spans="1:10" x14ac:dyDescent="0.25">
      <c r="A1251" s="4">
        <v>24853</v>
      </c>
      <c r="B1251">
        <v>6080</v>
      </c>
      <c r="C1251" s="4">
        <v>12292</v>
      </c>
      <c r="D1251" t="s">
        <v>306</v>
      </c>
      <c r="E1251" s="4">
        <v>1</v>
      </c>
      <c r="F1251" s="25">
        <v>43712.791678240741</v>
      </c>
      <c r="G1251">
        <v>0</v>
      </c>
      <c r="H1251" s="25"/>
      <c r="I1251" s="25"/>
      <c r="J1251" s="25" t="s">
        <v>300</v>
      </c>
    </row>
    <row r="1252" spans="1:10" x14ac:dyDescent="0.25">
      <c r="A1252" s="4">
        <v>24853</v>
      </c>
      <c r="B1252">
        <v>6080</v>
      </c>
      <c r="C1252" s="4">
        <v>12292</v>
      </c>
      <c r="D1252" t="s">
        <v>306</v>
      </c>
      <c r="E1252" s="4">
        <v>0</v>
      </c>
      <c r="F1252" s="25">
        <v>43712.783125000002</v>
      </c>
      <c r="G1252">
        <v>0</v>
      </c>
      <c r="H1252" s="25"/>
      <c r="I1252" s="25"/>
      <c r="J1252" s="25" t="s">
        <v>300</v>
      </c>
    </row>
    <row r="1253" spans="1:10" x14ac:dyDescent="0.25">
      <c r="A1253" s="4">
        <v>22988</v>
      </c>
      <c r="B1253">
        <v>14852</v>
      </c>
      <c r="C1253" s="4">
        <v>12292</v>
      </c>
      <c r="D1253" t="s">
        <v>306</v>
      </c>
      <c r="E1253" s="4">
        <v>1567625893</v>
      </c>
      <c r="F1253" s="25">
        <v>43712.776550925926</v>
      </c>
      <c r="G1253">
        <v>0</v>
      </c>
      <c r="H1253" s="25"/>
      <c r="I1253" s="25"/>
      <c r="J1253" s="25" t="s">
        <v>300</v>
      </c>
    </row>
    <row r="1254" spans="1:10" x14ac:dyDescent="0.25">
      <c r="A1254" s="4">
        <v>18554</v>
      </c>
      <c r="B1254">
        <v>10272</v>
      </c>
      <c r="C1254" s="4">
        <v>12292</v>
      </c>
      <c r="D1254" t="s">
        <v>306</v>
      </c>
      <c r="E1254" s="4">
        <v>24</v>
      </c>
      <c r="F1254" s="25">
        <v>43712.76185185185</v>
      </c>
      <c r="G1254">
        <v>0</v>
      </c>
      <c r="H1254" s="25"/>
      <c r="I1254" s="25"/>
      <c r="J1254" s="25" t="s">
        <v>300</v>
      </c>
    </row>
    <row r="1255" spans="1:10" x14ac:dyDescent="0.25">
      <c r="A1255" s="4">
        <v>18554</v>
      </c>
      <c r="B1255">
        <v>10272</v>
      </c>
      <c r="C1255" s="4">
        <v>12292</v>
      </c>
      <c r="D1255" t="s">
        <v>306</v>
      </c>
      <c r="E1255" s="4">
        <v>22</v>
      </c>
      <c r="F1255" s="25">
        <v>43712.761840277781</v>
      </c>
      <c r="G1255">
        <v>0</v>
      </c>
      <c r="H1255" s="25"/>
      <c r="I1255" s="25"/>
      <c r="J1255" s="25" t="s">
        <v>300</v>
      </c>
    </row>
    <row r="1256" spans="1:10" x14ac:dyDescent="0.25">
      <c r="A1256" s="4">
        <v>18554</v>
      </c>
      <c r="B1256">
        <v>10272</v>
      </c>
      <c r="C1256" s="4">
        <v>12292</v>
      </c>
      <c r="D1256" t="s">
        <v>306</v>
      </c>
      <c r="E1256" s="4">
        <v>23</v>
      </c>
      <c r="F1256" s="25">
        <v>43712.761840277781</v>
      </c>
      <c r="G1256">
        <v>0</v>
      </c>
      <c r="H1256" s="25"/>
      <c r="I1256" s="25"/>
      <c r="J1256" s="25" t="s">
        <v>300</v>
      </c>
    </row>
    <row r="1257" spans="1:10" x14ac:dyDescent="0.25">
      <c r="A1257" s="4">
        <v>18554</v>
      </c>
      <c r="B1257">
        <v>10272</v>
      </c>
      <c r="C1257" s="4">
        <v>12292</v>
      </c>
      <c r="D1257" t="s">
        <v>306</v>
      </c>
      <c r="E1257" s="4">
        <v>21</v>
      </c>
      <c r="F1257" s="25">
        <v>43712.761828703704</v>
      </c>
      <c r="G1257">
        <v>0</v>
      </c>
      <c r="H1257" s="25"/>
      <c r="I1257" s="25"/>
      <c r="J1257" s="25" t="s">
        <v>300</v>
      </c>
    </row>
    <row r="1258" spans="1:10" x14ac:dyDescent="0.25">
      <c r="A1258" s="4">
        <v>18554</v>
      </c>
      <c r="B1258">
        <v>10272</v>
      </c>
      <c r="C1258" s="4">
        <v>12292</v>
      </c>
      <c r="D1258" t="s">
        <v>306</v>
      </c>
      <c r="E1258" s="4">
        <v>20</v>
      </c>
      <c r="F1258" s="25">
        <v>43712.761817129627</v>
      </c>
      <c r="G1258">
        <v>0</v>
      </c>
      <c r="H1258" s="25"/>
      <c r="I1258" s="25"/>
      <c r="J1258" s="25" t="s">
        <v>300</v>
      </c>
    </row>
    <row r="1259" spans="1:10" x14ac:dyDescent="0.25">
      <c r="A1259" s="4">
        <v>18554</v>
      </c>
      <c r="B1259">
        <v>10272</v>
      </c>
      <c r="C1259" s="4">
        <v>12292</v>
      </c>
      <c r="D1259" t="s">
        <v>306</v>
      </c>
      <c r="E1259" s="4">
        <v>18</v>
      </c>
      <c r="F1259" s="25">
        <v>43712.761805555558</v>
      </c>
      <c r="G1259">
        <v>0</v>
      </c>
      <c r="H1259" s="25"/>
      <c r="I1259" s="25"/>
      <c r="J1259" s="25" t="s">
        <v>300</v>
      </c>
    </row>
    <row r="1260" spans="1:10" x14ac:dyDescent="0.25">
      <c r="A1260" s="4">
        <v>18554</v>
      </c>
      <c r="B1260">
        <v>10272</v>
      </c>
      <c r="C1260" s="4">
        <v>12292</v>
      </c>
      <c r="D1260" t="s">
        <v>306</v>
      </c>
      <c r="E1260" s="4">
        <v>19</v>
      </c>
      <c r="F1260" s="25">
        <v>43712.761805555558</v>
      </c>
      <c r="G1260">
        <v>0</v>
      </c>
      <c r="H1260" s="25"/>
      <c r="I1260" s="25"/>
      <c r="J1260" s="25" t="s">
        <v>300</v>
      </c>
    </row>
    <row r="1261" spans="1:10" x14ac:dyDescent="0.25">
      <c r="A1261" s="4">
        <v>18554</v>
      </c>
      <c r="B1261">
        <v>10272</v>
      </c>
      <c r="C1261" s="4">
        <v>12292</v>
      </c>
      <c r="D1261" t="s">
        <v>306</v>
      </c>
      <c r="E1261" s="4">
        <v>17</v>
      </c>
      <c r="F1261" s="25">
        <v>43712.761793981481</v>
      </c>
      <c r="G1261">
        <v>0</v>
      </c>
      <c r="H1261" s="25"/>
      <c r="I1261" s="25"/>
      <c r="J1261" s="25" t="s">
        <v>300</v>
      </c>
    </row>
    <row r="1262" spans="1:10" x14ac:dyDescent="0.25">
      <c r="A1262" s="4">
        <v>18554</v>
      </c>
      <c r="B1262">
        <v>10272</v>
      </c>
      <c r="C1262" s="4">
        <v>12292</v>
      </c>
      <c r="D1262" t="s">
        <v>306</v>
      </c>
      <c r="E1262" s="4">
        <v>16</v>
      </c>
      <c r="F1262" s="25">
        <v>43712.761782407404</v>
      </c>
      <c r="G1262">
        <v>0</v>
      </c>
      <c r="H1262" s="25"/>
      <c r="I1262" s="25"/>
      <c r="J1262" s="25" t="s">
        <v>300</v>
      </c>
    </row>
    <row r="1263" spans="1:10" x14ac:dyDescent="0.25">
      <c r="A1263" s="4">
        <v>18554</v>
      </c>
      <c r="B1263">
        <v>10272</v>
      </c>
      <c r="C1263" s="4">
        <v>12292</v>
      </c>
      <c r="D1263" t="s">
        <v>306</v>
      </c>
      <c r="E1263" s="4">
        <v>14</v>
      </c>
      <c r="F1263" s="25">
        <v>43712.761770833335</v>
      </c>
      <c r="G1263">
        <v>0</v>
      </c>
      <c r="H1263" s="25"/>
      <c r="I1263" s="25"/>
      <c r="J1263" s="25" t="s">
        <v>300</v>
      </c>
    </row>
    <row r="1264" spans="1:10" x14ac:dyDescent="0.25">
      <c r="A1264" s="4">
        <v>18554</v>
      </c>
      <c r="B1264">
        <v>10272</v>
      </c>
      <c r="C1264" s="4">
        <v>12292</v>
      </c>
      <c r="D1264" t="s">
        <v>306</v>
      </c>
      <c r="E1264" s="4">
        <v>15</v>
      </c>
      <c r="F1264" s="25">
        <v>43712.761770833335</v>
      </c>
      <c r="G1264">
        <v>0</v>
      </c>
      <c r="H1264" s="25"/>
      <c r="I1264" s="25"/>
      <c r="J1264" s="25" t="s">
        <v>300</v>
      </c>
    </row>
    <row r="1265" spans="1:10" x14ac:dyDescent="0.25">
      <c r="A1265" s="4">
        <v>18554</v>
      </c>
      <c r="B1265">
        <v>10272</v>
      </c>
      <c r="C1265" s="4">
        <v>12292</v>
      </c>
      <c r="D1265" t="s">
        <v>306</v>
      </c>
      <c r="E1265" s="4">
        <v>13</v>
      </c>
      <c r="F1265" s="25">
        <v>43712.761759259258</v>
      </c>
      <c r="G1265">
        <v>0</v>
      </c>
      <c r="H1265" s="25"/>
      <c r="I1265" s="25"/>
      <c r="J1265" s="25" t="s">
        <v>300</v>
      </c>
    </row>
    <row r="1266" spans="1:10" x14ac:dyDescent="0.25">
      <c r="A1266" s="4">
        <v>18554</v>
      </c>
      <c r="B1266">
        <v>10272</v>
      </c>
      <c r="C1266" s="4">
        <v>12292</v>
      </c>
      <c r="D1266" t="s">
        <v>306</v>
      </c>
      <c r="E1266" s="4">
        <v>11</v>
      </c>
      <c r="F1266" s="25">
        <v>43712.761747685188</v>
      </c>
      <c r="G1266">
        <v>0</v>
      </c>
      <c r="H1266" s="25"/>
      <c r="I1266" s="25"/>
      <c r="J1266" s="25" t="s">
        <v>300</v>
      </c>
    </row>
    <row r="1267" spans="1:10" x14ac:dyDescent="0.25">
      <c r="A1267" s="4">
        <v>18554</v>
      </c>
      <c r="B1267">
        <v>10272</v>
      </c>
      <c r="C1267" s="4">
        <v>12292</v>
      </c>
      <c r="D1267" t="s">
        <v>306</v>
      </c>
      <c r="E1267" s="4">
        <v>12</v>
      </c>
      <c r="F1267" s="25">
        <v>43712.761747685188</v>
      </c>
      <c r="G1267">
        <v>0</v>
      </c>
      <c r="H1267" s="25"/>
      <c r="I1267" s="25"/>
      <c r="J1267" s="25" t="s">
        <v>300</v>
      </c>
    </row>
    <row r="1268" spans="1:10" x14ac:dyDescent="0.25">
      <c r="A1268" s="4">
        <v>18554</v>
      </c>
      <c r="B1268">
        <v>10272</v>
      </c>
      <c r="C1268" s="4">
        <v>12292</v>
      </c>
      <c r="D1268" t="s">
        <v>306</v>
      </c>
      <c r="E1268" s="4">
        <v>10</v>
      </c>
      <c r="F1268" s="25">
        <v>43712.761736111112</v>
      </c>
      <c r="G1268">
        <v>0</v>
      </c>
      <c r="H1268" s="25"/>
      <c r="I1268" s="25"/>
      <c r="J1268" s="25" t="s">
        <v>300</v>
      </c>
    </row>
    <row r="1269" spans="1:10" x14ac:dyDescent="0.25">
      <c r="A1269" s="4">
        <v>18554</v>
      </c>
      <c r="B1269">
        <v>10272</v>
      </c>
      <c r="C1269" s="4">
        <v>12292</v>
      </c>
      <c r="D1269" t="s">
        <v>306</v>
      </c>
      <c r="E1269" s="4">
        <v>8</v>
      </c>
      <c r="F1269" s="25">
        <v>43712.761724537035</v>
      </c>
      <c r="G1269">
        <v>0</v>
      </c>
      <c r="H1269" s="25"/>
      <c r="I1269" s="25"/>
      <c r="J1269" s="25" t="s">
        <v>300</v>
      </c>
    </row>
    <row r="1270" spans="1:10" x14ac:dyDescent="0.25">
      <c r="A1270" s="4">
        <v>18554</v>
      </c>
      <c r="B1270">
        <v>10272</v>
      </c>
      <c r="C1270" s="4">
        <v>12292</v>
      </c>
      <c r="D1270" t="s">
        <v>306</v>
      </c>
      <c r="E1270" s="4">
        <v>9</v>
      </c>
      <c r="F1270" s="25">
        <v>43712.761724537035</v>
      </c>
      <c r="G1270">
        <v>0</v>
      </c>
      <c r="H1270" s="25"/>
      <c r="I1270" s="25"/>
      <c r="J1270" s="25" t="s">
        <v>300</v>
      </c>
    </row>
    <row r="1271" spans="1:10" x14ac:dyDescent="0.25">
      <c r="A1271" s="4">
        <v>18554</v>
      </c>
      <c r="B1271">
        <v>10272</v>
      </c>
      <c r="C1271" s="4">
        <v>12292</v>
      </c>
      <c r="D1271" t="s">
        <v>306</v>
      </c>
      <c r="E1271" s="4">
        <v>7</v>
      </c>
      <c r="F1271" s="25">
        <v>43712.761712962965</v>
      </c>
      <c r="G1271">
        <v>0</v>
      </c>
      <c r="H1271" s="25"/>
      <c r="I1271" s="25"/>
      <c r="J1271" s="25" t="s">
        <v>300</v>
      </c>
    </row>
    <row r="1272" spans="1:10" x14ac:dyDescent="0.25">
      <c r="A1272" s="4">
        <v>18554</v>
      </c>
      <c r="B1272">
        <v>10272</v>
      </c>
      <c r="C1272" s="4">
        <v>12292</v>
      </c>
      <c r="D1272" t="s">
        <v>306</v>
      </c>
      <c r="E1272" s="4">
        <v>6</v>
      </c>
      <c r="F1272" s="25">
        <v>43712.761701388888</v>
      </c>
      <c r="G1272">
        <v>0</v>
      </c>
      <c r="H1272" s="25"/>
      <c r="I1272" s="25"/>
      <c r="J1272" s="25" t="s">
        <v>300</v>
      </c>
    </row>
    <row r="1273" spans="1:10" x14ac:dyDescent="0.25">
      <c r="A1273" s="4">
        <v>18554</v>
      </c>
      <c r="B1273">
        <v>10272</v>
      </c>
      <c r="C1273" s="4">
        <v>12292</v>
      </c>
      <c r="D1273" t="s">
        <v>306</v>
      </c>
      <c r="E1273" s="4">
        <v>4</v>
      </c>
      <c r="F1273" s="25">
        <v>43712.761689814812</v>
      </c>
      <c r="G1273">
        <v>0</v>
      </c>
      <c r="H1273" s="25"/>
      <c r="I1273" s="25"/>
      <c r="J1273" s="25" t="s">
        <v>300</v>
      </c>
    </row>
    <row r="1274" spans="1:10" x14ac:dyDescent="0.25">
      <c r="A1274" s="4">
        <v>18554</v>
      </c>
      <c r="B1274">
        <v>10272</v>
      </c>
      <c r="C1274" s="4">
        <v>12292</v>
      </c>
      <c r="D1274" t="s">
        <v>306</v>
      </c>
      <c r="E1274" s="4">
        <v>5</v>
      </c>
      <c r="F1274" s="25">
        <v>43712.761689814812</v>
      </c>
      <c r="G1274">
        <v>0</v>
      </c>
      <c r="H1274" s="25"/>
      <c r="I1274" s="25"/>
      <c r="J1274" s="25" t="s">
        <v>300</v>
      </c>
    </row>
    <row r="1275" spans="1:10" x14ac:dyDescent="0.25">
      <c r="A1275" s="4">
        <v>18554</v>
      </c>
      <c r="B1275">
        <v>10272</v>
      </c>
      <c r="C1275" s="4">
        <v>12292</v>
      </c>
      <c r="D1275" t="s">
        <v>306</v>
      </c>
      <c r="E1275" s="4">
        <v>3</v>
      </c>
      <c r="F1275" s="25">
        <v>43712.761678240742</v>
      </c>
      <c r="G1275">
        <v>0</v>
      </c>
      <c r="H1275" s="25"/>
      <c r="I1275" s="25"/>
      <c r="J1275" s="25" t="s">
        <v>300</v>
      </c>
    </row>
    <row r="1276" spans="1:10" x14ac:dyDescent="0.25">
      <c r="A1276" s="4">
        <v>18554</v>
      </c>
      <c r="B1276">
        <v>10272</v>
      </c>
      <c r="C1276" s="4">
        <v>12292</v>
      </c>
      <c r="D1276" t="s">
        <v>306</v>
      </c>
      <c r="E1276" s="4">
        <v>1</v>
      </c>
      <c r="F1276" s="25">
        <v>43712.761666666665</v>
      </c>
      <c r="G1276">
        <v>0</v>
      </c>
      <c r="H1276" s="25"/>
      <c r="I1276" s="25"/>
      <c r="J1276" s="25" t="s">
        <v>300</v>
      </c>
    </row>
    <row r="1277" spans="1:10" x14ac:dyDescent="0.25">
      <c r="A1277" s="4">
        <v>18554</v>
      </c>
      <c r="B1277">
        <v>10272</v>
      </c>
      <c r="C1277" s="4">
        <v>12292</v>
      </c>
      <c r="D1277" t="s">
        <v>306</v>
      </c>
      <c r="E1277" s="4">
        <v>2</v>
      </c>
      <c r="F1277" s="25">
        <v>43712.761666666665</v>
      </c>
      <c r="G1277">
        <v>0</v>
      </c>
      <c r="H1277" s="25"/>
      <c r="I1277" s="25"/>
      <c r="J1277" s="25" t="s">
        <v>300</v>
      </c>
    </row>
    <row r="1278" spans="1:10" x14ac:dyDescent="0.25">
      <c r="A1278" s="4">
        <v>18554</v>
      </c>
      <c r="B1278">
        <v>10272</v>
      </c>
      <c r="C1278" s="4">
        <v>12292</v>
      </c>
      <c r="D1278" t="s">
        <v>306</v>
      </c>
      <c r="E1278" s="4">
        <v>0</v>
      </c>
      <c r="F1278" s="25">
        <v>43712.761655092596</v>
      </c>
      <c r="G1278">
        <v>0</v>
      </c>
      <c r="H1278" s="25"/>
      <c r="I1278" s="25"/>
      <c r="J1278" s="25" t="s">
        <v>300</v>
      </c>
    </row>
    <row r="1279" spans="1:10" x14ac:dyDescent="0.25">
      <c r="A1279" s="4">
        <v>18508</v>
      </c>
      <c r="B1279">
        <v>5716</v>
      </c>
      <c r="C1279" s="4">
        <v>12292</v>
      </c>
      <c r="D1279" t="s">
        <v>306</v>
      </c>
      <c r="E1279" s="4">
        <v>0</v>
      </c>
      <c r="F1279" s="25">
        <v>43712.761331018519</v>
      </c>
      <c r="G1279">
        <v>0</v>
      </c>
      <c r="H1279" s="25"/>
      <c r="I1279" s="25"/>
      <c r="J1279" s="25" t="s">
        <v>300</v>
      </c>
    </row>
    <row r="1280" spans="1:10" x14ac:dyDescent="0.25">
      <c r="A1280" s="4">
        <v>15366</v>
      </c>
      <c r="B1280">
        <v>5684</v>
      </c>
      <c r="C1280" s="4">
        <v>12292</v>
      </c>
      <c r="D1280" t="s">
        <v>306</v>
      </c>
      <c r="E1280" s="4">
        <v>0</v>
      </c>
      <c r="F1280" s="25">
        <v>43712.749490740738</v>
      </c>
      <c r="G1280">
        <v>0</v>
      </c>
      <c r="H1280" s="25"/>
      <c r="I1280" s="25"/>
      <c r="J1280" s="25" t="s">
        <v>300</v>
      </c>
    </row>
    <row r="1281" spans="1:10" x14ac:dyDescent="0.25">
      <c r="A1281" s="4">
        <v>13799</v>
      </c>
      <c r="B1281">
        <v>7164</v>
      </c>
      <c r="C1281" s="4">
        <v>12292</v>
      </c>
      <c r="D1281" t="s">
        <v>306</v>
      </c>
      <c r="E1281" s="4">
        <v>0</v>
      </c>
      <c r="F1281" s="25">
        <v>43712.743958333333</v>
      </c>
      <c r="G1281">
        <v>0</v>
      </c>
      <c r="H1281" s="25"/>
      <c r="I1281" s="25"/>
      <c r="J1281" s="25" t="s">
        <v>300</v>
      </c>
    </row>
    <row r="1282" spans="1:10" x14ac:dyDescent="0.25">
      <c r="A1282" s="4">
        <v>12921</v>
      </c>
      <c r="B1282">
        <v>2972</v>
      </c>
      <c r="C1282" s="4">
        <v>12292</v>
      </c>
      <c r="D1282" t="s">
        <v>306</v>
      </c>
      <c r="E1282" s="4">
        <v>0</v>
      </c>
      <c r="F1282" s="25">
        <v>43712.740856481483</v>
      </c>
      <c r="G1282">
        <v>0</v>
      </c>
      <c r="H1282" s="25"/>
      <c r="I1282" s="25"/>
      <c r="J1282" s="25" t="s">
        <v>300</v>
      </c>
    </row>
    <row r="1283" spans="1:10" x14ac:dyDescent="0.25">
      <c r="A1283" s="4">
        <v>11611</v>
      </c>
      <c r="B1283">
        <v>14556</v>
      </c>
      <c r="C1283" s="4">
        <v>12292</v>
      </c>
      <c r="D1283" t="s">
        <v>306</v>
      </c>
      <c r="E1283" s="4">
        <v>0</v>
      </c>
      <c r="F1283" s="25">
        <v>43712.736203703702</v>
      </c>
      <c r="G1283">
        <v>0</v>
      </c>
      <c r="H1283" s="25"/>
      <c r="I1283" s="25"/>
      <c r="J1283" s="25" t="s">
        <v>300</v>
      </c>
    </row>
    <row r="1284" spans="1:10" x14ac:dyDescent="0.25">
      <c r="A1284" s="4">
        <v>10778</v>
      </c>
      <c r="B1284">
        <v>2924</v>
      </c>
      <c r="C1284" s="4">
        <v>12292</v>
      </c>
      <c r="D1284" t="s">
        <v>306</v>
      </c>
      <c r="E1284" s="4">
        <v>0</v>
      </c>
      <c r="F1284" s="25">
        <v>43712.733252314814</v>
      </c>
      <c r="G1284">
        <v>0</v>
      </c>
      <c r="H1284" s="25"/>
      <c r="I1284" s="25"/>
      <c r="J1284" s="25" t="s">
        <v>300</v>
      </c>
    </row>
    <row r="1285" spans="1:10" x14ac:dyDescent="0.25">
      <c r="A1285" s="4">
        <v>10187</v>
      </c>
      <c r="B1285">
        <v>11376</v>
      </c>
      <c r="C1285" s="4">
        <v>12292</v>
      </c>
      <c r="D1285" t="s">
        <v>306</v>
      </c>
      <c r="E1285" s="4">
        <v>0</v>
      </c>
      <c r="F1285" s="25">
        <v>43712.731168981481</v>
      </c>
      <c r="G1285">
        <v>0</v>
      </c>
      <c r="H1285" s="25"/>
      <c r="I1285" s="25"/>
      <c r="J1285" s="25" t="s">
        <v>300</v>
      </c>
    </row>
    <row r="1286" spans="1:10" x14ac:dyDescent="0.25">
      <c r="A1286" s="4">
        <v>8943</v>
      </c>
      <c r="B1286">
        <v>13255</v>
      </c>
      <c r="C1286" s="4">
        <v>12292</v>
      </c>
      <c r="D1286" t="s">
        <v>306</v>
      </c>
      <c r="E1286" s="4">
        <v>0</v>
      </c>
      <c r="F1286" s="25">
        <v>43712.726736111108</v>
      </c>
      <c r="G1286">
        <v>0</v>
      </c>
      <c r="H1286" s="25"/>
      <c r="I1286" s="25"/>
      <c r="J1286" s="25" t="s">
        <v>300</v>
      </c>
    </row>
    <row r="1287" spans="1:10" x14ac:dyDescent="0.25">
      <c r="A1287" s="4">
        <v>8244</v>
      </c>
      <c r="B1287">
        <v>13256</v>
      </c>
      <c r="C1287" s="4">
        <v>12292</v>
      </c>
      <c r="D1287" t="s">
        <v>306</v>
      </c>
      <c r="E1287" s="4">
        <v>0</v>
      </c>
      <c r="F1287" s="25">
        <v>43712.724270833336</v>
      </c>
      <c r="G1287">
        <v>0</v>
      </c>
      <c r="H1287" s="25"/>
      <c r="I1287" s="25"/>
      <c r="J1287" s="25" t="s">
        <v>300</v>
      </c>
    </row>
    <row r="1288" spans="1:10" x14ac:dyDescent="0.25">
      <c r="A1288" s="4">
        <v>6141</v>
      </c>
      <c r="B1288">
        <v>9092</v>
      </c>
      <c r="C1288" s="4">
        <v>12292</v>
      </c>
      <c r="D1288" t="s">
        <v>306</v>
      </c>
      <c r="E1288" s="4">
        <v>0</v>
      </c>
      <c r="F1288" s="25">
        <v>43712.716817129629</v>
      </c>
      <c r="G1288">
        <v>0</v>
      </c>
      <c r="H1288" s="25"/>
      <c r="I1288" s="25"/>
      <c r="J1288" s="25" t="s">
        <v>300</v>
      </c>
    </row>
    <row r="1289" spans="1:10" x14ac:dyDescent="0.25">
      <c r="A1289" s="4">
        <v>5207</v>
      </c>
      <c r="B1289">
        <v>7540</v>
      </c>
      <c r="C1289" s="4">
        <v>12292</v>
      </c>
      <c r="D1289" t="s">
        <v>306</v>
      </c>
      <c r="E1289" s="4">
        <v>0</v>
      </c>
      <c r="F1289" s="25">
        <v>43712.713495370372</v>
      </c>
      <c r="G1289">
        <v>0</v>
      </c>
      <c r="H1289" s="25"/>
      <c r="I1289" s="25"/>
      <c r="J1289" s="25" t="s">
        <v>300</v>
      </c>
    </row>
    <row r="1290" spans="1:10" x14ac:dyDescent="0.25">
      <c r="A1290" s="4">
        <v>22935</v>
      </c>
      <c r="B1290">
        <v>6475</v>
      </c>
      <c r="C1290" s="4">
        <v>12292</v>
      </c>
      <c r="D1290" t="s">
        <v>306</v>
      </c>
      <c r="E1290" s="4">
        <v>0</v>
      </c>
      <c r="F1290" s="25">
        <v>43711.963321759256</v>
      </c>
      <c r="G1290">
        <v>0</v>
      </c>
      <c r="H1290" s="25"/>
      <c r="I1290" s="25"/>
      <c r="J1290" s="25" t="s">
        <v>300</v>
      </c>
    </row>
    <row r="1291" spans="1:10" x14ac:dyDescent="0.25">
      <c r="A1291" s="4">
        <v>21233</v>
      </c>
      <c r="B1291">
        <v>10460</v>
      </c>
      <c r="C1291" s="4">
        <v>12292</v>
      </c>
      <c r="D1291" t="s">
        <v>306</v>
      </c>
      <c r="E1291" s="4">
        <v>0</v>
      </c>
      <c r="F1291" s="25">
        <v>43711.957303240742</v>
      </c>
      <c r="G1291">
        <v>0</v>
      </c>
      <c r="H1291" s="25"/>
      <c r="I1291" s="25"/>
      <c r="J1291" s="25" t="s">
        <v>300</v>
      </c>
    </row>
    <row r="1292" spans="1:10" x14ac:dyDescent="0.25">
      <c r="A1292" s="4">
        <v>19264</v>
      </c>
      <c r="B1292">
        <v>6412</v>
      </c>
      <c r="C1292" s="4">
        <v>12292</v>
      </c>
      <c r="D1292" t="s">
        <v>306</v>
      </c>
      <c r="E1292" s="4">
        <v>0</v>
      </c>
      <c r="F1292" s="25">
        <v>43711.95040509259</v>
      </c>
      <c r="G1292">
        <v>0</v>
      </c>
      <c r="H1292" s="25"/>
      <c r="I1292" s="25"/>
      <c r="J1292" s="25" t="s">
        <v>300</v>
      </c>
    </row>
    <row r="1293" spans="1:10" x14ac:dyDescent="0.25">
      <c r="A1293" s="4">
        <v>18389</v>
      </c>
      <c r="B1293">
        <v>11568</v>
      </c>
      <c r="C1293" s="4">
        <v>12292</v>
      </c>
      <c r="D1293" t="s">
        <v>306</v>
      </c>
      <c r="E1293" s="4">
        <v>0</v>
      </c>
      <c r="F1293" s="25">
        <v>43711.947384259256</v>
      </c>
      <c r="G1293">
        <v>0</v>
      </c>
      <c r="H1293" s="25"/>
      <c r="I1293" s="25"/>
      <c r="J1293" s="25" t="s">
        <v>300</v>
      </c>
    </row>
    <row r="1294" spans="1:10" x14ac:dyDescent="0.25">
      <c r="A1294" s="4">
        <v>17958</v>
      </c>
      <c r="B1294">
        <v>6476</v>
      </c>
      <c r="C1294" s="4">
        <v>12292</v>
      </c>
      <c r="D1294" t="s">
        <v>306</v>
      </c>
      <c r="E1294" s="4">
        <v>0</v>
      </c>
      <c r="F1294" s="25">
        <v>43711.945925925924</v>
      </c>
      <c r="G1294">
        <v>0</v>
      </c>
      <c r="H1294" s="25"/>
      <c r="I1294" s="25"/>
      <c r="J1294" s="25" t="s">
        <v>300</v>
      </c>
    </row>
    <row r="1295" spans="1:10" x14ac:dyDescent="0.25">
      <c r="A1295" s="4">
        <v>70</v>
      </c>
      <c r="B1295">
        <v>5656</v>
      </c>
      <c r="C1295" s="4">
        <v>12500</v>
      </c>
      <c r="D1295" t="s">
        <v>7</v>
      </c>
      <c r="E1295" s="4">
        <v>0</v>
      </c>
      <c r="F1295" s="25">
        <v>43711.944143518522</v>
      </c>
      <c r="G1295">
        <v>0</v>
      </c>
      <c r="H1295" s="25"/>
      <c r="I1295" s="25" t="s">
        <v>331</v>
      </c>
      <c r="J1295" s="25" t="s">
        <v>298</v>
      </c>
    </row>
    <row r="1296" spans="1:10" x14ac:dyDescent="0.25">
      <c r="A1296" s="4">
        <v>70</v>
      </c>
      <c r="B1296">
        <v>12500</v>
      </c>
      <c r="C1296" s="4">
        <v>12500</v>
      </c>
      <c r="D1296" t="s">
        <v>7</v>
      </c>
      <c r="E1296" s="4">
        <v>0</v>
      </c>
      <c r="F1296" s="25">
        <v>43711.93209490741</v>
      </c>
      <c r="G1296">
        <v>1</v>
      </c>
      <c r="H1296" s="25" t="s">
        <v>328</v>
      </c>
      <c r="I1296" s="25"/>
      <c r="J1296" s="25" t="s">
        <v>322</v>
      </c>
    </row>
    <row r="1297" spans="1:10" x14ac:dyDescent="0.25">
      <c r="A1297" s="4">
        <v>8840</v>
      </c>
      <c r="B1297">
        <v>12164</v>
      </c>
      <c r="C1297" s="4">
        <v>12292</v>
      </c>
      <c r="D1297" t="s">
        <v>306</v>
      </c>
      <c r="E1297" s="4">
        <v>0</v>
      </c>
      <c r="F1297" s="25">
        <v>43711.91337962963</v>
      </c>
      <c r="G1297">
        <v>0</v>
      </c>
      <c r="H1297" s="25"/>
      <c r="I1297" s="25"/>
      <c r="J1297" s="25" t="s">
        <v>300</v>
      </c>
    </row>
    <row r="1298" spans="1:10" x14ac:dyDescent="0.25">
      <c r="A1298" s="4">
        <v>5562</v>
      </c>
      <c r="B1298">
        <v>10036</v>
      </c>
      <c r="C1298" s="4">
        <v>12292</v>
      </c>
      <c r="D1298" t="s">
        <v>306</v>
      </c>
      <c r="E1298" s="4">
        <v>0</v>
      </c>
      <c r="F1298" s="25">
        <v>43711.901747685188</v>
      </c>
      <c r="G1298">
        <v>0</v>
      </c>
      <c r="H1298" s="25"/>
      <c r="I1298" s="25"/>
      <c r="J1298" s="25" t="s">
        <v>300</v>
      </c>
    </row>
    <row r="1299" spans="1:10" x14ac:dyDescent="0.25">
      <c r="A1299" s="4">
        <v>4301</v>
      </c>
      <c r="B1299">
        <v>1212</v>
      </c>
      <c r="C1299" s="4">
        <v>12292</v>
      </c>
      <c r="D1299" t="s">
        <v>306</v>
      </c>
      <c r="E1299" s="4">
        <v>0</v>
      </c>
      <c r="F1299" s="25">
        <v>43711.897303240738</v>
      </c>
      <c r="G1299">
        <v>0</v>
      </c>
      <c r="H1299" s="25"/>
      <c r="I1299" s="25"/>
      <c r="J1299" s="25" t="s">
        <v>300</v>
      </c>
    </row>
    <row r="1300" spans="1:10" x14ac:dyDescent="0.25">
      <c r="A1300" s="4">
        <v>60</v>
      </c>
      <c r="B1300">
        <v>7228</v>
      </c>
      <c r="C1300" s="4">
        <v>12292</v>
      </c>
      <c r="D1300" t="s">
        <v>7</v>
      </c>
      <c r="E1300" s="4">
        <v>0</v>
      </c>
      <c r="F1300" s="25">
        <v>43711.895509259259</v>
      </c>
      <c r="G1300">
        <v>0</v>
      </c>
      <c r="H1300" s="25"/>
      <c r="I1300" s="25" t="s">
        <v>333</v>
      </c>
      <c r="J1300" s="25" t="s">
        <v>337</v>
      </c>
    </row>
    <row r="1301" spans="1:10" x14ac:dyDescent="0.25">
      <c r="A1301" s="4">
        <v>60</v>
      </c>
      <c r="B1301">
        <v>13836</v>
      </c>
      <c r="C1301" s="4">
        <v>12292</v>
      </c>
      <c r="D1301" t="s">
        <v>7</v>
      </c>
      <c r="E1301" s="4">
        <v>0</v>
      </c>
      <c r="F1301" s="25">
        <v>43711.894432870373</v>
      </c>
      <c r="G1301">
        <v>0</v>
      </c>
      <c r="H1301" s="25"/>
      <c r="I1301" s="25" t="s">
        <v>335</v>
      </c>
      <c r="J1301" s="25" t="s">
        <v>336</v>
      </c>
    </row>
    <row r="1302" spans="1:10" x14ac:dyDescent="0.25">
      <c r="A1302" s="4">
        <v>1444</v>
      </c>
      <c r="B1302">
        <v>4980</v>
      </c>
      <c r="C1302" s="4">
        <v>12292</v>
      </c>
      <c r="D1302" t="s">
        <v>306</v>
      </c>
      <c r="E1302" s="4">
        <v>0</v>
      </c>
      <c r="F1302" s="25">
        <v>43711.887175925927</v>
      </c>
      <c r="G1302">
        <v>0</v>
      </c>
      <c r="H1302" s="25"/>
      <c r="I1302" s="25"/>
      <c r="J1302" s="25" t="s">
        <v>300</v>
      </c>
    </row>
    <row r="1303" spans="1:10" x14ac:dyDescent="0.25">
      <c r="A1303" s="4">
        <v>32076</v>
      </c>
      <c r="B1303">
        <v>11644</v>
      </c>
      <c r="C1303" s="4">
        <v>12292</v>
      </c>
      <c r="D1303" t="s">
        <v>306</v>
      </c>
      <c r="E1303" s="4">
        <v>0</v>
      </c>
      <c r="F1303" s="25">
        <v>43711.879594907405</v>
      </c>
      <c r="G1303">
        <v>0</v>
      </c>
      <c r="H1303" s="25"/>
      <c r="I1303" s="25"/>
      <c r="J1303" s="25" t="s">
        <v>300</v>
      </c>
    </row>
    <row r="1304" spans="1:10" x14ac:dyDescent="0.25">
      <c r="A1304" s="4">
        <v>31139</v>
      </c>
      <c r="B1304">
        <v>3332</v>
      </c>
      <c r="C1304" s="4">
        <v>12292</v>
      </c>
      <c r="D1304" t="s">
        <v>306</v>
      </c>
      <c r="E1304" s="4">
        <v>0</v>
      </c>
      <c r="F1304" s="25">
        <v>43711.876342592594</v>
      </c>
      <c r="G1304">
        <v>0</v>
      </c>
      <c r="H1304" s="25"/>
      <c r="I1304" s="25"/>
      <c r="J1304" s="25" t="s">
        <v>300</v>
      </c>
    </row>
    <row r="1305" spans="1:10" x14ac:dyDescent="0.25">
      <c r="A1305" s="4">
        <v>60</v>
      </c>
      <c r="B1305">
        <v>13068</v>
      </c>
      <c r="C1305" s="4">
        <v>12292</v>
      </c>
      <c r="D1305" t="s">
        <v>7</v>
      </c>
      <c r="E1305" s="4">
        <v>0</v>
      </c>
      <c r="F1305" s="25">
        <v>43711.870671296296</v>
      </c>
      <c r="G1305">
        <v>0</v>
      </c>
      <c r="H1305" s="25"/>
      <c r="I1305" s="25" t="s">
        <v>335</v>
      </c>
      <c r="J1305" s="25" t="s">
        <v>334</v>
      </c>
    </row>
    <row r="1306" spans="1:10" x14ac:dyDescent="0.25">
      <c r="A1306" s="4">
        <v>60</v>
      </c>
      <c r="B1306">
        <v>15052</v>
      </c>
      <c r="C1306" s="4">
        <v>12292</v>
      </c>
      <c r="D1306" t="s">
        <v>7</v>
      </c>
      <c r="E1306" s="4">
        <v>0</v>
      </c>
      <c r="F1306" s="25">
        <v>43711.869502314818</v>
      </c>
      <c r="G1306">
        <v>0</v>
      </c>
      <c r="H1306" s="25"/>
      <c r="I1306" s="25" t="s">
        <v>333</v>
      </c>
      <c r="J1306" s="25" t="s">
        <v>332</v>
      </c>
    </row>
    <row r="1307" spans="1:10" x14ac:dyDescent="0.25">
      <c r="A1307" s="4">
        <v>25078</v>
      </c>
      <c r="B1307">
        <v>10072</v>
      </c>
      <c r="C1307" s="4">
        <v>12292</v>
      </c>
      <c r="D1307" t="s">
        <v>306</v>
      </c>
      <c r="E1307" s="4">
        <v>0</v>
      </c>
      <c r="F1307" s="25">
        <v>43711.854641203703</v>
      </c>
      <c r="G1307">
        <v>0</v>
      </c>
      <c r="H1307" s="25"/>
      <c r="I1307" s="25"/>
      <c r="J1307" s="25" t="s">
        <v>300</v>
      </c>
    </row>
    <row r="1308" spans="1:10" x14ac:dyDescent="0.25">
      <c r="A1308" s="4">
        <v>23370</v>
      </c>
      <c r="B1308">
        <v>14880</v>
      </c>
      <c r="C1308" s="4">
        <v>6956</v>
      </c>
      <c r="D1308" t="s">
        <v>306</v>
      </c>
      <c r="E1308" s="4">
        <v>0</v>
      </c>
      <c r="F1308" s="25">
        <v>43711.847777777781</v>
      </c>
      <c r="G1308">
        <v>0</v>
      </c>
      <c r="H1308" s="25"/>
      <c r="I1308" s="25"/>
      <c r="J1308" s="25" t="s">
        <v>300</v>
      </c>
    </row>
    <row r="1309" spans="1:10" x14ac:dyDescent="0.25">
      <c r="A1309" s="4">
        <v>23200</v>
      </c>
      <c r="B1309">
        <v>13428</v>
      </c>
      <c r="C1309" s="4">
        <v>6956</v>
      </c>
      <c r="D1309" t="s">
        <v>306</v>
      </c>
      <c r="E1309" s="4">
        <v>0</v>
      </c>
      <c r="F1309" s="25">
        <v>43711.847187500003</v>
      </c>
      <c r="G1309">
        <v>0</v>
      </c>
      <c r="H1309" s="25"/>
      <c r="I1309" s="25"/>
      <c r="J1309" s="25" t="s">
        <v>300</v>
      </c>
    </row>
    <row r="1310" spans="1:10" x14ac:dyDescent="0.25">
      <c r="A1310" s="4">
        <v>21179</v>
      </c>
      <c r="B1310">
        <v>8604</v>
      </c>
      <c r="C1310" s="4">
        <v>6956</v>
      </c>
      <c r="D1310" t="s">
        <v>306</v>
      </c>
      <c r="E1310" s="4">
        <v>0</v>
      </c>
      <c r="F1310" s="25">
        <v>43711.840011574073</v>
      </c>
      <c r="G1310">
        <v>0</v>
      </c>
      <c r="H1310" s="25"/>
      <c r="I1310" s="25"/>
      <c r="J1310" s="25" t="s">
        <v>300</v>
      </c>
    </row>
    <row r="1311" spans="1:10" x14ac:dyDescent="0.25">
      <c r="A1311" s="4">
        <v>19879</v>
      </c>
      <c r="B1311">
        <v>12376</v>
      </c>
      <c r="C1311" s="4">
        <v>6956</v>
      </c>
      <c r="D1311" t="s">
        <v>306</v>
      </c>
      <c r="E1311" s="4">
        <v>0</v>
      </c>
      <c r="F1311" s="25">
        <v>43711.835405092592</v>
      </c>
      <c r="G1311">
        <v>0</v>
      </c>
      <c r="H1311" s="25"/>
      <c r="I1311" s="25"/>
      <c r="J1311" s="25" t="s">
        <v>300</v>
      </c>
    </row>
    <row r="1312" spans="1:10" x14ac:dyDescent="0.25">
      <c r="A1312" s="4">
        <v>8518</v>
      </c>
      <c r="B1312">
        <v>11416</v>
      </c>
      <c r="C1312" s="4">
        <v>11184</v>
      </c>
      <c r="D1312" t="s">
        <v>306</v>
      </c>
      <c r="E1312" s="4">
        <v>0</v>
      </c>
      <c r="F1312" s="25">
        <v>43711.79515046296</v>
      </c>
      <c r="G1312">
        <v>0</v>
      </c>
      <c r="H1312" s="25"/>
      <c r="I1312" s="25"/>
      <c r="J1312" s="25" t="s">
        <v>300</v>
      </c>
    </row>
    <row r="1313" spans="1:10" x14ac:dyDescent="0.25">
      <c r="A1313" s="4">
        <v>7320</v>
      </c>
      <c r="B1313">
        <v>11364</v>
      </c>
      <c r="C1313" s="4">
        <v>6956</v>
      </c>
      <c r="D1313" t="s">
        <v>306</v>
      </c>
      <c r="E1313" s="4">
        <v>0</v>
      </c>
      <c r="F1313" s="25">
        <v>43711.790891203702</v>
      </c>
      <c r="G1313">
        <v>0</v>
      </c>
      <c r="H1313" s="25"/>
      <c r="I1313" s="25"/>
      <c r="J1313" s="25" t="s">
        <v>300</v>
      </c>
    </row>
    <row r="1314" spans="1:10" x14ac:dyDescent="0.25">
      <c r="A1314" s="4">
        <v>6575</v>
      </c>
      <c r="B1314">
        <v>10296</v>
      </c>
      <c r="C1314" s="4">
        <v>6956</v>
      </c>
      <c r="D1314" t="s">
        <v>306</v>
      </c>
      <c r="E1314" s="4">
        <v>0</v>
      </c>
      <c r="F1314" s="25">
        <v>43711.788252314815</v>
      </c>
      <c r="G1314">
        <v>0</v>
      </c>
      <c r="H1314" s="25"/>
      <c r="I1314" s="25"/>
      <c r="J1314" s="25" t="s">
        <v>300</v>
      </c>
    </row>
    <row r="1315" spans="1:10" x14ac:dyDescent="0.25">
      <c r="A1315" s="4">
        <v>5004</v>
      </c>
      <c r="B1315">
        <v>9440</v>
      </c>
      <c r="C1315" s="4">
        <v>11184</v>
      </c>
      <c r="D1315" t="s">
        <v>306</v>
      </c>
      <c r="E1315" s="4">
        <v>0</v>
      </c>
      <c r="F1315" s="25">
        <v>43711.782685185186</v>
      </c>
      <c r="G1315">
        <v>0</v>
      </c>
      <c r="H1315" s="25"/>
      <c r="I1315" s="25"/>
      <c r="J1315" s="25" t="s">
        <v>300</v>
      </c>
    </row>
    <row r="1316" spans="1:10" x14ac:dyDescent="0.25">
      <c r="A1316" s="4">
        <v>4296</v>
      </c>
      <c r="B1316">
        <v>3128</v>
      </c>
      <c r="C1316" s="4">
        <v>11184</v>
      </c>
      <c r="D1316" t="s">
        <v>306</v>
      </c>
      <c r="E1316" s="4">
        <v>0</v>
      </c>
      <c r="F1316" s="25">
        <v>43711.780185185184</v>
      </c>
      <c r="G1316">
        <v>0</v>
      </c>
      <c r="H1316" s="25"/>
      <c r="I1316" s="25"/>
      <c r="J1316" s="25" t="s">
        <v>300</v>
      </c>
    </row>
    <row r="1317" spans="1:10" x14ac:dyDescent="0.25">
      <c r="A1317" s="4">
        <v>2088</v>
      </c>
      <c r="B1317">
        <v>10780</v>
      </c>
      <c r="C1317" s="4">
        <v>11184</v>
      </c>
      <c r="D1317" t="s">
        <v>306</v>
      </c>
      <c r="E1317" s="4">
        <v>0</v>
      </c>
      <c r="F1317" s="25">
        <v>43711.772372685184</v>
      </c>
      <c r="G1317">
        <v>0</v>
      </c>
      <c r="H1317" s="25"/>
      <c r="I1317" s="25"/>
      <c r="J1317" s="25" t="s">
        <v>300</v>
      </c>
    </row>
    <row r="1318" spans="1:10" x14ac:dyDescent="0.25">
      <c r="A1318" s="4">
        <v>1788</v>
      </c>
      <c r="B1318">
        <v>5828</v>
      </c>
      <c r="C1318" s="4">
        <v>6956</v>
      </c>
      <c r="D1318" t="s">
        <v>306</v>
      </c>
      <c r="E1318" s="4">
        <v>0</v>
      </c>
      <c r="F1318" s="25">
        <v>43711.771284722221</v>
      </c>
      <c r="G1318">
        <v>0</v>
      </c>
      <c r="H1318" s="25"/>
      <c r="I1318" s="25"/>
      <c r="J1318" s="25" t="s">
        <v>300</v>
      </c>
    </row>
    <row r="1319" spans="1:10" x14ac:dyDescent="0.25">
      <c r="A1319" s="4">
        <v>1151</v>
      </c>
      <c r="B1319">
        <v>12200</v>
      </c>
      <c r="C1319" s="4">
        <v>11184</v>
      </c>
      <c r="D1319" t="s">
        <v>306</v>
      </c>
      <c r="E1319" s="4">
        <v>0</v>
      </c>
      <c r="F1319" s="25">
        <v>43711.769444444442</v>
      </c>
      <c r="G1319">
        <v>0</v>
      </c>
      <c r="H1319" s="25"/>
      <c r="I1319" s="25"/>
      <c r="J1319" s="25" t="s">
        <v>300</v>
      </c>
    </row>
    <row r="1320" spans="1:10" x14ac:dyDescent="0.25">
      <c r="A1320" s="4">
        <v>27182</v>
      </c>
      <c r="B1320">
        <v>10348</v>
      </c>
      <c r="C1320" s="4">
        <v>6956</v>
      </c>
      <c r="D1320" t="s">
        <v>306</v>
      </c>
      <c r="E1320" s="4">
        <v>0</v>
      </c>
      <c r="F1320" s="25">
        <v>43711.745162037034</v>
      </c>
      <c r="G1320">
        <v>0</v>
      </c>
      <c r="H1320" s="25"/>
      <c r="I1320" s="25"/>
      <c r="J1320" s="25" t="s">
        <v>300</v>
      </c>
    </row>
    <row r="1321" spans="1:10" x14ac:dyDescent="0.25">
      <c r="A1321" s="4">
        <v>26069</v>
      </c>
      <c r="B1321">
        <v>9688</v>
      </c>
      <c r="C1321" s="4">
        <v>6956</v>
      </c>
      <c r="D1321" t="s">
        <v>306</v>
      </c>
      <c r="E1321" s="4">
        <v>0</v>
      </c>
      <c r="F1321" s="25">
        <v>43711.741203703707</v>
      </c>
      <c r="G1321">
        <v>0</v>
      </c>
      <c r="H1321" s="25"/>
      <c r="I1321" s="25"/>
      <c r="J1321" s="25" t="s">
        <v>300</v>
      </c>
    </row>
    <row r="1322" spans="1:10" x14ac:dyDescent="0.25">
      <c r="A1322" s="4">
        <v>25794</v>
      </c>
      <c r="B1322">
        <v>9689</v>
      </c>
      <c r="C1322" s="4">
        <v>6956</v>
      </c>
      <c r="D1322" t="s">
        <v>306</v>
      </c>
      <c r="E1322" s="4">
        <v>0</v>
      </c>
      <c r="F1322" s="25">
        <v>43711.740243055552</v>
      </c>
      <c r="G1322">
        <v>0</v>
      </c>
      <c r="H1322" s="25"/>
      <c r="I1322" s="25"/>
      <c r="J1322" s="25" t="s">
        <v>300</v>
      </c>
    </row>
    <row r="1323" spans="1:10" x14ac:dyDescent="0.25">
      <c r="A1323" s="4">
        <v>25164</v>
      </c>
      <c r="B1323">
        <v>9690</v>
      </c>
      <c r="C1323" s="4">
        <v>6956</v>
      </c>
      <c r="D1323" t="s">
        <v>306</v>
      </c>
      <c r="E1323" s="4">
        <v>0</v>
      </c>
      <c r="F1323" s="25">
        <v>43711.737997685188</v>
      </c>
      <c r="G1323">
        <v>0</v>
      </c>
      <c r="H1323" s="25"/>
      <c r="I1323" s="25"/>
      <c r="J1323" s="25" t="s">
        <v>300</v>
      </c>
    </row>
    <row r="1324" spans="1:10" x14ac:dyDescent="0.25">
      <c r="A1324" s="4">
        <v>24906</v>
      </c>
      <c r="B1324">
        <v>9691</v>
      </c>
      <c r="C1324" s="4">
        <v>6956</v>
      </c>
      <c r="D1324" t="s">
        <v>306</v>
      </c>
      <c r="E1324" s="4">
        <v>0</v>
      </c>
      <c r="F1324" s="25">
        <v>43711.73709490741</v>
      </c>
      <c r="G1324">
        <v>0</v>
      </c>
      <c r="H1324" s="25"/>
      <c r="I1324" s="25"/>
      <c r="J1324" s="25" t="s">
        <v>300</v>
      </c>
    </row>
    <row r="1325" spans="1:10" x14ac:dyDescent="0.25">
      <c r="A1325" s="4">
        <v>23897</v>
      </c>
      <c r="B1325">
        <v>9692</v>
      </c>
      <c r="C1325" s="4">
        <v>6956</v>
      </c>
      <c r="D1325" t="s">
        <v>306</v>
      </c>
      <c r="E1325" s="4">
        <v>0</v>
      </c>
      <c r="F1325" s="25">
        <v>43711.733518518522</v>
      </c>
      <c r="G1325">
        <v>0</v>
      </c>
      <c r="H1325" s="25"/>
      <c r="I1325" s="25"/>
      <c r="J1325" s="25" t="s">
        <v>300</v>
      </c>
    </row>
    <row r="1326" spans="1:10" x14ac:dyDescent="0.25">
      <c r="A1326" s="4">
        <v>23312</v>
      </c>
      <c r="B1326">
        <v>9693</v>
      </c>
      <c r="C1326" s="4">
        <v>6956</v>
      </c>
      <c r="D1326" t="s">
        <v>306</v>
      </c>
      <c r="E1326" s="4">
        <v>0</v>
      </c>
      <c r="F1326" s="25">
        <v>43711.731446759259</v>
      </c>
      <c r="G1326">
        <v>0</v>
      </c>
      <c r="H1326" s="25"/>
      <c r="I1326" s="25"/>
      <c r="J1326" s="25" t="s">
        <v>300</v>
      </c>
    </row>
    <row r="1327" spans="1:10" x14ac:dyDescent="0.25">
      <c r="A1327" s="4">
        <v>21229</v>
      </c>
      <c r="B1327">
        <v>9694</v>
      </c>
      <c r="C1327" s="4">
        <v>6956</v>
      </c>
      <c r="D1327" t="s">
        <v>306</v>
      </c>
      <c r="E1327" s="4">
        <v>0</v>
      </c>
      <c r="F1327" s="25">
        <v>43711.724062499998</v>
      </c>
      <c r="G1327">
        <v>0</v>
      </c>
      <c r="H1327" s="25"/>
      <c r="I1327" s="25"/>
      <c r="J1327" s="25" t="s">
        <v>300</v>
      </c>
    </row>
    <row r="1328" spans="1:10" x14ac:dyDescent="0.25">
      <c r="A1328" s="4">
        <v>19991</v>
      </c>
      <c r="B1328">
        <v>9695</v>
      </c>
      <c r="C1328" s="4">
        <v>6956</v>
      </c>
      <c r="D1328" t="s">
        <v>306</v>
      </c>
      <c r="E1328" s="4">
        <v>0</v>
      </c>
      <c r="F1328" s="25">
        <v>43711.719675925924</v>
      </c>
      <c r="G1328">
        <v>0</v>
      </c>
      <c r="H1328" s="25"/>
      <c r="I1328" s="25"/>
      <c r="J1328" s="25" t="s">
        <v>300</v>
      </c>
    </row>
    <row r="1329" spans="1:10" x14ac:dyDescent="0.25">
      <c r="A1329" s="4">
        <v>19642</v>
      </c>
      <c r="B1329">
        <v>9696</v>
      </c>
      <c r="C1329" s="4">
        <v>6956</v>
      </c>
      <c r="D1329" t="s">
        <v>306</v>
      </c>
      <c r="E1329" s="4">
        <v>0</v>
      </c>
      <c r="F1329" s="25">
        <v>43711.718715277777</v>
      </c>
      <c r="G1329">
        <v>0</v>
      </c>
      <c r="H1329" s="25"/>
      <c r="I1329" s="25"/>
      <c r="J1329" s="25" t="s">
        <v>300</v>
      </c>
    </row>
    <row r="1330" spans="1:10" x14ac:dyDescent="0.25">
      <c r="A1330" s="4">
        <v>40</v>
      </c>
      <c r="B1330">
        <v>2984</v>
      </c>
      <c r="C1330" s="4">
        <v>6956</v>
      </c>
      <c r="D1330" t="s">
        <v>7</v>
      </c>
      <c r="E1330" s="4">
        <v>0</v>
      </c>
      <c r="F1330" s="25">
        <v>43710.974282407406</v>
      </c>
      <c r="G1330">
        <v>0</v>
      </c>
      <c r="H1330" s="25"/>
      <c r="I1330" s="25" t="s">
        <v>331</v>
      </c>
      <c r="J1330" s="25" t="s">
        <v>298</v>
      </c>
    </row>
    <row r="1331" spans="1:10" x14ac:dyDescent="0.25">
      <c r="A1331" s="4">
        <v>40</v>
      </c>
      <c r="B1331">
        <v>9960</v>
      </c>
      <c r="C1331" s="4">
        <v>6956</v>
      </c>
      <c r="D1331" t="s">
        <v>7</v>
      </c>
      <c r="E1331" s="4">
        <v>0</v>
      </c>
      <c r="F1331" s="25">
        <v>43710.973009259258</v>
      </c>
      <c r="G1331">
        <v>0</v>
      </c>
      <c r="H1331" s="25"/>
      <c r="I1331" s="25" t="s">
        <v>330</v>
      </c>
      <c r="J1331" s="25" t="s">
        <v>304</v>
      </c>
    </row>
    <row r="1332" spans="1:10" x14ac:dyDescent="0.25">
      <c r="A1332" s="4">
        <v>27906</v>
      </c>
      <c r="B1332">
        <v>4912</v>
      </c>
      <c r="C1332" s="4">
        <v>6956</v>
      </c>
      <c r="D1332" t="s">
        <v>306</v>
      </c>
      <c r="E1332" s="4">
        <v>0</v>
      </c>
      <c r="F1332" s="25">
        <v>43710.934733796297</v>
      </c>
      <c r="G1332">
        <v>0</v>
      </c>
      <c r="H1332" s="25"/>
      <c r="I1332" s="25"/>
      <c r="J1332" s="25" t="s">
        <v>300</v>
      </c>
    </row>
    <row r="1333" spans="1:10" x14ac:dyDescent="0.25">
      <c r="A1333" s="4">
        <v>27821</v>
      </c>
      <c r="B1333">
        <v>12452</v>
      </c>
      <c r="C1333" s="4">
        <v>6956</v>
      </c>
      <c r="D1333" t="s">
        <v>306</v>
      </c>
      <c r="E1333" s="4">
        <v>0</v>
      </c>
      <c r="F1333" s="25">
        <v>43710.934444444443</v>
      </c>
      <c r="G1333">
        <v>0</v>
      </c>
      <c r="H1333" s="25"/>
      <c r="I1333" s="25"/>
      <c r="J1333" s="25" t="s">
        <v>300</v>
      </c>
    </row>
    <row r="1334" spans="1:10" x14ac:dyDescent="0.25">
      <c r="A1334" s="4">
        <v>27732</v>
      </c>
      <c r="B1334">
        <v>7144</v>
      </c>
      <c r="C1334" s="4">
        <v>6956</v>
      </c>
      <c r="D1334" t="s">
        <v>306</v>
      </c>
      <c r="E1334" s="4">
        <v>0</v>
      </c>
      <c r="F1334" s="25">
        <v>43710.93414351852</v>
      </c>
      <c r="G1334">
        <v>0</v>
      </c>
      <c r="H1334" s="25"/>
      <c r="I1334" s="25"/>
      <c r="J1334" s="25" t="s">
        <v>300</v>
      </c>
    </row>
    <row r="1335" spans="1:10" x14ac:dyDescent="0.25">
      <c r="A1335" s="4">
        <v>27063</v>
      </c>
      <c r="B1335">
        <v>5492</v>
      </c>
      <c r="C1335" s="4">
        <v>6956</v>
      </c>
      <c r="D1335" t="s">
        <v>306</v>
      </c>
      <c r="E1335" s="4">
        <v>0</v>
      </c>
      <c r="F1335" s="25">
        <v>43710.931747685187</v>
      </c>
      <c r="G1335">
        <v>0</v>
      </c>
      <c r="H1335" s="25"/>
      <c r="I1335" s="25"/>
      <c r="J1335" s="25" t="s">
        <v>300</v>
      </c>
    </row>
    <row r="1336" spans="1:10" x14ac:dyDescent="0.25">
      <c r="A1336" s="4">
        <v>23624</v>
      </c>
      <c r="B1336">
        <v>4332</v>
      </c>
      <c r="C1336" s="4">
        <v>6956</v>
      </c>
      <c r="D1336" t="s">
        <v>306</v>
      </c>
      <c r="E1336" s="4">
        <v>0</v>
      </c>
      <c r="F1336" s="25">
        <v>43710.919571759259</v>
      </c>
      <c r="G1336">
        <v>0</v>
      </c>
      <c r="H1336" s="25"/>
      <c r="I1336" s="25"/>
      <c r="J1336" s="25" t="s">
        <v>300</v>
      </c>
    </row>
    <row r="1337" spans="1:10" x14ac:dyDescent="0.25">
      <c r="A1337" s="4">
        <v>22965</v>
      </c>
      <c r="B1337">
        <v>1326</v>
      </c>
      <c r="C1337" s="4">
        <v>6956</v>
      </c>
      <c r="D1337" t="s">
        <v>306</v>
      </c>
      <c r="E1337" s="4">
        <v>0</v>
      </c>
      <c r="F1337" s="25">
        <v>43710.917233796295</v>
      </c>
      <c r="G1337">
        <v>0</v>
      </c>
      <c r="H1337" s="25"/>
      <c r="I1337" s="25"/>
      <c r="J1337" s="25" t="s">
        <v>300</v>
      </c>
    </row>
    <row r="1338" spans="1:10" x14ac:dyDescent="0.25">
      <c r="A1338" s="4">
        <v>21139</v>
      </c>
      <c r="B1338">
        <v>14124</v>
      </c>
      <c r="C1338" s="4">
        <v>6956</v>
      </c>
      <c r="D1338" t="s">
        <v>306</v>
      </c>
      <c r="E1338" s="4">
        <v>0</v>
      </c>
      <c r="F1338" s="25">
        <v>43710.910787037035</v>
      </c>
      <c r="G1338">
        <v>0</v>
      </c>
      <c r="H1338" s="25"/>
      <c r="I1338" s="25"/>
      <c r="J1338" s="25" t="s">
        <v>300</v>
      </c>
    </row>
    <row r="1339" spans="1:10" x14ac:dyDescent="0.25">
      <c r="A1339" s="4">
        <v>19657</v>
      </c>
      <c r="B1339">
        <v>1327</v>
      </c>
      <c r="C1339" s="4">
        <v>6956</v>
      </c>
      <c r="D1339" t="s">
        <v>306</v>
      </c>
      <c r="E1339" s="4">
        <v>0</v>
      </c>
      <c r="F1339" s="25">
        <v>43710.905509259261</v>
      </c>
      <c r="G1339">
        <v>0</v>
      </c>
      <c r="H1339" s="25"/>
      <c r="I1339" s="25"/>
      <c r="J1339" s="25" t="s">
        <v>300</v>
      </c>
    </row>
    <row r="1340" spans="1:10" x14ac:dyDescent="0.25">
      <c r="A1340" s="4">
        <v>18439</v>
      </c>
      <c r="B1340">
        <v>1328</v>
      </c>
      <c r="C1340" s="4">
        <v>11808</v>
      </c>
      <c r="D1340" t="s">
        <v>306</v>
      </c>
      <c r="E1340" s="4">
        <v>0</v>
      </c>
      <c r="F1340" s="25">
        <v>43710.90116898148</v>
      </c>
      <c r="G1340">
        <v>0</v>
      </c>
      <c r="H1340" s="25"/>
      <c r="I1340" s="25"/>
      <c r="J1340" s="25" t="s">
        <v>300</v>
      </c>
    </row>
    <row r="1341" spans="1:10" x14ac:dyDescent="0.25">
      <c r="A1341" s="4">
        <v>16819</v>
      </c>
      <c r="B1341">
        <v>12344</v>
      </c>
      <c r="C1341" s="4">
        <v>11808</v>
      </c>
      <c r="D1341" t="s">
        <v>306</v>
      </c>
      <c r="E1341" s="4">
        <v>0</v>
      </c>
      <c r="F1341" s="25">
        <v>43710.895439814813</v>
      </c>
      <c r="G1341">
        <v>0</v>
      </c>
      <c r="H1341" s="25"/>
      <c r="I1341" s="25"/>
      <c r="J1341" s="25" t="s">
        <v>300</v>
      </c>
    </row>
    <row r="1342" spans="1:10" x14ac:dyDescent="0.25">
      <c r="A1342" s="4">
        <v>16623</v>
      </c>
      <c r="B1342">
        <v>10600</v>
      </c>
      <c r="C1342" s="4">
        <v>11808</v>
      </c>
      <c r="D1342" t="s">
        <v>306</v>
      </c>
      <c r="E1342" s="4">
        <v>0</v>
      </c>
      <c r="F1342" s="25">
        <v>43710.894733796296</v>
      </c>
      <c r="G1342">
        <v>0</v>
      </c>
      <c r="H1342" s="25"/>
      <c r="I1342" s="25"/>
      <c r="J1342" s="25" t="s">
        <v>300</v>
      </c>
    </row>
    <row r="1343" spans="1:10" x14ac:dyDescent="0.25">
      <c r="A1343" s="4">
        <v>15405</v>
      </c>
      <c r="B1343">
        <v>6336</v>
      </c>
      <c r="C1343" s="4">
        <v>11808</v>
      </c>
      <c r="D1343" t="s">
        <v>306</v>
      </c>
      <c r="E1343" s="4">
        <v>0</v>
      </c>
      <c r="F1343" s="25">
        <v>43710.890416666669</v>
      </c>
      <c r="G1343">
        <v>0</v>
      </c>
      <c r="H1343" s="25"/>
      <c r="I1343" s="25"/>
      <c r="J1343" s="25" t="s">
        <v>300</v>
      </c>
    </row>
    <row r="1344" spans="1:10" x14ac:dyDescent="0.25">
      <c r="A1344" s="4">
        <v>15095</v>
      </c>
      <c r="B1344">
        <v>10868</v>
      </c>
      <c r="C1344" s="4">
        <v>11808</v>
      </c>
      <c r="D1344" t="s">
        <v>306</v>
      </c>
      <c r="E1344" s="4">
        <v>0</v>
      </c>
      <c r="F1344" s="25">
        <v>43710.889328703706</v>
      </c>
      <c r="G1344">
        <v>0</v>
      </c>
      <c r="H1344" s="25"/>
      <c r="I1344" s="25"/>
      <c r="J1344" s="25" t="s">
        <v>300</v>
      </c>
    </row>
    <row r="1345" spans="1:10" x14ac:dyDescent="0.25">
      <c r="A1345" s="4">
        <v>12538</v>
      </c>
      <c r="B1345">
        <v>9003</v>
      </c>
      <c r="C1345" s="4">
        <v>11808</v>
      </c>
      <c r="D1345" t="s">
        <v>306</v>
      </c>
      <c r="E1345" s="4">
        <v>0</v>
      </c>
      <c r="F1345" s="25">
        <v>43710.880254629628</v>
      </c>
      <c r="G1345">
        <v>0</v>
      </c>
      <c r="H1345" s="25"/>
      <c r="I1345" s="25"/>
      <c r="J1345" s="25" t="s">
        <v>300</v>
      </c>
    </row>
    <row r="1346" spans="1:10" x14ac:dyDescent="0.25">
      <c r="A1346" s="4">
        <v>12067</v>
      </c>
      <c r="B1346">
        <v>5652</v>
      </c>
      <c r="C1346" s="4">
        <v>11808</v>
      </c>
      <c r="D1346" t="s">
        <v>306</v>
      </c>
      <c r="E1346" s="4">
        <v>0</v>
      </c>
      <c r="F1346" s="25">
        <v>43710.878587962965</v>
      </c>
      <c r="G1346">
        <v>0</v>
      </c>
      <c r="H1346" s="25"/>
      <c r="I1346" s="25"/>
      <c r="J1346" s="25" t="s">
        <v>300</v>
      </c>
    </row>
    <row r="1347" spans="1:10" x14ac:dyDescent="0.25">
      <c r="A1347" s="4">
        <v>8296</v>
      </c>
      <c r="B1347">
        <v>9224</v>
      </c>
      <c r="C1347" s="4">
        <v>6956</v>
      </c>
      <c r="D1347" t="s">
        <v>306</v>
      </c>
      <c r="E1347" s="4">
        <v>0</v>
      </c>
      <c r="F1347" s="25">
        <v>43710.865266203706</v>
      </c>
      <c r="G1347">
        <v>0</v>
      </c>
      <c r="H1347" s="25"/>
      <c r="I1347" s="25"/>
      <c r="J1347" s="25" t="s">
        <v>300</v>
      </c>
    </row>
    <row r="1348" spans="1:10" x14ac:dyDescent="0.25">
      <c r="A1348" s="4">
        <v>7140</v>
      </c>
      <c r="B1348">
        <v>10712</v>
      </c>
      <c r="C1348" s="4">
        <v>6956</v>
      </c>
      <c r="D1348" t="s">
        <v>306</v>
      </c>
      <c r="E1348" s="4">
        <v>0</v>
      </c>
      <c r="F1348" s="25">
        <v>43710.861145833333</v>
      </c>
      <c r="G1348">
        <v>0</v>
      </c>
      <c r="H1348" s="25"/>
      <c r="I1348" s="25"/>
      <c r="J1348" s="25" t="s">
        <v>300</v>
      </c>
    </row>
    <row r="1349" spans="1:10" x14ac:dyDescent="0.25">
      <c r="A1349" s="4">
        <v>50</v>
      </c>
      <c r="B1349">
        <v>10480</v>
      </c>
      <c r="C1349" s="4">
        <v>11808</v>
      </c>
      <c r="D1349" t="s">
        <v>7</v>
      </c>
      <c r="E1349" s="4">
        <v>0</v>
      </c>
      <c r="F1349" s="25">
        <v>43710.855902777781</v>
      </c>
      <c r="G1349">
        <v>0</v>
      </c>
      <c r="H1349" s="25"/>
      <c r="I1349" s="25" t="s">
        <v>329</v>
      </c>
      <c r="J1349" s="25" t="s">
        <v>300</v>
      </c>
    </row>
    <row r="1350" spans="1:10" x14ac:dyDescent="0.25">
      <c r="A1350" s="4">
        <v>50</v>
      </c>
      <c r="B1350">
        <v>11808</v>
      </c>
      <c r="C1350" s="4">
        <v>11808</v>
      </c>
      <c r="D1350" t="s">
        <v>7</v>
      </c>
      <c r="E1350" s="4">
        <v>0</v>
      </c>
      <c r="F1350" s="25">
        <v>43710.855740740742</v>
      </c>
      <c r="G1350">
        <v>1</v>
      </c>
      <c r="H1350" s="25" t="s">
        <v>328</v>
      </c>
      <c r="I1350" s="25"/>
      <c r="J1350" s="25" t="s">
        <v>302</v>
      </c>
    </row>
    <row r="1351" spans="1:10" x14ac:dyDescent="0.25">
      <c r="A1351" s="4">
        <v>40</v>
      </c>
      <c r="B1351">
        <v>11796</v>
      </c>
      <c r="C1351" s="4">
        <v>6956</v>
      </c>
      <c r="D1351" t="s">
        <v>7</v>
      </c>
      <c r="E1351" s="4">
        <v>0</v>
      </c>
      <c r="F1351" s="25">
        <v>43710.854421296295</v>
      </c>
      <c r="G1351">
        <v>0</v>
      </c>
      <c r="H1351" s="25"/>
      <c r="I1351" s="25" t="s">
        <v>329</v>
      </c>
      <c r="J1351" s="25" t="s">
        <v>304</v>
      </c>
    </row>
    <row r="1352" spans="1:10" x14ac:dyDescent="0.25">
      <c r="A1352" s="4">
        <v>40</v>
      </c>
      <c r="B1352">
        <v>11444</v>
      </c>
      <c r="C1352" s="4">
        <v>6956</v>
      </c>
      <c r="D1352" t="s">
        <v>7</v>
      </c>
      <c r="E1352" s="4">
        <v>0</v>
      </c>
      <c r="F1352" s="25">
        <v>43710.851493055554</v>
      </c>
      <c r="G1352">
        <v>0</v>
      </c>
      <c r="H1352" s="25"/>
      <c r="I1352" s="25" t="s">
        <v>329</v>
      </c>
      <c r="J1352" s="25" t="s">
        <v>298</v>
      </c>
    </row>
    <row r="1353" spans="1:10" x14ac:dyDescent="0.25">
      <c r="A1353" s="4">
        <v>40</v>
      </c>
      <c r="B1353">
        <v>6956</v>
      </c>
      <c r="C1353" s="4">
        <v>6956</v>
      </c>
      <c r="D1353" t="s">
        <v>7</v>
      </c>
      <c r="E1353" s="4">
        <v>0</v>
      </c>
      <c r="F1353" s="25">
        <v>43710.851180555554</v>
      </c>
      <c r="G1353">
        <v>1</v>
      </c>
      <c r="H1353" s="25" t="s">
        <v>328</v>
      </c>
      <c r="I1353" s="25"/>
      <c r="J1353" s="25" t="s">
        <v>299</v>
      </c>
    </row>
    <row r="1354" spans="1:10" x14ac:dyDescent="0.25">
      <c r="A1354" s="4">
        <v>20</v>
      </c>
      <c r="B1354">
        <v>12160</v>
      </c>
      <c r="C1354" s="4">
        <v>11184</v>
      </c>
      <c r="D1354" t="s">
        <v>7</v>
      </c>
      <c r="E1354" s="4">
        <v>0</v>
      </c>
      <c r="F1354" s="25">
        <v>43710.840405092589</v>
      </c>
      <c r="G1354">
        <v>0</v>
      </c>
      <c r="H1354" s="25"/>
      <c r="I1354" s="25" t="s">
        <v>327</v>
      </c>
      <c r="J1354" s="25" t="s">
        <v>326</v>
      </c>
    </row>
    <row r="1355" spans="1:10" x14ac:dyDescent="0.25">
      <c r="A1355" s="4">
        <v>20</v>
      </c>
      <c r="B1355">
        <v>11184</v>
      </c>
      <c r="C1355" s="4">
        <v>11184</v>
      </c>
      <c r="D1355" t="s">
        <v>7</v>
      </c>
      <c r="E1355" s="4">
        <v>0</v>
      </c>
      <c r="F1355" s="25">
        <v>43710.837037037039</v>
      </c>
      <c r="G1355">
        <v>1</v>
      </c>
      <c r="H1355" s="25" t="s">
        <v>182</v>
      </c>
      <c r="I1355" s="25"/>
      <c r="J1355" s="25" t="s">
        <v>325</v>
      </c>
    </row>
    <row r="1356" spans="1:10" x14ac:dyDescent="0.25">
      <c r="A1356" s="4">
        <v>20</v>
      </c>
      <c r="B1356">
        <v>9004</v>
      </c>
      <c r="C1356" s="4">
        <v>9004</v>
      </c>
      <c r="D1356" t="s">
        <v>7</v>
      </c>
      <c r="E1356" s="4">
        <v>0</v>
      </c>
      <c r="F1356" s="25">
        <v>43710.748842592591</v>
      </c>
      <c r="G1356">
        <v>1</v>
      </c>
      <c r="H1356" s="25" t="s">
        <v>324</v>
      </c>
      <c r="I1356" s="25"/>
      <c r="J1356" s="25" t="s">
        <v>301</v>
      </c>
    </row>
    <row r="1357" spans="1:10" x14ac:dyDescent="0.25">
      <c r="A1357" s="4">
        <v>20</v>
      </c>
      <c r="B1357">
        <v>9912</v>
      </c>
      <c r="C1357" s="4">
        <v>9912</v>
      </c>
      <c r="D1357" t="s">
        <v>7</v>
      </c>
      <c r="E1357" s="4">
        <v>0</v>
      </c>
      <c r="F1357" s="25">
        <v>43710.745810185188</v>
      </c>
      <c r="G1357">
        <v>1</v>
      </c>
      <c r="H1357" s="25" t="s">
        <v>324</v>
      </c>
      <c r="I1357" s="25"/>
      <c r="J1357" s="25" t="s">
        <v>303</v>
      </c>
    </row>
    <row r="1358" spans="1:10" x14ac:dyDescent="0.25">
      <c r="A1358" s="4">
        <v>20</v>
      </c>
      <c r="B1358">
        <v>7272</v>
      </c>
      <c r="C1358" s="4">
        <v>7272</v>
      </c>
      <c r="D1358" t="s">
        <v>7</v>
      </c>
      <c r="E1358" s="4">
        <v>0</v>
      </c>
      <c r="F1358" s="25">
        <v>43710.744039351855</v>
      </c>
      <c r="G1358">
        <v>1</v>
      </c>
      <c r="H1358" s="25" t="s">
        <v>323</v>
      </c>
      <c r="I1358" s="25"/>
      <c r="J1358" s="25" t="s">
        <v>322</v>
      </c>
    </row>
    <row r="1359" spans="1:10" x14ac:dyDescent="0.25">
      <c r="A1359" s="4">
        <v>20</v>
      </c>
      <c r="B1359">
        <v>11900</v>
      </c>
      <c r="C1359" s="4">
        <v>11900</v>
      </c>
      <c r="D1359" t="s">
        <v>7</v>
      </c>
      <c r="E1359" s="4">
        <v>0</v>
      </c>
      <c r="F1359" s="25">
        <v>43710.740486111114</v>
      </c>
      <c r="G1359">
        <v>1</v>
      </c>
      <c r="H1359" s="25" t="s">
        <v>321</v>
      </c>
      <c r="I1359" s="25"/>
      <c r="J1359" s="25" t="s">
        <v>317</v>
      </c>
    </row>
    <row r="1360" spans="1:10" x14ac:dyDescent="0.25">
      <c r="A1360" s="4">
        <v>20</v>
      </c>
      <c r="B1360">
        <v>9900</v>
      </c>
      <c r="C1360" s="4">
        <v>9900</v>
      </c>
      <c r="D1360" t="s">
        <v>7</v>
      </c>
      <c r="E1360" s="4">
        <v>0</v>
      </c>
      <c r="F1360" s="25">
        <v>43710.739606481482</v>
      </c>
      <c r="G1360">
        <v>1</v>
      </c>
      <c r="H1360" s="25" t="s">
        <v>321</v>
      </c>
      <c r="I1360" s="25"/>
      <c r="J1360" s="25" t="s">
        <v>320</v>
      </c>
    </row>
    <row r="1361" spans="1:10" x14ac:dyDescent="0.25">
      <c r="A1361" s="4">
        <v>20</v>
      </c>
      <c r="B1361">
        <v>8408</v>
      </c>
      <c r="C1361" s="4">
        <v>8408</v>
      </c>
      <c r="D1361" t="s">
        <v>7</v>
      </c>
      <c r="E1361" s="4">
        <v>0</v>
      </c>
      <c r="F1361" s="25">
        <v>43710.738217592596</v>
      </c>
      <c r="G1361">
        <v>1</v>
      </c>
      <c r="H1361" s="25" t="s">
        <v>135</v>
      </c>
      <c r="I1361" s="25"/>
      <c r="J1361" s="25" t="s">
        <v>319</v>
      </c>
    </row>
    <row r="1362" spans="1:10" x14ac:dyDescent="0.25">
      <c r="A1362" s="4">
        <v>20</v>
      </c>
      <c r="B1362">
        <v>6704</v>
      </c>
      <c r="C1362" s="4">
        <v>6704</v>
      </c>
      <c r="D1362" t="s">
        <v>7</v>
      </c>
      <c r="E1362" s="4">
        <v>0</v>
      </c>
      <c r="F1362" s="25">
        <v>43710.737638888888</v>
      </c>
      <c r="G1362">
        <v>1</v>
      </c>
      <c r="H1362" s="25" t="s">
        <v>135</v>
      </c>
      <c r="I1362" s="25"/>
      <c r="J1362" s="25" t="s">
        <v>318</v>
      </c>
    </row>
    <row r="1363" spans="1:10" x14ac:dyDescent="0.25">
      <c r="A1363" s="4">
        <v>20</v>
      </c>
      <c r="B1363">
        <v>12652</v>
      </c>
      <c r="C1363" s="4">
        <v>12652</v>
      </c>
      <c r="D1363" t="s">
        <v>7</v>
      </c>
      <c r="E1363" s="4">
        <v>0</v>
      </c>
      <c r="F1363" s="25">
        <v>43710.728750000002</v>
      </c>
      <c r="G1363">
        <v>1</v>
      </c>
      <c r="H1363" s="25" t="s">
        <v>135</v>
      </c>
      <c r="I1363" s="25"/>
      <c r="J1363" s="25" t="s">
        <v>317</v>
      </c>
    </row>
    <row r="1364" spans="1:10" x14ac:dyDescent="0.25">
      <c r="A1364" s="4">
        <v>20</v>
      </c>
      <c r="B1364">
        <v>14108</v>
      </c>
      <c r="C1364" s="4">
        <v>14108</v>
      </c>
      <c r="D1364" t="s">
        <v>7</v>
      </c>
      <c r="E1364" s="4">
        <v>0</v>
      </c>
      <c r="F1364" s="25">
        <v>43710.722395833334</v>
      </c>
      <c r="G1364">
        <v>1</v>
      </c>
      <c r="H1364" s="25" t="s">
        <v>135</v>
      </c>
      <c r="I1364" s="25"/>
      <c r="J1364" s="25" t="s">
        <v>316</v>
      </c>
    </row>
    <row r="1365" spans="1:10" x14ac:dyDescent="0.25">
      <c r="A1365" s="4">
        <v>30</v>
      </c>
      <c r="B1365">
        <v>3396</v>
      </c>
      <c r="C1365" s="4">
        <v>10408</v>
      </c>
      <c r="D1365" t="s">
        <v>7</v>
      </c>
      <c r="E1365" s="4">
        <v>0</v>
      </c>
      <c r="F1365" s="25">
        <v>43710.7112037037</v>
      </c>
      <c r="G1365">
        <v>0</v>
      </c>
      <c r="H1365" s="25"/>
      <c r="I1365" s="25" t="s">
        <v>312</v>
      </c>
      <c r="J1365" s="25" t="s">
        <v>315</v>
      </c>
    </row>
    <row r="1366" spans="1:10" x14ac:dyDescent="0.25">
      <c r="A1366" s="4">
        <v>30</v>
      </c>
      <c r="B1366">
        <v>10408</v>
      </c>
      <c r="C1366" s="4">
        <v>10408</v>
      </c>
      <c r="D1366" t="s">
        <v>7</v>
      </c>
      <c r="E1366" s="4">
        <v>0</v>
      </c>
      <c r="F1366" s="25">
        <v>43710.709502314814</v>
      </c>
      <c r="G1366">
        <v>1</v>
      </c>
      <c r="H1366" s="25" t="s">
        <v>314</v>
      </c>
      <c r="I1366" s="25"/>
      <c r="J1366" s="25" t="s">
        <v>313</v>
      </c>
    </row>
    <row r="1367" spans="1:10" x14ac:dyDescent="0.25">
      <c r="A1367" s="4">
        <v>27261</v>
      </c>
      <c r="B1367">
        <v>2216</v>
      </c>
      <c r="C1367" s="4">
        <v>5644</v>
      </c>
      <c r="D1367" t="s">
        <v>306</v>
      </c>
      <c r="E1367" s="4">
        <v>0</v>
      </c>
      <c r="F1367" s="25">
        <v>43710.700509259259</v>
      </c>
      <c r="G1367">
        <v>0</v>
      </c>
      <c r="H1367" s="25"/>
      <c r="I1367" s="25"/>
      <c r="J1367" s="25" t="s">
        <v>300</v>
      </c>
    </row>
    <row r="1368" spans="1:10" x14ac:dyDescent="0.25">
      <c r="A1368" s="4">
        <v>26448</v>
      </c>
      <c r="B1368">
        <v>12896</v>
      </c>
      <c r="C1368" s="4">
        <v>5644</v>
      </c>
      <c r="D1368" t="s">
        <v>306</v>
      </c>
      <c r="E1368" s="4">
        <v>0</v>
      </c>
      <c r="F1368" s="25">
        <v>43710.697789351849</v>
      </c>
      <c r="G1368">
        <v>0</v>
      </c>
      <c r="H1368" s="25"/>
      <c r="I1368" s="25"/>
      <c r="J1368" s="25" t="s">
        <v>300</v>
      </c>
    </row>
    <row r="1369" spans="1:10" x14ac:dyDescent="0.25">
      <c r="A1369" s="4">
        <v>30</v>
      </c>
      <c r="B1369">
        <v>3244</v>
      </c>
      <c r="C1369" s="4">
        <v>5644</v>
      </c>
      <c r="D1369" t="s">
        <v>7</v>
      </c>
      <c r="E1369" s="4">
        <v>0</v>
      </c>
      <c r="F1369" s="25">
        <v>43710.695243055554</v>
      </c>
      <c r="G1369">
        <v>0</v>
      </c>
      <c r="H1369" s="25"/>
      <c r="I1369" s="25" t="s">
        <v>312</v>
      </c>
      <c r="J1369" s="25" t="s">
        <v>311</v>
      </c>
    </row>
    <row r="1370" spans="1:10" x14ac:dyDescent="0.25">
      <c r="A1370" s="4">
        <v>30</v>
      </c>
      <c r="B1370">
        <v>5644</v>
      </c>
      <c r="C1370" s="4">
        <v>5644</v>
      </c>
      <c r="D1370" t="s">
        <v>7</v>
      </c>
      <c r="E1370" s="4">
        <v>0</v>
      </c>
      <c r="F1370" s="25">
        <v>43710.690821759257</v>
      </c>
      <c r="G1370">
        <v>1</v>
      </c>
      <c r="H1370" s="25" t="s">
        <v>310</v>
      </c>
      <c r="I1370" s="25"/>
      <c r="J1370" s="25" t="s">
        <v>309</v>
      </c>
    </row>
    <row r="1371" spans="1:10" x14ac:dyDescent="0.25">
      <c r="A1371" s="4">
        <v>30</v>
      </c>
      <c r="B1371">
        <v>2132</v>
      </c>
      <c r="C1371" s="4">
        <v>12292</v>
      </c>
      <c r="D1371" t="s">
        <v>7</v>
      </c>
      <c r="E1371" s="4">
        <v>0</v>
      </c>
      <c r="F1371" s="25">
        <v>43710.686180555553</v>
      </c>
      <c r="G1371">
        <v>0</v>
      </c>
      <c r="H1371" s="25"/>
      <c r="I1371" s="25" t="s">
        <v>283</v>
      </c>
      <c r="J1371" s="25" t="s">
        <v>303</v>
      </c>
    </row>
    <row r="1372" spans="1:10" x14ac:dyDescent="0.25">
      <c r="A1372" s="4">
        <v>30</v>
      </c>
      <c r="B1372">
        <v>12292</v>
      </c>
      <c r="C1372" s="4">
        <v>12292</v>
      </c>
      <c r="D1372" t="s">
        <v>7</v>
      </c>
      <c r="E1372" s="4">
        <v>0</v>
      </c>
      <c r="F1372" s="25">
        <v>43710.685520833336</v>
      </c>
      <c r="G1372">
        <v>1</v>
      </c>
      <c r="H1372" s="25" t="s">
        <v>308</v>
      </c>
      <c r="I1372" s="25"/>
      <c r="J1372" s="25" t="s">
        <v>307</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A3" sqref="A3"/>
    </sheetView>
  </sheetViews>
  <sheetFormatPr defaultRowHeight="15" x14ac:dyDescent="0.25"/>
  <cols>
    <col min="1" max="1" width="10.85546875" customWidth="1"/>
    <col min="2" max="2" width="64.140625" customWidth="1"/>
    <col min="3" max="4" width="66.5703125" customWidth="1"/>
    <col min="5" max="5" width="12.28515625" customWidth="1"/>
    <col min="6" max="8" width="61.85546875" customWidth="1"/>
    <col min="9" max="9" width="62" bestFit="1" customWidth="1"/>
  </cols>
  <sheetData>
    <row r="1" spans="1:5" x14ac:dyDescent="0.25">
      <c r="A1">
        <v>6132</v>
      </c>
    </row>
    <row r="2" spans="1:5" x14ac:dyDescent="0.25">
      <c r="A2">
        <v>11808</v>
      </c>
    </row>
    <row r="3" spans="1:5" x14ac:dyDescent="0.25">
      <c r="A3" t="s">
        <v>150</v>
      </c>
      <c r="B3" t="s">
        <v>151</v>
      </c>
      <c r="C3" t="s">
        <v>184</v>
      </c>
      <c r="D3" t="s">
        <v>185</v>
      </c>
      <c r="E3" t="s">
        <v>186</v>
      </c>
    </row>
    <row r="4" spans="1:5" hidden="1" x14ac:dyDescent="0.25">
      <c r="A4" t="s">
        <v>152</v>
      </c>
      <c r="B4" t="s">
        <v>168</v>
      </c>
      <c r="C4" t="s">
        <v>169</v>
      </c>
      <c r="D4" t="s">
        <v>169</v>
      </c>
    </row>
    <row r="5" spans="1:5" hidden="1" x14ac:dyDescent="0.25">
      <c r="A5" t="s">
        <v>152</v>
      </c>
      <c r="B5" t="s">
        <v>164</v>
      </c>
      <c r="C5" t="s">
        <v>165</v>
      </c>
      <c r="D5" t="s">
        <v>165</v>
      </c>
    </row>
    <row r="6" spans="1:5" hidden="1" x14ac:dyDescent="0.25">
      <c r="A6" t="s">
        <v>152</v>
      </c>
      <c r="B6" t="s">
        <v>166</v>
      </c>
      <c r="C6" t="s">
        <v>167</v>
      </c>
      <c r="D6" t="s">
        <v>167</v>
      </c>
    </row>
    <row r="7" spans="1:5" hidden="1" x14ac:dyDescent="0.25">
      <c r="A7" t="s">
        <v>152</v>
      </c>
      <c r="B7" t="s">
        <v>173</v>
      </c>
      <c r="C7" t="s">
        <v>394</v>
      </c>
      <c r="D7" t="s">
        <v>169</v>
      </c>
      <c r="E7" t="s">
        <v>196</v>
      </c>
    </row>
    <row r="8" spans="1:5" hidden="1" x14ac:dyDescent="0.25">
      <c r="A8" t="s">
        <v>152</v>
      </c>
      <c r="B8" t="s">
        <v>170</v>
      </c>
      <c r="C8" t="s">
        <v>171</v>
      </c>
      <c r="D8" t="s">
        <v>171</v>
      </c>
    </row>
    <row r="9" spans="1:5" hidden="1" x14ac:dyDescent="0.25">
      <c r="A9" t="s">
        <v>152</v>
      </c>
      <c r="B9" t="s">
        <v>172</v>
      </c>
      <c r="C9" t="s">
        <v>167</v>
      </c>
      <c r="D9" t="s">
        <v>167</v>
      </c>
    </row>
    <row r="10" spans="1:5" hidden="1" x14ac:dyDescent="0.25">
      <c r="A10" t="s">
        <v>152</v>
      </c>
      <c r="B10" t="s">
        <v>177</v>
      </c>
      <c r="C10" t="s">
        <v>169</v>
      </c>
      <c r="D10" t="s">
        <v>169</v>
      </c>
    </row>
    <row r="11" spans="1:5" hidden="1" x14ac:dyDescent="0.25">
      <c r="A11" t="s">
        <v>152</v>
      </c>
      <c r="B11" t="s">
        <v>174</v>
      </c>
      <c r="C11" t="s">
        <v>175</v>
      </c>
      <c r="D11" t="s">
        <v>175</v>
      </c>
    </row>
    <row r="12" spans="1:5" hidden="1" x14ac:dyDescent="0.25">
      <c r="A12" t="s">
        <v>152</v>
      </c>
      <c r="B12" t="s">
        <v>176</v>
      </c>
      <c r="C12" t="s">
        <v>167</v>
      </c>
      <c r="D12" t="s">
        <v>167</v>
      </c>
    </row>
    <row r="13" spans="1:5" hidden="1" x14ac:dyDescent="0.25">
      <c r="A13" t="s">
        <v>152</v>
      </c>
      <c r="B13" t="s">
        <v>178</v>
      </c>
      <c r="C13" t="s">
        <v>179</v>
      </c>
      <c r="D13" t="s">
        <v>179</v>
      </c>
    </row>
    <row r="14" spans="1:5" hidden="1" x14ac:dyDescent="0.25">
      <c r="A14" t="s">
        <v>152</v>
      </c>
      <c r="B14" t="s">
        <v>157</v>
      </c>
      <c r="C14" t="s">
        <v>158</v>
      </c>
      <c r="D14" t="s">
        <v>158</v>
      </c>
    </row>
    <row r="15" spans="1:5" hidden="1" x14ac:dyDescent="0.25">
      <c r="A15" t="s">
        <v>152</v>
      </c>
      <c r="B15" t="s">
        <v>180</v>
      </c>
      <c r="C15" t="s">
        <v>181</v>
      </c>
      <c r="D15" t="s">
        <v>181</v>
      </c>
    </row>
    <row r="16" spans="1:5" hidden="1" x14ac:dyDescent="0.25">
      <c r="A16" t="s">
        <v>152</v>
      </c>
      <c r="B16" t="s">
        <v>153</v>
      </c>
      <c r="C16" t="s">
        <v>154</v>
      </c>
      <c r="D16" t="s">
        <v>154</v>
      </c>
    </row>
    <row r="17" spans="1:4" hidden="1" x14ac:dyDescent="0.25">
      <c r="A17" t="s">
        <v>152</v>
      </c>
      <c r="B17" t="s">
        <v>159</v>
      </c>
      <c r="C17" t="s">
        <v>160</v>
      </c>
      <c r="D17" t="s">
        <v>160</v>
      </c>
    </row>
    <row r="18" spans="1:4" hidden="1" x14ac:dyDescent="0.25">
      <c r="A18" t="s">
        <v>152</v>
      </c>
      <c r="B18" t="s">
        <v>161</v>
      </c>
      <c r="C18" t="s">
        <v>156</v>
      </c>
      <c r="D18" t="s">
        <v>156</v>
      </c>
    </row>
    <row r="19" spans="1:4" hidden="1" x14ac:dyDescent="0.25">
      <c r="A19" t="s">
        <v>152</v>
      </c>
      <c r="B19" t="s">
        <v>162</v>
      </c>
      <c r="C19" t="s">
        <v>163</v>
      </c>
      <c r="D19" t="s">
        <v>163</v>
      </c>
    </row>
    <row r="20" spans="1:4" hidden="1" x14ac:dyDescent="0.25">
      <c r="A20" t="s">
        <v>152</v>
      </c>
      <c r="B20" t="s">
        <v>155</v>
      </c>
      <c r="C20" t="s">
        <v>156</v>
      </c>
      <c r="D20" t="s">
        <v>156</v>
      </c>
    </row>
    <row r="21" spans="1:4" x14ac:dyDescent="0.25">
      <c r="A21" t="s">
        <v>187</v>
      </c>
      <c r="B21" t="s">
        <v>188</v>
      </c>
      <c r="C21" t="s">
        <v>189</v>
      </c>
      <c r="D21" t="s">
        <v>189</v>
      </c>
    </row>
    <row r="22" spans="1:4" x14ac:dyDescent="0.25">
      <c r="A22" t="s">
        <v>187</v>
      </c>
      <c r="B22" t="s">
        <v>190</v>
      </c>
      <c r="C22" t="s">
        <v>189</v>
      </c>
      <c r="D22" t="s">
        <v>189</v>
      </c>
    </row>
    <row r="23" spans="1:4" x14ac:dyDescent="0.25">
      <c r="A23" t="s">
        <v>187</v>
      </c>
      <c r="B23" t="s">
        <v>191</v>
      </c>
      <c r="C23" t="s">
        <v>192</v>
      </c>
      <c r="D23" t="s">
        <v>192</v>
      </c>
    </row>
    <row r="24" spans="1:4" x14ac:dyDescent="0.25">
      <c r="A24" t="s">
        <v>187</v>
      </c>
      <c r="B24" t="s">
        <v>193</v>
      </c>
      <c r="C24" t="s">
        <v>194</v>
      </c>
      <c r="D24" t="s">
        <v>194</v>
      </c>
    </row>
    <row r="25" spans="1:4" x14ac:dyDescent="0.25">
      <c r="A25" t="s">
        <v>187</v>
      </c>
      <c r="B25" t="s">
        <v>195</v>
      </c>
      <c r="C25" t="s">
        <v>179</v>
      </c>
      <c r="D25" t="s">
        <v>179</v>
      </c>
    </row>
    <row r="26" spans="1:4" x14ac:dyDescent="0.25">
      <c r="A26" t="s">
        <v>187</v>
      </c>
      <c r="B26" t="s">
        <v>197</v>
      </c>
      <c r="C26" t="s">
        <v>163</v>
      </c>
      <c r="D26" t="s">
        <v>163</v>
      </c>
    </row>
    <row r="27" spans="1:4" x14ac:dyDescent="0.25">
      <c r="A27" t="s">
        <v>187</v>
      </c>
      <c r="B27" t="s">
        <v>198</v>
      </c>
      <c r="C27" t="s">
        <v>163</v>
      </c>
      <c r="D27" t="s">
        <v>163</v>
      </c>
    </row>
    <row r="28" spans="1:4" x14ac:dyDescent="0.25">
      <c r="A28" t="s">
        <v>187</v>
      </c>
      <c r="B28" t="s">
        <v>199</v>
      </c>
      <c r="C28" t="s">
        <v>200</v>
      </c>
      <c r="D28" t="s">
        <v>200</v>
      </c>
    </row>
    <row r="29" spans="1:4" x14ac:dyDescent="0.25">
      <c r="A29" t="s">
        <v>187</v>
      </c>
      <c r="B29" t="s">
        <v>201</v>
      </c>
      <c r="C29" t="s">
        <v>202</v>
      </c>
      <c r="D29" t="s">
        <v>202</v>
      </c>
    </row>
    <row r="30" spans="1:4" x14ac:dyDescent="0.25">
      <c r="A30" t="s">
        <v>187</v>
      </c>
      <c r="B30" t="s">
        <v>203</v>
      </c>
      <c r="C30" t="s">
        <v>204</v>
      </c>
      <c r="D30" t="s">
        <v>204</v>
      </c>
    </row>
    <row r="31" spans="1:4" x14ac:dyDescent="0.25">
      <c r="A31" t="s">
        <v>187</v>
      </c>
      <c r="B31" t="s">
        <v>205</v>
      </c>
      <c r="C31" t="s">
        <v>206</v>
      </c>
      <c r="D31" t="s">
        <v>206</v>
      </c>
    </row>
    <row r="32" spans="1:4" x14ac:dyDescent="0.25">
      <c r="A32" t="s">
        <v>187</v>
      </c>
      <c r="B32" t="s">
        <v>207</v>
      </c>
      <c r="C32" t="s">
        <v>208</v>
      </c>
      <c r="D32" t="s">
        <v>208</v>
      </c>
    </row>
    <row r="33" spans="1:4" x14ac:dyDescent="0.25">
      <c r="A33" t="s">
        <v>187</v>
      </c>
      <c r="B33" t="s">
        <v>209</v>
      </c>
      <c r="C33" t="s">
        <v>163</v>
      </c>
      <c r="D33" t="s">
        <v>163</v>
      </c>
    </row>
    <row r="34" spans="1:4" x14ac:dyDescent="0.25">
      <c r="A34" t="s">
        <v>187</v>
      </c>
      <c r="B34" t="s">
        <v>210</v>
      </c>
      <c r="C34" t="s">
        <v>163</v>
      </c>
      <c r="D34" t="s">
        <v>163</v>
      </c>
    </row>
    <row r="35" spans="1:4" x14ac:dyDescent="0.25">
      <c r="A35" t="s">
        <v>187</v>
      </c>
      <c r="B35" t="s">
        <v>211</v>
      </c>
      <c r="C35" t="s">
        <v>212</v>
      </c>
      <c r="D35" t="s">
        <v>212</v>
      </c>
    </row>
    <row r="36" spans="1:4" hidden="1" x14ac:dyDescent="0.25">
      <c r="A36" t="s">
        <v>187</v>
      </c>
      <c r="B36" t="s">
        <v>213</v>
      </c>
      <c r="C36" t="s">
        <v>214</v>
      </c>
      <c r="D36" t="s">
        <v>214</v>
      </c>
    </row>
    <row r="37" spans="1:4" hidden="1" x14ac:dyDescent="0.25">
      <c r="A37" t="s">
        <v>187</v>
      </c>
      <c r="B37" t="s">
        <v>215</v>
      </c>
      <c r="C37" t="s">
        <v>216</v>
      </c>
      <c r="D37" t="s">
        <v>216</v>
      </c>
    </row>
    <row r="38" spans="1:4" hidden="1" x14ac:dyDescent="0.25">
      <c r="A38" t="s">
        <v>187</v>
      </c>
      <c r="B38" t="s">
        <v>217</v>
      </c>
      <c r="C38" t="s">
        <v>218</v>
      </c>
      <c r="D38" t="s">
        <v>218</v>
      </c>
    </row>
    <row r="39" spans="1:4" hidden="1" x14ac:dyDescent="0.25">
      <c r="A39" t="s">
        <v>187</v>
      </c>
      <c r="B39" t="s">
        <v>219</v>
      </c>
      <c r="C39" t="s">
        <v>220</v>
      </c>
      <c r="D39" t="s">
        <v>220</v>
      </c>
    </row>
    <row r="40" spans="1:4" hidden="1" x14ac:dyDescent="0.25">
      <c r="A40" t="s">
        <v>187</v>
      </c>
      <c r="B40" t="s">
        <v>221</v>
      </c>
      <c r="C40" t="s">
        <v>222</v>
      </c>
      <c r="D40" t="s">
        <v>222</v>
      </c>
    </row>
    <row r="41" spans="1:4" hidden="1" x14ac:dyDescent="0.25">
      <c r="A41" t="s">
        <v>187</v>
      </c>
      <c r="B41" t="s">
        <v>223</v>
      </c>
      <c r="C41" t="s">
        <v>158</v>
      </c>
      <c r="D41" t="s">
        <v>158</v>
      </c>
    </row>
    <row r="42" spans="1:4" hidden="1" x14ac:dyDescent="0.25">
      <c r="A42" t="s">
        <v>187</v>
      </c>
      <c r="B42" t="s">
        <v>224</v>
      </c>
      <c r="C42" t="s">
        <v>181</v>
      </c>
      <c r="D42" t="s">
        <v>181</v>
      </c>
    </row>
    <row r="43" spans="1:4" hidden="1" x14ac:dyDescent="0.25">
      <c r="A43" t="s">
        <v>187</v>
      </c>
      <c r="B43" t="s">
        <v>225</v>
      </c>
      <c r="C43" t="s">
        <v>154</v>
      </c>
      <c r="D43" t="s">
        <v>154</v>
      </c>
    </row>
    <row r="44" spans="1:4" hidden="1" x14ac:dyDescent="0.25">
      <c r="A44" t="s">
        <v>187</v>
      </c>
      <c r="B44" t="s">
        <v>226</v>
      </c>
      <c r="C44" t="s">
        <v>160</v>
      </c>
      <c r="D44" t="s">
        <v>160</v>
      </c>
    </row>
    <row r="45" spans="1:4" hidden="1" x14ac:dyDescent="0.25">
      <c r="A45" t="s">
        <v>187</v>
      </c>
      <c r="B45" t="s">
        <v>227</v>
      </c>
      <c r="C45" t="s">
        <v>156</v>
      </c>
      <c r="D45" t="s">
        <v>156</v>
      </c>
    </row>
    <row r="46" spans="1:4" hidden="1" x14ac:dyDescent="0.25">
      <c r="A46" t="s">
        <v>187</v>
      </c>
      <c r="B46" t="s">
        <v>228</v>
      </c>
      <c r="C46" t="s">
        <v>156</v>
      </c>
      <c r="D46" t="s">
        <v>156</v>
      </c>
    </row>
    <row r="47" spans="1:4" hidden="1" x14ac:dyDescent="0.25">
      <c r="A47" t="s">
        <v>187</v>
      </c>
      <c r="B47" t="s">
        <v>229</v>
      </c>
      <c r="C47" t="s">
        <v>156</v>
      </c>
      <c r="D47" t="s">
        <v>156</v>
      </c>
    </row>
    <row r="48" spans="1:4" hidden="1" x14ac:dyDescent="0.25">
      <c r="A48" t="s">
        <v>187</v>
      </c>
      <c r="B48" t="s">
        <v>230</v>
      </c>
      <c r="C48" t="s">
        <v>156</v>
      </c>
      <c r="D48" t="s">
        <v>156</v>
      </c>
    </row>
    <row r="49" spans="1:4" hidden="1" x14ac:dyDescent="0.25">
      <c r="A49" t="s">
        <v>187</v>
      </c>
      <c r="B49" t="s">
        <v>231</v>
      </c>
      <c r="C49" t="s">
        <v>156</v>
      </c>
      <c r="D49" t="s">
        <v>156</v>
      </c>
    </row>
    <row r="50" spans="1:4" hidden="1" x14ac:dyDescent="0.25">
      <c r="A50" t="s">
        <v>187</v>
      </c>
      <c r="B50" t="s">
        <v>232</v>
      </c>
      <c r="C50" t="s">
        <v>163</v>
      </c>
      <c r="D50" t="s">
        <v>163</v>
      </c>
    </row>
    <row r="51" spans="1:4" x14ac:dyDescent="0.25">
      <c r="A51" t="s">
        <v>187</v>
      </c>
      <c r="B51" t="s">
        <v>233</v>
      </c>
      <c r="C51" t="s">
        <v>179</v>
      </c>
      <c r="D51" t="s">
        <v>179</v>
      </c>
    </row>
    <row r="52" spans="1:4" hidden="1" x14ac:dyDescent="0.25">
      <c r="A52" t="s">
        <v>187</v>
      </c>
      <c r="B52" t="s">
        <v>234</v>
      </c>
      <c r="C52" t="s">
        <v>158</v>
      </c>
      <c r="D52" t="s">
        <v>158</v>
      </c>
    </row>
    <row r="53" spans="1:4" hidden="1" x14ac:dyDescent="0.25">
      <c r="A53" t="s">
        <v>187</v>
      </c>
      <c r="B53" t="s">
        <v>235</v>
      </c>
      <c r="C53" t="s">
        <v>181</v>
      </c>
      <c r="D53" t="s">
        <v>181</v>
      </c>
    </row>
    <row r="54" spans="1:4" hidden="1" x14ac:dyDescent="0.25">
      <c r="A54" t="s">
        <v>187</v>
      </c>
      <c r="B54" t="s">
        <v>236</v>
      </c>
      <c r="C54" t="s">
        <v>154</v>
      </c>
      <c r="D54" t="s">
        <v>154</v>
      </c>
    </row>
    <row r="55" spans="1:4" hidden="1" x14ac:dyDescent="0.25">
      <c r="A55" t="s">
        <v>187</v>
      </c>
      <c r="B55" t="s">
        <v>237</v>
      </c>
      <c r="C55" t="s">
        <v>160</v>
      </c>
      <c r="D55" t="s">
        <v>160</v>
      </c>
    </row>
    <row r="56" spans="1:4" hidden="1" x14ac:dyDescent="0.25">
      <c r="A56" t="s">
        <v>187</v>
      </c>
      <c r="B56" t="s">
        <v>238</v>
      </c>
      <c r="C56" t="s">
        <v>156</v>
      </c>
      <c r="D56" t="s">
        <v>156</v>
      </c>
    </row>
    <row r="57" spans="1:4" hidden="1" x14ac:dyDescent="0.25">
      <c r="A57" t="s">
        <v>187</v>
      </c>
      <c r="B57" t="s">
        <v>239</v>
      </c>
      <c r="C57" t="s">
        <v>163</v>
      </c>
      <c r="D57" t="s">
        <v>163</v>
      </c>
    </row>
    <row r="58" spans="1:4" x14ac:dyDescent="0.25">
      <c r="A58" t="s">
        <v>187</v>
      </c>
      <c r="B58" t="s">
        <v>240</v>
      </c>
      <c r="C58" t="s">
        <v>241</v>
      </c>
      <c r="D58" t="s">
        <v>241</v>
      </c>
    </row>
    <row r="59" spans="1:4" x14ac:dyDescent="0.25">
      <c r="A59" t="s">
        <v>242</v>
      </c>
      <c r="B59" t="s">
        <v>243</v>
      </c>
      <c r="C59" t="s">
        <v>179</v>
      </c>
      <c r="D59" t="s">
        <v>179</v>
      </c>
    </row>
    <row r="60" spans="1:4" x14ac:dyDescent="0.25">
      <c r="A60" t="s">
        <v>242</v>
      </c>
      <c r="B60" t="s">
        <v>244</v>
      </c>
      <c r="C60" t="s">
        <v>163</v>
      </c>
      <c r="D60" t="s">
        <v>163</v>
      </c>
    </row>
    <row r="61" spans="1:4" x14ac:dyDescent="0.25">
      <c r="A61" t="s">
        <v>242</v>
      </c>
      <c r="B61" t="s">
        <v>245</v>
      </c>
      <c r="C61" t="s">
        <v>246</v>
      </c>
      <c r="D61" t="s">
        <v>246</v>
      </c>
    </row>
    <row r="62" spans="1:4" hidden="1" x14ac:dyDescent="0.25">
      <c r="A62" t="s">
        <v>242</v>
      </c>
      <c r="B62" t="s">
        <v>247</v>
      </c>
      <c r="C62" t="s">
        <v>248</v>
      </c>
      <c r="D62" t="s">
        <v>248</v>
      </c>
    </row>
    <row r="63" spans="1:4" hidden="1" x14ac:dyDescent="0.25">
      <c r="A63" t="s">
        <v>242</v>
      </c>
      <c r="B63" t="s">
        <v>249</v>
      </c>
      <c r="C63" t="s">
        <v>214</v>
      </c>
      <c r="D63" t="s">
        <v>214</v>
      </c>
    </row>
    <row r="64" spans="1:4" hidden="1" x14ac:dyDescent="0.25">
      <c r="A64" t="s">
        <v>242</v>
      </c>
      <c r="B64" t="s">
        <v>250</v>
      </c>
      <c r="C64" t="s">
        <v>216</v>
      </c>
      <c r="D64" t="s">
        <v>216</v>
      </c>
    </row>
    <row r="65" spans="1:5" hidden="1" x14ac:dyDescent="0.25">
      <c r="A65" t="s">
        <v>242</v>
      </c>
      <c r="B65" t="s">
        <v>251</v>
      </c>
      <c r="C65" t="s">
        <v>218</v>
      </c>
      <c r="D65" t="s">
        <v>218</v>
      </c>
    </row>
    <row r="66" spans="1:5" hidden="1" x14ac:dyDescent="0.25">
      <c r="A66" t="s">
        <v>242</v>
      </c>
      <c r="B66" t="s">
        <v>252</v>
      </c>
      <c r="C66" t="s">
        <v>220</v>
      </c>
      <c r="D66" t="s">
        <v>220</v>
      </c>
    </row>
    <row r="67" spans="1:5" hidden="1" x14ac:dyDescent="0.25">
      <c r="A67" t="s">
        <v>242</v>
      </c>
      <c r="B67" t="s">
        <v>253</v>
      </c>
      <c r="C67" t="s">
        <v>222</v>
      </c>
      <c r="D67" t="s">
        <v>222</v>
      </c>
    </row>
    <row r="68" spans="1:5" hidden="1" x14ac:dyDescent="0.25">
      <c r="A68" t="s">
        <v>242</v>
      </c>
      <c r="B68" t="s">
        <v>254</v>
      </c>
      <c r="C68" t="s">
        <v>158</v>
      </c>
      <c r="D68" t="s">
        <v>158</v>
      </c>
    </row>
    <row r="69" spans="1:5" hidden="1" x14ac:dyDescent="0.25">
      <c r="A69" t="s">
        <v>242</v>
      </c>
      <c r="B69" t="s">
        <v>255</v>
      </c>
      <c r="C69" t="s">
        <v>181</v>
      </c>
      <c r="D69" t="s">
        <v>181</v>
      </c>
    </row>
    <row r="70" spans="1:5" hidden="1" x14ac:dyDescent="0.25">
      <c r="A70" t="s">
        <v>242</v>
      </c>
      <c r="B70" t="s">
        <v>256</v>
      </c>
      <c r="C70" t="s">
        <v>154</v>
      </c>
      <c r="D70" t="s">
        <v>154</v>
      </c>
    </row>
    <row r="71" spans="1:5" hidden="1" x14ac:dyDescent="0.25">
      <c r="A71" t="s">
        <v>242</v>
      </c>
      <c r="B71" t="s">
        <v>257</v>
      </c>
      <c r="C71" t="s">
        <v>160</v>
      </c>
      <c r="D71" t="s">
        <v>160</v>
      </c>
    </row>
    <row r="72" spans="1:5" hidden="1" x14ac:dyDescent="0.25">
      <c r="A72" t="s">
        <v>242</v>
      </c>
      <c r="B72" t="s">
        <v>258</v>
      </c>
      <c r="C72" t="s">
        <v>156</v>
      </c>
      <c r="D72" t="s">
        <v>156</v>
      </c>
    </row>
    <row r="73" spans="1:5" hidden="1" x14ac:dyDescent="0.25">
      <c r="A73" t="s">
        <v>242</v>
      </c>
      <c r="B73" t="s">
        <v>259</v>
      </c>
      <c r="C73" t="s">
        <v>163</v>
      </c>
      <c r="D73" t="s">
        <v>163</v>
      </c>
    </row>
    <row r="74" spans="1:5" hidden="1" x14ac:dyDescent="0.25">
      <c r="A74" t="s">
        <v>242</v>
      </c>
      <c r="B74" t="s">
        <v>260</v>
      </c>
      <c r="C74" t="s">
        <v>156</v>
      </c>
      <c r="D74" t="s">
        <v>156</v>
      </c>
    </row>
    <row r="75" spans="1:5" hidden="1" x14ac:dyDescent="0.25">
      <c r="A75" t="s">
        <v>242</v>
      </c>
      <c r="B75" t="s">
        <v>261</v>
      </c>
      <c r="C75" t="s">
        <v>156</v>
      </c>
      <c r="D75" t="s">
        <v>156</v>
      </c>
    </row>
    <row r="76" spans="1:5" hidden="1" x14ac:dyDescent="0.25">
      <c r="A76" t="s">
        <v>242</v>
      </c>
      <c r="B76" t="s">
        <v>262</v>
      </c>
      <c r="C76" t="s">
        <v>156</v>
      </c>
      <c r="D76" t="s">
        <v>156</v>
      </c>
    </row>
    <row r="77" spans="1:5" hidden="1" x14ac:dyDescent="0.25">
      <c r="A77" t="s">
        <v>242</v>
      </c>
      <c r="B77" t="s">
        <v>263</v>
      </c>
      <c r="C77" t="s">
        <v>163</v>
      </c>
      <c r="D77" t="s">
        <v>163</v>
      </c>
    </row>
    <row r="78" spans="1:5" x14ac:dyDescent="0.25">
      <c r="A78" t="s">
        <v>242</v>
      </c>
      <c r="B78" t="s">
        <v>264</v>
      </c>
      <c r="C78" t="s">
        <v>395</v>
      </c>
      <c r="D78" t="s">
        <v>208</v>
      </c>
      <c r="E78" t="s">
        <v>196</v>
      </c>
    </row>
    <row r="79" spans="1:5" x14ac:dyDescent="0.25">
      <c r="A79" t="s">
        <v>242</v>
      </c>
      <c r="B79" t="s">
        <v>265</v>
      </c>
      <c r="C79" t="s">
        <v>446</v>
      </c>
      <c r="D79" t="s">
        <v>208</v>
      </c>
      <c r="E79" t="s">
        <v>196</v>
      </c>
    </row>
    <row r="80" spans="1:5" x14ac:dyDescent="0.25">
      <c r="A80" t="s">
        <v>242</v>
      </c>
      <c r="B80" t="s">
        <v>266</v>
      </c>
      <c r="C80" t="s">
        <v>158</v>
      </c>
      <c r="D80" t="s">
        <v>158</v>
      </c>
    </row>
    <row r="81" spans="1:5" x14ac:dyDescent="0.25">
      <c r="A81" t="s">
        <v>242</v>
      </c>
      <c r="B81" t="s">
        <v>267</v>
      </c>
      <c r="C81" t="s">
        <v>268</v>
      </c>
      <c r="D81" t="s">
        <v>268</v>
      </c>
    </row>
    <row r="82" spans="1:5" x14ac:dyDescent="0.25">
      <c r="A82" t="s">
        <v>242</v>
      </c>
      <c r="B82" t="s">
        <v>269</v>
      </c>
      <c r="C82" t="s">
        <v>270</v>
      </c>
      <c r="D82" t="s">
        <v>270</v>
      </c>
    </row>
    <row r="83" spans="1:5" x14ac:dyDescent="0.25">
      <c r="A83" t="s">
        <v>242</v>
      </c>
      <c r="B83" t="s">
        <v>271</v>
      </c>
      <c r="C83" t="s">
        <v>163</v>
      </c>
      <c r="D83" t="s">
        <v>163</v>
      </c>
    </row>
    <row r="84" spans="1:5" x14ac:dyDescent="0.25">
      <c r="A84" t="s">
        <v>242</v>
      </c>
      <c r="B84" t="s">
        <v>272</v>
      </c>
      <c r="C84" t="s">
        <v>165</v>
      </c>
      <c r="D84" t="s">
        <v>165</v>
      </c>
    </row>
    <row r="85" spans="1:5" x14ac:dyDescent="0.25">
      <c r="A85" t="s">
        <v>242</v>
      </c>
      <c r="B85" t="s">
        <v>273</v>
      </c>
      <c r="C85" t="s">
        <v>167</v>
      </c>
      <c r="D85" t="s">
        <v>167</v>
      </c>
    </row>
    <row r="86" spans="1:5" x14ac:dyDescent="0.25">
      <c r="A86" t="s">
        <v>242</v>
      </c>
      <c r="B86" t="s">
        <v>274</v>
      </c>
      <c r="C86" t="s">
        <v>169</v>
      </c>
      <c r="D86" t="s">
        <v>169</v>
      </c>
    </row>
    <row r="87" spans="1:5" x14ac:dyDescent="0.25">
      <c r="A87" t="s">
        <v>242</v>
      </c>
      <c r="B87" t="s">
        <v>275</v>
      </c>
      <c r="C87" t="s">
        <v>179</v>
      </c>
      <c r="D87" t="s">
        <v>179</v>
      </c>
    </row>
    <row r="88" spans="1:5" x14ac:dyDescent="0.25">
      <c r="A88" t="s">
        <v>242</v>
      </c>
      <c r="B88" t="s">
        <v>276</v>
      </c>
      <c r="C88" t="s">
        <v>277</v>
      </c>
      <c r="D88" t="s">
        <v>277</v>
      </c>
    </row>
    <row r="89" spans="1:5" x14ac:dyDescent="0.25">
      <c r="A89" t="s">
        <v>242</v>
      </c>
      <c r="B89" t="s">
        <v>278</v>
      </c>
      <c r="C89" t="s">
        <v>279</v>
      </c>
      <c r="D89" t="s">
        <v>279</v>
      </c>
    </row>
    <row r="90" spans="1:5" x14ac:dyDescent="0.25">
      <c r="A90" t="s">
        <v>242</v>
      </c>
      <c r="B90" t="s">
        <v>280</v>
      </c>
      <c r="C90" t="s">
        <v>163</v>
      </c>
      <c r="D90" t="s">
        <v>163</v>
      </c>
    </row>
    <row r="91" spans="1:5" x14ac:dyDescent="0.25">
      <c r="A91" t="s">
        <v>242</v>
      </c>
      <c r="B91" t="s">
        <v>281</v>
      </c>
      <c r="C91" t="s">
        <v>246</v>
      </c>
      <c r="D91" t="s">
        <v>246</v>
      </c>
    </row>
    <row r="92" spans="1:5" x14ac:dyDescent="0.25">
      <c r="A92" t="s">
        <v>242</v>
      </c>
      <c r="B92" t="s">
        <v>282</v>
      </c>
      <c r="C92" t="s">
        <v>447</v>
      </c>
      <c r="D92" t="s">
        <v>448</v>
      </c>
      <c r="E92" t="s">
        <v>196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8"/>
  <sheetViews>
    <sheetView workbookViewId="0">
      <selection activeCell="D24" sqref="D24"/>
    </sheetView>
  </sheetViews>
  <sheetFormatPr defaultRowHeight="15" x14ac:dyDescent="0.25"/>
  <cols>
    <col min="1" max="1" width="19" bestFit="1" customWidth="1"/>
    <col min="2" max="2" width="22.42578125" bestFit="1" customWidth="1"/>
    <col min="3" max="3" width="17.7109375" bestFit="1" customWidth="1"/>
    <col min="4" max="4" width="13" bestFit="1" customWidth="1"/>
    <col min="5" max="5" width="5.42578125" bestFit="1" customWidth="1"/>
  </cols>
  <sheetData>
    <row r="1" spans="1:5" x14ac:dyDescent="0.25">
      <c r="A1" s="1" t="s">
        <v>408</v>
      </c>
    </row>
    <row r="2" spans="1:5" x14ac:dyDescent="0.25">
      <c r="A2" s="1" t="s">
        <v>409</v>
      </c>
      <c r="B2" s="1" t="s">
        <v>410</v>
      </c>
      <c r="C2" s="1" t="s">
        <v>411</v>
      </c>
      <c r="D2" s="1" t="s">
        <v>3</v>
      </c>
      <c r="E2" t="s">
        <v>412</v>
      </c>
    </row>
    <row r="3" spans="1:5" x14ac:dyDescent="0.25">
      <c r="A3">
        <v>10</v>
      </c>
      <c r="B3">
        <v>3</v>
      </c>
      <c r="C3">
        <v>20</v>
      </c>
      <c r="D3">
        <v>7272</v>
      </c>
      <c r="E3" s="22">
        <v>1</v>
      </c>
    </row>
    <row r="4" spans="1:5" x14ac:dyDescent="0.25">
      <c r="D4">
        <v>11184</v>
      </c>
      <c r="E4" s="22">
        <v>1</v>
      </c>
    </row>
    <row r="5" spans="1:5" x14ac:dyDescent="0.25">
      <c r="B5">
        <v>10</v>
      </c>
      <c r="C5">
        <v>1</v>
      </c>
      <c r="D5">
        <v>11808</v>
      </c>
      <c r="E5" s="22">
        <v>1</v>
      </c>
    </row>
    <row r="6" spans="1:5" x14ac:dyDescent="0.25">
      <c r="C6">
        <v>10</v>
      </c>
      <c r="D6">
        <v>12500</v>
      </c>
      <c r="E6" s="22">
        <v>1</v>
      </c>
    </row>
    <row r="7" spans="1:5" x14ac:dyDescent="0.25">
      <c r="C7">
        <v>20</v>
      </c>
      <c r="D7">
        <v>6956</v>
      </c>
      <c r="E7" s="22">
        <v>1</v>
      </c>
    </row>
    <row r="8" spans="1:5" x14ac:dyDescent="0.25">
      <c r="D8">
        <v>9004</v>
      </c>
      <c r="E8" s="22">
        <v>1</v>
      </c>
    </row>
    <row r="9" spans="1:5" x14ac:dyDescent="0.25">
      <c r="D9">
        <v>9912</v>
      </c>
      <c r="E9" s="22">
        <v>1</v>
      </c>
    </row>
    <row r="10" spans="1:5" x14ac:dyDescent="0.25">
      <c r="A10">
        <v>20</v>
      </c>
      <c r="B10">
        <v>1</v>
      </c>
      <c r="C10">
        <v>20</v>
      </c>
      <c r="D10">
        <v>9652</v>
      </c>
      <c r="E10" s="22">
        <v>1</v>
      </c>
    </row>
    <row r="11" spans="1:5" x14ac:dyDescent="0.25">
      <c r="B11">
        <v>3</v>
      </c>
      <c r="C11">
        <v>20</v>
      </c>
      <c r="D11">
        <v>1604</v>
      </c>
      <c r="E11" s="22">
        <v>1</v>
      </c>
    </row>
    <row r="12" spans="1:5" x14ac:dyDescent="0.25">
      <c r="D12">
        <v>6704</v>
      </c>
      <c r="E12" s="22">
        <v>1</v>
      </c>
    </row>
    <row r="13" spans="1:5" x14ac:dyDescent="0.25">
      <c r="D13">
        <v>8408</v>
      </c>
      <c r="E13" s="22">
        <v>1</v>
      </c>
    </row>
    <row r="14" spans="1:5" x14ac:dyDescent="0.25">
      <c r="D14">
        <v>9900</v>
      </c>
      <c r="E14" s="22">
        <v>1</v>
      </c>
    </row>
    <row r="15" spans="1:5" x14ac:dyDescent="0.25">
      <c r="D15">
        <v>11900</v>
      </c>
      <c r="E15" s="22">
        <v>1</v>
      </c>
    </row>
    <row r="16" spans="1:5" x14ac:dyDescent="0.25">
      <c r="D16">
        <v>12652</v>
      </c>
      <c r="E16" s="22">
        <v>1</v>
      </c>
    </row>
    <row r="17" spans="1:5" x14ac:dyDescent="0.25">
      <c r="D17">
        <v>14108</v>
      </c>
      <c r="E17" s="22">
        <v>1</v>
      </c>
    </row>
    <row r="18" spans="1:5" x14ac:dyDescent="0.25">
      <c r="C18" t="s">
        <v>407</v>
      </c>
      <c r="D18">
        <v>2504</v>
      </c>
      <c r="E18" s="22">
        <v>1</v>
      </c>
    </row>
    <row r="19" spans="1:5" x14ac:dyDescent="0.25">
      <c r="D19">
        <v>10016</v>
      </c>
      <c r="E19" s="22">
        <v>1</v>
      </c>
    </row>
    <row r="20" spans="1:5" x14ac:dyDescent="0.25">
      <c r="B20">
        <v>5</v>
      </c>
      <c r="C20">
        <v>1</v>
      </c>
      <c r="D20">
        <v>6132</v>
      </c>
      <c r="E20" s="22">
        <v>1</v>
      </c>
    </row>
    <row r="21" spans="1:5" x14ac:dyDescent="0.25">
      <c r="D21">
        <v>12651</v>
      </c>
      <c r="E21" s="22">
        <v>1</v>
      </c>
    </row>
    <row r="22" spans="1:5" x14ac:dyDescent="0.25">
      <c r="C22">
        <v>20</v>
      </c>
      <c r="D22">
        <v>6912</v>
      </c>
      <c r="E22" s="22">
        <v>1</v>
      </c>
    </row>
    <row r="23" spans="1:5" x14ac:dyDescent="0.25">
      <c r="D23">
        <v>8352</v>
      </c>
      <c r="E23" s="22">
        <v>1</v>
      </c>
    </row>
    <row r="24" spans="1:5" x14ac:dyDescent="0.25">
      <c r="A24">
        <v>50</v>
      </c>
      <c r="B24">
        <v>3</v>
      </c>
      <c r="C24">
        <v>20</v>
      </c>
      <c r="D24">
        <v>12292</v>
      </c>
      <c r="E24" s="22">
        <v>1</v>
      </c>
    </row>
    <row r="25" spans="1:5" x14ac:dyDescent="0.25">
      <c r="D25">
        <v>14360</v>
      </c>
      <c r="E25" s="22">
        <v>1</v>
      </c>
    </row>
    <row r="26" spans="1:5" x14ac:dyDescent="0.25">
      <c r="B26">
        <v>10</v>
      </c>
      <c r="C26">
        <v>20</v>
      </c>
      <c r="D26">
        <v>5644</v>
      </c>
      <c r="E26" s="22">
        <v>1</v>
      </c>
    </row>
    <row r="27" spans="1:5" x14ac:dyDescent="0.25">
      <c r="D27">
        <v>10408</v>
      </c>
      <c r="E27" s="22">
        <v>1</v>
      </c>
    </row>
    <row r="28" spans="1:5" x14ac:dyDescent="0.25">
      <c r="A28" t="s">
        <v>1</v>
      </c>
      <c r="E28" s="22">
        <v>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101</v>
      </c>
      <c r="C1" t="s">
        <v>102</v>
      </c>
      <c r="D1" t="s">
        <v>103</v>
      </c>
      <c r="E1" t="s">
        <v>104</v>
      </c>
      <c r="F1" t="s">
        <v>105</v>
      </c>
      <c r="G1" t="s">
        <v>106</v>
      </c>
      <c r="H1" t="s">
        <v>107</v>
      </c>
      <c r="I1" t="s">
        <v>108</v>
      </c>
      <c r="J1" t="s">
        <v>109</v>
      </c>
      <c r="K1" t="s">
        <v>110</v>
      </c>
      <c r="L1" t="s">
        <v>111</v>
      </c>
      <c r="M1" t="s">
        <v>138</v>
      </c>
      <c r="N1" t="s">
        <v>121</v>
      </c>
      <c r="O1" t="s">
        <v>139</v>
      </c>
    </row>
    <row r="2" spans="1:15" hidden="1" x14ac:dyDescent="0.25">
      <c r="A2">
        <v>2132</v>
      </c>
      <c r="B2">
        <v>212</v>
      </c>
      <c r="F2">
        <v>50</v>
      </c>
      <c r="G2" t="s">
        <v>183</v>
      </c>
      <c r="K2" t="s">
        <v>112</v>
      </c>
      <c r="L2" t="s">
        <v>113</v>
      </c>
    </row>
    <row r="3" spans="1:15" hidden="1" x14ac:dyDescent="0.25">
      <c r="A3">
        <v>2984</v>
      </c>
      <c r="B3">
        <v>79</v>
      </c>
      <c r="F3">
        <v>10</v>
      </c>
      <c r="G3" t="s">
        <v>392</v>
      </c>
      <c r="K3" t="s">
        <v>112</v>
      </c>
      <c r="L3" t="s">
        <v>113</v>
      </c>
    </row>
    <row r="4" spans="1:15" hidden="1" x14ac:dyDescent="0.25">
      <c r="A4">
        <v>3244</v>
      </c>
      <c r="B4">
        <v>219</v>
      </c>
      <c r="F4">
        <v>50</v>
      </c>
      <c r="G4" t="s">
        <v>183</v>
      </c>
      <c r="K4" t="s">
        <v>112</v>
      </c>
      <c r="L4" t="s">
        <v>113</v>
      </c>
    </row>
    <row r="5" spans="1:15" hidden="1" x14ac:dyDescent="0.25">
      <c r="A5">
        <v>3396</v>
      </c>
      <c r="B5">
        <v>219</v>
      </c>
      <c r="F5">
        <v>50</v>
      </c>
      <c r="G5" t="s">
        <v>183</v>
      </c>
      <c r="K5" t="s">
        <v>112</v>
      </c>
      <c r="L5" t="s">
        <v>113</v>
      </c>
    </row>
    <row r="6" spans="1:15" hidden="1" x14ac:dyDescent="0.25">
      <c r="A6">
        <v>5644</v>
      </c>
      <c r="B6">
        <v>15059</v>
      </c>
      <c r="C6" t="s">
        <v>393</v>
      </c>
      <c r="D6">
        <v>50</v>
      </c>
      <c r="F6">
        <v>50</v>
      </c>
      <c r="G6" t="s">
        <v>140</v>
      </c>
      <c r="K6" t="s">
        <v>112</v>
      </c>
      <c r="L6" t="s">
        <v>113</v>
      </c>
      <c r="M6" t="s">
        <v>142</v>
      </c>
      <c r="O6" t="s">
        <v>141</v>
      </c>
    </row>
    <row r="7" spans="1:15" hidden="1" x14ac:dyDescent="0.25">
      <c r="A7">
        <v>5656</v>
      </c>
      <c r="B7">
        <v>79</v>
      </c>
      <c r="F7">
        <v>10</v>
      </c>
      <c r="G7" t="s">
        <v>392</v>
      </c>
      <c r="K7" t="s">
        <v>112</v>
      </c>
      <c r="L7" t="s">
        <v>113</v>
      </c>
    </row>
    <row r="8" spans="1:15" hidden="1" x14ac:dyDescent="0.25">
      <c r="A8">
        <v>6704</v>
      </c>
      <c r="B8">
        <v>5022</v>
      </c>
      <c r="C8" t="s">
        <v>393</v>
      </c>
      <c r="D8">
        <v>50</v>
      </c>
      <c r="F8">
        <v>20</v>
      </c>
      <c r="G8" t="s">
        <v>140</v>
      </c>
      <c r="K8" t="s">
        <v>112</v>
      </c>
      <c r="L8" t="s">
        <v>113</v>
      </c>
      <c r="M8" t="s">
        <v>141</v>
      </c>
      <c r="O8" t="s">
        <v>141</v>
      </c>
    </row>
    <row r="9" spans="1:15" hidden="1" x14ac:dyDescent="0.25">
      <c r="A9">
        <v>6956</v>
      </c>
      <c r="B9">
        <v>5019</v>
      </c>
      <c r="C9" t="s">
        <v>393</v>
      </c>
      <c r="D9">
        <v>50</v>
      </c>
      <c r="F9">
        <v>10</v>
      </c>
      <c r="G9" t="s">
        <v>140</v>
      </c>
      <c r="K9" t="s">
        <v>112</v>
      </c>
      <c r="L9" t="s">
        <v>113</v>
      </c>
      <c r="M9" t="s">
        <v>142</v>
      </c>
      <c r="O9" t="s">
        <v>142</v>
      </c>
    </row>
    <row r="10" spans="1:15" hidden="1" x14ac:dyDescent="0.25">
      <c r="A10">
        <v>7228</v>
      </c>
      <c r="B10">
        <v>72</v>
      </c>
      <c r="F10">
        <v>50</v>
      </c>
      <c r="G10" t="s">
        <v>183</v>
      </c>
      <c r="K10" t="s">
        <v>112</v>
      </c>
      <c r="L10" t="s">
        <v>113</v>
      </c>
    </row>
    <row r="11" spans="1:15" hidden="1" x14ac:dyDescent="0.25">
      <c r="A11">
        <v>7272</v>
      </c>
      <c r="B11">
        <v>15012</v>
      </c>
      <c r="C11" t="s">
        <v>393</v>
      </c>
      <c r="D11">
        <v>50</v>
      </c>
      <c r="F11">
        <v>10</v>
      </c>
      <c r="G11" t="s">
        <v>140</v>
      </c>
      <c r="K11" t="s">
        <v>112</v>
      </c>
      <c r="L11" t="s">
        <v>113</v>
      </c>
      <c r="M11" t="s">
        <v>142</v>
      </c>
      <c r="O11" t="s">
        <v>141</v>
      </c>
    </row>
    <row r="12" spans="1:15" hidden="1" x14ac:dyDescent="0.25">
      <c r="A12">
        <v>8408</v>
      </c>
      <c r="B12">
        <v>5022</v>
      </c>
      <c r="C12" t="s">
        <v>393</v>
      </c>
      <c r="D12">
        <v>50</v>
      </c>
      <c r="F12">
        <v>20</v>
      </c>
      <c r="G12" t="s">
        <v>140</v>
      </c>
      <c r="K12" t="s">
        <v>112</v>
      </c>
      <c r="L12" t="s">
        <v>113</v>
      </c>
      <c r="M12" t="s">
        <v>142</v>
      </c>
      <c r="O12" t="s">
        <v>141</v>
      </c>
    </row>
    <row r="13" spans="1:15" hidden="1" x14ac:dyDescent="0.25">
      <c r="A13">
        <v>9004</v>
      </c>
      <c r="B13">
        <v>15019</v>
      </c>
      <c r="C13" t="s">
        <v>393</v>
      </c>
      <c r="D13">
        <v>50</v>
      </c>
      <c r="F13">
        <v>10</v>
      </c>
      <c r="G13" t="s">
        <v>140</v>
      </c>
      <c r="K13" t="s">
        <v>112</v>
      </c>
      <c r="L13" t="s">
        <v>113</v>
      </c>
      <c r="M13" t="s">
        <v>142</v>
      </c>
      <c r="O13" t="s">
        <v>141</v>
      </c>
    </row>
    <row r="14" spans="1:15" hidden="1" x14ac:dyDescent="0.25">
      <c r="A14">
        <v>9556</v>
      </c>
      <c r="B14">
        <v>92</v>
      </c>
      <c r="F14">
        <v>50</v>
      </c>
      <c r="G14" t="s">
        <v>392</v>
      </c>
      <c r="K14" t="s">
        <v>112</v>
      </c>
      <c r="L14" t="s">
        <v>113</v>
      </c>
    </row>
    <row r="15" spans="1:15" hidden="1" x14ac:dyDescent="0.25">
      <c r="A15">
        <v>9900</v>
      </c>
      <c r="B15">
        <v>15022</v>
      </c>
      <c r="C15" t="s">
        <v>393</v>
      </c>
      <c r="D15">
        <v>50</v>
      </c>
      <c r="F15">
        <v>20</v>
      </c>
      <c r="G15" t="s">
        <v>140</v>
      </c>
      <c r="K15" t="s">
        <v>112</v>
      </c>
      <c r="L15" t="s">
        <v>113</v>
      </c>
      <c r="M15" t="s">
        <v>142</v>
      </c>
      <c r="O15" t="s">
        <v>141</v>
      </c>
    </row>
    <row r="16" spans="1:15" hidden="1" x14ac:dyDescent="0.25">
      <c r="A16">
        <v>9912</v>
      </c>
      <c r="B16">
        <v>15019</v>
      </c>
      <c r="C16" t="s">
        <v>393</v>
      </c>
      <c r="D16">
        <v>50</v>
      </c>
      <c r="F16">
        <v>10</v>
      </c>
      <c r="G16" t="s">
        <v>140</v>
      </c>
      <c r="K16" t="s">
        <v>112</v>
      </c>
      <c r="L16" t="s">
        <v>113</v>
      </c>
      <c r="M16" t="s">
        <v>142</v>
      </c>
      <c r="O16" t="s">
        <v>141</v>
      </c>
    </row>
    <row r="17" spans="1:15" hidden="1" x14ac:dyDescent="0.25">
      <c r="A17">
        <v>9960</v>
      </c>
      <c r="B17">
        <v>79</v>
      </c>
      <c r="F17">
        <v>10</v>
      </c>
      <c r="G17" t="s">
        <v>183</v>
      </c>
      <c r="K17" t="s">
        <v>112</v>
      </c>
      <c r="L17" t="s">
        <v>113</v>
      </c>
    </row>
    <row r="18" spans="1:15" hidden="1" x14ac:dyDescent="0.25">
      <c r="A18">
        <v>10408</v>
      </c>
      <c r="B18">
        <v>5059</v>
      </c>
      <c r="C18" t="s">
        <v>393</v>
      </c>
      <c r="D18">
        <v>50</v>
      </c>
      <c r="F18">
        <v>50</v>
      </c>
      <c r="G18" t="s">
        <v>140</v>
      </c>
      <c r="K18" t="s">
        <v>112</v>
      </c>
      <c r="L18" t="s">
        <v>113</v>
      </c>
      <c r="M18" t="s">
        <v>141</v>
      </c>
      <c r="O18" t="s">
        <v>141</v>
      </c>
    </row>
    <row r="19" spans="1:15" hidden="1" x14ac:dyDescent="0.25">
      <c r="A19">
        <v>10480</v>
      </c>
      <c r="B19">
        <v>59</v>
      </c>
      <c r="F19">
        <v>10</v>
      </c>
      <c r="G19" t="s">
        <v>183</v>
      </c>
      <c r="K19" t="s">
        <v>112</v>
      </c>
      <c r="L19" t="s">
        <v>113</v>
      </c>
    </row>
    <row r="20" spans="1:15" hidden="1" x14ac:dyDescent="0.25">
      <c r="A20">
        <v>10596</v>
      </c>
      <c r="B20">
        <v>92</v>
      </c>
      <c r="F20">
        <v>50</v>
      </c>
      <c r="G20" t="s">
        <v>392</v>
      </c>
      <c r="K20" t="s">
        <v>112</v>
      </c>
      <c r="L20" t="s">
        <v>113</v>
      </c>
    </row>
    <row r="21" spans="1:15" hidden="1" x14ac:dyDescent="0.25">
      <c r="A21">
        <v>11184</v>
      </c>
      <c r="B21">
        <v>5012</v>
      </c>
      <c r="C21" t="s">
        <v>393</v>
      </c>
      <c r="D21">
        <v>50</v>
      </c>
      <c r="F21">
        <v>10</v>
      </c>
      <c r="G21" t="s">
        <v>140</v>
      </c>
      <c r="K21" t="s">
        <v>112</v>
      </c>
      <c r="L21" t="s">
        <v>113</v>
      </c>
      <c r="M21" t="s">
        <v>141</v>
      </c>
      <c r="O21" t="s">
        <v>141</v>
      </c>
    </row>
    <row r="22" spans="1:15" hidden="1" x14ac:dyDescent="0.25">
      <c r="A22">
        <v>11444</v>
      </c>
      <c r="B22">
        <v>59</v>
      </c>
      <c r="F22">
        <v>10</v>
      </c>
      <c r="G22" t="s">
        <v>183</v>
      </c>
      <c r="K22" t="s">
        <v>112</v>
      </c>
      <c r="L22" t="s">
        <v>113</v>
      </c>
    </row>
    <row r="23" spans="1:15" hidden="1" x14ac:dyDescent="0.25">
      <c r="A23">
        <v>11796</v>
      </c>
      <c r="B23">
        <v>59</v>
      </c>
      <c r="F23">
        <v>10</v>
      </c>
      <c r="G23" t="s">
        <v>183</v>
      </c>
      <c r="K23" t="s">
        <v>112</v>
      </c>
      <c r="L23" t="s">
        <v>113</v>
      </c>
    </row>
    <row r="24" spans="1:15" hidden="1" x14ac:dyDescent="0.25">
      <c r="A24">
        <v>11808</v>
      </c>
      <c r="B24">
        <v>5019</v>
      </c>
      <c r="C24" t="s">
        <v>393</v>
      </c>
      <c r="D24">
        <v>50</v>
      </c>
      <c r="F24">
        <v>10</v>
      </c>
      <c r="G24" t="s">
        <v>140</v>
      </c>
      <c r="K24" t="s">
        <v>112</v>
      </c>
      <c r="L24" t="s">
        <v>113</v>
      </c>
      <c r="M24" t="s">
        <v>142</v>
      </c>
      <c r="O24" t="s">
        <v>142</v>
      </c>
    </row>
    <row r="25" spans="1:15" hidden="1" x14ac:dyDescent="0.25">
      <c r="A25">
        <v>11900</v>
      </c>
      <c r="B25">
        <v>15022</v>
      </c>
      <c r="C25" t="s">
        <v>393</v>
      </c>
      <c r="D25">
        <v>50</v>
      </c>
      <c r="F25">
        <v>20</v>
      </c>
      <c r="G25" t="s">
        <v>140</v>
      </c>
      <c r="K25" t="s">
        <v>112</v>
      </c>
      <c r="L25" t="s">
        <v>113</v>
      </c>
      <c r="M25" t="s">
        <v>142</v>
      </c>
      <c r="O25" t="s">
        <v>141</v>
      </c>
    </row>
    <row r="26" spans="1:15" hidden="1" x14ac:dyDescent="0.25">
      <c r="A26">
        <v>12160</v>
      </c>
      <c r="B26">
        <v>52</v>
      </c>
      <c r="F26">
        <v>10</v>
      </c>
      <c r="G26" t="s">
        <v>183</v>
      </c>
      <c r="K26" t="s">
        <v>112</v>
      </c>
      <c r="L26" t="s">
        <v>113</v>
      </c>
    </row>
    <row r="27" spans="1:15" x14ac:dyDescent="0.25">
      <c r="A27">
        <v>12292</v>
      </c>
      <c r="B27">
        <v>15052</v>
      </c>
      <c r="C27" t="s">
        <v>393</v>
      </c>
      <c r="D27">
        <v>50</v>
      </c>
      <c r="F27">
        <v>50</v>
      </c>
      <c r="G27" t="s">
        <v>140</v>
      </c>
      <c r="K27" t="s">
        <v>112</v>
      </c>
      <c r="L27" t="s">
        <v>113</v>
      </c>
      <c r="M27" t="s">
        <v>142</v>
      </c>
      <c r="O27" t="s">
        <v>141</v>
      </c>
    </row>
    <row r="28" spans="1:15" hidden="1" x14ac:dyDescent="0.25">
      <c r="A28">
        <v>12332</v>
      </c>
      <c r="B28">
        <v>92</v>
      </c>
      <c r="F28">
        <v>50</v>
      </c>
      <c r="G28" t="s">
        <v>392</v>
      </c>
      <c r="K28" t="s">
        <v>112</v>
      </c>
      <c r="L28" t="s">
        <v>113</v>
      </c>
    </row>
    <row r="29" spans="1:15" hidden="1" x14ac:dyDescent="0.25">
      <c r="A29">
        <v>12500</v>
      </c>
      <c r="B29">
        <v>5019</v>
      </c>
      <c r="C29" t="s">
        <v>393</v>
      </c>
      <c r="D29">
        <v>50</v>
      </c>
      <c r="F29">
        <v>10</v>
      </c>
      <c r="G29" t="s">
        <v>140</v>
      </c>
      <c r="K29" t="s">
        <v>112</v>
      </c>
      <c r="L29" t="s">
        <v>113</v>
      </c>
      <c r="M29" t="s">
        <v>142</v>
      </c>
      <c r="O29" t="s">
        <v>142</v>
      </c>
    </row>
    <row r="30" spans="1:15" hidden="1" x14ac:dyDescent="0.25">
      <c r="A30">
        <v>12652</v>
      </c>
      <c r="B30">
        <v>5022</v>
      </c>
      <c r="C30" t="s">
        <v>393</v>
      </c>
      <c r="D30">
        <v>50</v>
      </c>
      <c r="F30">
        <v>20</v>
      </c>
      <c r="G30" t="s">
        <v>140</v>
      </c>
      <c r="K30" t="s">
        <v>112</v>
      </c>
      <c r="L30" t="s">
        <v>113</v>
      </c>
      <c r="M30" t="s">
        <v>142</v>
      </c>
      <c r="O30" t="s">
        <v>141</v>
      </c>
    </row>
    <row r="31" spans="1:15" hidden="1" x14ac:dyDescent="0.25">
      <c r="A31">
        <v>12880</v>
      </c>
      <c r="B31">
        <v>92</v>
      </c>
      <c r="F31">
        <v>50</v>
      </c>
      <c r="G31" t="s">
        <v>392</v>
      </c>
      <c r="K31" t="s">
        <v>112</v>
      </c>
      <c r="L31" t="s">
        <v>113</v>
      </c>
    </row>
    <row r="32" spans="1:15" hidden="1" x14ac:dyDescent="0.25">
      <c r="A32">
        <v>13068</v>
      </c>
      <c r="B32">
        <v>72</v>
      </c>
      <c r="F32">
        <v>50</v>
      </c>
      <c r="G32" t="s">
        <v>392</v>
      </c>
      <c r="K32" t="s">
        <v>112</v>
      </c>
      <c r="L32" t="s">
        <v>113</v>
      </c>
    </row>
    <row r="33" spans="1:15" hidden="1" x14ac:dyDescent="0.25">
      <c r="A33">
        <v>13836</v>
      </c>
      <c r="B33">
        <v>72</v>
      </c>
      <c r="F33">
        <v>50</v>
      </c>
      <c r="G33" t="s">
        <v>392</v>
      </c>
      <c r="K33" t="s">
        <v>112</v>
      </c>
      <c r="L33" t="s">
        <v>113</v>
      </c>
    </row>
    <row r="34" spans="1:15" hidden="1" x14ac:dyDescent="0.25">
      <c r="A34">
        <v>14108</v>
      </c>
      <c r="B34">
        <v>5022</v>
      </c>
      <c r="C34" t="s">
        <v>393</v>
      </c>
      <c r="D34">
        <v>50</v>
      </c>
      <c r="F34">
        <v>20</v>
      </c>
      <c r="G34" t="s">
        <v>140</v>
      </c>
      <c r="K34" t="s">
        <v>112</v>
      </c>
      <c r="L34" t="s">
        <v>113</v>
      </c>
      <c r="M34" t="s">
        <v>142</v>
      </c>
      <c r="O34" t="s">
        <v>141</v>
      </c>
    </row>
    <row r="35" spans="1:15" hidden="1" x14ac:dyDescent="0.25">
      <c r="A35">
        <v>14416</v>
      </c>
      <c r="B35">
        <v>92</v>
      </c>
      <c r="F35">
        <v>50</v>
      </c>
      <c r="G35" t="s">
        <v>392</v>
      </c>
      <c r="K35" t="s">
        <v>112</v>
      </c>
      <c r="L35" t="s">
        <v>113</v>
      </c>
    </row>
    <row r="36" spans="1:15" hidden="1" x14ac:dyDescent="0.25">
      <c r="A36">
        <v>15052</v>
      </c>
      <c r="B36">
        <v>72</v>
      </c>
      <c r="F36">
        <v>50</v>
      </c>
      <c r="G36" t="s">
        <v>183</v>
      </c>
      <c r="K36" t="s">
        <v>112</v>
      </c>
      <c r="L36" t="s">
        <v>113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89</v>
      </c>
      <c r="G6" s="1" t="s">
        <v>99</v>
      </c>
      <c r="H6" s="1" t="s">
        <v>125</v>
      </c>
    </row>
    <row r="7" spans="1:8" x14ac:dyDescent="0.25">
      <c r="G7" t="s">
        <v>123</v>
      </c>
      <c r="H7" t="s">
        <v>114</v>
      </c>
    </row>
    <row r="8" spans="1:8" x14ac:dyDescent="0.25">
      <c r="A8" s="1" t="s">
        <v>100</v>
      </c>
      <c r="B8" s="1" t="s">
        <v>121</v>
      </c>
      <c r="C8" s="1" t="s">
        <v>94</v>
      </c>
      <c r="D8" s="1" t="s">
        <v>126</v>
      </c>
      <c r="E8" s="1" t="s">
        <v>27</v>
      </c>
      <c r="F8" s="1" t="s">
        <v>124</v>
      </c>
    </row>
    <row r="9" spans="1:8" x14ac:dyDescent="0.25">
      <c r="A9" t="s">
        <v>120</v>
      </c>
      <c r="B9" t="s">
        <v>119</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122</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148</v>
      </c>
    </row>
    <row r="2" spans="1:3" x14ac:dyDescent="0.25">
      <c r="A2" s="1" t="s">
        <v>147</v>
      </c>
      <c r="B2" t="s">
        <v>143</v>
      </c>
      <c r="C2" t="s">
        <v>149</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93</v>
      </c>
      <c r="C2" s="5" t="s">
        <v>94</v>
      </c>
      <c r="D2" s="5" t="s">
        <v>91</v>
      </c>
      <c r="E2" s="5" t="s">
        <v>92</v>
      </c>
      <c r="F2" s="5" t="s">
        <v>97</v>
      </c>
      <c r="G2" s="5" t="s">
        <v>98</v>
      </c>
    </row>
    <row r="3" spans="2:7" x14ac:dyDescent="0.25">
      <c r="B3">
        <v>9048</v>
      </c>
      <c r="C3" t="s">
        <v>95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117</v>
      </c>
      <c r="C3" t="s">
        <v>118</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28</v>
      </c>
      <c r="B2" t="s">
        <v>87</v>
      </c>
    </row>
    <row r="4" spans="1:3" x14ac:dyDescent="0.25">
      <c r="B4" s="1" t="s">
        <v>55</v>
      </c>
    </row>
    <row r="5" spans="1:3" x14ac:dyDescent="0.25">
      <c r="B5" s="16" t="s">
        <v>86</v>
      </c>
      <c r="C5" s="16"/>
    </row>
    <row r="6" spans="1:3" x14ac:dyDescent="0.25">
      <c r="A6" s="1" t="s">
        <v>0</v>
      </c>
      <c r="B6" t="s">
        <v>26</v>
      </c>
      <c r="C6" t="s">
        <v>88</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Charts</vt:lpstr>
      </vt:variant>
      <vt:variant>
        <vt:i4>1</vt:i4>
      </vt:variant>
    </vt:vector>
  </HeadingPairs>
  <TitlesOfParts>
    <vt:vector size="19" baseType="lpstr">
      <vt:lpstr>NN_Topology</vt:lpstr>
      <vt:lpstr>MSE</vt:lpstr>
      <vt:lpstr>Run_TRS</vt:lpstr>
      <vt:lpstr>Run_TR</vt:lpstr>
      <vt:lpstr>Run_BASE</vt:lpstr>
      <vt:lpstr>TradeError</vt:lpstr>
      <vt:lpstr>RunErrVsMSER</vt:lpstr>
      <vt:lpstr>TestEnvironment</vt:lpstr>
      <vt:lpstr>ClientInfo</vt:lpstr>
      <vt:lpstr>Config</vt:lpstr>
      <vt:lpstr>Engines</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2019-09-14T21:49:40Z</dcterms:modified>
</cp:coreProperties>
</file>